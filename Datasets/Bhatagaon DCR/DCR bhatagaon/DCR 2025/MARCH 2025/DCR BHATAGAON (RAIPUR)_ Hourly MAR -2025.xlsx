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2" r:id="rId31"/>
    <sheet name="MONTHLY 31" sheetId="39" r:id="rId32"/>
  </sheets>
  <calcPr calcId="144525"/>
</workbook>
</file>

<file path=xl/calcChain.xml><?xml version="1.0" encoding="utf-8"?>
<calcChain xmlns="http://schemas.openxmlformats.org/spreadsheetml/2006/main">
  <c r="B45" i="39" l="1"/>
  <c r="D45" i="39" l="1"/>
  <c r="C45" i="39"/>
  <c r="N17" i="39"/>
  <c r="O17" i="39"/>
  <c r="P17" i="39"/>
  <c r="N15" i="39"/>
  <c r="O15" i="39"/>
  <c r="P15" i="39"/>
  <c r="E45" i="39"/>
  <c r="F45" i="39"/>
  <c r="G45" i="39"/>
  <c r="H45" i="39"/>
  <c r="I45" i="39"/>
  <c r="J45" i="39"/>
  <c r="K45" i="39"/>
  <c r="L45" i="39"/>
  <c r="M45" i="39"/>
  <c r="N45" i="39"/>
  <c r="O45" i="39"/>
  <c r="P45" i="39"/>
  <c r="Q45" i="39"/>
  <c r="C39" i="39"/>
  <c r="D39" i="39"/>
  <c r="E39" i="39"/>
  <c r="F39" i="39"/>
  <c r="G39" i="39"/>
  <c r="H39" i="39"/>
  <c r="I39" i="39"/>
  <c r="J39" i="39"/>
  <c r="K39" i="39"/>
  <c r="L39" i="39"/>
  <c r="M39" i="39"/>
  <c r="N39" i="39"/>
  <c r="O39" i="39"/>
  <c r="P39" i="39"/>
  <c r="Q39" i="39"/>
  <c r="B39" i="39"/>
  <c r="A39" i="39"/>
  <c r="C38" i="42"/>
  <c r="D38" i="42"/>
  <c r="B38" i="42"/>
  <c r="C38" i="41"/>
  <c r="D38" i="41"/>
  <c r="B38" i="41"/>
  <c r="Q38" i="42"/>
  <c r="Q40" i="42" s="1"/>
  <c r="P38" i="42"/>
  <c r="P40" i="42" s="1"/>
  <c r="O38" i="42"/>
  <c r="O40" i="42" s="1"/>
  <c r="N38" i="42"/>
  <c r="N40" i="42" s="1"/>
  <c r="M38" i="42"/>
  <c r="M40" i="42" s="1"/>
  <c r="L38" i="42"/>
  <c r="L40" i="42" s="1"/>
  <c r="K38" i="42"/>
  <c r="K40" i="42" s="1"/>
  <c r="J38" i="42"/>
  <c r="J40" i="42" s="1"/>
  <c r="I38" i="42"/>
  <c r="I40" i="42" s="1"/>
  <c r="H38" i="42"/>
  <c r="H40" i="42" s="1"/>
  <c r="G38" i="42"/>
  <c r="G40" i="42" s="1"/>
  <c r="F38" i="42"/>
  <c r="F40" i="42" s="1"/>
  <c r="E38" i="42"/>
  <c r="E40" i="42" s="1"/>
  <c r="D40" i="42"/>
  <c r="C40" i="42"/>
  <c r="B39" i="42"/>
  <c r="Q37" i="42"/>
  <c r="P37" i="42"/>
  <c r="O37" i="42"/>
  <c r="N37" i="42"/>
  <c r="M37" i="42"/>
  <c r="L37" i="42"/>
  <c r="K37" i="42"/>
  <c r="J37" i="42"/>
  <c r="I37" i="42"/>
  <c r="H37" i="42"/>
  <c r="G37" i="42"/>
  <c r="F37" i="42"/>
  <c r="E37" i="42"/>
  <c r="D37" i="42"/>
  <c r="C37" i="42"/>
  <c r="B37" i="42"/>
  <c r="Q36" i="42"/>
  <c r="P36" i="42"/>
  <c r="O36" i="42"/>
  <c r="N36" i="42"/>
  <c r="M36" i="42"/>
  <c r="L36" i="42"/>
  <c r="K36" i="42"/>
  <c r="J36" i="42"/>
  <c r="I36" i="42"/>
  <c r="H36" i="42"/>
  <c r="G36" i="42"/>
  <c r="F36" i="42"/>
  <c r="E36" i="42"/>
  <c r="D36" i="42"/>
  <c r="C36" i="42"/>
  <c r="B36" i="42"/>
  <c r="Q35" i="42"/>
  <c r="P35" i="42"/>
  <c r="O35" i="42"/>
  <c r="N35" i="42"/>
  <c r="M35" i="42"/>
  <c r="L35" i="42"/>
  <c r="K35" i="42"/>
  <c r="J35" i="42"/>
  <c r="I35" i="42"/>
  <c r="H35" i="42"/>
  <c r="G35" i="42"/>
  <c r="F35" i="42"/>
  <c r="E35" i="42"/>
  <c r="D35" i="42"/>
  <c r="C35" i="42"/>
  <c r="B35" i="42"/>
  <c r="Q34" i="42"/>
  <c r="P34" i="42"/>
  <c r="O34" i="42"/>
  <c r="N34" i="42"/>
  <c r="M34" i="42"/>
  <c r="L34" i="42"/>
  <c r="K34" i="42"/>
  <c r="J34" i="42"/>
  <c r="I34" i="42"/>
  <c r="H34" i="42"/>
  <c r="G34" i="42"/>
  <c r="F34" i="42"/>
  <c r="E34" i="42"/>
  <c r="D34" i="42"/>
  <c r="C34" i="42"/>
  <c r="B34" i="42"/>
  <c r="B2" i="42"/>
  <c r="C38" i="40"/>
  <c r="D38" i="40"/>
  <c r="B38" i="40"/>
  <c r="C38" i="33"/>
  <c r="D38" i="33"/>
  <c r="B38" i="33"/>
  <c r="Q38" i="32"/>
  <c r="F38" i="32"/>
  <c r="G38" i="32"/>
  <c r="H38" i="32"/>
  <c r="I38" i="32"/>
  <c r="J38" i="32"/>
  <c r="K38" i="32"/>
  <c r="L38" i="32"/>
  <c r="M38" i="32"/>
  <c r="N38" i="32"/>
  <c r="O38" i="32"/>
  <c r="P38" i="32"/>
  <c r="E38" i="32"/>
  <c r="C38" i="32"/>
  <c r="D38" i="32"/>
  <c r="B38" i="32"/>
  <c r="C39" i="42" l="1"/>
  <c r="E39" i="42"/>
  <c r="F39" i="42"/>
  <c r="G39" i="42"/>
  <c r="B40" i="42"/>
  <c r="H39" i="42"/>
  <c r="D39" i="42"/>
  <c r="I39" i="42"/>
  <c r="J39" i="42"/>
  <c r="K39" i="42"/>
  <c r="L39" i="42"/>
  <c r="M39" i="42"/>
  <c r="N39" i="42"/>
  <c r="O39" i="42"/>
  <c r="P39" i="42"/>
  <c r="Q39" i="42"/>
  <c r="C38" i="23"/>
  <c r="D38" i="23"/>
  <c r="E38" i="23"/>
  <c r="B38" i="23"/>
  <c r="H38" i="23"/>
  <c r="G38" i="23"/>
  <c r="P38" i="9"/>
  <c r="H38" i="9"/>
  <c r="G38" i="9"/>
  <c r="E38" i="9"/>
  <c r="B2" i="20" l="1"/>
  <c r="E36" i="39"/>
  <c r="G34" i="39"/>
  <c r="H33" i="39"/>
  <c r="I32" i="39"/>
  <c r="J31" i="39"/>
  <c r="K30" i="39"/>
  <c r="M29" i="39"/>
  <c r="L29" i="39"/>
  <c r="M28" i="39"/>
  <c r="N27" i="39"/>
  <c r="O26" i="39"/>
  <c r="Q25" i="39"/>
  <c r="P25" i="39"/>
  <c r="A25" i="39"/>
  <c r="Q24" i="39"/>
  <c r="A24" i="39"/>
  <c r="C23" i="39"/>
  <c r="B23" i="39"/>
  <c r="A23" i="39"/>
  <c r="C22" i="39"/>
  <c r="E21" i="39"/>
  <c r="D21" i="39"/>
  <c r="F20" i="39"/>
  <c r="E20" i="39"/>
  <c r="G19" i="39"/>
  <c r="F19" i="39"/>
  <c r="G18" i="39"/>
  <c r="H17" i="39"/>
  <c r="I16" i="39"/>
  <c r="K15" i="39"/>
  <c r="J15" i="39"/>
  <c r="K14" i="39"/>
  <c r="M13" i="39"/>
  <c r="L13" i="39"/>
  <c r="M12" i="39"/>
  <c r="N11" i="39"/>
  <c r="O10" i="39"/>
  <c r="Q38" i="41"/>
  <c r="Q40" i="41" s="1"/>
  <c r="P38" i="41"/>
  <c r="P40" i="41" s="1"/>
  <c r="O38" i="41"/>
  <c r="O39" i="41" s="1"/>
  <c r="N38" i="41"/>
  <c r="N40" i="41" s="1"/>
  <c r="M38" i="41"/>
  <c r="M40" i="41" s="1"/>
  <c r="L38" i="41"/>
  <c r="L40" i="41" s="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40" i="41"/>
  <c r="C40" i="41"/>
  <c r="B40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N38" i="39" s="1"/>
  <c r="M36" i="41"/>
  <c r="M38" i="39" s="1"/>
  <c r="L36" i="41"/>
  <c r="L38" i="39" s="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D38" i="39" s="1"/>
  <c r="C36" i="41"/>
  <c r="C38" i="39" s="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40" i="40"/>
  <c r="C40" i="40"/>
  <c r="B40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O37" i="39" s="1"/>
  <c r="N36" i="40"/>
  <c r="N37" i="39" s="1"/>
  <c r="M36" i="40"/>
  <c r="M37" i="39" s="1"/>
  <c r="L36" i="40"/>
  <c r="L37" i="39" s="1"/>
  <c r="K36" i="40"/>
  <c r="K37" i="39" s="1"/>
  <c r="J36" i="40"/>
  <c r="J37" i="39" s="1"/>
  <c r="I36" i="40"/>
  <c r="I37" i="39" s="1"/>
  <c r="H36" i="40"/>
  <c r="H37" i="39" s="1"/>
  <c r="G36" i="40"/>
  <c r="G37" i="39" s="1"/>
  <c r="F36" i="40"/>
  <c r="F37" i="39" s="1"/>
  <c r="E36" i="40"/>
  <c r="E37" i="39" s="1"/>
  <c r="D36" i="40"/>
  <c r="C36" i="40"/>
  <c r="B36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40" i="33" s="1"/>
  <c r="E38" i="33"/>
  <c r="E40" i="33" s="1"/>
  <c r="D40" i="33"/>
  <c r="C40" i="33"/>
  <c r="B40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D36" i="33"/>
  <c r="C36" i="33"/>
  <c r="B36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40" i="32"/>
  <c r="P40" i="32"/>
  <c r="O40" i="32"/>
  <c r="N40" i="32"/>
  <c r="M40" i="32"/>
  <c r="L40" i="32"/>
  <c r="K40" i="32"/>
  <c r="J40" i="32"/>
  <c r="I40" i="32"/>
  <c r="H40" i="32"/>
  <c r="G40" i="32"/>
  <c r="F40" i="32"/>
  <c r="E39" i="32"/>
  <c r="D39" i="32"/>
  <c r="C40" i="32"/>
  <c r="B40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G39" i="29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40" i="29" s="1"/>
  <c r="J38" i="29"/>
  <c r="J40" i="29" s="1"/>
  <c r="I38" i="29"/>
  <c r="I40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40" i="28" s="1"/>
  <c r="J38" i="28"/>
  <c r="J40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I40" i="27"/>
  <c r="I39" i="27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39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J40" i="25"/>
  <c r="Q38" i="25"/>
  <c r="Q40" i="25" s="1"/>
  <c r="P38" i="25"/>
  <c r="P40" i="25" s="1"/>
  <c r="O38" i="25"/>
  <c r="O40" i="25" s="1"/>
  <c r="N38" i="25"/>
  <c r="N40" i="25" s="1"/>
  <c r="M38" i="25"/>
  <c r="M40" i="25" s="1"/>
  <c r="L38" i="25"/>
  <c r="L40" i="25" s="1"/>
  <c r="K38" i="25"/>
  <c r="K40" i="25" s="1"/>
  <c r="J38" i="25"/>
  <c r="J39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K39" i="24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40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40" i="23"/>
  <c r="G40" i="23"/>
  <c r="F38" i="23"/>
  <c r="F40" i="23" s="1"/>
  <c r="E40" i="23"/>
  <c r="D40" i="23"/>
  <c r="C40" i="23"/>
  <c r="B40" i="23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L40" i="22"/>
  <c r="Q38" i="22"/>
  <c r="Q40" i="22" s="1"/>
  <c r="P38" i="22"/>
  <c r="P40" i="22" s="1"/>
  <c r="O38" i="22"/>
  <c r="O40" i="22" s="1"/>
  <c r="N38" i="22"/>
  <c r="N40" i="22" s="1"/>
  <c r="M38" i="22"/>
  <c r="M40" i="22" s="1"/>
  <c r="L38" i="22"/>
  <c r="L39" i="22" s="1"/>
  <c r="K38" i="22"/>
  <c r="K39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Q38" i="21"/>
  <c r="Q40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39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40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J39" i="20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B36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J40" i="19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39" i="19" s="1"/>
  <c r="I38" i="19"/>
  <c r="I40" i="19" s="1"/>
  <c r="H38" i="19"/>
  <c r="H40" i="19" s="1"/>
  <c r="G38" i="19"/>
  <c r="G40" i="19" s="1"/>
  <c r="F38" i="19"/>
  <c r="F40" i="19" s="1"/>
  <c r="E38" i="19"/>
  <c r="E40" i="19" s="1"/>
  <c r="D38" i="19"/>
  <c r="D40" i="19" s="1"/>
  <c r="C38" i="19"/>
  <c r="C40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40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40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E36" i="17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K39" i="16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39" i="16" s="1"/>
  <c r="I38" i="16"/>
  <c r="I40" i="16" s="1"/>
  <c r="H38" i="16"/>
  <c r="H40" i="16" s="1"/>
  <c r="G38" i="16"/>
  <c r="G40" i="16" s="1"/>
  <c r="F38" i="16"/>
  <c r="F40" i="16" s="1"/>
  <c r="E38" i="16"/>
  <c r="E40" i="16" s="1"/>
  <c r="D38" i="16"/>
  <c r="D40" i="16" s="1"/>
  <c r="C38" i="16"/>
  <c r="C40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39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39" i="14" s="1"/>
  <c r="I38" i="14"/>
  <c r="I39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40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39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39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O36" i="12"/>
  <c r="N36" i="12"/>
  <c r="M36" i="12"/>
  <c r="M15" i="39" s="1"/>
  <c r="L36" i="12"/>
  <c r="L15" i="39" s="1"/>
  <c r="K36" i="12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40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39" i="11" s="1"/>
  <c r="G38" i="11"/>
  <c r="G40" i="11" s="1"/>
  <c r="F38" i="11"/>
  <c r="F40" i="11" s="1"/>
  <c r="E38" i="11"/>
  <c r="E40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I39" i="10"/>
  <c r="Q38" i="10"/>
  <c r="Q40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39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L36" i="10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40" i="9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40" i="9"/>
  <c r="G40" i="9"/>
  <c r="F38" i="9"/>
  <c r="F40" i="9" s="1"/>
  <c r="E40" i="9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J39" i="8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40" i="8" s="1"/>
  <c r="H38" i="8"/>
  <c r="H40" i="8" s="1"/>
  <c r="G38" i="8"/>
  <c r="G40" i="8" s="1"/>
  <c r="F38" i="8"/>
  <c r="F40" i="8" s="1"/>
  <c r="E38" i="8"/>
  <c r="E40" i="8" s="1"/>
  <c r="D38" i="8"/>
  <c r="D40" i="8" s="1"/>
  <c r="C38" i="8"/>
  <c r="C40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40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40" i="3" s="1"/>
  <c r="I38" i="3"/>
  <c r="I40" i="3" s="1"/>
  <c r="H38" i="3"/>
  <c r="H40" i="3" s="1"/>
  <c r="G38" i="3"/>
  <c r="G40" i="3" s="1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40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P39" i="41" l="1"/>
  <c r="Q39" i="41"/>
  <c r="B39" i="41"/>
  <c r="O40" i="41"/>
  <c r="C39" i="41"/>
  <c r="D39" i="41"/>
  <c r="E39" i="41"/>
  <c r="F39" i="41"/>
  <c r="G39" i="41"/>
  <c r="H39" i="41"/>
  <c r="I39" i="41"/>
  <c r="J39" i="41"/>
  <c r="K39" i="41"/>
  <c r="L39" i="41"/>
  <c r="M39" i="41"/>
  <c r="N39" i="41"/>
  <c r="B39" i="40"/>
  <c r="C39" i="40"/>
  <c r="D39" i="40"/>
  <c r="E39" i="40"/>
  <c r="F39" i="40"/>
  <c r="G39" i="40"/>
  <c r="H39" i="40"/>
  <c r="I39" i="40"/>
  <c r="J39" i="40"/>
  <c r="K39" i="40"/>
  <c r="L39" i="40"/>
  <c r="Q39" i="40"/>
  <c r="M39" i="40"/>
  <c r="N39" i="40"/>
  <c r="O39" i="40"/>
  <c r="P39" i="40"/>
  <c r="C39" i="33"/>
  <c r="D39" i="33"/>
  <c r="E39" i="33"/>
  <c r="F39" i="33"/>
  <c r="G39" i="33"/>
  <c r="H39" i="33"/>
  <c r="I39" i="33"/>
  <c r="J39" i="33"/>
  <c r="K39" i="33"/>
  <c r="L39" i="33"/>
  <c r="M39" i="33"/>
  <c r="N39" i="33"/>
  <c r="O39" i="33"/>
  <c r="B39" i="33"/>
  <c r="P39" i="33"/>
  <c r="Q39" i="33"/>
  <c r="F39" i="32"/>
  <c r="D40" i="32"/>
  <c r="G39" i="32"/>
  <c r="H39" i="32"/>
  <c r="I39" i="32"/>
  <c r="J39" i="32"/>
  <c r="K39" i="32"/>
  <c r="L39" i="32"/>
  <c r="M39" i="32"/>
  <c r="N39" i="32"/>
  <c r="O39" i="32"/>
  <c r="E40" i="32"/>
  <c r="P39" i="32"/>
  <c r="Q39" i="32"/>
  <c r="B39" i="32"/>
  <c r="C39" i="32"/>
  <c r="F39" i="31"/>
  <c r="G39" i="31"/>
  <c r="H39" i="31"/>
  <c r="I39" i="31"/>
  <c r="J39" i="31"/>
  <c r="K39" i="31"/>
  <c r="L39" i="31"/>
  <c r="E39" i="31"/>
  <c r="M39" i="31"/>
  <c r="N39" i="31"/>
  <c r="O39" i="31"/>
  <c r="P39" i="31"/>
  <c r="Q39" i="31"/>
  <c r="B39" i="31"/>
  <c r="C39" i="31"/>
  <c r="D39" i="31"/>
  <c r="G39" i="30"/>
  <c r="H39" i="30"/>
  <c r="I39" i="30"/>
  <c r="J39" i="30"/>
  <c r="K39" i="30"/>
  <c r="L39" i="30"/>
  <c r="F39" i="30"/>
  <c r="M39" i="30"/>
  <c r="N39" i="30"/>
  <c r="O39" i="30"/>
  <c r="P39" i="30"/>
  <c r="Q39" i="30"/>
  <c r="B39" i="30"/>
  <c r="C39" i="30"/>
  <c r="D39" i="30"/>
  <c r="E39" i="30"/>
  <c r="H39" i="29"/>
  <c r="I39" i="29"/>
  <c r="J39" i="29"/>
  <c r="K39" i="29"/>
  <c r="L39" i="29"/>
  <c r="M39" i="29"/>
  <c r="N39" i="29"/>
  <c r="O39" i="29"/>
  <c r="P39" i="29"/>
  <c r="Q39" i="29"/>
  <c r="B39" i="29"/>
  <c r="C39" i="29"/>
  <c r="D39" i="29"/>
  <c r="E39" i="29"/>
  <c r="F39" i="29"/>
  <c r="I39" i="28"/>
  <c r="J39" i="28"/>
  <c r="K39" i="28"/>
  <c r="L39" i="28"/>
  <c r="M39" i="28"/>
  <c r="N39" i="28"/>
  <c r="O39" i="28"/>
  <c r="P39" i="28"/>
  <c r="Q39" i="28"/>
  <c r="B39" i="28"/>
  <c r="H39" i="28"/>
  <c r="C39" i="28"/>
  <c r="D39" i="28"/>
  <c r="E39" i="28"/>
  <c r="F39" i="28"/>
  <c r="G39" i="28"/>
  <c r="J39" i="27"/>
  <c r="K39" i="27"/>
  <c r="L39" i="27"/>
  <c r="M39" i="27"/>
  <c r="N39" i="27"/>
  <c r="O39" i="27"/>
  <c r="P39" i="27"/>
  <c r="Q39" i="27"/>
  <c r="B39" i="27"/>
  <c r="C39" i="27"/>
  <c r="D39" i="27"/>
  <c r="E39" i="27"/>
  <c r="F39" i="27"/>
  <c r="G39" i="27"/>
  <c r="H39" i="27"/>
  <c r="K39" i="26"/>
  <c r="L39" i="26"/>
  <c r="M39" i="26"/>
  <c r="N39" i="26"/>
  <c r="O39" i="26"/>
  <c r="P39" i="26"/>
  <c r="Q39" i="26"/>
  <c r="B39" i="26"/>
  <c r="J40" i="26"/>
  <c r="C39" i="26"/>
  <c r="D39" i="26"/>
  <c r="I39" i="26"/>
  <c r="E39" i="26"/>
  <c r="F39" i="26"/>
  <c r="G39" i="26"/>
  <c r="H39" i="26"/>
  <c r="K39" i="25"/>
  <c r="L39" i="25"/>
  <c r="M39" i="25"/>
  <c r="N39" i="25"/>
  <c r="O39" i="25"/>
  <c r="P39" i="25"/>
  <c r="Q39" i="25"/>
  <c r="B39" i="25"/>
  <c r="C39" i="25"/>
  <c r="D39" i="25"/>
  <c r="E39" i="25"/>
  <c r="F39" i="25"/>
  <c r="G39" i="25"/>
  <c r="H39" i="25"/>
  <c r="I39" i="25"/>
  <c r="L39" i="24"/>
  <c r="M39" i="24"/>
  <c r="N39" i="24"/>
  <c r="O39" i="24"/>
  <c r="P39" i="24"/>
  <c r="Q39" i="24"/>
  <c r="B39" i="24"/>
  <c r="C39" i="24"/>
  <c r="D39" i="24"/>
  <c r="E39" i="24"/>
  <c r="F39" i="24"/>
  <c r="G39" i="24"/>
  <c r="H39" i="24"/>
  <c r="I39" i="24"/>
  <c r="J39" i="24"/>
  <c r="M39" i="23"/>
  <c r="N39" i="23"/>
  <c r="O39" i="23"/>
  <c r="P39" i="23"/>
  <c r="Q39" i="23"/>
  <c r="B39" i="23"/>
  <c r="L39" i="23"/>
  <c r="C39" i="23"/>
  <c r="D39" i="23"/>
  <c r="E39" i="23"/>
  <c r="F39" i="23"/>
  <c r="G39" i="23"/>
  <c r="H39" i="23"/>
  <c r="I39" i="23"/>
  <c r="J39" i="23"/>
  <c r="K39" i="23"/>
  <c r="M39" i="22"/>
  <c r="N39" i="22"/>
  <c r="O39" i="22"/>
  <c r="P39" i="22"/>
  <c r="Q39" i="22"/>
  <c r="B39" i="22"/>
  <c r="C39" i="22"/>
  <c r="D39" i="22"/>
  <c r="E39" i="22"/>
  <c r="F39" i="22"/>
  <c r="K40" i="22"/>
  <c r="G39" i="22"/>
  <c r="H39" i="22"/>
  <c r="I39" i="22"/>
  <c r="J39" i="22"/>
  <c r="L39" i="21"/>
  <c r="M39" i="21"/>
  <c r="N39" i="21"/>
  <c r="K40" i="21"/>
  <c r="O39" i="21"/>
  <c r="P39" i="21"/>
  <c r="Q39" i="21"/>
  <c r="B39" i="21"/>
  <c r="C39" i="21"/>
  <c r="D39" i="21"/>
  <c r="E39" i="21"/>
  <c r="F39" i="21"/>
  <c r="G39" i="21"/>
  <c r="H39" i="21"/>
  <c r="I39" i="21"/>
  <c r="J39" i="21"/>
  <c r="L39" i="20"/>
  <c r="K39" i="20"/>
  <c r="M39" i="20"/>
  <c r="N39" i="20"/>
  <c r="O39" i="20"/>
  <c r="P39" i="20"/>
  <c r="Q39" i="20"/>
  <c r="B39" i="20"/>
  <c r="C39" i="20"/>
  <c r="D39" i="20"/>
  <c r="E39" i="20"/>
  <c r="F39" i="20"/>
  <c r="G39" i="20"/>
  <c r="H39" i="20"/>
  <c r="I39" i="20"/>
  <c r="K39" i="19"/>
  <c r="L39" i="19"/>
  <c r="M39" i="19"/>
  <c r="N39" i="19"/>
  <c r="O39" i="19"/>
  <c r="P39" i="19"/>
  <c r="Q39" i="19"/>
  <c r="B39" i="19"/>
  <c r="C39" i="19"/>
  <c r="D39" i="19"/>
  <c r="E39" i="19"/>
  <c r="F39" i="19"/>
  <c r="G39" i="19"/>
  <c r="H39" i="19"/>
  <c r="I39" i="19"/>
  <c r="K39" i="18"/>
  <c r="L39" i="18"/>
  <c r="M39" i="18"/>
  <c r="J39" i="18"/>
  <c r="N39" i="18"/>
  <c r="O39" i="18"/>
  <c r="P39" i="18"/>
  <c r="Q39" i="18"/>
  <c r="B39" i="18"/>
  <c r="C39" i="18"/>
  <c r="D39" i="18"/>
  <c r="E39" i="18"/>
  <c r="F39" i="18"/>
  <c r="G39" i="18"/>
  <c r="H39" i="18"/>
  <c r="I39" i="18"/>
  <c r="L39" i="17"/>
  <c r="M39" i="17"/>
  <c r="N39" i="17"/>
  <c r="J39" i="17"/>
  <c r="O39" i="17"/>
  <c r="P39" i="17"/>
  <c r="Q39" i="17"/>
  <c r="B39" i="17"/>
  <c r="C39" i="17"/>
  <c r="D39" i="17"/>
  <c r="E39" i="17"/>
  <c r="K39" i="17"/>
  <c r="F39" i="17"/>
  <c r="G39" i="17"/>
  <c r="H39" i="17"/>
  <c r="I39" i="17"/>
  <c r="L39" i="16"/>
  <c r="M39" i="16"/>
  <c r="N39" i="16"/>
  <c r="O39" i="16"/>
  <c r="P39" i="16"/>
  <c r="Q39" i="16"/>
  <c r="J40" i="16"/>
  <c r="B39" i="16"/>
  <c r="C39" i="16"/>
  <c r="D39" i="16"/>
  <c r="E39" i="16"/>
  <c r="F39" i="16"/>
  <c r="G39" i="16"/>
  <c r="H39" i="16"/>
  <c r="I39" i="16"/>
  <c r="L39" i="15"/>
  <c r="M39" i="15"/>
  <c r="N39" i="15"/>
  <c r="O39" i="15"/>
  <c r="P39" i="15"/>
  <c r="Q39" i="15"/>
  <c r="B39" i="15"/>
  <c r="C39" i="15"/>
  <c r="D39" i="15"/>
  <c r="E39" i="15"/>
  <c r="K40" i="15"/>
  <c r="F39" i="15"/>
  <c r="G39" i="15"/>
  <c r="H39" i="15"/>
  <c r="I39" i="15"/>
  <c r="J39" i="15"/>
  <c r="K39" i="14"/>
  <c r="L39" i="14"/>
  <c r="J40" i="14"/>
  <c r="M39" i="14"/>
  <c r="I40" i="14"/>
  <c r="N39" i="14"/>
  <c r="O39" i="14"/>
  <c r="P39" i="14"/>
  <c r="Q39" i="14"/>
  <c r="B39" i="14"/>
  <c r="C39" i="14"/>
  <c r="D39" i="14"/>
  <c r="E39" i="14"/>
  <c r="F39" i="14"/>
  <c r="G39" i="14"/>
  <c r="H39" i="14"/>
  <c r="K39" i="13"/>
  <c r="L39" i="13"/>
  <c r="M39" i="13"/>
  <c r="N39" i="13"/>
  <c r="J40" i="13"/>
  <c r="O39" i="13"/>
  <c r="P39" i="13"/>
  <c r="Q39" i="13"/>
  <c r="B39" i="13"/>
  <c r="C39" i="13"/>
  <c r="D39" i="13"/>
  <c r="E39" i="13"/>
  <c r="F39" i="13"/>
  <c r="G39" i="13"/>
  <c r="H39" i="13"/>
  <c r="I39" i="13"/>
  <c r="I39" i="12"/>
  <c r="J39" i="12"/>
  <c r="K39" i="12"/>
  <c r="L39" i="12"/>
  <c r="M39" i="12"/>
  <c r="N39" i="12"/>
  <c r="O39" i="12"/>
  <c r="P39" i="12"/>
  <c r="Q39" i="12"/>
  <c r="G39" i="12"/>
  <c r="H40" i="12"/>
  <c r="B39" i="12"/>
  <c r="C39" i="12"/>
  <c r="D39" i="12"/>
  <c r="E39" i="12"/>
  <c r="F39" i="12"/>
  <c r="I39" i="11"/>
  <c r="H40" i="11"/>
  <c r="J39" i="11"/>
  <c r="K39" i="11"/>
  <c r="L39" i="11"/>
  <c r="M39" i="11"/>
  <c r="N39" i="11"/>
  <c r="O39" i="11"/>
  <c r="P39" i="11"/>
  <c r="Q39" i="11"/>
  <c r="B39" i="11"/>
  <c r="C39" i="11"/>
  <c r="D39" i="11"/>
  <c r="E39" i="11"/>
  <c r="F39" i="11"/>
  <c r="G39" i="11"/>
  <c r="J39" i="10"/>
  <c r="K39" i="10"/>
  <c r="L39" i="10"/>
  <c r="H40" i="10"/>
  <c r="M39" i="10"/>
  <c r="N39" i="10"/>
  <c r="O39" i="10"/>
  <c r="P39" i="10"/>
  <c r="Q39" i="10"/>
  <c r="B39" i="10"/>
  <c r="C39" i="10"/>
  <c r="D39" i="10"/>
  <c r="E39" i="10"/>
  <c r="F39" i="10"/>
  <c r="G39" i="10"/>
  <c r="J39" i="9"/>
  <c r="K39" i="9"/>
  <c r="L39" i="9"/>
  <c r="M39" i="9"/>
  <c r="N39" i="9"/>
  <c r="O39" i="9"/>
  <c r="P39" i="9"/>
  <c r="Q39" i="9"/>
  <c r="B39" i="9"/>
  <c r="C39" i="9"/>
  <c r="I39" i="9"/>
  <c r="D39" i="9"/>
  <c r="E39" i="9"/>
  <c r="F39" i="9"/>
  <c r="G39" i="9"/>
  <c r="H39" i="9"/>
  <c r="K39" i="8"/>
  <c r="L39" i="8"/>
  <c r="M39" i="8"/>
  <c r="N39" i="8"/>
  <c r="O39" i="8"/>
  <c r="P39" i="8"/>
  <c r="Q39" i="8"/>
  <c r="B39" i="8"/>
  <c r="C39" i="8"/>
  <c r="D39" i="8"/>
  <c r="E39" i="8"/>
  <c r="F39" i="8"/>
  <c r="G39" i="8"/>
  <c r="H39" i="8"/>
  <c r="I39" i="8"/>
  <c r="L39" i="3"/>
  <c r="M39" i="3"/>
  <c r="N39" i="3"/>
  <c r="O39" i="3"/>
  <c r="P39" i="3"/>
  <c r="Q39" i="3"/>
  <c r="B39" i="3"/>
  <c r="K40" i="3"/>
  <c r="C39" i="3"/>
  <c r="D39" i="3"/>
  <c r="E39" i="3"/>
  <c r="F39" i="3"/>
  <c r="G39" i="3"/>
  <c r="H39" i="3"/>
  <c r="I39" i="3"/>
  <c r="J39" i="3"/>
  <c r="M44" i="39"/>
  <c r="M43" i="39"/>
  <c r="M42" i="39"/>
  <c r="M41" i="39"/>
  <c r="N44" i="39"/>
  <c r="N43" i="39"/>
  <c r="N42" i="39"/>
  <c r="N41" i="39"/>
  <c r="O44" i="39"/>
  <c r="O43" i="39"/>
  <c r="O42" i="39"/>
  <c r="O41" i="39"/>
  <c r="P44" i="39"/>
  <c r="P43" i="39"/>
  <c r="P42" i="39"/>
  <c r="P41" i="39"/>
  <c r="Q44" i="39"/>
  <c r="Q43" i="39"/>
  <c r="Q42" i="39"/>
  <c r="Q41" i="39"/>
  <c r="B44" i="39"/>
  <c r="B43" i="39"/>
  <c r="B42" i="39"/>
  <c r="B41" i="39"/>
  <c r="C44" i="39"/>
  <c r="C43" i="39"/>
  <c r="C42" i="39"/>
  <c r="C41" i="39"/>
  <c r="D44" i="39"/>
  <c r="D43" i="39"/>
  <c r="D42" i="39"/>
  <c r="D41" i="39"/>
  <c r="E44" i="39"/>
  <c r="E43" i="39"/>
  <c r="E42" i="39"/>
  <c r="E41" i="39"/>
  <c r="F44" i="39"/>
  <c r="F43" i="39"/>
  <c r="F42" i="39"/>
  <c r="F41" i="39"/>
  <c r="G44" i="39"/>
  <c r="G43" i="39"/>
  <c r="G42" i="39"/>
  <c r="G41" i="39"/>
  <c r="L44" i="39"/>
  <c r="L43" i="39"/>
  <c r="L42" i="39"/>
  <c r="L41" i="39"/>
  <c r="H44" i="39"/>
  <c r="H43" i="39"/>
  <c r="H42" i="39"/>
  <c r="H41" i="39"/>
  <c r="I44" i="39"/>
  <c r="I43" i="39"/>
  <c r="I42" i="39"/>
  <c r="I41" i="39"/>
  <c r="J44" i="39"/>
  <c r="J43" i="39"/>
  <c r="J42" i="39"/>
  <c r="J41" i="39"/>
  <c r="K44" i="39"/>
  <c r="K43" i="39"/>
  <c r="K42" i="39"/>
  <c r="K41" i="39"/>
  <c r="N39" i="2"/>
  <c r="O39" i="2"/>
  <c r="P39" i="2"/>
  <c r="Q39" i="2"/>
  <c r="B39" i="2"/>
  <c r="C39" i="2"/>
  <c r="D39" i="2"/>
  <c r="E39" i="2"/>
  <c r="F39" i="2"/>
  <c r="G39" i="2"/>
  <c r="H39" i="2"/>
  <c r="I39" i="2"/>
  <c r="J39" i="2"/>
  <c r="K39" i="2"/>
  <c r="L39" i="2"/>
  <c r="M39" i="2"/>
  <c r="P47" i="39" l="1"/>
  <c r="P46" i="39"/>
  <c r="C47" i="39"/>
  <c r="C46" i="39"/>
  <c r="F47" i="39"/>
  <c r="F46" i="39"/>
  <c r="H47" i="39"/>
  <c r="H46" i="39"/>
  <c r="K47" i="39"/>
  <c r="K46" i="39"/>
  <c r="O47" i="39"/>
  <c r="O46" i="39"/>
  <c r="E47" i="39"/>
  <c r="E46" i="39"/>
  <c r="B47" i="39"/>
  <c r="B46" i="39"/>
  <c r="L47" i="39"/>
  <c r="L46" i="39"/>
  <c r="J47" i="39"/>
  <c r="J46" i="39"/>
  <c r="N47" i="39"/>
  <c r="N46" i="39"/>
  <c r="Q47" i="39"/>
  <c r="Q46" i="39"/>
  <c r="D47" i="39"/>
  <c r="D46" i="39"/>
  <c r="G47" i="39"/>
  <c r="G46" i="39"/>
  <c r="I47" i="39"/>
  <c r="I46" i="39"/>
  <c r="M47" i="39"/>
  <c r="M46" i="39"/>
</calcChain>
</file>

<file path=xl/sharedStrings.xml><?xml version="1.0" encoding="utf-8"?>
<sst xmlns="http://schemas.openxmlformats.org/spreadsheetml/2006/main" count="3147" uniqueCount="804">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</sst>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  <xf numFmtId="0" fontId="7" fillId="2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4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U32" sqref="A9:U32"/>
      <selection pane="topRight" activeCell="U32" sqref="A9:U32"/>
      <selection pane="bottomLeft" activeCell="U32" sqref="A9:U32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60</v>
      </c>
      <c r="B9" s="51">
        <v>162.56</v>
      </c>
      <c r="C9" s="51">
        <v>108.77</v>
      </c>
      <c r="D9" s="51">
        <v>185.81</v>
      </c>
      <c r="E9" s="51">
        <v>7.34</v>
      </c>
      <c r="F9" s="51">
        <v>7.93</v>
      </c>
      <c r="G9" s="51">
        <v>195.05</v>
      </c>
      <c r="H9" s="51">
        <v>38.4</v>
      </c>
      <c r="I9" s="51">
        <v>4.07</v>
      </c>
      <c r="J9" s="51">
        <v>0.63</v>
      </c>
      <c r="K9" s="51">
        <v>338.95</v>
      </c>
      <c r="L9" s="51">
        <v>18.440000000000001</v>
      </c>
      <c r="M9" s="51">
        <v>66.069999999999993</v>
      </c>
      <c r="N9" s="51">
        <v>65.400000000000006</v>
      </c>
      <c r="O9" s="51">
        <v>0</v>
      </c>
      <c r="P9" s="51">
        <v>2.34</v>
      </c>
      <c r="Q9" s="51">
        <v>10.19</v>
      </c>
      <c r="R9" s="43"/>
      <c r="S9" s="43"/>
      <c r="T9" s="43"/>
      <c r="U9" s="43"/>
    </row>
    <row r="10" spans="1:21" s="11" customFormat="1" x14ac:dyDescent="0.25">
      <c r="A10" s="50" t="s">
        <v>61</v>
      </c>
      <c r="B10" s="51">
        <v>118.31</v>
      </c>
      <c r="C10" s="51">
        <v>94.6</v>
      </c>
      <c r="D10" s="51">
        <v>141.28</v>
      </c>
      <c r="E10" s="51">
        <v>7.03</v>
      </c>
      <c r="F10" s="51">
        <v>9.0500000000000007</v>
      </c>
      <c r="G10" s="51">
        <v>160.54</v>
      </c>
      <c r="H10" s="51">
        <v>52.12</v>
      </c>
      <c r="I10" s="51">
        <v>4.1500000000000004</v>
      </c>
      <c r="J10" s="51">
        <v>0.32</v>
      </c>
      <c r="K10" s="51">
        <v>329.68</v>
      </c>
      <c r="L10" s="51">
        <v>17.850000000000001</v>
      </c>
      <c r="M10" s="51">
        <v>69.02</v>
      </c>
      <c r="N10" s="51">
        <v>65.3</v>
      </c>
      <c r="O10" s="51">
        <v>0</v>
      </c>
      <c r="P10" s="51">
        <v>1.78</v>
      </c>
      <c r="Q10" s="51">
        <v>10.14</v>
      </c>
      <c r="R10" s="43"/>
      <c r="S10" s="43"/>
      <c r="T10" s="43"/>
      <c r="U10" s="43"/>
    </row>
    <row r="11" spans="1:21" s="11" customFormat="1" x14ac:dyDescent="0.25">
      <c r="A11" s="50" t="s">
        <v>62</v>
      </c>
      <c r="B11" s="51">
        <v>111.47</v>
      </c>
      <c r="C11" s="51">
        <v>81.66</v>
      </c>
      <c r="D11" s="51">
        <v>130.59</v>
      </c>
      <c r="E11" s="51">
        <v>6.56</v>
      </c>
      <c r="F11" s="51">
        <v>9.4700000000000006</v>
      </c>
      <c r="G11" s="51">
        <v>129.72</v>
      </c>
      <c r="H11" s="51">
        <v>36.880000000000003</v>
      </c>
      <c r="I11" s="51">
        <v>4.0999999999999996</v>
      </c>
      <c r="J11" s="51">
        <v>0.71</v>
      </c>
      <c r="K11" s="51">
        <v>318.81</v>
      </c>
      <c r="L11" s="51">
        <v>17.09</v>
      </c>
      <c r="M11" s="51">
        <v>68.349999999999994</v>
      </c>
      <c r="N11" s="51">
        <v>65.3</v>
      </c>
      <c r="O11" s="51">
        <v>0</v>
      </c>
      <c r="P11" s="51">
        <v>1.66</v>
      </c>
      <c r="Q11" s="51">
        <v>10.1</v>
      </c>
      <c r="R11" s="43"/>
      <c r="S11" s="43"/>
      <c r="T11" s="43"/>
      <c r="U11" s="43"/>
    </row>
    <row r="12" spans="1:21" s="11" customFormat="1" x14ac:dyDescent="0.25">
      <c r="A12" s="50" t="s">
        <v>63</v>
      </c>
      <c r="B12" s="51">
        <v>100.48</v>
      </c>
      <c r="C12" s="51">
        <v>78.44</v>
      </c>
      <c r="D12" s="51">
        <v>120.18</v>
      </c>
      <c r="E12" s="51">
        <v>6.47</v>
      </c>
      <c r="F12" s="51">
        <v>7.21</v>
      </c>
      <c r="G12" s="51">
        <v>87.44</v>
      </c>
      <c r="H12" s="51">
        <v>9.74</v>
      </c>
      <c r="I12" s="51">
        <v>4.03</v>
      </c>
      <c r="J12" s="51">
        <v>0.64</v>
      </c>
      <c r="K12" s="51">
        <v>316.5</v>
      </c>
      <c r="L12" s="51">
        <v>17.079999999999998</v>
      </c>
      <c r="M12" s="51">
        <v>66.03</v>
      </c>
      <c r="N12" s="51">
        <v>65.400000000000006</v>
      </c>
      <c r="O12" s="51">
        <v>0</v>
      </c>
      <c r="P12" s="51">
        <v>1.55</v>
      </c>
      <c r="Q12" s="51">
        <v>9.9600000000000009</v>
      </c>
      <c r="R12" s="43"/>
      <c r="S12" s="43"/>
      <c r="T12" s="43"/>
      <c r="U12" s="43"/>
    </row>
    <row r="13" spans="1:21" s="11" customFormat="1" x14ac:dyDescent="0.25">
      <c r="A13" s="50" t="s">
        <v>64</v>
      </c>
      <c r="B13" s="51">
        <v>87.68</v>
      </c>
      <c r="C13" s="51">
        <v>77.900000000000006</v>
      </c>
      <c r="D13" s="51">
        <v>109</v>
      </c>
      <c r="E13" s="51">
        <v>5.7</v>
      </c>
      <c r="F13" s="51">
        <v>7.01</v>
      </c>
      <c r="G13" s="51">
        <v>79.16</v>
      </c>
      <c r="H13" s="51">
        <v>22.82</v>
      </c>
      <c r="I13" s="51">
        <v>4.1100000000000003</v>
      </c>
      <c r="J13" s="51">
        <v>0.55000000000000004</v>
      </c>
      <c r="K13" s="51">
        <v>320.25</v>
      </c>
      <c r="L13" s="51">
        <v>17.41</v>
      </c>
      <c r="M13" s="51">
        <v>70.03</v>
      </c>
      <c r="N13" s="51">
        <v>65.7</v>
      </c>
      <c r="O13" s="51">
        <v>0</v>
      </c>
      <c r="P13" s="51">
        <v>1.32</v>
      </c>
      <c r="Q13" s="51">
        <v>9.86</v>
      </c>
      <c r="R13" s="43"/>
      <c r="S13" s="43"/>
      <c r="T13" s="43"/>
      <c r="U13" s="43"/>
    </row>
    <row r="14" spans="1:21" s="11" customFormat="1" x14ac:dyDescent="0.25">
      <c r="A14" s="50" t="s">
        <v>65</v>
      </c>
      <c r="B14" s="51">
        <v>99.91</v>
      </c>
      <c r="C14" s="51">
        <v>80.64</v>
      </c>
      <c r="D14" s="51">
        <v>120.87</v>
      </c>
      <c r="E14" s="51">
        <v>5.88</v>
      </c>
      <c r="F14" s="51">
        <v>7.23</v>
      </c>
      <c r="G14" s="51">
        <v>106.25</v>
      </c>
      <c r="H14" s="51">
        <v>15.46</v>
      </c>
      <c r="I14" s="51">
        <v>4.21</v>
      </c>
      <c r="J14" s="51">
        <v>0.71</v>
      </c>
      <c r="K14" s="51">
        <v>308.25</v>
      </c>
      <c r="L14" s="51">
        <v>15.86</v>
      </c>
      <c r="M14" s="51">
        <v>77.48</v>
      </c>
      <c r="N14" s="51">
        <v>65.5</v>
      </c>
      <c r="O14" s="51">
        <v>0</v>
      </c>
      <c r="P14" s="51">
        <v>1.1000000000000001</v>
      </c>
      <c r="Q14" s="51">
        <v>9.76</v>
      </c>
      <c r="R14" s="43"/>
      <c r="S14" s="43"/>
      <c r="T14" s="43"/>
      <c r="U14" s="43"/>
    </row>
    <row r="15" spans="1:21" s="11" customFormat="1" x14ac:dyDescent="0.25">
      <c r="A15" s="50" t="s">
        <v>66</v>
      </c>
      <c r="B15" s="51">
        <v>102.48</v>
      </c>
      <c r="C15" s="51">
        <v>78.599999999999994</v>
      </c>
      <c r="D15" s="51">
        <v>121.87</v>
      </c>
      <c r="E15" s="51">
        <v>5.78</v>
      </c>
      <c r="F15" s="51">
        <v>9.16</v>
      </c>
      <c r="G15" s="51">
        <v>115.28</v>
      </c>
      <c r="H15" s="51">
        <v>99.58</v>
      </c>
      <c r="I15" s="51">
        <v>4</v>
      </c>
      <c r="J15" s="51">
        <v>0.76</v>
      </c>
      <c r="K15" s="51">
        <v>288.75</v>
      </c>
      <c r="L15" s="51">
        <v>17.260000000000002</v>
      </c>
      <c r="M15" s="51">
        <v>72.81</v>
      </c>
      <c r="N15" s="51">
        <v>109.4</v>
      </c>
      <c r="O15" s="51">
        <v>0</v>
      </c>
      <c r="P15" s="51">
        <v>1.08</v>
      </c>
      <c r="Q15" s="51">
        <v>9.77</v>
      </c>
      <c r="R15" s="43"/>
      <c r="S15" s="43"/>
      <c r="T15" s="43"/>
      <c r="U15" s="43"/>
    </row>
    <row r="16" spans="1:21" s="11" customFormat="1" x14ac:dyDescent="0.25">
      <c r="A16" s="50" t="s">
        <v>67</v>
      </c>
      <c r="B16" s="51">
        <v>93.44</v>
      </c>
      <c r="C16" s="51">
        <v>76.040000000000006</v>
      </c>
      <c r="D16" s="51">
        <v>111.65</v>
      </c>
      <c r="E16" s="51">
        <v>6.79</v>
      </c>
      <c r="F16" s="51">
        <v>7.9</v>
      </c>
      <c r="G16" s="51">
        <v>116.34</v>
      </c>
      <c r="H16" s="51">
        <v>63.07</v>
      </c>
      <c r="I16" s="51">
        <v>4.12</v>
      </c>
      <c r="J16" s="51">
        <v>1.55</v>
      </c>
      <c r="K16" s="51">
        <v>168.56</v>
      </c>
      <c r="L16" s="51">
        <v>20.71</v>
      </c>
      <c r="M16" s="51">
        <v>51.64</v>
      </c>
      <c r="N16" s="51">
        <v>313.89999999999998</v>
      </c>
      <c r="O16" s="51">
        <v>0</v>
      </c>
      <c r="P16" s="51">
        <v>1.1499999999999999</v>
      </c>
      <c r="Q16" s="51">
        <v>9.7799999999999994</v>
      </c>
      <c r="R16" s="43"/>
      <c r="S16" s="43"/>
      <c r="T16" s="43"/>
      <c r="U16" s="43"/>
    </row>
    <row r="17" spans="1:21" s="11" customFormat="1" x14ac:dyDescent="0.25">
      <c r="A17" s="50" t="s">
        <v>68</v>
      </c>
      <c r="B17" s="51">
        <v>71.23</v>
      </c>
      <c r="C17" s="51">
        <v>78.84</v>
      </c>
      <c r="D17" s="51">
        <v>96.65</v>
      </c>
      <c r="E17" s="51">
        <v>6.06</v>
      </c>
      <c r="F17" s="51">
        <v>6.92</v>
      </c>
      <c r="G17" s="51">
        <v>105.36</v>
      </c>
      <c r="H17" s="51">
        <v>53.89</v>
      </c>
      <c r="I17" s="51">
        <v>4.03</v>
      </c>
      <c r="J17" s="51">
        <v>1.27</v>
      </c>
      <c r="K17" s="51">
        <v>215.35</v>
      </c>
      <c r="L17" s="51">
        <v>22.45</v>
      </c>
      <c r="M17" s="51">
        <v>49.13</v>
      </c>
      <c r="N17" s="51">
        <v>518.29999999999995</v>
      </c>
      <c r="O17" s="51">
        <v>0</v>
      </c>
      <c r="P17" s="51">
        <v>1.06</v>
      </c>
      <c r="Q17" s="51">
        <v>9.73</v>
      </c>
      <c r="R17" s="43"/>
      <c r="S17" s="43"/>
      <c r="T17" s="43"/>
      <c r="U17" s="43"/>
    </row>
    <row r="18" spans="1:21" s="11" customFormat="1" x14ac:dyDescent="0.25">
      <c r="A18" s="50" t="s">
        <v>69</v>
      </c>
      <c r="B18" s="51">
        <v>41.42</v>
      </c>
      <c r="C18" s="51">
        <v>85.85</v>
      </c>
      <c r="D18" s="51">
        <v>72.75</v>
      </c>
      <c r="E18" s="51">
        <v>5.88</v>
      </c>
      <c r="F18" s="51">
        <v>8.52</v>
      </c>
      <c r="G18" s="51">
        <v>81.73</v>
      </c>
      <c r="H18" s="51">
        <v>43.04</v>
      </c>
      <c r="I18" s="51">
        <v>4.17</v>
      </c>
      <c r="J18" s="51">
        <v>1.17</v>
      </c>
      <c r="K18" s="51">
        <v>252.12</v>
      </c>
      <c r="L18" s="51">
        <v>26.66</v>
      </c>
      <c r="M18" s="51">
        <v>43.92</v>
      </c>
      <c r="N18" s="51">
        <v>693.4</v>
      </c>
      <c r="O18" s="51">
        <v>0</v>
      </c>
      <c r="P18" s="51">
        <v>0.92</v>
      </c>
      <c r="Q18" s="51">
        <v>9.65</v>
      </c>
      <c r="R18" s="43"/>
      <c r="S18" s="43"/>
      <c r="T18" s="43"/>
      <c r="U18" s="43"/>
    </row>
    <row r="19" spans="1:21" s="11" customFormat="1" x14ac:dyDescent="0.25">
      <c r="A19" s="50" t="s">
        <v>70</v>
      </c>
      <c r="B19" s="51">
        <v>11.22</v>
      </c>
      <c r="C19" s="51">
        <v>88.08</v>
      </c>
      <c r="D19" s="51">
        <v>53.64</v>
      </c>
      <c r="E19" s="51">
        <v>5.79</v>
      </c>
      <c r="F19" s="51">
        <v>12.81</v>
      </c>
      <c r="G19" s="51">
        <v>75.06</v>
      </c>
      <c r="H19" s="51">
        <v>23.63</v>
      </c>
      <c r="I19" s="51">
        <v>4.12</v>
      </c>
      <c r="J19" s="51">
        <v>0.86</v>
      </c>
      <c r="K19" s="51">
        <v>277.69</v>
      </c>
      <c r="L19" s="51">
        <v>29.56</v>
      </c>
      <c r="M19" s="51">
        <v>36.46</v>
      </c>
      <c r="N19" s="51">
        <v>807.4</v>
      </c>
      <c r="O19" s="51">
        <v>0</v>
      </c>
      <c r="P19" s="51">
        <v>0.75</v>
      </c>
      <c r="Q19" s="51">
        <v>9.5299999999999994</v>
      </c>
      <c r="R19" s="43"/>
      <c r="S19" s="43"/>
      <c r="T19" s="43"/>
      <c r="U19" s="43"/>
    </row>
    <row r="20" spans="1:21" s="11" customFormat="1" x14ac:dyDescent="0.25">
      <c r="A20" s="50" t="s">
        <v>71</v>
      </c>
      <c r="B20" s="51">
        <v>4.38</v>
      </c>
      <c r="C20" s="51">
        <v>78.319999999999993</v>
      </c>
      <c r="D20" s="51">
        <v>43.06</v>
      </c>
      <c r="E20" s="51">
        <v>6.12</v>
      </c>
      <c r="F20" s="51">
        <v>11.75</v>
      </c>
      <c r="G20" s="51">
        <v>75.83</v>
      </c>
      <c r="H20" s="51">
        <v>38.56</v>
      </c>
      <c r="I20" s="51">
        <v>4.0199999999999996</v>
      </c>
      <c r="J20" s="51">
        <v>1.38</v>
      </c>
      <c r="K20" s="51">
        <v>293.35000000000002</v>
      </c>
      <c r="L20" s="51">
        <v>31.84</v>
      </c>
      <c r="M20" s="51">
        <v>33.64</v>
      </c>
      <c r="N20" s="51">
        <v>815.6</v>
      </c>
      <c r="O20" s="51">
        <v>0</v>
      </c>
      <c r="P20" s="51">
        <v>0.66</v>
      </c>
      <c r="Q20" s="51">
        <v>9.48</v>
      </c>
      <c r="R20" s="43"/>
      <c r="S20" s="43"/>
      <c r="T20" s="43"/>
      <c r="U20" s="43"/>
    </row>
    <row r="21" spans="1:21" s="11" customFormat="1" x14ac:dyDescent="0.25">
      <c r="A21" s="50" t="s">
        <v>72</v>
      </c>
      <c r="B21" s="51">
        <v>5.75</v>
      </c>
      <c r="C21" s="51">
        <v>68.34</v>
      </c>
      <c r="D21" s="51">
        <v>38.9</v>
      </c>
      <c r="E21" s="51">
        <v>6.71</v>
      </c>
      <c r="F21" s="51">
        <v>15.15</v>
      </c>
      <c r="G21" s="51">
        <v>71.290000000000006</v>
      </c>
      <c r="H21" s="51">
        <v>31.3</v>
      </c>
      <c r="I21" s="51">
        <v>4.08</v>
      </c>
      <c r="J21" s="51">
        <v>1.1499999999999999</v>
      </c>
      <c r="K21" s="51">
        <v>289.62</v>
      </c>
      <c r="L21" s="51">
        <v>32.42</v>
      </c>
      <c r="M21" s="51">
        <v>30.78</v>
      </c>
      <c r="N21" s="51">
        <v>770.1</v>
      </c>
      <c r="O21" s="51">
        <v>0</v>
      </c>
      <c r="P21" s="51">
        <v>0.6</v>
      </c>
      <c r="Q21" s="51">
        <v>9.48</v>
      </c>
      <c r="R21" s="43"/>
      <c r="S21" s="43"/>
      <c r="T21" s="43"/>
      <c r="U21" s="43"/>
    </row>
    <row r="22" spans="1:21" s="11" customFormat="1" x14ac:dyDescent="0.25">
      <c r="A22" s="50" t="s">
        <v>73</v>
      </c>
      <c r="B22" s="51">
        <v>5.82</v>
      </c>
      <c r="C22" s="51">
        <v>64.42</v>
      </c>
      <c r="D22" s="51">
        <v>36.22</v>
      </c>
      <c r="E22" s="51">
        <v>6.7</v>
      </c>
      <c r="F22" s="51">
        <v>17.2</v>
      </c>
      <c r="G22" s="51">
        <v>62.35</v>
      </c>
      <c r="H22" s="51">
        <v>31.82</v>
      </c>
      <c r="I22" s="51">
        <v>4.07</v>
      </c>
      <c r="J22" s="51">
        <v>0.83</v>
      </c>
      <c r="K22" s="51">
        <v>283.8</v>
      </c>
      <c r="L22" s="51">
        <v>31.93</v>
      </c>
      <c r="M22" s="51">
        <v>29.88</v>
      </c>
      <c r="N22" s="51">
        <v>750.4</v>
      </c>
      <c r="O22" s="51">
        <v>0</v>
      </c>
      <c r="P22" s="51">
        <v>0.61</v>
      </c>
      <c r="Q22" s="51">
        <v>9.44</v>
      </c>
      <c r="R22" s="43"/>
      <c r="S22" s="43"/>
      <c r="T22" s="43"/>
      <c r="U22" s="43"/>
    </row>
    <row r="23" spans="1:21" s="11" customFormat="1" x14ac:dyDescent="0.25">
      <c r="A23" s="50" t="s">
        <v>74</v>
      </c>
      <c r="B23" s="51">
        <v>5.7</v>
      </c>
      <c r="C23" s="51">
        <v>62.04</v>
      </c>
      <c r="D23" s="51">
        <v>35.61</v>
      </c>
      <c r="E23" s="51">
        <v>7.17</v>
      </c>
      <c r="F23" s="51">
        <v>22.46</v>
      </c>
      <c r="G23" s="51">
        <v>57.9</v>
      </c>
      <c r="H23" s="51">
        <v>29.62</v>
      </c>
      <c r="I23" s="51">
        <v>4</v>
      </c>
      <c r="J23" s="51">
        <v>1.65</v>
      </c>
      <c r="K23" s="51">
        <v>313.95999999999998</v>
      </c>
      <c r="L23" s="51">
        <v>32.94</v>
      </c>
      <c r="M23" s="51">
        <v>28.16</v>
      </c>
      <c r="N23" s="51">
        <v>671.1</v>
      </c>
      <c r="O23" s="51">
        <v>0</v>
      </c>
      <c r="P23" s="51">
        <v>0.57999999999999996</v>
      </c>
      <c r="Q23" s="51">
        <v>9.3000000000000007</v>
      </c>
      <c r="R23" s="43"/>
      <c r="S23" s="43"/>
      <c r="T23" s="43"/>
      <c r="U23" s="43"/>
    </row>
    <row r="24" spans="1:21" s="11" customFormat="1" x14ac:dyDescent="0.25">
      <c r="A24" s="50" t="s">
        <v>75</v>
      </c>
      <c r="B24" s="51">
        <v>7.65</v>
      </c>
      <c r="C24" s="51">
        <v>60.98</v>
      </c>
      <c r="D24" s="51">
        <v>36.520000000000003</v>
      </c>
      <c r="E24" s="51">
        <v>7.64</v>
      </c>
      <c r="F24" s="51">
        <v>24.24</v>
      </c>
      <c r="G24" s="51">
        <v>57.83</v>
      </c>
      <c r="H24" s="51">
        <v>23.15</v>
      </c>
      <c r="I24" s="51">
        <v>4.1399999999999997</v>
      </c>
      <c r="J24" s="51">
        <v>1.1200000000000001</v>
      </c>
      <c r="K24" s="51">
        <v>302.98</v>
      </c>
      <c r="L24" s="51">
        <v>32.99</v>
      </c>
      <c r="M24" s="51">
        <v>25.05</v>
      </c>
      <c r="N24" s="51">
        <v>320.8</v>
      </c>
      <c r="O24" s="51">
        <v>0</v>
      </c>
      <c r="P24" s="51">
        <v>0.55000000000000004</v>
      </c>
      <c r="Q24" s="51">
        <v>9.26</v>
      </c>
      <c r="R24" s="43"/>
      <c r="S24" s="43"/>
      <c r="T24" s="43"/>
      <c r="U24" s="43"/>
    </row>
    <row r="25" spans="1:21" s="11" customFormat="1" x14ac:dyDescent="0.25">
      <c r="A25" s="50" t="s">
        <v>76</v>
      </c>
      <c r="B25" s="51">
        <v>6.73</v>
      </c>
      <c r="C25" s="51">
        <v>68.959999999999994</v>
      </c>
      <c r="D25" s="51">
        <v>40.049999999999997</v>
      </c>
      <c r="E25" s="51">
        <v>9.77</v>
      </c>
      <c r="F25" s="51">
        <v>27.32</v>
      </c>
      <c r="G25" s="51">
        <v>52</v>
      </c>
      <c r="H25" s="51">
        <v>15.93</v>
      </c>
      <c r="I25" s="51">
        <v>4.09</v>
      </c>
      <c r="J25" s="51">
        <v>0.76</v>
      </c>
      <c r="K25" s="51">
        <v>289.36</v>
      </c>
      <c r="L25" s="51">
        <v>30.27</v>
      </c>
      <c r="M25" s="51">
        <v>24.76</v>
      </c>
      <c r="N25" s="51">
        <v>181.5</v>
      </c>
      <c r="O25" s="51">
        <v>0</v>
      </c>
      <c r="P25" s="51">
        <v>0.63</v>
      </c>
      <c r="Q25" s="51">
        <v>9.2100000000000009</v>
      </c>
      <c r="R25" s="43"/>
      <c r="S25" s="43"/>
      <c r="T25" s="43"/>
      <c r="U25" s="43"/>
    </row>
    <row r="26" spans="1:21" s="11" customFormat="1" x14ac:dyDescent="0.25">
      <c r="A26" s="50" t="s">
        <v>77</v>
      </c>
      <c r="B26" s="51">
        <v>10.29</v>
      </c>
      <c r="C26" s="51">
        <v>91.81</v>
      </c>
      <c r="D26" s="51">
        <v>54.84</v>
      </c>
      <c r="E26" s="51">
        <v>10.81</v>
      </c>
      <c r="F26" s="51">
        <v>29.44</v>
      </c>
      <c r="G26" s="51">
        <v>52.54</v>
      </c>
      <c r="H26" s="51">
        <v>8.1199999999999992</v>
      </c>
      <c r="I26" s="51">
        <v>4.0999999999999996</v>
      </c>
      <c r="J26" s="51">
        <v>0.64</v>
      </c>
      <c r="K26" s="51">
        <v>315.64999999999998</v>
      </c>
      <c r="L26" s="51">
        <v>29.05</v>
      </c>
      <c r="M26" s="51">
        <v>26.05</v>
      </c>
      <c r="N26" s="51">
        <v>111.8</v>
      </c>
      <c r="O26" s="51">
        <v>0</v>
      </c>
      <c r="P26" s="51">
        <v>0.89</v>
      </c>
      <c r="Q26" s="51">
        <v>9.17</v>
      </c>
      <c r="R26" s="43"/>
      <c r="S26" s="43"/>
      <c r="T26" s="43"/>
      <c r="U26" s="43"/>
    </row>
    <row r="27" spans="1:21" s="11" customFormat="1" x14ac:dyDescent="0.25">
      <c r="A27" s="50" t="s">
        <v>78</v>
      </c>
      <c r="B27" s="51">
        <v>51.84</v>
      </c>
      <c r="C27" s="51">
        <v>142.41</v>
      </c>
      <c r="D27" s="51">
        <v>113.46</v>
      </c>
      <c r="E27" s="51">
        <v>11.03</v>
      </c>
      <c r="F27" s="51">
        <v>18.37</v>
      </c>
      <c r="G27" s="51">
        <v>53.74</v>
      </c>
      <c r="H27" s="51">
        <v>36.08</v>
      </c>
      <c r="I27" s="51">
        <v>4.2699999999999996</v>
      </c>
      <c r="J27" s="51">
        <v>0.49</v>
      </c>
      <c r="K27" s="51">
        <v>297.43</v>
      </c>
      <c r="L27" s="51">
        <v>26.31</v>
      </c>
      <c r="M27" s="51">
        <v>32.07</v>
      </c>
      <c r="N27" s="51">
        <v>69.599999999999994</v>
      </c>
      <c r="O27" s="51">
        <v>0</v>
      </c>
      <c r="P27" s="51">
        <v>1.55</v>
      </c>
      <c r="Q27" s="51">
        <v>9.41</v>
      </c>
      <c r="R27" s="43"/>
      <c r="S27" s="43"/>
      <c r="T27" s="43"/>
      <c r="U27" s="43"/>
    </row>
    <row r="28" spans="1:21" s="11" customFormat="1" x14ac:dyDescent="0.25">
      <c r="A28" s="50" t="s">
        <v>79</v>
      </c>
      <c r="B28" s="51">
        <v>73.23</v>
      </c>
      <c r="C28" s="51">
        <v>142.88999999999999</v>
      </c>
      <c r="D28" s="51">
        <v>132</v>
      </c>
      <c r="E28" s="51">
        <v>11.01</v>
      </c>
      <c r="F28" s="51">
        <v>15.97</v>
      </c>
      <c r="G28" s="51">
        <v>92.43</v>
      </c>
      <c r="H28" s="51">
        <v>35.47</v>
      </c>
      <c r="I28" s="51">
        <v>4.12</v>
      </c>
      <c r="J28" s="51">
        <v>0.54</v>
      </c>
      <c r="K28" s="51">
        <v>340.71</v>
      </c>
      <c r="L28" s="51">
        <v>24.76</v>
      </c>
      <c r="M28" s="51">
        <v>34.25</v>
      </c>
      <c r="N28" s="51">
        <v>67.8</v>
      </c>
      <c r="O28" s="51">
        <v>0</v>
      </c>
      <c r="P28" s="51">
        <v>1.81</v>
      </c>
      <c r="Q28" s="51">
        <v>9.4</v>
      </c>
      <c r="R28" s="43"/>
      <c r="S28" s="43"/>
      <c r="T28" s="43"/>
      <c r="U28" s="43"/>
    </row>
    <row r="29" spans="1:21" s="11" customFormat="1" x14ac:dyDescent="0.25">
      <c r="A29" s="50" t="s">
        <v>80</v>
      </c>
      <c r="B29" s="51">
        <v>45.3</v>
      </c>
      <c r="C29" s="51">
        <v>127.72</v>
      </c>
      <c r="D29" s="51">
        <v>95.64</v>
      </c>
      <c r="E29" s="51">
        <v>9.3699999999999992</v>
      </c>
      <c r="F29" s="51">
        <v>13.73</v>
      </c>
      <c r="G29" s="51">
        <v>97.33</v>
      </c>
      <c r="H29" s="51">
        <v>28.14</v>
      </c>
      <c r="I29" s="51">
        <v>4.03</v>
      </c>
      <c r="J29" s="51">
        <v>0.69</v>
      </c>
      <c r="K29" s="51">
        <v>335.73</v>
      </c>
      <c r="L29" s="51">
        <v>23.87</v>
      </c>
      <c r="M29" s="51">
        <v>40.6</v>
      </c>
      <c r="N29" s="51">
        <v>67.900000000000006</v>
      </c>
      <c r="O29" s="51">
        <v>0</v>
      </c>
      <c r="P29" s="51">
        <v>1.55</v>
      </c>
      <c r="Q29" s="51">
        <v>9.42</v>
      </c>
      <c r="R29" s="43"/>
      <c r="S29" s="43"/>
      <c r="T29" s="43"/>
      <c r="U29" s="43"/>
    </row>
    <row r="30" spans="1:21" s="11" customFormat="1" x14ac:dyDescent="0.25">
      <c r="A30" s="50" t="s">
        <v>81</v>
      </c>
      <c r="B30" s="51">
        <v>54.13</v>
      </c>
      <c r="C30" s="51">
        <v>108.71</v>
      </c>
      <c r="D30" s="51">
        <v>98.83</v>
      </c>
      <c r="E30" s="51">
        <v>7.48</v>
      </c>
      <c r="F30" s="51">
        <v>14.09</v>
      </c>
      <c r="G30" s="51">
        <v>93.4</v>
      </c>
      <c r="H30" s="51">
        <v>34.44</v>
      </c>
      <c r="I30" s="51">
        <v>4.1100000000000003</v>
      </c>
      <c r="J30" s="51">
        <v>0.69</v>
      </c>
      <c r="K30" s="51">
        <v>307.85000000000002</v>
      </c>
      <c r="L30" s="51">
        <v>22.56</v>
      </c>
      <c r="M30" s="51">
        <v>44.79</v>
      </c>
      <c r="N30" s="51">
        <v>68.2</v>
      </c>
      <c r="O30" s="51">
        <v>0</v>
      </c>
      <c r="P30" s="51">
        <v>1.72</v>
      </c>
      <c r="Q30" s="51">
        <v>9.48</v>
      </c>
      <c r="R30" s="43"/>
      <c r="S30" s="43"/>
      <c r="T30" s="43"/>
      <c r="U30" s="43"/>
    </row>
    <row r="31" spans="1:21" s="11" customFormat="1" x14ac:dyDescent="0.25">
      <c r="A31" s="50" t="s">
        <v>82</v>
      </c>
      <c r="B31" s="51">
        <v>96.49</v>
      </c>
      <c r="C31" s="51">
        <v>112.67</v>
      </c>
      <c r="D31" s="51">
        <v>134.87</v>
      </c>
      <c r="E31" s="51">
        <v>9.4499999999999993</v>
      </c>
      <c r="F31" s="51">
        <v>11.03</v>
      </c>
      <c r="G31" s="51">
        <v>96.83</v>
      </c>
      <c r="H31" s="51">
        <v>32.909999999999997</v>
      </c>
      <c r="I31" s="51">
        <v>4.1100000000000003</v>
      </c>
      <c r="J31" s="51">
        <v>0.56000000000000005</v>
      </c>
      <c r="K31" s="51">
        <v>328.92</v>
      </c>
      <c r="L31" s="51">
        <v>21.69</v>
      </c>
      <c r="M31" s="51">
        <v>50.45</v>
      </c>
      <c r="N31" s="51">
        <v>68.3</v>
      </c>
      <c r="O31" s="51">
        <v>0</v>
      </c>
      <c r="P31" s="51">
        <v>1.63</v>
      </c>
      <c r="Q31" s="51">
        <v>9.52</v>
      </c>
      <c r="R31" s="43"/>
      <c r="S31" s="43"/>
      <c r="T31" s="43"/>
      <c r="U31" s="43"/>
    </row>
    <row r="32" spans="1:21" s="11" customFormat="1" x14ac:dyDescent="0.25">
      <c r="A32" s="50" t="s">
        <v>83</v>
      </c>
      <c r="B32" s="51">
        <v>55.86</v>
      </c>
      <c r="C32" s="51">
        <v>111.09</v>
      </c>
      <c r="D32" s="51">
        <v>95.98</v>
      </c>
      <c r="E32" s="51">
        <v>11.3</v>
      </c>
      <c r="F32" s="51">
        <v>10.29</v>
      </c>
      <c r="G32" s="51">
        <v>108.63</v>
      </c>
      <c r="H32" s="51">
        <v>30.11</v>
      </c>
      <c r="I32" s="51">
        <v>4.0999999999999996</v>
      </c>
      <c r="J32" s="51">
        <v>0.69</v>
      </c>
      <c r="K32" s="51">
        <v>254.62</v>
      </c>
      <c r="L32" s="51">
        <v>20.94</v>
      </c>
      <c r="M32" s="51">
        <v>56.1</v>
      </c>
      <c r="N32" s="51">
        <v>68.2</v>
      </c>
      <c r="O32" s="51">
        <v>0</v>
      </c>
      <c r="P32" s="51">
        <v>1.57</v>
      </c>
      <c r="Q32" s="51">
        <v>9.57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4.38</v>
      </c>
      <c r="C34" s="28">
        <f t="shared" si="0"/>
        <v>60.98</v>
      </c>
      <c r="D34" s="28">
        <f t="shared" si="0"/>
        <v>35.61</v>
      </c>
      <c r="E34" s="28">
        <f t="shared" si="0"/>
        <v>5.7</v>
      </c>
      <c r="F34" s="28">
        <f t="shared" si="0"/>
        <v>6.92</v>
      </c>
      <c r="G34" s="28">
        <f t="shared" si="0"/>
        <v>52</v>
      </c>
      <c r="H34" s="28">
        <f t="shared" si="0"/>
        <v>8.1199999999999992</v>
      </c>
      <c r="I34" s="28">
        <f t="shared" si="0"/>
        <v>4</v>
      </c>
      <c r="J34" s="28">
        <f t="shared" si="0"/>
        <v>0.32</v>
      </c>
      <c r="K34" s="28">
        <f t="shared" si="0"/>
        <v>168.56</v>
      </c>
      <c r="L34" s="28">
        <f t="shared" si="0"/>
        <v>15.86</v>
      </c>
      <c r="M34" s="28">
        <f t="shared" si="0"/>
        <v>24.76</v>
      </c>
      <c r="N34" s="28">
        <f t="shared" si="0"/>
        <v>65.3</v>
      </c>
      <c r="O34" s="28">
        <f t="shared" si="0"/>
        <v>0</v>
      </c>
      <c r="P34" s="28">
        <f t="shared" si="0"/>
        <v>0.55000000000000004</v>
      </c>
      <c r="Q34" s="28">
        <f t="shared" si="0"/>
        <v>9.17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162.56</v>
      </c>
      <c r="C35" s="29">
        <f t="shared" si="1"/>
        <v>142.88999999999999</v>
      </c>
      <c r="D35" s="29">
        <f t="shared" si="1"/>
        <v>185.81</v>
      </c>
      <c r="E35" s="29">
        <f t="shared" si="1"/>
        <v>11.3</v>
      </c>
      <c r="F35" s="29">
        <f t="shared" si="1"/>
        <v>29.44</v>
      </c>
      <c r="G35" s="29">
        <f t="shared" si="1"/>
        <v>195.05</v>
      </c>
      <c r="H35" s="29">
        <f t="shared" si="1"/>
        <v>99.58</v>
      </c>
      <c r="I35" s="29">
        <f t="shared" si="1"/>
        <v>4.2699999999999996</v>
      </c>
      <c r="J35" s="29">
        <f t="shared" si="1"/>
        <v>1.65</v>
      </c>
      <c r="K35" s="29">
        <f t="shared" si="1"/>
        <v>340.71</v>
      </c>
      <c r="L35" s="29">
        <f t="shared" si="1"/>
        <v>32.99</v>
      </c>
      <c r="M35" s="29">
        <f t="shared" si="1"/>
        <v>77.48</v>
      </c>
      <c r="N35" s="29">
        <f t="shared" si="1"/>
        <v>815.6</v>
      </c>
      <c r="O35" s="29">
        <f t="shared" si="1"/>
        <v>0</v>
      </c>
      <c r="P35" s="29">
        <f t="shared" si="1"/>
        <v>2.34</v>
      </c>
      <c r="Q35" s="29">
        <f t="shared" si="1"/>
        <v>10.19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59.307083333333331</v>
      </c>
      <c r="C36" s="28">
        <f t="shared" si="2"/>
        <v>90.407500000000013</v>
      </c>
      <c r="D36" s="28">
        <f t="shared" si="2"/>
        <v>92.511250000000018</v>
      </c>
      <c r="E36" s="28">
        <f t="shared" si="2"/>
        <v>7.66</v>
      </c>
      <c r="F36" s="28">
        <f t="shared" si="2"/>
        <v>13.510416666666666</v>
      </c>
      <c r="G36" s="28">
        <f t="shared" si="2"/>
        <v>92.667916666666656</v>
      </c>
      <c r="H36" s="28">
        <f t="shared" si="2"/>
        <v>34.761666666666663</v>
      </c>
      <c r="I36" s="28">
        <f t="shared" si="2"/>
        <v>4.0979166666666655</v>
      </c>
      <c r="J36" s="28">
        <f t="shared" si="2"/>
        <v>0.84833333333333327</v>
      </c>
      <c r="K36" s="28">
        <f t="shared" si="2"/>
        <v>295.37041666666659</v>
      </c>
      <c r="L36" s="28">
        <f t="shared" si="2"/>
        <v>24.247500000000002</v>
      </c>
      <c r="M36" s="28">
        <f t="shared" si="2"/>
        <v>46.97999999999999</v>
      </c>
      <c r="N36" s="28">
        <f t="shared" si="2"/>
        <v>286.09583333333336</v>
      </c>
      <c r="O36" s="28">
        <f t="shared" si="2"/>
        <v>0</v>
      </c>
      <c r="P36" s="28">
        <f t="shared" si="2"/>
        <v>1.2108333333333332</v>
      </c>
      <c r="Q36" s="28">
        <f t="shared" si="2"/>
        <v>9.6087500000000006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45.74893864097136</v>
      </c>
      <c r="C37" s="28">
        <f t="shared" ref="C37:Q37" si="3">STDEV(C9:C32)</f>
        <v>23.666639747892425</v>
      </c>
      <c r="D37" s="28">
        <f t="shared" si="3"/>
        <v>41.91509682498446</v>
      </c>
      <c r="E37" s="28">
        <f t="shared" si="3"/>
        <v>1.916205489570697</v>
      </c>
      <c r="F37" s="28">
        <f t="shared" si="3"/>
        <v>6.6386067679024752</v>
      </c>
      <c r="G37" s="28">
        <f t="shared" si="3"/>
        <v>34.687687826884087</v>
      </c>
      <c r="H37" s="28">
        <f t="shared" si="3"/>
        <v>19.057569457388531</v>
      </c>
      <c r="I37" s="28">
        <f t="shared" si="3"/>
        <v>6.4199361141793976E-2</v>
      </c>
      <c r="J37" s="28">
        <f t="shared" si="3"/>
        <v>0.34906915555849222</v>
      </c>
      <c r="K37" s="28">
        <f t="shared" si="3"/>
        <v>40.22808249914489</v>
      </c>
      <c r="L37" s="28">
        <f t="shared" si="3"/>
        <v>5.9444583254160781</v>
      </c>
      <c r="M37" s="28">
        <f t="shared" si="3"/>
        <v>17.40773890868784</v>
      </c>
      <c r="N37" s="28">
        <f t="shared" si="3"/>
        <v>296.44339950877446</v>
      </c>
      <c r="O37" s="28">
        <f t="shared" si="3"/>
        <v>0</v>
      </c>
      <c r="P37" s="28">
        <f t="shared" si="3"/>
        <v>0.49982533180986372</v>
      </c>
      <c r="Q37" s="28">
        <f t="shared" si="3"/>
        <v>0.28918645256620518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84</v>
      </c>
      <c r="B9" s="51">
        <v>43.11</v>
      </c>
      <c r="C9" s="51">
        <v>93.43</v>
      </c>
      <c r="D9" s="51">
        <v>77.849999999999994</v>
      </c>
      <c r="E9" s="51">
        <v>12.78</v>
      </c>
      <c r="F9" s="51">
        <v>9.9499999999999993</v>
      </c>
      <c r="G9" s="51">
        <v>113</v>
      </c>
      <c r="H9" s="51">
        <v>27.58</v>
      </c>
      <c r="I9" s="51">
        <v>4.0599999999999996</v>
      </c>
      <c r="J9" s="51">
        <v>0.57999999999999996</v>
      </c>
      <c r="K9" s="51">
        <v>246.98</v>
      </c>
      <c r="L9" s="51">
        <v>20.39</v>
      </c>
      <c r="M9" s="51">
        <v>56.28</v>
      </c>
      <c r="N9" s="51">
        <v>68.2</v>
      </c>
      <c r="O9" s="51">
        <v>0</v>
      </c>
      <c r="P9" s="51">
        <v>1.38</v>
      </c>
      <c r="Q9" s="51">
        <v>9.61</v>
      </c>
      <c r="R9" s="43"/>
      <c r="S9" s="43"/>
      <c r="T9" s="43"/>
      <c r="U9" s="43"/>
    </row>
    <row r="10" spans="1:21" s="11" customFormat="1" x14ac:dyDescent="0.25">
      <c r="A10" s="50" t="s">
        <v>85</v>
      </c>
      <c r="B10" s="51">
        <v>39.590000000000003</v>
      </c>
      <c r="C10" s="51">
        <v>78.98</v>
      </c>
      <c r="D10" s="51">
        <v>71.64</v>
      </c>
      <c r="E10" s="51">
        <v>6.51</v>
      </c>
      <c r="F10" s="51">
        <v>9.26</v>
      </c>
      <c r="G10" s="51">
        <v>115.64</v>
      </c>
      <c r="H10" s="51">
        <v>33.57</v>
      </c>
      <c r="I10" s="51">
        <v>4.05</v>
      </c>
      <c r="J10" s="51">
        <v>1.0900000000000001</v>
      </c>
      <c r="K10" s="51">
        <v>320.08</v>
      </c>
      <c r="L10" s="51">
        <v>20.25</v>
      </c>
      <c r="M10" s="51">
        <v>63.34</v>
      </c>
      <c r="N10" s="51">
        <v>68.599999999999994</v>
      </c>
      <c r="O10" s="51">
        <v>0</v>
      </c>
      <c r="P10" s="51">
        <v>1.19</v>
      </c>
      <c r="Q10" s="51">
        <v>9.6199999999999992</v>
      </c>
      <c r="R10" s="43"/>
      <c r="S10" s="43"/>
      <c r="T10" s="43"/>
      <c r="U10" s="43"/>
    </row>
    <row r="11" spans="1:21" s="11" customFormat="1" x14ac:dyDescent="0.25">
      <c r="A11" s="50" t="s">
        <v>86</v>
      </c>
      <c r="B11" s="51">
        <v>33.89</v>
      </c>
      <c r="C11" s="51">
        <v>69.97</v>
      </c>
      <c r="D11" s="51">
        <v>62.34</v>
      </c>
      <c r="E11" s="51">
        <v>5.38</v>
      </c>
      <c r="F11" s="51">
        <v>7.92</v>
      </c>
      <c r="G11" s="51">
        <v>109.93</v>
      </c>
      <c r="H11" s="51">
        <v>32.5</v>
      </c>
      <c r="I11" s="51">
        <v>4.0599999999999996</v>
      </c>
      <c r="J11" s="51">
        <v>0.63</v>
      </c>
      <c r="K11" s="51">
        <v>309.33</v>
      </c>
      <c r="L11" s="51">
        <v>18.36</v>
      </c>
      <c r="M11" s="51">
        <v>68.260000000000005</v>
      </c>
      <c r="N11" s="51">
        <v>68.3</v>
      </c>
      <c r="O11" s="51">
        <v>0</v>
      </c>
      <c r="P11" s="51">
        <v>1.08</v>
      </c>
      <c r="Q11" s="51">
        <v>9.61</v>
      </c>
      <c r="R11" s="43"/>
      <c r="S11" s="43"/>
      <c r="T11" s="43"/>
      <c r="U11" s="43"/>
    </row>
    <row r="12" spans="1:21" s="11" customFormat="1" x14ac:dyDescent="0.25">
      <c r="A12" s="50" t="s">
        <v>87</v>
      </c>
      <c r="B12" s="51">
        <v>25.18</v>
      </c>
      <c r="C12" s="51">
        <v>60.08</v>
      </c>
      <c r="D12" s="51">
        <v>50.21</v>
      </c>
      <c r="E12" s="51">
        <v>5.46</v>
      </c>
      <c r="F12" s="51">
        <v>14.32</v>
      </c>
      <c r="G12" s="51">
        <v>95.34</v>
      </c>
      <c r="H12" s="51">
        <v>32.54</v>
      </c>
      <c r="I12" s="51">
        <v>4.0599999999999996</v>
      </c>
      <c r="J12" s="51">
        <v>0.71</v>
      </c>
      <c r="K12" s="51">
        <v>225.71</v>
      </c>
      <c r="L12" s="51">
        <v>18.52</v>
      </c>
      <c r="M12" s="51">
        <v>63.41</v>
      </c>
      <c r="N12" s="51">
        <v>68.400000000000006</v>
      </c>
      <c r="O12" s="51">
        <v>0</v>
      </c>
      <c r="P12" s="51">
        <v>0.88</v>
      </c>
      <c r="Q12" s="51">
        <v>9.6</v>
      </c>
      <c r="R12" s="43"/>
      <c r="S12" s="43"/>
      <c r="T12" s="43"/>
      <c r="U12" s="43"/>
    </row>
    <row r="13" spans="1:21" s="11" customFormat="1" x14ac:dyDescent="0.25">
      <c r="A13" s="50" t="s">
        <v>88</v>
      </c>
      <c r="B13" s="51">
        <v>28.58</v>
      </c>
      <c r="C13" s="51">
        <v>66.14</v>
      </c>
      <c r="D13" s="51">
        <v>56.09</v>
      </c>
      <c r="E13" s="51">
        <v>5.36</v>
      </c>
      <c r="F13" s="51">
        <v>10.89</v>
      </c>
      <c r="G13" s="51">
        <v>82.19</v>
      </c>
      <c r="H13" s="51">
        <v>31</v>
      </c>
      <c r="I13" s="51">
        <v>4.1500000000000004</v>
      </c>
      <c r="J13" s="51">
        <v>0.51</v>
      </c>
      <c r="K13" s="51">
        <v>345.03</v>
      </c>
      <c r="L13" s="51">
        <v>17.66</v>
      </c>
      <c r="M13" s="51">
        <v>69.52</v>
      </c>
      <c r="N13" s="51">
        <v>68.3</v>
      </c>
      <c r="O13" s="51">
        <v>0</v>
      </c>
      <c r="P13" s="51">
        <v>0.8</v>
      </c>
      <c r="Q13" s="51">
        <v>9.59</v>
      </c>
      <c r="R13" s="43"/>
      <c r="S13" s="43"/>
      <c r="T13" s="43"/>
      <c r="U13" s="43"/>
    </row>
    <row r="14" spans="1:21" s="11" customFormat="1" x14ac:dyDescent="0.25">
      <c r="A14" s="50" t="s">
        <v>89</v>
      </c>
      <c r="B14" s="51">
        <v>39.590000000000003</v>
      </c>
      <c r="C14" s="51">
        <v>70.319999999999993</v>
      </c>
      <c r="D14" s="51">
        <v>66.849999999999994</v>
      </c>
      <c r="E14" s="51">
        <v>4.96</v>
      </c>
      <c r="F14" s="51">
        <v>7.06</v>
      </c>
      <c r="G14" s="51">
        <v>81.39</v>
      </c>
      <c r="H14" s="51">
        <v>27.22</v>
      </c>
      <c r="I14" s="51">
        <v>4.1399999999999997</v>
      </c>
      <c r="J14" s="51">
        <v>0.44</v>
      </c>
      <c r="K14" s="51">
        <v>292.20999999999998</v>
      </c>
      <c r="L14" s="51">
        <v>17.38</v>
      </c>
      <c r="M14" s="51">
        <v>75.3</v>
      </c>
      <c r="N14" s="51">
        <v>68.3</v>
      </c>
      <c r="O14" s="51">
        <v>0</v>
      </c>
      <c r="P14" s="51">
        <v>0.84</v>
      </c>
      <c r="Q14" s="51">
        <v>9.5399999999999991</v>
      </c>
      <c r="R14" s="43"/>
      <c r="S14" s="43"/>
      <c r="T14" s="43"/>
      <c r="U14" s="43"/>
    </row>
    <row r="15" spans="1:21" s="11" customFormat="1" x14ac:dyDescent="0.25">
      <c r="A15" s="50" t="s">
        <v>90</v>
      </c>
      <c r="B15" s="51">
        <v>53.47</v>
      </c>
      <c r="C15" s="51">
        <v>73.540000000000006</v>
      </c>
      <c r="D15" s="51">
        <v>79.930000000000007</v>
      </c>
      <c r="E15" s="51">
        <v>4.9400000000000004</v>
      </c>
      <c r="F15" s="51">
        <v>7.13</v>
      </c>
      <c r="G15" s="51">
        <v>86.16</v>
      </c>
      <c r="H15" s="51">
        <v>28.63</v>
      </c>
      <c r="I15" s="51">
        <v>4.0199999999999996</v>
      </c>
      <c r="J15" s="51">
        <v>0.7</v>
      </c>
      <c r="K15" s="51">
        <v>336.14</v>
      </c>
      <c r="L15" s="51">
        <v>17.899999999999999</v>
      </c>
      <c r="M15" s="51">
        <v>71.69</v>
      </c>
      <c r="N15" s="51">
        <v>106.8</v>
      </c>
      <c r="O15" s="51">
        <v>0</v>
      </c>
      <c r="P15" s="51">
        <v>0.85</v>
      </c>
      <c r="Q15" s="51">
        <v>9.59</v>
      </c>
      <c r="R15" s="43"/>
      <c r="S15" s="43"/>
      <c r="T15" s="43"/>
      <c r="U15" s="43"/>
    </row>
    <row r="16" spans="1:21" s="11" customFormat="1" x14ac:dyDescent="0.25">
      <c r="A16" s="50" t="s">
        <v>91</v>
      </c>
      <c r="B16" s="51">
        <v>57.07</v>
      </c>
      <c r="C16" s="51">
        <v>78.45</v>
      </c>
      <c r="D16" s="51">
        <v>85.37</v>
      </c>
      <c r="E16" s="51">
        <v>5.59</v>
      </c>
      <c r="F16" s="51">
        <v>10.199999999999999</v>
      </c>
      <c r="G16" s="51">
        <v>95.22</v>
      </c>
      <c r="H16" s="51">
        <v>29.19</v>
      </c>
      <c r="I16" s="51">
        <v>4.16</v>
      </c>
      <c r="J16" s="51">
        <v>1.22</v>
      </c>
      <c r="K16" s="51">
        <v>263.2</v>
      </c>
      <c r="L16" s="51">
        <v>20.27</v>
      </c>
      <c r="M16" s="51">
        <v>68.45</v>
      </c>
      <c r="N16" s="51">
        <v>279</v>
      </c>
      <c r="O16" s="51">
        <v>0</v>
      </c>
      <c r="P16" s="51">
        <v>0.91</v>
      </c>
      <c r="Q16" s="51">
        <v>9.66</v>
      </c>
      <c r="R16" s="43"/>
      <c r="S16" s="43"/>
      <c r="T16" s="43"/>
      <c r="U16" s="43"/>
    </row>
    <row r="17" spans="1:21" s="11" customFormat="1" x14ac:dyDescent="0.25">
      <c r="A17" s="50" t="s">
        <v>92</v>
      </c>
      <c r="B17" s="51">
        <v>39.53</v>
      </c>
      <c r="C17" s="51">
        <v>72.77</v>
      </c>
      <c r="D17" s="51">
        <v>66.88</v>
      </c>
      <c r="E17" s="51">
        <v>5.28</v>
      </c>
      <c r="F17" s="51">
        <v>8.67</v>
      </c>
      <c r="G17" s="51">
        <v>93.69</v>
      </c>
      <c r="H17" s="51">
        <v>31.01</v>
      </c>
      <c r="I17" s="51">
        <v>4.1399999999999997</v>
      </c>
      <c r="J17" s="51">
        <v>2.34</v>
      </c>
      <c r="K17" s="51">
        <v>181.62</v>
      </c>
      <c r="L17" s="51">
        <v>22.64</v>
      </c>
      <c r="M17" s="51">
        <v>56.39</v>
      </c>
      <c r="N17" s="51">
        <v>463.6</v>
      </c>
      <c r="O17" s="51">
        <v>0</v>
      </c>
      <c r="P17" s="51">
        <v>0.84</v>
      </c>
      <c r="Q17" s="51">
        <v>9.6199999999999992</v>
      </c>
      <c r="R17" s="43"/>
      <c r="S17" s="43"/>
      <c r="T17" s="43"/>
      <c r="U17" s="43"/>
    </row>
    <row r="18" spans="1:21" s="11" customFormat="1" x14ac:dyDescent="0.25">
      <c r="A18" s="50" t="s">
        <v>93</v>
      </c>
      <c r="B18" s="51">
        <v>28.56</v>
      </c>
      <c r="C18" s="51">
        <v>73.22</v>
      </c>
      <c r="D18" s="51">
        <v>59.31</v>
      </c>
      <c r="E18" s="51">
        <v>6.1</v>
      </c>
      <c r="F18" s="51">
        <v>10.47</v>
      </c>
      <c r="G18" s="51">
        <v>88.56</v>
      </c>
      <c r="H18" s="51">
        <v>30.87</v>
      </c>
      <c r="I18" s="51">
        <v>4.04</v>
      </c>
      <c r="J18" s="51">
        <v>1.8</v>
      </c>
      <c r="K18" s="51">
        <v>174.92</v>
      </c>
      <c r="L18" s="51">
        <v>26.04</v>
      </c>
      <c r="M18" s="51">
        <v>49.55</v>
      </c>
      <c r="N18" s="51">
        <v>632.20000000000005</v>
      </c>
      <c r="O18" s="51">
        <v>0</v>
      </c>
      <c r="P18" s="51">
        <v>0.8</v>
      </c>
      <c r="Q18" s="51">
        <v>9.6</v>
      </c>
      <c r="R18" s="43"/>
      <c r="S18" s="43"/>
      <c r="T18" s="43"/>
      <c r="U18" s="43"/>
    </row>
    <row r="19" spans="1:21" s="11" customFormat="1" x14ac:dyDescent="0.25">
      <c r="A19" s="50" t="s">
        <v>94</v>
      </c>
      <c r="B19" s="51">
        <v>18.27</v>
      </c>
      <c r="C19" s="51">
        <v>75.349999999999994</v>
      </c>
      <c r="D19" s="51">
        <v>52.08</v>
      </c>
      <c r="E19" s="51">
        <v>6</v>
      </c>
      <c r="F19" s="51">
        <v>11.38</v>
      </c>
      <c r="G19" s="51">
        <v>82.31</v>
      </c>
      <c r="H19" s="51">
        <v>30.74</v>
      </c>
      <c r="I19" s="51">
        <v>4.05</v>
      </c>
      <c r="J19" s="51">
        <v>1.22</v>
      </c>
      <c r="K19" s="51">
        <v>214.07</v>
      </c>
      <c r="L19" s="51">
        <v>28.82</v>
      </c>
      <c r="M19" s="51">
        <v>42.86</v>
      </c>
      <c r="N19" s="51">
        <v>760.2</v>
      </c>
      <c r="O19" s="51">
        <v>0</v>
      </c>
      <c r="P19" s="51">
        <v>0.77</v>
      </c>
      <c r="Q19" s="51">
        <v>9.52</v>
      </c>
      <c r="R19" s="43"/>
      <c r="S19" s="43"/>
      <c r="T19" s="43"/>
      <c r="U19" s="43"/>
    </row>
    <row r="20" spans="1:21" s="11" customFormat="1" x14ac:dyDescent="0.25">
      <c r="A20" s="50" t="s">
        <v>95</v>
      </c>
      <c r="B20" s="51">
        <v>6.21</v>
      </c>
      <c r="C20" s="51">
        <v>74.02</v>
      </c>
      <c r="D20" s="51">
        <v>42.28</v>
      </c>
      <c r="E20" s="51">
        <v>5.95</v>
      </c>
      <c r="F20" s="51">
        <v>13.21</v>
      </c>
      <c r="G20" s="51">
        <v>77.52</v>
      </c>
      <c r="H20" s="51">
        <v>28.87</v>
      </c>
      <c r="I20" s="51">
        <v>4.1900000000000004</v>
      </c>
      <c r="J20" s="51">
        <v>1.25</v>
      </c>
      <c r="K20" s="51">
        <v>247.56</v>
      </c>
      <c r="L20" s="51">
        <v>30.52</v>
      </c>
      <c r="M20" s="51">
        <v>33.1</v>
      </c>
      <c r="N20" s="51">
        <v>777.9</v>
      </c>
      <c r="O20" s="51">
        <v>0</v>
      </c>
      <c r="P20" s="51">
        <v>0.65</v>
      </c>
      <c r="Q20" s="51">
        <v>9.4499999999999993</v>
      </c>
      <c r="R20" s="43"/>
      <c r="S20" s="43"/>
      <c r="T20" s="43"/>
      <c r="U20" s="43"/>
    </row>
    <row r="21" spans="1:21" s="11" customFormat="1" x14ac:dyDescent="0.25">
      <c r="A21" s="50" t="s">
        <v>96</v>
      </c>
      <c r="B21" s="51">
        <v>4.47</v>
      </c>
      <c r="C21" s="51">
        <v>65.08</v>
      </c>
      <c r="D21" s="51">
        <v>36.21</v>
      </c>
      <c r="E21" s="51">
        <v>9.11</v>
      </c>
      <c r="F21" s="51">
        <v>16.64</v>
      </c>
      <c r="G21" s="51">
        <v>71.84</v>
      </c>
      <c r="H21" s="51">
        <v>25.58</v>
      </c>
      <c r="I21" s="51">
        <v>4.04</v>
      </c>
      <c r="J21" s="51">
        <v>1.04</v>
      </c>
      <c r="K21" s="51">
        <v>285.32</v>
      </c>
      <c r="L21" s="51">
        <v>31.75</v>
      </c>
      <c r="M21" s="51">
        <v>30.83</v>
      </c>
      <c r="N21" s="51">
        <v>703.9</v>
      </c>
      <c r="O21" s="51">
        <v>0</v>
      </c>
      <c r="P21" s="51">
        <v>0.56999999999999995</v>
      </c>
      <c r="Q21" s="51">
        <v>9.3000000000000007</v>
      </c>
      <c r="R21" s="43"/>
      <c r="S21" s="43"/>
      <c r="T21" s="43"/>
      <c r="U21" s="43"/>
    </row>
    <row r="22" spans="1:21" s="11" customFormat="1" x14ac:dyDescent="0.25">
      <c r="A22" s="50" t="s">
        <v>97</v>
      </c>
      <c r="B22" s="51">
        <v>4.24</v>
      </c>
      <c r="C22" s="51">
        <v>64.56</v>
      </c>
      <c r="D22" s="51">
        <v>35.65</v>
      </c>
      <c r="E22" s="51">
        <v>7.45</v>
      </c>
      <c r="F22" s="51">
        <v>15.08</v>
      </c>
      <c r="G22" s="51">
        <v>65.56</v>
      </c>
      <c r="H22" s="51">
        <v>26.34</v>
      </c>
      <c r="I22" s="51">
        <v>4.04</v>
      </c>
      <c r="J22" s="51">
        <v>1.2</v>
      </c>
      <c r="K22" s="51">
        <v>288.24</v>
      </c>
      <c r="L22" s="51">
        <v>32.299999999999997</v>
      </c>
      <c r="M22" s="51">
        <v>27.99</v>
      </c>
      <c r="N22" s="51">
        <v>635.5</v>
      </c>
      <c r="O22" s="51">
        <v>0</v>
      </c>
      <c r="P22" s="51">
        <v>0.59</v>
      </c>
      <c r="Q22" s="51">
        <v>9.24</v>
      </c>
      <c r="R22" s="43"/>
      <c r="S22" s="43"/>
      <c r="T22" s="43"/>
      <c r="U22" s="43"/>
    </row>
    <row r="23" spans="1:21" s="11" customFormat="1" x14ac:dyDescent="0.25">
      <c r="A23" s="50" t="s">
        <v>98</v>
      </c>
      <c r="B23" s="51">
        <v>4.1399999999999997</v>
      </c>
      <c r="C23" s="51">
        <v>64.069999999999993</v>
      </c>
      <c r="D23" s="51">
        <v>35.29</v>
      </c>
      <c r="E23" s="51">
        <v>5.93</v>
      </c>
      <c r="F23" s="51">
        <v>14.21</v>
      </c>
      <c r="G23" s="51">
        <v>64.41</v>
      </c>
      <c r="H23" s="51">
        <v>23.62</v>
      </c>
      <c r="I23" s="51">
        <v>4.1100000000000003</v>
      </c>
      <c r="J23" s="51">
        <v>1.4</v>
      </c>
      <c r="K23" s="51">
        <v>295.29000000000002</v>
      </c>
      <c r="L23" s="51">
        <v>32.840000000000003</v>
      </c>
      <c r="M23" s="51">
        <v>26</v>
      </c>
      <c r="N23" s="51">
        <v>625.29999999999995</v>
      </c>
      <c r="O23" s="51">
        <v>0</v>
      </c>
      <c r="P23" s="51">
        <v>0.59</v>
      </c>
      <c r="Q23" s="51">
        <v>9.15</v>
      </c>
      <c r="R23" s="43"/>
      <c r="S23" s="43"/>
      <c r="T23" s="43"/>
      <c r="U23" s="43"/>
    </row>
    <row r="24" spans="1:21" s="11" customFormat="1" x14ac:dyDescent="0.25">
      <c r="A24" s="50" t="s">
        <v>99</v>
      </c>
      <c r="B24" s="51">
        <v>4.03</v>
      </c>
      <c r="C24" s="51">
        <v>59.82</v>
      </c>
      <c r="D24" s="51">
        <v>33.01</v>
      </c>
      <c r="E24" s="51">
        <v>5.94</v>
      </c>
      <c r="F24" s="51">
        <v>15.85</v>
      </c>
      <c r="G24" s="51">
        <v>63.02</v>
      </c>
      <c r="H24" s="51">
        <v>28.66</v>
      </c>
      <c r="I24" s="51">
        <v>4.03</v>
      </c>
      <c r="J24" s="51">
        <v>1.1100000000000001</v>
      </c>
      <c r="K24" s="51">
        <v>253.6</v>
      </c>
      <c r="L24" s="51">
        <v>30.54</v>
      </c>
      <c r="M24" s="51">
        <v>26</v>
      </c>
      <c r="N24" s="51">
        <v>323.10000000000002</v>
      </c>
      <c r="O24" s="51">
        <v>0</v>
      </c>
      <c r="P24" s="51">
        <v>0.53</v>
      </c>
      <c r="Q24" s="51">
        <v>9.09</v>
      </c>
      <c r="R24" s="43"/>
      <c r="S24" s="43"/>
      <c r="T24" s="43"/>
      <c r="U24" s="43"/>
    </row>
    <row r="25" spans="1:21" s="11" customFormat="1" x14ac:dyDescent="0.25">
      <c r="A25" s="50" t="s">
        <v>100</v>
      </c>
      <c r="B25" s="51">
        <v>5.69</v>
      </c>
      <c r="C25" s="51">
        <v>60.82</v>
      </c>
      <c r="D25" s="51">
        <v>34.96</v>
      </c>
      <c r="E25" s="51">
        <v>8.17</v>
      </c>
      <c r="F25" s="51">
        <v>22.1</v>
      </c>
      <c r="G25" s="51">
        <v>59.93</v>
      </c>
      <c r="H25" s="51">
        <v>30.42</v>
      </c>
      <c r="I25" s="51">
        <v>4.0999999999999996</v>
      </c>
      <c r="J25" s="51">
        <v>1.01</v>
      </c>
      <c r="K25" s="51">
        <v>293.81</v>
      </c>
      <c r="L25" s="51">
        <v>29.8</v>
      </c>
      <c r="M25" s="51">
        <v>30.67</v>
      </c>
      <c r="N25" s="51">
        <v>195.8</v>
      </c>
      <c r="O25" s="51">
        <v>0</v>
      </c>
      <c r="P25" s="51">
        <v>0.56000000000000005</v>
      </c>
      <c r="Q25" s="51">
        <v>8.98</v>
      </c>
      <c r="R25" s="43"/>
      <c r="S25" s="43"/>
      <c r="T25" s="43"/>
      <c r="U25" s="43"/>
    </row>
    <row r="26" spans="1:21" s="11" customFormat="1" x14ac:dyDescent="0.25">
      <c r="A26" s="50" t="s">
        <v>101</v>
      </c>
      <c r="B26" s="51">
        <v>6.99</v>
      </c>
      <c r="C26" s="51">
        <v>73.599999999999994</v>
      </c>
      <c r="D26" s="51">
        <v>42.27</v>
      </c>
      <c r="E26" s="51">
        <v>12.47</v>
      </c>
      <c r="F26" s="51">
        <v>34.19</v>
      </c>
      <c r="G26" s="51">
        <v>57.31</v>
      </c>
      <c r="H26" s="51">
        <v>29.68</v>
      </c>
      <c r="I26" s="51">
        <v>4.08</v>
      </c>
      <c r="J26" s="51">
        <v>0.77</v>
      </c>
      <c r="K26" s="51">
        <v>301.47000000000003</v>
      </c>
      <c r="L26" s="51">
        <v>28.68</v>
      </c>
      <c r="M26" s="51">
        <v>33.909999999999997</v>
      </c>
      <c r="N26" s="51">
        <v>111.7</v>
      </c>
      <c r="O26" s="51">
        <v>0</v>
      </c>
      <c r="P26" s="51">
        <v>0.81</v>
      </c>
      <c r="Q26" s="51">
        <v>9.0500000000000007</v>
      </c>
      <c r="R26" s="43"/>
      <c r="S26" s="43"/>
      <c r="T26" s="43"/>
      <c r="U26" s="43"/>
    </row>
    <row r="27" spans="1:21" s="11" customFormat="1" x14ac:dyDescent="0.25">
      <c r="A27" s="50" t="s">
        <v>102</v>
      </c>
      <c r="B27" s="51">
        <v>21.35</v>
      </c>
      <c r="C27" s="51">
        <v>98.29</v>
      </c>
      <c r="D27" s="51">
        <v>65.33</v>
      </c>
      <c r="E27" s="51">
        <v>14.56</v>
      </c>
      <c r="F27" s="51">
        <v>26.94</v>
      </c>
      <c r="G27" s="51">
        <v>63.77</v>
      </c>
      <c r="H27" s="51">
        <v>27.36</v>
      </c>
      <c r="I27" s="51">
        <v>4.1500000000000004</v>
      </c>
      <c r="J27" s="51">
        <v>0.64</v>
      </c>
      <c r="K27" s="51">
        <v>298.39</v>
      </c>
      <c r="L27" s="51">
        <v>26.74</v>
      </c>
      <c r="M27" s="51">
        <v>39.33</v>
      </c>
      <c r="N27" s="51">
        <v>69.3</v>
      </c>
      <c r="O27" s="51">
        <v>0</v>
      </c>
      <c r="P27" s="51">
        <v>1.0900000000000001</v>
      </c>
      <c r="Q27" s="51">
        <v>9.16</v>
      </c>
      <c r="R27" s="43"/>
      <c r="S27" s="43"/>
      <c r="T27" s="43"/>
      <c r="U27" s="43"/>
    </row>
    <row r="28" spans="1:21" s="11" customFormat="1" x14ac:dyDescent="0.25">
      <c r="A28" s="50" t="s">
        <v>103</v>
      </c>
      <c r="B28" s="51">
        <v>52.27</v>
      </c>
      <c r="C28" s="51">
        <v>126.44</v>
      </c>
      <c r="D28" s="51">
        <v>106.6</v>
      </c>
      <c r="E28" s="51">
        <v>10.76</v>
      </c>
      <c r="F28" s="51">
        <v>21.72</v>
      </c>
      <c r="G28" s="51">
        <v>68.2</v>
      </c>
      <c r="H28" s="51">
        <v>26.73</v>
      </c>
      <c r="I28" s="51">
        <v>4.07</v>
      </c>
      <c r="J28" s="51">
        <v>0.62</v>
      </c>
      <c r="K28" s="51">
        <v>292.32</v>
      </c>
      <c r="L28" s="51">
        <v>25.14</v>
      </c>
      <c r="M28" s="51">
        <v>40.74</v>
      </c>
      <c r="N28" s="51">
        <v>67.900000000000006</v>
      </c>
      <c r="O28" s="51">
        <v>0</v>
      </c>
      <c r="P28" s="51">
        <v>1.37</v>
      </c>
      <c r="Q28" s="51">
        <v>9.33</v>
      </c>
      <c r="R28" s="43"/>
      <c r="S28" s="43"/>
      <c r="T28" s="43"/>
      <c r="U28" s="43"/>
    </row>
    <row r="29" spans="1:21" s="11" customFormat="1" x14ac:dyDescent="0.25">
      <c r="A29" s="50" t="s">
        <v>104</v>
      </c>
      <c r="B29" s="51">
        <v>64.27</v>
      </c>
      <c r="C29" s="51">
        <v>129.07</v>
      </c>
      <c r="D29" s="51">
        <v>115.48</v>
      </c>
      <c r="E29" s="51">
        <v>10.5</v>
      </c>
      <c r="F29" s="51">
        <v>18.37</v>
      </c>
      <c r="G29" s="51">
        <v>70.900000000000006</v>
      </c>
      <c r="H29" s="51">
        <v>26.36</v>
      </c>
      <c r="I29" s="51">
        <v>4</v>
      </c>
      <c r="J29" s="51">
        <v>0.7</v>
      </c>
      <c r="K29" s="51">
        <v>322.32</v>
      </c>
      <c r="L29" s="51">
        <v>24.02</v>
      </c>
      <c r="M29" s="51">
        <v>46.67</v>
      </c>
      <c r="N29" s="51">
        <v>68.099999999999994</v>
      </c>
      <c r="O29" s="51">
        <v>0</v>
      </c>
      <c r="P29" s="51">
        <v>1.48</v>
      </c>
      <c r="Q29" s="51">
        <v>9.39</v>
      </c>
      <c r="R29" s="43"/>
      <c r="S29" s="43"/>
      <c r="T29" s="43"/>
      <c r="U29" s="43"/>
    </row>
    <row r="30" spans="1:21" s="11" customFormat="1" x14ac:dyDescent="0.25">
      <c r="A30" s="50" t="s">
        <v>105</v>
      </c>
      <c r="B30" s="51">
        <v>153.58000000000001</v>
      </c>
      <c r="C30" s="51">
        <v>151.13999999999999</v>
      </c>
      <c r="D30" s="51">
        <v>194.15</v>
      </c>
      <c r="E30" s="51">
        <v>10.51</v>
      </c>
      <c r="F30" s="51">
        <v>9.39</v>
      </c>
      <c r="G30" s="51">
        <v>79.14</v>
      </c>
      <c r="H30" s="51">
        <v>27.83</v>
      </c>
      <c r="I30" s="51">
        <v>4.1100000000000003</v>
      </c>
      <c r="J30" s="51">
        <v>0.62</v>
      </c>
      <c r="K30" s="51">
        <v>319.31</v>
      </c>
      <c r="L30" s="51">
        <v>22.89</v>
      </c>
      <c r="M30" s="51">
        <v>52.27</v>
      </c>
      <c r="N30" s="51">
        <v>68</v>
      </c>
      <c r="O30" s="51">
        <v>0</v>
      </c>
      <c r="P30" s="51">
        <v>2.0499999999999998</v>
      </c>
      <c r="Q30" s="51">
        <v>9.4</v>
      </c>
      <c r="R30" s="43"/>
      <c r="S30" s="43"/>
      <c r="T30" s="43"/>
      <c r="U30" s="43"/>
    </row>
    <row r="31" spans="1:21" s="11" customFormat="1" x14ac:dyDescent="0.25">
      <c r="A31" s="50" t="s">
        <v>106</v>
      </c>
      <c r="B31" s="51">
        <v>86.8</v>
      </c>
      <c r="C31" s="51">
        <v>127.77</v>
      </c>
      <c r="D31" s="51">
        <v>134.99</v>
      </c>
      <c r="E31" s="51">
        <v>9.93</v>
      </c>
      <c r="F31" s="51">
        <v>9.23</v>
      </c>
      <c r="G31" s="51">
        <v>109.39</v>
      </c>
      <c r="H31" s="51">
        <v>31.14</v>
      </c>
      <c r="I31" s="51">
        <v>4.1500000000000004</v>
      </c>
      <c r="J31" s="51">
        <v>0.59</v>
      </c>
      <c r="K31" s="51">
        <v>334.7</v>
      </c>
      <c r="L31" s="51">
        <v>21.74</v>
      </c>
      <c r="M31" s="51">
        <v>54.24</v>
      </c>
      <c r="N31" s="51">
        <v>68.2</v>
      </c>
      <c r="O31" s="51">
        <v>0</v>
      </c>
      <c r="P31" s="51">
        <v>1.81</v>
      </c>
      <c r="Q31" s="51">
        <v>9.44</v>
      </c>
      <c r="R31" s="43"/>
      <c r="S31" s="43"/>
      <c r="T31" s="43"/>
      <c r="U31" s="43"/>
    </row>
    <row r="32" spans="1:21" s="11" customFormat="1" x14ac:dyDescent="0.25">
      <c r="A32" s="50" t="s">
        <v>107</v>
      </c>
      <c r="B32" s="51">
        <v>134.29</v>
      </c>
      <c r="C32" s="51">
        <v>114.04</v>
      </c>
      <c r="D32" s="51">
        <v>165.9</v>
      </c>
      <c r="E32" s="51">
        <v>8.1</v>
      </c>
      <c r="F32" s="51">
        <v>13.67</v>
      </c>
      <c r="G32" s="51">
        <v>111.31</v>
      </c>
      <c r="H32" s="51">
        <v>33.53</v>
      </c>
      <c r="I32" s="51">
        <v>4.07</v>
      </c>
      <c r="J32" s="51">
        <v>0.8</v>
      </c>
      <c r="K32" s="51">
        <v>334.19</v>
      </c>
      <c r="L32" s="51">
        <v>21.49</v>
      </c>
      <c r="M32" s="51">
        <v>55.92</v>
      </c>
      <c r="N32" s="51">
        <v>68.3</v>
      </c>
      <c r="O32" s="51">
        <v>0</v>
      </c>
      <c r="P32" s="51">
        <v>1.41</v>
      </c>
      <c r="Q32" s="51">
        <v>9.57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4.03</v>
      </c>
      <c r="C34" s="28">
        <f t="shared" si="0"/>
        <v>59.82</v>
      </c>
      <c r="D34" s="28">
        <f t="shared" si="0"/>
        <v>33.01</v>
      </c>
      <c r="E34" s="28">
        <f t="shared" si="0"/>
        <v>4.9400000000000004</v>
      </c>
      <c r="F34" s="28">
        <f t="shared" si="0"/>
        <v>7.06</v>
      </c>
      <c r="G34" s="28">
        <f t="shared" si="0"/>
        <v>57.31</v>
      </c>
      <c r="H34" s="28">
        <f t="shared" si="0"/>
        <v>23.62</v>
      </c>
      <c r="I34" s="28">
        <f t="shared" si="0"/>
        <v>4</v>
      </c>
      <c r="J34" s="28">
        <f t="shared" si="0"/>
        <v>0.44</v>
      </c>
      <c r="K34" s="28">
        <f t="shared" si="0"/>
        <v>174.92</v>
      </c>
      <c r="L34" s="28">
        <f t="shared" si="0"/>
        <v>17.38</v>
      </c>
      <c r="M34" s="28">
        <f t="shared" si="0"/>
        <v>26</v>
      </c>
      <c r="N34" s="28">
        <f t="shared" si="0"/>
        <v>67.900000000000006</v>
      </c>
      <c r="O34" s="28">
        <f t="shared" si="0"/>
        <v>0</v>
      </c>
      <c r="P34" s="28">
        <f t="shared" si="0"/>
        <v>0.53</v>
      </c>
      <c r="Q34" s="28">
        <f t="shared" si="0"/>
        <v>8.98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153.58000000000001</v>
      </c>
      <c r="C35" s="29">
        <f t="shared" si="1"/>
        <v>151.13999999999999</v>
      </c>
      <c r="D35" s="29">
        <f t="shared" si="1"/>
        <v>194.15</v>
      </c>
      <c r="E35" s="29">
        <f t="shared" si="1"/>
        <v>14.56</v>
      </c>
      <c r="F35" s="29">
        <f t="shared" si="1"/>
        <v>34.19</v>
      </c>
      <c r="G35" s="29">
        <f t="shared" si="1"/>
        <v>115.64</v>
      </c>
      <c r="H35" s="29">
        <f t="shared" si="1"/>
        <v>33.57</v>
      </c>
      <c r="I35" s="29">
        <f t="shared" si="1"/>
        <v>4.1900000000000004</v>
      </c>
      <c r="J35" s="29">
        <f t="shared" si="1"/>
        <v>2.34</v>
      </c>
      <c r="K35" s="29">
        <f t="shared" si="1"/>
        <v>345.03</v>
      </c>
      <c r="L35" s="29">
        <f t="shared" si="1"/>
        <v>32.840000000000003</v>
      </c>
      <c r="M35" s="29">
        <f t="shared" si="1"/>
        <v>75.3</v>
      </c>
      <c r="N35" s="29">
        <f t="shared" si="1"/>
        <v>777.9</v>
      </c>
      <c r="O35" s="29">
        <f t="shared" si="1"/>
        <v>0</v>
      </c>
      <c r="P35" s="29">
        <f t="shared" si="1"/>
        <v>2.0499999999999998</v>
      </c>
      <c r="Q35" s="29">
        <f t="shared" si="1"/>
        <v>9.66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39.798749999999998</v>
      </c>
      <c r="C36" s="28">
        <f t="shared" si="2"/>
        <v>84.20708333333333</v>
      </c>
      <c r="D36" s="28">
        <f t="shared" si="2"/>
        <v>73.77791666666667</v>
      </c>
      <c r="E36" s="28">
        <f t="shared" si="2"/>
        <v>7.8224999999999989</v>
      </c>
      <c r="F36" s="28">
        <f t="shared" si="2"/>
        <v>14.077083333333336</v>
      </c>
      <c r="G36" s="28">
        <f t="shared" si="2"/>
        <v>83.572083333333339</v>
      </c>
      <c r="H36" s="28">
        <f t="shared" si="2"/>
        <v>29.207083333333333</v>
      </c>
      <c r="I36" s="28">
        <f t="shared" si="2"/>
        <v>4.0862499999999997</v>
      </c>
      <c r="J36" s="28">
        <f t="shared" si="2"/>
        <v>0.95791666666666675</v>
      </c>
      <c r="K36" s="28">
        <f t="shared" si="2"/>
        <v>282.32541666666668</v>
      </c>
      <c r="L36" s="28">
        <f t="shared" si="2"/>
        <v>24.445000000000004</v>
      </c>
      <c r="M36" s="28">
        <f t="shared" si="2"/>
        <v>49.28</v>
      </c>
      <c r="N36" s="28">
        <f t="shared" si="2"/>
        <v>268.12083333333334</v>
      </c>
      <c r="O36" s="28">
        <f t="shared" si="2"/>
        <v>0</v>
      </c>
      <c r="P36" s="28">
        <f t="shared" si="2"/>
        <v>0.99375000000000002</v>
      </c>
      <c r="Q36" s="28">
        <f t="shared" si="2"/>
        <v>9.4212499999999988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39.048875985883001</v>
      </c>
      <c r="C37" s="28">
        <f t="shared" ref="C37:Q37" si="3">STDEV(C9:C32)</f>
        <v>26.102698590986485</v>
      </c>
      <c r="D37" s="28">
        <f t="shared" si="3"/>
        <v>42.261552573299959</v>
      </c>
      <c r="E37" s="28">
        <f t="shared" si="3"/>
        <v>2.8378746640215917</v>
      </c>
      <c r="F37" s="28">
        <f t="shared" si="3"/>
        <v>6.6552649829104107</v>
      </c>
      <c r="G37" s="28">
        <f t="shared" si="3"/>
        <v>18.400133737502333</v>
      </c>
      <c r="H37" s="28">
        <f t="shared" si="3"/>
        <v>2.6057536323976649</v>
      </c>
      <c r="I37" s="28">
        <f t="shared" si="3"/>
        <v>5.1987665761258794E-2</v>
      </c>
      <c r="J37" s="28">
        <f t="shared" si="3"/>
        <v>0.44647390660078023</v>
      </c>
      <c r="K37" s="28">
        <f t="shared" si="3"/>
        <v>47.429385679194723</v>
      </c>
      <c r="L37" s="28">
        <f t="shared" si="3"/>
        <v>5.1833277878715736</v>
      </c>
      <c r="M37" s="28">
        <f t="shared" si="3"/>
        <v>15.925286974412458</v>
      </c>
      <c r="N37" s="28">
        <f t="shared" si="3"/>
        <v>268.90401549084658</v>
      </c>
      <c r="O37" s="28">
        <f t="shared" si="3"/>
        <v>0</v>
      </c>
      <c r="P37" s="28">
        <f t="shared" si="3"/>
        <v>0.40707666727961456</v>
      </c>
      <c r="Q37" s="28">
        <f t="shared" si="3"/>
        <v>0.21024442297312956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108</v>
      </c>
      <c r="B9" s="51">
        <v>45.95</v>
      </c>
      <c r="C9" s="51">
        <v>83.03</v>
      </c>
      <c r="D9" s="51">
        <v>78.849999999999994</v>
      </c>
      <c r="E9" s="51">
        <v>7</v>
      </c>
      <c r="F9" s="51">
        <v>15.98</v>
      </c>
      <c r="G9" s="51">
        <v>105.05</v>
      </c>
      <c r="H9" s="51">
        <v>31.91</v>
      </c>
      <c r="I9" s="51">
        <v>4.1399999999999997</v>
      </c>
      <c r="J9" s="51">
        <v>1.02</v>
      </c>
      <c r="K9" s="51">
        <v>333.87</v>
      </c>
      <c r="L9" s="51">
        <v>20.98</v>
      </c>
      <c r="M9" s="51">
        <v>54.96</v>
      </c>
      <c r="N9" s="51">
        <v>68.099999999999994</v>
      </c>
      <c r="O9" s="51">
        <v>0</v>
      </c>
      <c r="P9" s="51">
        <v>0.99</v>
      </c>
      <c r="Q9" s="51">
        <v>9.6</v>
      </c>
      <c r="R9" s="43"/>
      <c r="S9" s="43"/>
      <c r="T9" s="43"/>
      <c r="U9" s="43"/>
    </row>
    <row r="10" spans="1:21" s="11" customFormat="1" x14ac:dyDescent="0.25">
      <c r="A10" s="50" t="s">
        <v>109</v>
      </c>
      <c r="B10" s="51">
        <v>30.29</v>
      </c>
      <c r="C10" s="51">
        <v>69.849999999999994</v>
      </c>
      <c r="D10" s="51">
        <v>59.41</v>
      </c>
      <c r="E10" s="51">
        <v>7.38</v>
      </c>
      <c r="F10" s="51">
        <v>13.82</v>
      </c>
      <c r="G10" s="51">
        <v>90.14</v>
      </c>
      <c r="H10" s="51">
        <v>29.6</v>
      </c>
      <c r="I10" s="51">
        <v>3.94</v>
      </c>
      <c r="J10" s="51">
        <v>0.63</v>
      </c>
      <c r="K10" s="51">
        <v>281.89</v>
      </c>
      <c r="L10" s="51">
        <v>20.98</v>
      </c>
      <c r="M10" s="51">
        <v>59.87</v>
      </c>
      <c r="N10" s="51">
        <v>68.599999999999994</v>
      </c>
      <c r="O10" s="51">
        <v>0</v>
      </c>
      <c r="P10" s="51">
        <v>0.8</v>
      </c>
      <c r="Q10" s="51">
        <v>9.5399999999999991</v>
      </c>
      <c r="R10" s="43"/>
      <c r="S10" s="43"/>
      <c r="T10" s="43"/>
      <c r="U10" s="43"/>
    </row>
    <row r="11" spans="1:21" s="11" customFormat="1" x14ac:dyDescent="0.25">
      <c r="A11" s="50" t="s">
        <v>110</v>
      </c>
      <c r="B11" s="51">
        <v>25.99</v>
      </c>
      <c r="C11" s="51">
        <v>67.53</v>
      </c>
      <c r="D11" s="51">
        <v>54.51</v>
      </c>
      <c r="E11" s="51">
        <v>7.02</v>
      </c>
      <c r="F11" s="51">
        <v>12.38</v>
      </c>
      <c r="G11" s="51">
        <v>86.53</v>
      </c>
      <c r="H11" s="51">
        <v>29.2</v>
      </c>
      <c r="I11" s="51">
        <v>4.1100000000000003</v>
      </c>
      <c r="J11" s="51">
        <v>0.69</v>
      </c>
      <c r="K11" s="51">
        <v>325.44</v>
      </c>
      <c r="L11" s="51">
        <v>19.8</v>
      </c>
      <c r="M11" s="51">
        <v>64.45</v>
      </c>
      <c r="N11" s="51">
        <v>68.5</v>
      </c>
      <c r="O11" s="51">
        <v>0</v>
      </c>
      <c r="P11" s="51">
        <v>0.79</v>
      </c>
      <c r="Q11" s="51">
        <v>9.52</v>
      </c>
      <c r="R11" s="43"/>
      <c r="S11" s="43"/>
      <c r="T11" s="43"/>
      <c r="U11" s="43"/>
    </row>
    <row r="12" spans="1:21" s="11" customFormat="1" x14ac:dyDescent="0.25">
      <c r="A12" s="50" t="s">
        <v>111</v>
      </c>
      <c r="B12" s="51">
        <v>29.72</v>
      </c>
      <c r="C12" s="51">
        <v>68.099999999999994</v>
      </c>
      <c r="D12" s="51">
        <v>58.04</v>
      </c>
      <c r="E12" s="51">
        <v>6.42</v>
      </c>
      <c r="F12" s="51">
        <v>10.07</v>
      </c>
      <c r="G12" s="51">
        <v>86.85</v>
      </c>
      <c r="H12" s="51">
        <v>28.4</v>
      </c>
      <c r="I12" s="51">
        <v>4.08</v>
      </c>
      <c r="J12" s="51">
        <v>0.62</v>
      </c>
      <c r="K12" s="51">
        <v>299.82</v>
      </c>
      <c r="L12" s="51">
        <v>19.5</v>
      </c>
      <c r="M12" s="51">
        <v>58.52</v>
      </c>
      <c r="N12" s="51">
        <v>68.3</v>
      </c>
      <c r="O12" s="51">
        <v>0</v>
      </c>
      <c r="P12" s="51">
        <v>0.79</v>
      </c>
      <c r="Q12" s="51">
        <v>9.48</v>
      </c>
      <c r="R12" s="43"/>
      <c r="S12" s="43"/>
      <c r="T12" s="43"/>
      <c r="U12" s="43"/>
    </row>
    <row r="13" spans="1:21" s="11" customFormat="1" x14ac:dyDescent="0.25">
      <c r="A13" s="50" t="s">
        <v>112</v>
      </c>
      <c r="B13" s="51">
        <v>27.76</v>
      </c>
      <c r="C13" s="51">
        <v>70.13</v>
      </c>
      <c r="D13" s="51">
        <v>57.52</v>
      </c>
      <c r="E13" s="51">
        <v>5.81</v>
      </c>
      <c r="F13" s="51">
        <v>11.32</v>
      </c>
      <c r="G13" s="51">
        <v>81.52</v>
      </c>
      <c r="H13" s="51">
        <v>26.71</v>
      </c>
      <c r="I13" s="51">
        <v>4.08</v>
      </c>
      <c r="J13" s="51">
        <v>0.64</v>
      </c>
      <c r="K13" s="51">
        <v>319.19</v>
      </c>
      <c r="L13" s="51">
        <v>19.510000000000002</v>
      </c>
      <c r="M13" s="51">
        <v>67.58</v>
      </c>
      <c r="N13" s="51">
        <v>68.7</v>
      </c>
      <c r="O13" s="51">
        <v>0</v>
      </c>
      <c r="P13" s="51">
        <v>0.72</v>
      </c>
      <c r="Q13" s="51">
        <v>9.4600000000000009</v>
      </c>
      <c r="R13" s="43"/>
      <c r="S13" s="43"/>
      <c r="T13" s="43"/>
      <c r="U13" s="43"/>
    </row>
    <row r="14" spans="1:21" s="11" customFormat="1" x14ac:dyDescent="0.25">
      <c r="A14" s="50" t="s">
        <v>113</v>
      </c>
      <c r="B14" s="51">
        <v>56.68</v>
      </c>
      <c r="C14" s="51">
        <v>71.39</v>
      </c>
      <c r="D14" s="51">
        <v>81.37</v>
      </c>
      <c r="E14" s="51">
        <v>5.63</v>
      </c>
      <c r="F14" s="51">
        <v>7.51</v>
      </c>
      <c r="G14" s="51">
        <v>76.56</v>
      </c>
      <c r="H14" s="51">
        <v>24.17</v>
      </c>
      <c r="I14" s="51">
        <v>4.0599999999999996</v>
      </c>
      <c r="J14" s="51">
        <v>0.32</v>
      </c>
      <c r="K14" s="51">
        <v>317.58999999999997</v>
      </c>
      <c r="L14" s="51">
        <v>17.89</v>
      </c>
      <c r="M14" s="51">
        <v>74.819999999999993</v>
      </c>
      <c r="N14" s="51">
        <v>68.3</v>
      </c>
      <c r="O14" s="51">
        <v>0</v>
      </c>
      <c r="P14" s="51">
        <v>0.81</v>
      </c>
      <c r="Q14" s="51">
        <v>9.4499999999999993</v>
      </c>
      <c r="R14" s="43"/>
      <c r="S14" s="43"/>
      <c r="T14" s="43"/>
      <c r="U14" s="43"/>
    </row>
    <row r="15" spans="1:21" s="11" customFormat="1" x14ac:dyDescent="0.25">
      <c r="A15" s="50" t="s">
        <v>114</v>
      </c>
      <c r="B15" s="51">
        <v>135.69</v>
      </c>
      <c r="C15" s="51">
        <v>88.22</v>
      </c>
      <c r="D15" s="51">
        <v>153.53</v>
      </c>
      <c r="E15" s="51">
        <v>6.4</v>
      </c>
      <c r="F15" s="51">
        <v>7.79</v>
      </c>
      <c r="G15" s="51">
        <v>89.12</v>
      </c>
      <c r="H15" s="51">
        <v>27.5</v>
      </c>
      <c r="I15" s="51">
        <v>4.13</v>
      </c>
      <c r="J15" s="51">
        <v>0.68</v>
      </c>
      <c r="K15" s="51">
        <v>343.03</v>
      </c>
      <c r="L15" s="51">
        <v>17.899999999999999</v>
      </c>
      <c r="M15" s="51">
        <v>77.66</v>
      </c>
      <c r="N15" s="51">
        <v>113.8</v>
      </c>
      <c r="O15" s="51">
        <v>0</v>
      </c>
      <c r="P15" s="51">
        <v>1.07</v>
      </c>
      <c r="Q15" s="51">
        <v>9.44</v>
      </c>
      <c r="R15" s="43"/>
      <c r="S15" s="43"/>
      <c r="T15" s="43"/>
      <c r="U15" s="43"/>
    </row>
    <row r="16" spans="1:21" s="11" customFormat="1" x14ac:dyDescent="0.25">
      <c r="A16" s="50" t="s">
        <v>115</v>
      </c>
      <c r="B16" s="51">
        <v>83.92</v>
      </c>
      <c r="C16" s="51">
        <v>88.26</v>
      </c>
      <c r="D16" s="51">
        <v>111.7</v>
      </c>
      <c r="E16" s="51">
        <v>7.13</v>
      </c>
      <c r="F16" s="51">
        <v>7.89</v>
      </c>
      <c r="G16" s="51">
        <v>117.08</v>
      </c>
      <c r="H16" s="51">
        <v>33.75</v>
      </c>
      <c r="I16" s="51">
        <v>4.0599999999999996</v>
      </c>
      <c r="J16" s="51">
        <v>1.3</v>
      </c>
      <c r="K16" s="51">
        <v>224.77</v>
      </c>
      <c r="L16" s="51">
        <v>21</v>
      </c>
      <c r="M16" s="51">
        <v>62.71</v>
      </c>
      <c r="N16" s="51">
        <v>312.60000000000002</v>
      </c>
      <c r="O16" s="51">
        <v>0</v>
      </c>
      <c r="P16" s="51">
        <v>0.98</v>
      </c>
      <c r="Q16" s="51">
        <v>9.58</v>
      </c>
      <c r="R16" s="43"/>
      <c r="S16" s="43"/>
      <c r="T16" s="43"/>
      <c r="U16" s="43"/>
    </row>
    <row r="17" spans="1:21" s="11" customFormat="1" x14ac:dyDescent="0.25">
      <c r="A17" s="50" t="s">
        <v>116</v>
      </c>
      <c r="B17" s="51">
        <v>66.040000000000006</v>
      </c>
      <c r="C17" s="51">
        <v>77.37</v>
      </c>
      <c r="D17" s="51">
        <v>89.64</v>
      </c>
      <c r="E17" s="51">
        <v>5.7</v>
      </c>
      <c r="F17" s="51">
        <v>7.41</v>
      </c>
      <c r="G17" s="51">
        <v>114.88</v>
      </c>
      <c r="H17" s="51">
        <v>35.26</v>
      </c>
      <c r="I17" s="51">
        <v>4.08</v>
      </c>
      <c r="J17" s="51">
        <v>1.1299999999999999</v>
      </c>
      <c r="K17" s="51">
        <v>331.29</v>
      </c>
      <c r="L17" s="51">
        <v>28.81</v>
      </c>
      <c r="M17" s="51">
        <v>52.82</v>
      </c>
      <c r="N17" s="51">
        <v>489.7</v>
      </c>
      <c r="O17" s="51">
        <v>0</v>
      </c>
      <c r="P17" s="51">
        <v>0.95</v>
      </c>
      <c r="Q17" s="51">
        <v>9.59</v>
      </c>
      <c r="R17" s="43"/>
      <c r="S17" s="43"/>
      <c r="T17" s="43"/>
      <c r="U17" s="43"/>
    </row>
    <row r="18" spans="1:21" s="11" customFormat="1" x14ac:dyDescent="0.25">
      <c r="A18" s="50" t="s">
        <v>117</v>
      </c>
      <c r="B18" s="51">
        <v>52.29</v>
      </c>
      <c r="C18" s="51">
        <v>89</v>
      </c>
      <c r="D18" s="51">
        <v>82.26</v>
      </c>
      <c r="E18" s="51">
        <v>7.92</v>
      </c>
      <c r="F18" s="51">
        <v>9.8800000000000008</v>
      </c>
      <c r="G18" s="51">
        <v>115.65</v>
      </c>
      <c r="H18" s="51">
        <v>37.94</v>
      </c>
      <c r="I18" s="51">
        <v>4.1100000000000003</v>
      </c>
      <c r="J18" s="51">
        <v>1.32</v>
      </c>
      <c r="K18" s="51">
        <v>335.42</v>
      </c>
      <c r="L18" s="51">
        <v>30.99</v>
      </c>
      <c r="M18" s="51">
        <v>31.59</v>
      </c>
      <c r="N18" s="51">
        <v>702.7</v>
      </c>
      <c r="O18" s="51">
        <v>0</v>
      </c>
      <c r="P18" s="51">
        <v>0.99</v>
      </c>
      <c r="Q18" s="51">
        <v>9.52</v>
      </c>
      <c r="R18" s="43"/>
      <c r="S18" s="43"/>
      <c r="T18" s="43"/>
      <c r="U18" s="43"/>
    </row>
    <row r="19" spans="1:21" s="11" customFormat="1" x14ac:dyDescent="0.25">
      <c r="A19" s="50" t="s">
        <v>118</v>
      </c>
      <c r="B19" s="51">
        <v>36.18</v>
      </c>
      <c r="C19" s="51">
        <v>84.13</v>
      </c>
      <c r="D19" s="51">
        <v>70.41</v>
      </c>
      <c r="E19" s="51">
        <v>10.52</v>
      </c>
      <c r="F19" s="51">
        <v>13.92</v>
      </c>
      <c r="G19" s="51">
        <v>111.11</v>
      </c>
      <c r="H19" s="51">
        <v>37.450000000000003</v>
      </c>
      <c r="I19" s="51">
        <v>4.0999999999999996</v>
      </c>
      <c r="J19" s="51">
        <v>1.26</v>
      </c>
      <c r="K19" s="51">
        <v>82.42</v>
      </c>
      <c r="L19" s="51">
        <v>29.49</v>
      </c>
      <c r="M19" s="51">
        <v>30.46</v>
      </c>
      <c r="N19" s="51">
        <v>799.6</v>
      </c>
      <c r="O19" s="51">
        <v>0</v>
      </c>
      <c r="P19" s="51">
        <v>0.88</v>
      </c>
      <c r="Q19" s="51">
        <v>9.48</v>
      </c>
      <c r="R19" s="43"/>
      <c r="S19" s="43"/>
      <c r="T19" s="43"/>
      <c r="U19" s="43"/>
    </row>
    <row r="20" spans="1:21" s="11" customFormat="1" x14ac:dyDescent="0.25">
      <c r="A20" s="50" t="s">
        <v>119</v>
      </c>
      <c r="B20" s="51">
        <v>28.23</v>
      </c>
      <c r="C20" s="51">
        <v>82.72</v>
      </c>
      <c r="D20" s="51">
        <v>64.48</v>
      </c>
      <c r="E20" s="51">
        <v>19.75</v>
      </c>
      <c r="F20" s="51">
        <v>18.59</v>
      </c>
      <c r="G20" s="51">
        <v>96.91</v>
      </c>
      <c r="H20" s="51">
        <v>33.49</v>
      </c>
      <c r="I20" s="51">
        <v>4.09</v>
      </c>
      <c r="J20" s="51">
        <v>1.67</v>
      </c>
      <c r="K20" s="51">
        <v>353.37</v>
      </c>
      <c r="L20" s="51">
        <v>34.08</v>
      </c>
      <c r="M20" s="51">
        <v>24.36</v>
      </c>
      <c r="N20" s="51">
        <v>790.4</v>
      </c>
      <c r="O20" s="51">
        <v>0</v>
      </c>
      <c r="P20" s="51">
        <v>0.82</v>
      </c>
      <c r="Q20" s="51">
        <v>9.43</v>
      </c>
      <c r="R20" s="43"/>
      <c r="S20" s="43"/>
      <c r="T20" s="43"/>
      <c r="U20" s="43"/>
    </row>
    <row r="21" spans="1:21" s="11" customFormat="1" x14ac:dyDescent="0.25">
      <c r="A21" s="50" t="s">
        <v>120</v>
      </c>
      <c r="B21" s="51">
        <v>23.31</v>
      </c>
      <c r="C21" s="51">
        <v>78.22</v>
      </c>
      <c r="D21" s="51">
        <v>58.19</v>
      </c>
      <c r="E21" s="51">
        <v>11.3</v>
      </c>
      <c r="F21" s="51">
        <v>19.920000000000002</v>
      </c>
      <c r="G21" s="51">
        <v>84.91</v>
      </c>
      <c r="H21" s="51">
        <v>33.04</v>
      </c>
      <c r="I21" s="51">
        <v>4.17</v>
      </c>
      <c r="J21" s="51">
        <v>1.6</v>
      </c>
      <c r="K21" s="51">
        <v>343.09</v>
      </c>
      <c r="L21" s="51">
        <v>34.64</v>
      </c>
      <c r="M21" s="51">
        <v>21.87</v>
      </c>
      <c r="N21" s="51">
        <v>793.5</v>
      </c>
      <c r="O21" s="51">
        <v>0</v>
      </c>
      <c r="P21" s="51">
        <v>0.75</v>
      </c>
      <c r="Q21" s="51">
        <v>9.41</v>
      </c>
      <c r="R21" s="43"/>
      <c r="S21" s="43"/>
      <c r="T21" s="43"/>
      <c r="U21" s="43"/>
    </row>
    <row r="22" spans="1:21" s="11" customFormat="1" x14ac:dyDescent="0.25">
      <c r="A22" s="50" t="s">
        <v>121</v>
      </c>
      <c r="B22" s="51">
        <v>10.91</v>
      </c>
      <c r="C22" s="51">
        <v>76.930000000000007</v>
      </c>
      <c r="D22" s="51">
        <v>47.52</v>
      </c>
      <c r="E22" s="51">
        <v>11.38</v>
      </c>
      <c r="F22" s="51">
        <v>25.26</v>
      </c>
      <c r="G22" s="51">
        <v>79.97</v>
      </c>
      <c r="H22" s="51">
        <v>31.62</v>
      </c>
      <c r="I22" s="51">
        <v>4.16</v>
      </c>
      <c r="J22" s="51">
        <v>1.62</v>
      </c>
      <c r="K22" s="51">
        <v>344.14</v>
      </c>
      <c r="L22" s="51">
        <v>34.4</v>
      </c>
      <c r="M22" s="51">
        <v>19.82</v>
      </c>
      <c r="N22" s="51">
        <v>748.5</v>
      </c>
      <c r="O22" s="51">
        <v>0</v>
      </c>
      <c r="P22" s="51">
        <v>0.65</v>
      </c>
      <c r="Q22" s="51">
        <v>9.39</v>
      </c>
      <c r="R22" s="43"/>
      <c r="S22" s="43"/>
      <c r="T22" s="43"/>
      <c r="U22" s="43"/>
    </row>
    <row r="23" spans="1:21" s="11" customFormat="1" x14ac:dyDescent="0.25">
      <c r="A23" s="50" t="s">
        <v>122</v>
      </c>
      <c r="B23" s="51">
        <v>8.9600000000000009</v>
      </c>
      <c r="C23" s="51">
        <v>71.19</v>
      </c>
      <c r="D23" s="51">
        <v>41.61</v>
      </c>
      <c r="E23" s="51">
        <v>8.23</v>
      </c>
      <c r="F23" s="51">
        <v>27.43</v>
      </c>
      <c r="G23" s="51">
        <v>72.349999999999994</v>
      </c>
      <c r="H23" s="51">
        <v>26.87</v>
      </c>
      <c r="I23" s="51">
        <v>4.1900000000000004</v>
      </c>
      <c r="J23" s="51">
        <v>2.25</v>
      </c>
      <c r="K23" s="51">
        <v>344.66</v>
      </c>
      <c r="L23" s="51">
        <v>34.03</v>
      </c>
      <c r="M23" s="51">
        <v>19.82</v>
      </c>
      <c r="N23" s="51">
        <v>712.3</v>
      </c>
      <c r="O23" s="51">
        <v>0</v>
      </c>
      <c r="P23" s="51">
        <v>0.59</v>
      </c>
      <c r="Q23" s="51">
        <v>9.31</v>
      </c>
      <c r="R23" s="43"/>
      <c r="S23" s="43"/>
      <c r="T23" s="43"/>
      <c r="U23" s="43"/>
    </row>
    <row r="24" spans="1:21" s="11" customFormat="1" x14ac:dyDescent="0.25">
      <c r="A24" s="50" t="s">
        <v>123</v>
      </c>
      <c r="B24" s="51">
        <v>7.84</v>
      </c>
      <c r="C24" s="51">
        <v>66.69</v>
      </c>
      <c r="D24" s="51">
        <v>39.17</v>
      </c>
      <c r="E24" s="51">
        <v>5.28</v>
      </c>
      <c r="F24" s="51">
        <v>23.3</v>
      </c>
      <c r="G24" s="51">
        <v>65.099999999999994</v>
      </c>
      <c r="H24" s="51">
        <v>26.7</v>
      </c>
      <c r="I24" s="51">
        <v>4.03</v>
      </c>
      <c r="J24" s="51">
        <v>2.1800000000000002</v>
      </c>
      <c r="K24" s="51">
        <v>322.91000000000003</v>
      </c>
      <c r="L24" s="51">
        <v>32.22</v>
      </c>
      <c r="M24" s="51">
        <v>20.190000000000001</v>
      </c>
      <c r="N24" s="51">
        <v>323.60000000000002</v>
      </c>
      <c r="O24" s="51">
        <v>0</v>
      </c>
      <c r="P24" s="51">
        <v>0.54</v>
      </c>
      <c r="Q24" s="51">
        <v>9.1999999999999993</v>
      </c>
      <c r="R24" s="43"/>
      <c r="S24" s="43"/>
      <c r="T24" s="43"/>
      <c r="U24" s="43"/>
    </row>
    <row r="25" spans="1:21" s="11" customFormat="1" x14ac:dyDescent="0.25">
      <c r="A25" s="50" t="s">
        <v>124</v>
      </c>
      <c r="B25" s="51">
        <v>17.55</v>
      </c>
      <c r="C25" s="51">
        <v>68.069999999999993</v>
      </c>
      <c r="D25" s="51">
        <v>48.26</v>
      </c>
      <c r="E25" s="51">
        <v>5.74</v>
      </c>
      <c r="F25" s="51">
        <v>30.86</v>
      </c>
      <c r="G25" s="51">
        <v>55.46</v>
      </c>
      <c r="H25" s="51">
        <v>23.55</v>
      </c>
      <c r="I25" s="51">
        <v>4.1500000000000004</v>
      </c>
      <c r="J25" s="51">
        <v>1.93</v>
      </c>
      <c r="K25" s="51">
        <v>351.47</v>
      </c>
      <c r="L25" s="51">
        <v>30.6</v>
      </c>
      <c r="M25" s="51">
        <v>23.98</v>
      </c>
      <c r="N25" s="51">
        <v>182.4</v>
      </c>
      <c r="O25" s="51">
        <v>0</v>
      </c>
      <c r="P25" s="51">
        <v>0.55000000000000004</v>
      </c>
      <c r="Q25" s="51">
        <v>9.1999999999999993</v>
      </c>
      <c r="R25" s="43"/>
      <c r="S25" s="43"/>
      <c r="T25" s="43"/>
      <c r="U25" s="43"/>
    </row>
    <row r="26" spans="1:21" s="11" customFormat="1" x14ac:dyDescent="0.25">
      <c r="A26" s="50" t="s">
        <v>125</v>
      </c>
      <c r="B26" s="51">
        <v>16.66</v>
      </c>
      <c r="C26" s="51">
        <v>78.75</v>
      </c>
      <c r="D26" s="51">
        <v>53.13</v>
      </c>
      <c r="E26" s="51">
        <v>9.1</v>
      </c>
      <c r="F26" s="51">
        <v>26.16</v>
      </c>
      <c r="G26" s="51">
        <v>49.79</v>
      </c>
      <c r="H26" s="51">
        <v>16.739999999999998</v>
      </c>
      <c r="I26" s="51">
        <v>3.96</v>
      </c>
      <c r="J26" s="51">
        <v>1.38</v>
      </c>
      <c r="K26" s="51">
        <v>346.04</v>
      </c>
      <c r="L26" s="51">
        <v>28.76</v>
      </c>
      <c r="M26" s="51">
        <v>29.24</v>
      </c>
      <c r="N26" s="51">
        <v>102.4</v>
      </c>
      <c r="O26" s="51">
        <v>0</v>
      </c>
      <c r="P26" s="51">
        <v>0.85</v>
      </c>
      <c r="Q26" s="51">
        <v>9.2799999999999994</v>
      </c>
      <c r="R26" s="43"/>
      <c r="S26" s="43"/>
      <c r="T26" s="43"/>
      <c r="U26" s="43"/>
    </row>
    <row r="27" spans="1:21" s="11" customFormat="1" x14ac:dyDescent="0.25">
      <c r="A27" s="50" t="s">
        <v>126</v>
      </c>
      <c r="B27" s="51">
        <v>55.37</v>
      </c>
      <c r="C27" s="51">
        <v>114.66</v>
      </c>
      <c r="D27" s="51">
        <v>102.93</v>
      </c>
      <c r="E27" s="51">
        <v>11.41</v>
      </c>
      <c r="F27" s="51">
        <v>16.59</v>
      </c>
      <c r="G27" s="51">
        <v>61.79</v>
      </c>
      <c r="H27" s="51">
        <v>17.71</v>
      </c>
      <c r="I27" s="51">
        <v>4.08</v>
      </c>
      <c r="J27" s="51">
        <v>0.97</v>
      </c>
      <c r="K27" s="51">
        <v>69.680000000000007</v>
      </c>
      <c r="L27" s="51">
        <v>26.32</v>
      </c>
      <c r="M27" s="51">
        <v>34.340000000000003</v>
      </c>
      <c r="N27" s="51">
        <v>63.3</v>
      </c>
      <c r="O27" s="51">
        <v>0</v>
      </c>
      <c r="P27" s="51">
        <v>1.47</v>
      </c>
      <c r="Q27" s="51">
        <v>9.33</v>
      </c>
      <c r="R27" s="43"/>
      <c r="S27" s="43"/>
      <c r="T27" s="43"/>
      <c r="U27" s="43"/>
    </row>
    <row r="28" spans="1:21" s="11" customFormat="1" x14ac:dyDescent="0.25">
      <c r="A28" s="50" t="s">
        <v>127</v>
      </c>
      <c r="B28" s="51">
        <v>53.34</v>
      </c>
      <c r="C28" s="51">
        <v>116.32</v>
      </c>
      <c r="D28" s="51">
        <v>100.5</v>
      </c>
      <c r="E28" s="51">
        <v>11.76</v>
      </c>
      <c r="F28" s="51">
        <v>11.97</v>
      </c>
      <c r="G28" s="51">
        <v>77.569999999999993</v>
      </c>
      <c r="H28" s="51">
        <v>23.69</v>
      </c>
      <c r="I28" s="51">
        <v>4.07</v>
      </c>
      <c r="J28" s="51">
        <v>1.01</v>
      </c>
      <c r="K28" s="51">
        <v>328.96</v>
      </c>
      <c r="L28" s="51">
        <v>24.72</v>
      </c>
      <c r="M28" s="51">
        <v>38.43</v>
      </c>
      <c r="N28" s="51">
        <v>62</v>
      </c>
      <c r="O28" s="51">
        <v>0</v>
      </c>
      <c r="P28" s="51">
        <v>1.71</v>
      </c>
      <c r="Q28" s="51">
        <v>9.39</v>
      </c>
      <c r="R28" s="43"/>
      <c r="S28" s="43"/>
      <c r="T28" s="43"/>
      <c r="U28" s="43"/>
    </row>
    <row r="29" spans="1:21" s="11" customFormat="1" x14ac:dyDescent="0.25">
      <c r="A29" s="50" t="s">
        <v>128</v>
      </c>
      <c r="B29" s="51">
        <v>146.82</v>
      </c>
      <c r="C29" s="51">
        <v>131.36000000000001</v>
      </c>
      <c r="D29" s="51">
        <v>184.99</v>
      </c>
      <c r="E29" s="51">
        <v>9.9</v>
      </c>
      <c r="F29" s="51">
        <v>8.57</v>
      </c>
      <c r="G29" s="51">
        <v>107.82</v>
      </c>
      <c r="H29" s="51">
        <v>27.23</v>
      </c>
      <c r="I29" s="51">
        <v>4.1100000000000003</v>
      </c>
      <c r="J29" s="51">
        <v>0.61</v>
      </c>
      <c r="K29" s="51">
        <v>339.65</v>
      </c>
      <c r="L29" s="51">
        <v>23.23</v>
      </c>
      <c r="M29" s="51">
        <v>50.66</v>
      </c>
      <c r="N29" s="51">
        <v>61.9</v>
      </c>
      <c r="O29" s="51">
        <v>0</v>
      </c>
      <c r="P29" s="51">
        <v>2.17</v>
      </c>
      <c r="Q29" s="51">
        <v>9.39</v>
      </c>
      <c r="R29" s="43"/>
      <c r="S29" s="43"/>
      <c r="T29" s="43"/>
      <c r="U29" s="43"/>
    </row>
    <row r="30" spans="1:21" s="11" customFormat="1" x14ac:dyDescent="0.25">
      <c r="A30" s="50" t="s">
        <v>129</v>
      </c>
      <c r="B30" s="51">
        <v>111.62</v>
      </c>
      <c r="C30" s="51">
        <v>113.23</v>
      </c>
      <c r="D30" s="51">
        <v>147.30000000000001</v>
      </c>
      <c r="E30" s="51">
        <v>8.6300000000000008</v>
      </c>
      <c r="F30" s="51">
        <v>9.25</v>
      </c>
      <c r="G30" s="51">
        <v>141.68</v>
      </c>
      <c r="H30" s="51">
        <v>33.11</v>
      </c>
      <c r="I30" s="51">
        <v>4.09</v>
      </c>
      <c r="J30" s="51">
        <v>1.02</v>
      </c>
      <c r="K30" s="51">
        <v>310.38</v>
      </c>
      <c r="L30" s="51">
        <v>22.08</v>
      </c>
      <c r="M30" s="51">
        <v>47.74</v>
      </c>
      <c r="N30" s="51">
        <v>61.6</v>
      </c>
      <c r="O30" s="51">
        <v>0</v>
      </c>
      <c r="P30" s="51">
        <v>2.2200000000000002</v>
      </c>
      <c r="Q30" s="51">
        <v>9.52</v>
      </c>
      <c r="R30" s="43"/>
      <c r="S30" s="43"/>
      <c r="T30" s="43"/>
      <c r="U30" s="43"/>
    </row>
    <row r="31" spans="1:21" s="11" customFormat="1" x14ac:dyDescent="0.25">
      <c r="A31" s="50" t="s">
        <v>130</v>
      </c>
      <c r="B31" s="51">
        <v>64.73</v>
      </c>
      <c r="C31" s="51">
        <v>90.66</v>
      </c>
      <c r="D31" s="51">
        <v>97.9</v>
      </c>
      <c r="E31" s="51">
        <v>6.07</v>
      </c>
      <c r="F31" s="51">
        <v>9.92</v>
      </c>
      <c r="G31" s="51">
        <v>133.84</v>
      </c>
      <c r="H31" s="51">
        <v>32.33</v>
      </c>
      <c r="I31" s="51">
        <v>4.2</v>
      </c>
      <c r="J31" s="51">
        <v>1.63</v>
      </c>
      <c r="K31" s="51">
        <v>344.69</v>
      </c>
      <c r="L31" s="51">
        <v>21.93</v>
      </c>
      <c r="M31" s="51">
        <v>41.26</v>
      </c>
      <c r="N31" s="51">
        <v>62.2</v>
      </c>
      <c r="O31" s="51">
        <v>0</v>
      </c>
      <c r="P31" s="51">
        <v>1.4</v>
      </c>
      <c r="Q31" s="51">
        <v>9.58</v>
      </c>
      <c r="R31" s="43"/>
      <c r="S31" s="43"/>
      <c r="T31" s="43"/>
      <c r="U31" s="43"/>
    </row>
    <row r="32" spans="1:21" s="11" customFormat="1" x14ac:dyDescent="0.25">
      <c r="A32" s="50" t="s">
        <v>131</v>
      </c>
      <c r="B32" s="51">
        <v>48.68</v>
      </c>
      <c r="C32" s="51">
        <v>91.8</v>
      </c>
      <c r="D32" s="51">
        <v>85.63</v>
      </c>
      <c r="E32" s="51">
        <v>11.63</v>
      </c>
      <c r="F32" s="51">
        <v>13.28</v>
      </c>
      <c r="G32" s="51">
        <v>110.77</v>
      </c>
      <c r="H32" s="51">
        <v>30.52</v>
      </c>
      <c r="I32" s="51">
        <v>4.13</v>
      </c>
      <c r="J32" s="51">
        <v>0.72</v>
      </c>
      <c r="K32" s="51">
        <v>359.48</v>
      </c>
      <c r="L32" s="51">
        <v>20.88</v>
      </c>
      <c r="M32" s="51">
        <v>43.16</v>
      </c>
      <c r="N32" s="51">
        <v>62</v>
      </c>
      <c r="O32" s="51">
        <v>0</v>
      </c>
      <c r="P32" s="51">
        <v>1.18</v>
      </c>
      <c r="Q32" s="51">
        <v>9.57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7.84</v>
      </c>
      <c r="C34" s="28">
        <f t="shared" si="0"/>
        <v>66.69</v>
      </c>
      <c r="D34" s="28">
        <f t="shared" si="0"/>
        <v>39.17</v>
      </c>
      <c r="E34" s="28">
        <f t="shared" si="0"/>
        <v>5.28</v>
      </c>
      <c r="F34" s="28">
        <f t="shared" si="0"/>
        <v>7.41</v>
      </c>
      <c r="G34" s="28">
        <f t="shared" si="0"/>
        <v>49.79</v>
      </c>
      <c r="H34" s="28">
        <f t="shared" si="0"/>
        <v>16.739999999999998</v>
      </c>
      <c r="I34" s="28">
        <f t="shared" si="0"/>
        <v>3.94</v>
      </c>
      <c r="J34" s="28">
        <f t="shared" si="0"/>
        <v>0.32</v>
      </c>
      <c r="K34" s="28">
        <f t="shared" si="0"/>
        <v>69.680000000000007</v>
      </c>
      <c r="L34" s="28">
        <f t="shared" si="0"/>
        <v>17.89</v>
      </c>
      <c r="M34" s="28">
        <f t="shared" si="0"/>
        <v>19.82</v>
      </c>
      <c r="N34" s="28">
        <f t="shared" si="0"/>
        <v>61.6</v>
      </c>
      <c r="O34" s="28">
        <f t="shared" si="0"/>
        <v>0</v>
      </c>
      <c r="P34" s="28">
        <f t="shared" si="0"/>
        <v>0.54</v>
      </c>
      <c r="Q34" s="28">
        <f t="shared" si="0"/>
        <v>9.1999999999999993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146.82</v>
      </c>
      <c r="C35" s="29">
        <f t="shared" si="1"/>
        <v>131.36000000000001</v>
      </c>
      <c r="D35" s="29">
        <f t="shared" si="1"/>
        <v>184.99</v>
      </c>
      <c r="E35" s="29">
        <f t="shared" si="1"/>
        <v>19.75</v>
      </c>
      <c r="F35" s="29">
        <f t="shared" si="1"/>
        <v>30.86</v>
      </c>
      <c r="G35" s="29">
        <f t="shared" si="1"/>
        <v>141.68</v>
      </c>
      <c r="H35" s="29">
        <f t="shared" si="1"/>
        <v>37.94</v>
      </c>
      <c r="I35" s="29">
        <f t="shared" si="1"/>
        <v>4.2</v>
      </c>
      <c r="J35" s="29">
        <f t="shared" si="1"/>
        <v>2.25</v>
      </c>
      <c r="K35" s="29">
        <f t="shared" si="1"/>
        <v>359.48</v>
      </c>
      <c r="L35" s="29">
        <f t="shared" si="1"/>
        <v>34.64</v>
      </c>
      <c r="M35" s="29">
        <f t="shared" si="1"/>
        <v>77.66</v>
      </c>
      <c r="N35" s="29">
        <f t="shared" si="1"/>
        <v>799.6</v>
      </c>
      <c r="O35" s="29">
        <f t="shared" si="1"/>
        <v>0</v>
      </c>
      <c r="P35" s="29">
        <f t="shared" si="1"/>
        <v>2.2200000000000002</v>
      </c>
      <c r="Q35" s="29">
        <f t="shared" si="1"/>
        <v>9.6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49.355416666666663</v>
      </c>
      <c r="C36" s="28">
        <f t="shared" si="2"/>
        <v>84.900416666666672</v>
      </c>
      <c r="D36" s="28">
        <f t="shared" si="2"/>
        <v>82.035416666666677</v>
      </c>
      <c r="E36" s="28">
        <f t="shared" si="2"/>
        <v>8.6295833333333327</v>
      </c>
      <c r="F36" s="28">
        <f t="shared" si="2"/>
        <v>14.961250000000001</v>
      </c>
      <c r="G36" s="28">
        <f t="shared" si="2"/>
        <v>92.185416666666654</v>
      </c>
      <c r="H36" s="28">
        <f t="shared" si="2"/>
        <v>29.103750000000005</v>
      </c>
      <c r="I36" s="28">
        <f t="shared" si="2"/>
        <v>4.0966666666666667</v>
      </c>
      <c r="J36" s="28">
        <f t="shared" si="2"/>
        <v>1.1749999999999998</v>
      </c>
      <c r="K36" s="28">
        <f t="shared" si="2"/>
        <v>306.38541666666669</v>
      </c>
      <c r="L36" s="28">
        <f t="shared" si="2"/>
        <v>25.614166666666666</v>
      </c>
      <c r="M36" s="28">
        <f t="shared" si="2"/>
        <v>43.762916666666683</v>
      </c>
      <c r="N36" s="28">
        <f t="shared" si="2"/>
        <v>285.625</v>
      </c>
      <c r="O36" s="28">
        <f t="shared" si="2"/>
        <v>0</v>
      </c>
      <c r="P36" s="28">
        <f t="shared" si="2"/>
        <v>1.0279166666666668</v>
      </c>
      <c r="Q36" s="28">
        <f t="shared" si="2"/>
        <v>9.4441666666666659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37.670909659861529</v>
      </c>
      <c r="C37" s="28">
        <f t="shared" ref="C37:Q37" si="3">STDEV(C9:C32)</f>
        <v>17.667659592345903</v>
      </c>
      <c r="D37" s="28">
        <f t="shared" si="3"/>
        <v>37.33441121389761</v>
      </c>
      <c r="E37" s="28">
        <f t="shared" si="3"/>
        <v>3.2405387087934061</v>
      </c>
      <c r="F37" s="28">
        <f t="shared" si="3"/>
        <v>7.0629993090138683</v>
      </c>
      <c r="G37" s="28">
        <f t="shared" si="3"/>
        <v>23.820653986416492</v>
      </c>
      <c r="H37" s="28">
        <f t="shared" si="3"/>
        <v>5.4179113675803334</v>
      </c>
      <c r="I37" s="28">
        <f t="shared" si="3"/>
        <v>6.2042528658323139E-2</v>
      </c>
      <c r="J37" s="28">
        <f t="shared" si="3"/>
        <v>0.5275208629709025</v>
      </c>
      <c r="K37" s="28">
        <f t="shared" si="3"/>
        <v>76.314535909767486</v>
      </c>
      <c r="L37" s="28">
        <f t="shared" si="3"/>
        <v>5.8272179331632818</v>
      </c>
      <c r="M37" s="28">
        <f t="shared" si="3"/>
        <v>18.445012635484613</v>
      </c>
      <c r="N37" s="28">
        <f t="shared" si="3"/>
        <v>298.35847894189584</v>
      </c>
      <c r="O37" s="28">
        <f t="shared" si="3"/>
        <v>0</v>
      </c>
      <c r="P37" s="28">
        <f t="shared" si="3"/>
        <v>0.45888313532320818</v>
      </c>
      <c r="Q37" s="28">
        <f t="shared" si="3"/>
        <v>0.11702532860980093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132</v>
      </c>
      <c r="B9" s="51">
        <v>40.07</v>
      </c>
      <c r="C9" s="51">
        <v>83.4</v>
      </c>
      <c r="D9" s="51">
        <v>73.099999999999994</v>
      </c>
      <c r="E9" s="51">
        <v>21.99</v>
      </c>
      <c r="F9" s="51">
        <v>13.77</v>
      </c>
      <c r="G9" s="51">
        <v>92.58</v>
      </c>
      <c r="H9" s="51">
        <v>28.54</v>
      </c>
      <c r="I9" s="51">
        <v>4.01</v>
      </c>
      <c r="J9" s="51">
        <v>0.77</v>
      </c>
      <c r="K9" s="51">
        <v>54.07</v>
      </c>
      <c r="L9" s="51">
        <v>20.7</v>
      </c>
      <c r="M9" s="51">
        <v>43.44</v>
      </c>
      <c r="N9" s="51">
        <v>61.4</v>
      </c>
      <c r="O9" s="51">
        <v>0</v>
      </c>
      <c r="P9" s="51">
        <v>1.01</v>
      </c>
      <c r="Q9" s="51">
        <v>9.5399999999999991</v>
      </c>
      <c r="R9" s="43"/>
      <c r="S9" s="43"/>
      <c r="T9" s="43"/>
      <c r="U9" s="43"/>
    </row>
    <row r="10" spans="1:21" s="11" customFormat="1" x14ac:dyDescent="0.25">
      <c r="A10" s="50" t="s">
        <v>133</v>
      </c>
      <c r="B10" s="51">
        <v>45.48</v>
      </c>
      <c r="C10" s="51">
        <v>78.09</v>
      </c>
      <c r="D10" s="51">
        <v>75.709999999999994</v>
      </c>
      <c r="E10" s="51">
        <v>11.05</v>
      </c>
      <c r="F10" s="51">
        <v>10.57</v>
      </c>
      <c r="G10" s="51">
        <v>107.39</v>
      </c>
      <c r="H10" s="51">
        <v>26.11</v>
      </c>
      <c r="I10" s="51">
        <v>4.21</v>
      </c>
      <c r="J10" s="51">
        <v>1.28</v>
      </c>
      <c r="K10" s="51">
        <v>42.26</v>
      </c>
      <c r="L10" s="51">
        <v>20.079999999999998</v>
      </c>
      <c r="M10" s="51">
        <v>44.26</v>
      </c>
      <c r="N10" s="51">
        <v>61.7</v>
      </c>
      <c r="O10" s="51">
        <v>0</v>
      </c>
      <c r="P10" s="51">
        <v>1.1299999999999999</v>
      </c>
      <c r="Q10" s="51">
        <v>9.5</v>
      </c>
      <c r="R10" s="43"/>
      <c r="S10" s="43"/>
      <c r="T10" s="43"/>
      <c r="U10" s="43"/>
    </row>
    <row r="11" spans="1:21" s="11" customFormat="1" x14ac:dyDescent="0.25">
      <c r="A11" s="50" t="s">
        <v>134</v>
      </c>
      <c r="B11" s="51">
        <v>31.02</v>
      </c>
      <c r="C11" s="51">
        <v>69.150000000000006</v>
      </c>
      <c r="D11" s="51">
        <v>59.63</v>
      </c>
      <c r="E11" s="51">
        <v>7.9</v>
      </c>
      <c r="F11" s="51">
        <v>10.55</v>
      </c>
      <c r="G11" s="51">
        <v>109.21</v>
      </c>
      <c r="H11" s="51">
        <v>22.2</v>
      </c>
      <c r="I11" s="51">
        <v>4.12</v>
      </c>
      <c r="J11" s="51">
        <v>0.65</v>
      </c>
      <c r="K11" s="51">
        <v>27.53</v>
      </c>
      <c r="L11" s="51">
        <v>19.28</v>
      </c>
      <c r="M11" s="51">
        <v>51.16</v>
      </c>
      <c r="N11" s="51">
        <v>61.8</v>
      </c>
      <c r="O11" s="51">
        <v>0</v>
      </c>
      <c r="P11" s="51">
        <v>0.95</v>
      </c>
      <c r="Q11" s="51">
        <v>9.51</v>
      </c>
      <c r="R11" s="43"/>
      <c r="S11" s="43"/>
      <c r="T11" s="43"/>
      <c r="U11" s="43"/>
    </row>
    <row r="12" spans="1:21" s="11" customFormat="1" x14ac:dyDescent="0.25">
      <c r="A12" s="50" t="s">
        <v>135</v>
      </c>
      <c r="B12" s="51">
        <v>22.69</v>
      </c>
      <c r="C12" s="51">
        <v>63.69</v>
      </c>
      <c r="D12" s="51">
        <v>49.42</v>
      </c>
      <c r="E12" s="51">
        <v>6.8</v>
      </c>
      <c r="F12" s="51">
        <v>12.14</v>
      </c>
      <c r="G12" s="51">
        <v>100.03</v>
      </c>
      <c r="H12" s="51">
        <v>39.479999999999997</v>
      </c>
      <c r="I12" s="51">
        <v>4.2</v>
      </c>
      <c r="J12" s="51">
        <v>0.66</v>
      </c>
      <c r="K12" s="51">
        <v>312.45</v>
      </c>
      <c r="L12" s="51">
        <v>18.079999999999998</v>
      </c>
      <c r="M12" s="51">
        <v>58.78</v>
      </c>
      <c r="N12" s="51">
        <v>62</v>
      </c>
      <c r="O12" s="51">
        <v>0</v>
      </c>
      <c r="P12" s="51">
        <v>0.82</v>
      </c>
      <c r="Q12" s="51">
        <v>9.4499999999999993</v>
      </c>
      <c r="R12" s="43"/>
      <c r="S12" s="43"/>
      <c r="T12" s="43"/>
      <c r="U12" s="43"/>
    </row>
    <row r="13" spans="1:21" s="11" customFormat="1" x14ac:dyDescent="0.25">
      <c r="A13" s="50" t="s">
        <v>136</v>
      </c>
      <c r="B13" s="51">
        <v>29.23</v>
      </c>
      <c r="C13" s="51">
        <v>67.239999999999995</v>
      </c>
      <c r="D13" s="51">
        <v>57.14</v>
      </c>
      <c r="E13" s="51">
        <v>7.41</v>
      </c>
      <c r="F13" s="51">
        <v>14.59</v>
      </c>
      <c r="G13" s="51">
        <v>80.97</v>
      </c>
      <c r="H13" s="51">
        <v>36.61</v>
      </c>
      <c r="I13" s="51">
        <v>4.08</v>
      </c>
      <c r="J13" s="51">
        <v>0.61</v>
      </c>
      <c r="K13" s="51">
        <v>48.38</v>
      </c>
      <c r="L13" s="51">
        <v>17.88</v>
      </c>
      <c r="M13" s="51">
        <v>59.37</v>
      </c>
      <c r="N13" s="51">
        <v>61.7</v>
      </c>
      <c r="O13" s="51">
        <v>0</v>
      </c>
      <c r="P13" s="51">
        <v>0.71</v>
      </c>
      <c r="Q13" s="51">
        <v>9.4600000000000009</v>
      </c>
      <c r="R13" s="43"/>
      <c r="S13" s="43"/>
      <c r="T13" s="43"/>
      <c r="U13" s="43"/>
    </row>
    <row r="14" spans="1:21" s="11" customFormat="1" x14ac:dyDescent="0.25">
      <c r="A14" s="50" t="s">
        <v>137</v>
      </c>
      <c r="B14" s="51">
        <v>24.45</v>
      </c>
      <c r="C14" s="51">
        <v>66.239999999999995</v>
      </c>
      <c r="D14" s="51">
        <v>52.81</v>
      </c>
      <c r="E14" s="51">
        <v>7.88</v>
      </c>
      <c r="F14" s="51">
        <v>14.19</v>
      </c>
      <c r="G14" s="51">
        <v>74.709999999999994</v>
      </c>
      <c r="H14" s="51">
        <v>29.28</v>
      </c>
      <c r="I14" s="51">
        <v>4.07</v>
      </c>
      <c r="J14" s="51">
        <v>1.05</v>
      </c>
      <c r="K14" s="51">
        <v>254.71</v>
      </c>
      <c r="L14" s="51">
        <v>17.88</v>
      </c>
      <c r="M14" s="51">
        <v>63.34</v>
      </c>
      <c r="N14" s="51">
        <v>62.1</v>
      </c>
      <c r="O14" s="51">
        <v>0</v>
      </c>
      <c r="P14" s="51">
        <v>0.71</v>
      </c>
      <c r="Q14" s="51">
        <v>9.4499999999999993</v>
      </c>
      <c r="R14" s="43"/>
      <c r="S14" s="43"/>
      <c r="T14" s="43"/>
      <c r="U14" s="43"/>
    </row>
    <row r="15" spans="1:21" s="11" customFormat="1" x14ac:dyDescent="0.25">
      <c r="A15" s="50" t="s">
        <v>138</v>
      </c>
      <c r="B15" s="51">
        <v>31.63</v>
      </c>
      <c r="C15" s="51">
        <v>64.87</v>
      </c>
      <c r="D15" s="51">
        <v>57.88</v>
      </c>
      <c r="E15" s="51">
        <v>5.76</v>
      </c>
      <c r="F15" s="51">
        <v>6.62</v>
      </c>
      <c r="G15" s="51">
        <v>78.92</v>
      </c>
      <c r="H15" s="51">
        <v>26.21</v>
      </c>
      <c r="I15" s="51">
        <v>4.12</v>
      </c>
      <c r="J15" s="51">
        <v>1.05</v>
      </c>
      <c r="K15" s="51">
        <v>314.54000000000002</v>
      </c>
      <c r="L15" s="51">
        <v>16.55</v>
      </c>
      <c r="M15" s="51">
        <v>68.489999999999995</v>
      </c>
      <c r="N15" s="51">
        <v>118.1</v>
      </c>
      <c r="O15" s="51">
        <v>0</v>
      </c>
      <c r="P15" s="51">
        <v>0.7</v>
      </c>
      <c r="Q15" s="51">
        <v>9.42</v>
      </c>
      <c r="R15" s="43"/>
      <c r="S15" s="43"/>
      <c r="T15" s="43"/>
      <c r="U15" s="43"/>
    </row>
    <row r="16" spans="1:21" s="11" customFormat="1" x14ac:dyDescent="0.25">
      <c r="A16" s="50" t="s">
        <v>139</v>
      </c>
      <c r="B16" s="51">
        <v>31.98</v>
      </c>
      <c r="C16" s="51">
        <v>67.209999999999994</v>
      </c>
      <c r="D16" s="51">
        <v>58.09</v>
      </c>
      <c r="E16" s="51">
        <v>6.09</v>
      </c>
      <c r="F16" s="51">
        <v>7.76</v>
      </c>
      <c r="G16" s="51">
        <v>89.54</v>
      </c>
      <c r="H16" s="51">
        <v>25.58</v>
      </c>
      <c r="I16" s="51">
        <v>4.0199999999999996</v>
      </c>
      <c r="J16" s="51">
        <v>1.0900000000000001</v>
      </c>
      <c r="K16" s="51">
        <v>205.61</v>
      </c>
      <c r="L16" s="51">
        <v>22.61</v>
      </c>
      <c r="M16" s="51">
        <v>62.44</v>
      </c>
      <c r="N16" s="51">
        <v>340.3</v>
      </c>
      <c r="O16" s="51">
        <v>0</v>
      </c>
      <c r="P16" s="51">
        <v>0.69</v>
      </c>
      <c r="Q16" s="51">
        <v>9.48</v>
      </c>
      <c r="R16" s="43"/>
      <c r="S16" s="43"/>
      <c r="T16" s="43"/>
      <c r="U16" s="43"/>
    </row>
    <row r="17" spans="1:21" s="11" customFormat="1" x14ac:dyDescent="0.25">
      <c r="A17" s="50" t="s">
        <v>140</v>
      </c>
      <c r="B17" s="51">
        <v>25.71</v>
      </c>
      <c r="C17" s="51">
        <v>65.64</v>
      </c>
      <c r="D17" s="51">
        <v>52.74</v>
      </c>
      <c r="E17" s="51">
        <v>5.79</v>
      </c>
      <c r="F17" s="51">
        <v>11.67</v>
      </c>
      <c r="G17" s="51">
        <v>88.8</v>
      </c>
      <c r="H17" s="51">
        <v>23.82</v>
      </c>
      <c r="I17" s="51">
        <v>4.1100000000000003</v>
      </c>
      <c r="J17" s="51">
        <v>2.12</v>
      </c>
      <c r="K17" s="51">
        <v>103.9</v>
      </c>
      <c r="L17" s="51">
        <v>23.69</v>
      </c>
      <c r="M17" s="51">
        <v>37.53</v>
      </c>
      <c r="N17" s="51">
        <v>550.70000000000005</v>
      </c>
      <c r="O17" s="51">
        <v>0</v>
      </c>
      <c r="P17" s="51">
        <v>0.66</v>
      </c>
      <c r="Q17" s="51">
        <v>9.48</v>
      </c>
      <c r="R17" s="43"/>
      <c r="S17" s="43"/>
      <c r="T17" s="43"/>
      <c r="U17" s="43"/>
    </row>
    <row r="18" spans="1:21" s="11" customFormat="1" x14ac:dyDescent="0.25">
      <c r="A18" s="50" t="s">
        <v>141</v>
      </c>
      <c r="B18" s="51">
        <v>19.86</v>
      </c>
      <c r="C18" s="51">
        <v>67.900000000000006</v>
      </c>
      <c r="D18" s="51">
        <v>50.02</v>
      </c>
      <c r="E18" s="51">
        <v>6.32</v>
      </c>
      <c r="F18" s="51">
        <v>12.38</v>
      </c>
      <c r="G18" s="51">
        <v>84.09</v>
      </c>
      <c r="H18" s="51">
        <v>22.36</v>
      </c>
      <c r="I18" s="51">
        <v>4.21</v>
      </c>
      <c r="J18" s="51">
        <v>1.74</v>
      </c>
      <c r="K18" s="51">
        <v>99.39</v>
      </c>
      <c r="L18" s="51">
        <v>26.97</v>
      </c>
      <c r="M18" s="51">
        <v>32.79</v>
      </c>
      <c r="N18" s="51">
        <v>729.3</v>
      </c>
      <c r="O18" s="51">
        <v>0</v>
      </c>
      <c r="P18" s="51">
        <v>0.59</v>
      </c>
      <c r="Q18" s="51">
        <v>9.4600000000000009</v>
      </c>
      <c r="R18" s="43"/>
      <c r="S18" s="43"/>
      <c r="T18" s="43"/>
      <c r="U18" s="43"/>
    </row>
    <row r="19" spans="1:21" s="11" customFormat="1" x14ac:dyDescent="0.25">
      <c r="A19" s="50" t="s">
        <v>142</v>
      </c>
      <c r="B19" s="51">
        <v>14.97</v>
      </c>
      <c r="C19" s="51">
        <v>65.69</v>
      </c>
      <c r="D19" s="51">
        <v>44.95</v>
      </c>
      <c r="E19" s="51">
        <v>7.45</v>
      </c>
      <c r="F19" s="51">
        <v>20.93</v>
      </c>
      <c r="G19" s="51">
        <v>73.88</v>
      </c>
      <c r="H19" s="51">
        <v>24.89</v>
      </c>
      <c r="I19" s="51">
        <v>4.04</v>
      </c>
      <c r="J19" s="51">
        <v>1.08</v>
      </c>
      <c r="K19" s="51">
        <v>102.5</v>
      </c>
      <c r="L19" s="51">
        <v>30.18</v>
      </c>
      <c r="M19" s="51">
        <v>26.99</v>
      </c>
      <c r="N19" s="51">
        <v>844.3</v>
      </c>
      <c r="O19" s="51">
        <v>0</v>
      </c>
      <c r="P19" s="51">
        <v>0.52</v>
      </c>
      <c r="Q19" s="51">
        <v>9.41</v>
      </c>
      <c r="R19" s="43"/>
      <c r="S19" s="43"/>
      <c r="T19" s="43"/>
      <c r="U19" s="43"/>
    </row>
    <row r="20" spans="1:21" s="11" customFormat="1" x14ac:dyDescent="0.25">
      <c r="A20" s="50" t="s">
        <v>143</v>
      </c>
      <c r="B20" s="51">
        <v>7.25</v>
      </c>
      <c r="C20" s="51">
        <v>67.709999999999994</v>
      </c>
      <c r="D20" s="51">
        <v>72.86</v>
      </c>
      <c r="E20" s="51">
        <v>7.45</v>
      </c>
      <c r="F20" s="51">
        <v>25.61</v>
      </c>
      <c r="G20" s="52" t="s">
        <v>12</v>
      </c>
      <c r="H20" s="52" t="s">
        <v>12</v>
      </c>
      <c r="I20" s="51">
        <v>4.13</v>
      </c>
      <c r="J20" s="51">
        <v>1.19</v>
      </c>
      <c r="K20" s="51">
        <v>351.86</v>
      </c>
      <c r="L20" s="51">
        <v>34.630000000000003</v>
      </c>
      <c r="M20" s="51">
        <v>23.64</v>
      </c>
      <c r="N20" s="51">
        <v>854.1</v>
      </c>
      <c r="O20" s="51">
        <v>0</v>
      </c>
      <c r="P20" s="51">
        <v>0.42</v>
      </c>
      <c r="Q20" s="51">
        <v>9.19</v>
      </c>
      <c r="R20" s="43"/>
      <c r="S20" s="43"/>
      <c r="T20" s="43"/>
      <c r="U20" s="43"/>
    </row>
    <row r="21" spans="1:21" s="11" customFormat="1" x14ac:dyDescent="0.25">
      <c r="A21" s="50" t="s">
        <v>144</v>
      </c>
      <c r="B21" s="51">
        <v>5.17</v>
      </c>
      <c r="C21" s="51">
        <v>70.75</v>
      </c>
      <c r="D21" s="51">
        <v>73.53</v>
      </c>
      <c r="E21" s="18" t="s">
        <v>12</v>
      </c>
      <c r="F21" s="51">
        <v>48.91</v>
      </c>
      <c r="G21" s="52" t="s">
        <v>12</v>
      </c>
      <c r="H21" s="52" t="s">
        <v>12</v>
      </c>
      <c r="I21" s="51">
        <v>4.16</v>
      </c>
      <c r="J21" s="51">
        <v>1.51</v>
      </c>
      <c r="K21" s="51">
        <v>342.6</v>
      </c>
      <c r="L21" s="51">
        <v>34.69</v>
      </c>
      <c r="M21" s="51">
        <v>19.87</v>
      </c>
      <c r="N21" s="51">
        <v>797</v>
      </c>
      <c r="O21" s="51">
        <v>0</v>
      </c>
      <c r="P21" s="51">
        <v>0.45</v>
      </c>
      <c r="Q21" s="51">
        <v>9.1999999999999993</v>
      </c>
      <c r="R21" s="43"/>
      <c r="S21" s="43"/>
      <c r="T21" s="43"/>
      <c r="U21" s="43"/>
    </row>
    <row r="22" spans="1:21" s="11" customFormat="1" x14ac:dyDescent="0.25">
      <c r="A22" s="50" t="s">
        <v>145</v>
      </c>
      <c r="B22" s="51">
        <v>5.73</v>
      </c>
      <c r="C22" s="51">
        <v>60.64</v>
      </c>
      <c r="D22" s="51">
        <v>36.049999999999997</v>
      </c>
      <c r="E22" s="51">
        <v>6.42</v>
      </c>
      <c r="F22" s="51">
        <v>40.619999999999997</v>
      </c>
      <c r="G22" s="51">
        <v>30.42</v>
      </c>
      <c r="H22" s="51">
        <v>10.59</v>
      </c>
      <c r="I22" s="51">
        <v>4.03</v>
      </c>
      <c r="J22" s="51">
        <v>1.63</v>
      </c>
      <c r="K22" s="51">
        <v>334.98</v>
      </c>
      <c r="L22" s="51">
        <v>33.93</v>
      </c>
      <c r="M22" s="51">
        <v>18.89</v>
      </c>
      <c r="N22" s="51">
        <v>750.5</v>
      </c>
      <c r="O22" s="51">
        <v>0</v>
      </c>
      <c r="P22" s="18" t="s">
        <v>12</v>
      </c>
      <c r="Q22" s="51">
        <v>9.1300000000000008</v>
      </c>
      <c r="R22" s="43"/>
      <c r="S22" s="43"/>
      <c r="T22" s="43"/>
      <c r="U22" s="43"/>
    </row>
    <row r="23" spans="1:21" s="11" customFormat="1" x14ac:dyDescent="0.25">
      <c r="A23" s="50" t="s">
        <v>146</v>
      </c>
      <c r="B23" s="51">
        <v>8.25</v>
      </c>
      <c r="C23" s="51">
        <v>63.93</v>
      </c>
      <c r="D23" s="51">
        <v>37.74</v>
      </c>
      <c r="E23" s="51">
        <v>6.08</v>
      </c>
      <c r="F23" s="51">
        <v>34.5</v>
      </c>
      <c r="G23" s="51">
        <v>39.369999999999997</v>
      </c>
      <c r="H23" s="51">
        <v>16.55</v>
      </c>
      <c r="I23" s="51">
        <v>4.16</v>
      </c>
      <c r="J23" s="51">
        <v>2.0699999999999998</v>
      </c>
      <c r="K23" s="51">
        <v>336.65</v>
      </c>
      <c r="L23" s="51">
        <v>34.909999999999997</v>
      </c>
      <c r="M23" s="51">
        <v>17.16</v>
      </c>
      <c r="N23" s="51">
        <v>685.9</v>
      </c>
      <c r="O23" s="51">
        <v>0</v>
      </c>
      <c r="P23" s="51">
        <v>0.66</v>
      </c>
      <c r="Q23" s="51">
        <v>9.27</v>
      </c>
      <c r="R23" s="43"/>
      <c r="S23" s="43"/>
      <c r="T23" s="43"/>
      <c r="U23" s="43"/>
    </row>
    <row r="24" spans="1:21" s="11" customFormat="1" x14ac:dyDescent="0.25">
      <c r="A24" s="50" t="s">
        <v>147</v>
      </c>
      <c r="B24" s="51">
        <v>8.51</v>
      </c>
      <c r="C24" s="51">
        <v>61.52</v>
      </c>
      <c r="D24" s="51">
        <v>36.53</v>
      </c>
      <c r="E24" s="51">
        <v>4.78</v>
      </c>
      <c r="F24" s="51">
        <v>29.36</v>
      </c>
      <c r="G24" s="51">
        <v>54.99</v>
      </c>
      <c r="H24" s="51">
        <v>19.68</v>
      </c>
      <c r="I24" s="51">
        <v>4.1500000000000004</v>
      </c>
      <c r="J24" s="51">
        <v>1.76</v>
      </c>
      <c r="K24" s="51">
        <v>328.72</v>
      </c>
      <c r="L24" s="51">
        <v>33.799999999999997</v>
      </c>
      <c r="M24" s="51">
        <v>19.03</v>
      </c>
      <c r="N24" s="51">
        <v>372.7</v>
      </c>
      <c r="O24" s="51">
        <v>0</v>
      </c>
      <c r="P24" s="51">
        <v>0.6</v>
      </c>
      <c r="Q24" s="51">
        <v>9.43</v>
      </c>
      <c r="R24" s="43"/>
      <c r="S24" s="43"/>
      <c r="T24" s="43"/>
      <c r="U24" s="43"/>
    </row>
    <row r="25" spans="1:21" s="11" customFormat="1" x14ac:dyDescent="0.25">
      <c r="A25" s="50" t="s">
        <v>148</v>
      </c>
      <c r="B25" s="51">
        <v>7.47</v>
      </c>
      <c r="C25" s="51">
        <v>65.069999999999993</v>
      </c>
      <c r="D25" s="51">
        <v>39.28</v>
      </c>
      <c r="E25" s="51">
        <v>5.72</v>
      </c>
      <c r="F25" s="51">
        <v>24.91</v>
      </c>
      <c r="G25" s="51">
        <v>40.53</v>
      </c>
      <c r="H25" s="51">
        <v>15.93</v>
      </c>
      <c r="I25" s="51">
        <v>4.08</v>
      </c>
      <c r="J25" s="51">
        <v>1.35</v>
      </c>
      <c r="K25" s="51">
        <v>319.60000000000002</v>
      </c>
      <c r="L25" s="51">
        <v>30.48</v>
      </c>
      <c r="M25" s="51">
        <v>22</v>
      </c>
      <c r="N25" s="51">
        <v>169.8</v>
      </c>
      <c r="O25" s="51">
        <v>0</v>
      </c>
      <c r="P25" s="51">
        <v>0.6</v>
      </c>
      <c r="Q25" s="51">
        <v>9.81</v>
      </c>
      <c r="R25" s="43"/>
      <c r="S25" s="43"/>
      <c r="T25" s="43"/>
      <c r="U25" s="43"/>
    </row>
    <row r="26" spans="1:21" s="11" customFormat="1" x14ac:dyDescent="0.25">
      <c r="A26" s="50" t="s">
        <v>149</v>
      </c>
      <c r="B26" s="51">
        <v>8.1300000000000008</v>
      </c>
      <c r="C26" s="51">
        <v>84.17</v>
      </c>
      <c r="D26" s="51">
        <v>47.51</v>
      </c>
      <c r="E26" s="51">
        <v>11.64</v>
      </c>
      <c r="F26" s="51">
        <v>48.8</v>
      </c>
      <c r="G26" s="51">
        <v>43.4</v>
      </c>
      <c r="H26" s="51">
        <v>16.63</v>
      </c>
      <c r="I26" s="51">
        <v>4.2300000000000004</v>
      </c>
      <c r="J26" s="51">
        <v>0.9</v>
      </c>
      <c r="K26" s="51">
        <v>259.63</v>
      </c>
      <c r="L26" s="51">
        <v>29.35</v>
      </c>
      <c r="M26" s="51">
        <v>24.47</v>
      </c>
      <c r="N26" s="51">
        <v>105.5</v>
      </c>
      <c r="O26" s="51">
        <v>0</v>
      </c>
      <c r="P26" s="51">
        <v>0.83</v>
      </c>
      <c r="Q26" s="51">
        <v>9.99</v>
      </c>
      <c r="R26" s="43"/>
      <c r="S26" s="43"/>
      <c r="T26" s="43"/>
      <c r="U26" s="43"/>
    </row>
    <row r="27" spans="1:21" s="11" customFormat="1" x14ac:dyDescent="0.25">
      <c r="A27" s="50" t="s">
        <v>150</v>
      </c>
      <c r="B27" s="51">
        <v>36.96</v>
      </c>
      <c r="C27" s="51">
        <v>92.22</v>
      </c>
      <c r="D27" s="51">
        <v>77.819999999999993</v>
      </c>
      <c r="E27" s="51">
        <v>11.56</v>
      </c>
      <c r="F27" s="51">
        <v>32.78</v>
      </c>
      <c r="G27" s="51">
        <v>62.89</v>
      </c>
      <c r="H27" s="51">
        <v>16.37</v>
      </c>
      <c r="I27" s="51">
        <v>4.1500000000000004</v>
      </c>
      <c r="J27" s="51">
        <v>0.81</v>
      </c>
      <c r="K27" s="51">
        <v>302.56</v>
      </c>
      <c r="L27" s="51">
        <v>27.14</v>
      </c>
      <c r="M27" s="51">
        <v>26.51</v>
      </c>
      <c r="N27" s="51">
        <v>63.6</v>
      </c>
      <c r="O27" s="51">
        <v>0</v>
      </c>
      <c r="P27" s="51">
        <v>1.28</v>
      </c>
      <c r="Q27" s="51">
        <v>10.06</v>
      </c>
      <c r="R27" s="43"/>
      <c r="S27" s="43"/>
      <c r="T27" s="43"/>
      <c r="U27" s="43"/>
    </row>
    <row r="28" spans="1:21" s="11" customFormat="1" x14ac:dyDescent="0.25">
      <c r="A28" s="50" t="s">
        <v>151</v>
      </c>
      <c r="B28" s="51">
        <v>70.77</v>
      </c>
      <c r="C28" s="51">
        <v>98.09</v>
      </c>
      <c r="D28" s="51">
        <v>106.99</v>
      </c>
      <c r="E28" s="51">
        <v>6.43</v>
      </c>
      <c r="F28" s="51">
        <v>15.63</v>
      </c>
      <c r="G28" s="51">
        <v>73.31</v>
      </c>
      <c r="H28" s="51">
        <v>14.87</v>
      </c>
      <c r="I28" s="51">
        <v>4.05</v>
      </c>
      <c r="J28" s="51">
        <v>0.73</v>
      </c>
      <c r="K28" s="51">
        <v>340.47</v>
      </c>
      <c r="L28" s="51">
        <v>25.56</v>
      </c>
      <c r="M28" s="51">
        <v>32.14</v>
      </c>
      <c r="N28" s="51">
        <v>62</v>
      </c>
      <c r="O28" s="51">
        <v>0</v>
      </c>
      <c r="P28" s="51">
        <v>1.88</v>
      </c>
      <c r="Q28" s="51">
        <v>10.09</v>
      </c>
      <c r="R28" s="43"/>
      <c r="S28" s="43"/>
      <c r="T28" s="43"/>
      <c r="U28" s="43"/>
    </row>
    <row r="29" spans="1:21" s="11" customFormat="1" x14ac:dyDescent="0.25">
      <c r="A29" s="50" t="s">
        <v>152</v>
      </c>
      <c r="B29" s="51">
        <v>58.49</v>
      </c>
      <c r="C29" s="51">
        <v>92.67</v>
      </c>
      <c r="D29" s="51">
        <v>95.32</v>
      </c>
      <c r="E29" s="51">
        <v>7.84</v>
      </c>
      <c r="F29" s="51">
        <v>11.94</v>
      </c>
      <c r="G29" s="51">
        <v>76.45</v>
      </c>
      <c r="H29" s="51">
        <v>24.16</v>
      </c>
      <c r="I29" s="51">
        <v>4.1500000000000004</v>
      </c>
      <c r="J29" s="51">
        <v>1.04</v>
      </c>
      <c r="K29" s="51">
        <v>341.39</v>
      </c>
      <c r="L29" s="51">
        <v>23.54</v>
      </c>
      <c r="M29" s="51">
        <v>36.07</v>
      </c>
      <c r="N29" s="51">
        <v>61.5</v>
      </c>
      <c r="O29" s="51">
        <v>0</v>
      </c>
      <c r="P29" s="51">
        <v>1.6</v>
      </c>
      <c r="Q29" s="51">
        <v>10.15</v>
      </c>
      <c r="R29" s="43"/>
      <c r="S29" s="43"/>
      <c r="T29" s="43"/>
      <c r="U29" s="43"/>
    </row>
    <row r="30" spans="1:21" s="11" customFormat="1" x14ac:dyDescent="0.25">
      <c r="A30" s="50" t="s">
        <v>153</v>
      </c>
      <c r="B30" s="51">
        <v>41.3</v>
      </c>
      <c r="C30" s="51">
        <v>74.81</v>
      </c>
      <c r="D30" s="51">
        <v>72.209999999999994</v>
      </c>
      <c r="E30" s="51">
        <v>5.51</v>
      </c>
      <c r="F30" s="51">
        <v>13.16</v>
      </c>
      <c r="G30" s="51">
        <v>83.23</v>
      </c>
      <c r="H30" s="51">
        <v>24.27</v>
      </c>
      <c r="I30" s="51">
        <v>4.0999999999999996</v>
      </c>
      <c r="J30" s="51">
        <v>2.2999999999999998</v>
      </c>
      <c r="K30" s="51">
        <v>334.71</v>
      </c>
      <c r="L30" s="51">
        <v>23.43</v>
      </c>
      <c r="M30" s="51">
        <v>36.29</v>
      </c>
      <c r="N30" s="51">
        <v>61</v>
      </c>
      <c r="O30" s="51">
        <v>0</v>
      </c>
      <c r="P30" s="51">
        <v>1.46</v>
      </c>
      <c r="Q30" s="51">
        <v>10.199999999999999</v>
      </c>
      <c r="R30" s="43"/>
      <c r="S30" s="43"/>
      <c r="T30" s="43"/>
      <c r="U30" s="43"/>
    </row>
    <row r="31" spans="1:21" s="11" customFormat="1" x14ac:dyDescent="0.25">
      <c r="A31" s="50" t="s">
        <v>154</v>
      </c>
      <c r="B31" s="51">
        <v>28.61</v>
      </c>
      <c r="C31" s="51">
        <v>73.63</v>
      </c>
      <c r="D31" s="51">
        <v>59.16</v>
      </c>
      <c r="E31" s="51">
        <v>6.17</v>
      </c>
      <c r="F31" s="51">
        <v>12.5</v>
      </c>
      <c r="G31" s="51">
        <v>70.31</v>
      </c>
      <c r="H31" s="51">
        <v>20.48</v>
      </c>
      <c r="I31" s="51">
        <v>4.1399999999999997</v>
      </c>
      <c r="J31" s="51">
        <v>2.1800000000000002</v>
      </c>
      <c r="K31" s="51">
        <v>344.47</v>
      </c>
      <c r="L31" s="51">
        <v>23.3</v>
      </c>
      <c r="M31" s="51">
        <v>38.17</v>
      </c>
      <c r="N31" s="51">
        <v>62.1</v>
      </c>
      <c r="O31" s="51">
        <v>0</v>
      </c>
      <c r="P31" s="51">
        <v>1.2</v>
      </c>
      <c r="Q31" s="51">
        <v>10.23</v>
      </c>
      <c r="R31" s="43"/>
      <c r="S31" s="43"/>
      <c r="T31" s="43"/>
      <c r="U31" s="43"/>
    </row>
    <row r="32" spans="1:21" s="11" customFormat="1" x14ac:dyDescent="0.25">
      <c r="A32" s="50" t="s">
        <v>155</v>
      </c>
      <c r="B32" s="51">
        <v>24.31</v>
      </c>
      <c r="C32" s="51">
        <v>69.17</v>
      </c>
      <c r="D32" s="51">
        <v>53.8</v>
      </c>
      <c r="E32" s="51">
        <v>6.48</v>
      </c>
      <c r="F32" s="51">
        <v>9.1</v>
      </c>
      <c r="G32" s="51">
        <v>62.88</v>
      </c>
      <c r="H32" s="51">
        <v>20.41</v>
      </c>
      <c r="I32" s="51">
        <v>4.17</v>
      </c>
      <c r="J32" s="51">
        <v>2.31</v>
      </c>
      <c r="K32" s="51">
        <v>351.43</v>
      </c>
      <c r="L32" s="51">
        <v>22.21</v>
      </c>
      <c r="M32" s="51">
        <v>39.229999999999997</v>
      </c>
      <c r="N32" s="51">
        <v>61.6</v>
      </c>
      <c r="O32" s="51">
        <v>0</v>
      </c>
      <c r="P32" s="51">
        <v>1.1499999999999999</v>
      </c>
      <c r="Q32" s="51">
        <v>10.130000000000001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5.17</v>
      </c>
      <c r="C34" s="28">
        <f t="shared" si="0"/>
        <v>60.64</v>
      </c>
      <c r="D34" s="28">
        <f t="shared" si="0"/>
        <v>36.049999999999997</v>
      </c>
      <c r="E34" s="28">
        <f t="shared" si="0"/>
        <v>4.78</v>
      </c>
      <c r="F34" s="28">
        <f t="shared" si="0"/>
        <v>6.62</v>
      </c>
      <c r="G34" s="28">
        <f t="shared" si="0"/>
        <v>30.42</v>
      </c>
      <c r="H34" s="28">
        <f t="shared" si="0"/>
        <v>10.59</v>
      </c>
      <c r="I34" s="28">
        <f t="shared" si="0"/>
        <v>4.01</v>
      </c>
      <c r="J34" s="28">
        <f t="shared" si="0"/>
        <v>0.61</v>
      </c>
      <c r="K34" s="28">
        <f t="shared" si="0"/>
        <v>27.53</v>
      </c>
      <c r="L34" s="28">
        <f t="shared" si="0"/>
        <v>16.55</v>
      </c>
      <c r="M34" s="28">
        <f t="shared" si="0"/>
        <v>17.16</v>
      </c>
      <c r="N34" s="28">
        <f t="shared" si="0"/>
        <v>61</v>
      </c>
      <c r="O34" s="28">
        <f t="shared" si="0"/>
        <v>0</v>
      </c>
      <c r="P34" s="28">
        <f t="shared" si="0"/>
        <v>0.42</v>
      </c>
      <c r="Q34" s="28">
        <f t="shared" si="0"/>
        <v>9.1300000000000008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70.77</v>
      </c>
      <c r="C35" s="29">
        <f t="shared" si="1"/>
        <v>98.09</v>
      </c>
      <c r="D35" s="29">
        <f t="shared" si="1"/>
        <v>106.99</v>
      </c>
      <c r="E35" s="29">
        <f t="shared" si="1"/>
        <v>21.99</v>
      </c>
      <c r="F35" s="29">
        <f t="shared" si="1"/>
        <v>48.91</v>
      </c>
      <c r="G35" s="29">
        <f t="shared" si="1"/>
        <v>109.21</v>
      </c>
      <c r="H35" s="29">
        <f t="shared" si="1"/>
        <v>39.479999999999997</v>
      </c>
      <c r="I35" s="29">
        <f t="shared" si="1"/>
        <v>4.2300000000000004</v>
      </c>
      <c r="J35" s="29">
        <f t="shared" si="1"/>
        <v>2.31</v>
      </c>
      <c r="K35" s="29">
        <f t="shared" si="1"/>
        <v>351.86</v>
      </c>
      <c r="L35" s="29">
        <f t="shared" si="1"/>
        <v>34.909999999999997</v>
      </c>
      <c r="M35" s="29">
        <f t="shared" si="1"/>
        <v>68.489999999999995</v>
      </c>
      <c r="N35" s="29">
        <f t="shared" si="1"/>
        <v>854.1</v>
      </c>
      <c r="O35" s="29">
        <f t="shared" si="1"/>
        <v>0</v>
      </c>
      <c r="P35" s="29">
        <f t="shared" si="1"/>
        <v>1.88</v>
      </c>
      <c r="Q35" s="29">
        <f t="shared" si="1"/>
        <v>10.23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26.168333333333326</v>
      </c>
      <c r="C36" s="28">
        <f t="shared" si="2"/>
        <v>72.229166666666671</v>
      </c>
      <c r="D36" s="28">
        <f t="shared" si="2"/>
        <v>60.012083333333329</v>
      </c>
      <c r="E36" s="28">
        <f t="shared" si="2"/>
        <v>7.8486956521739133</v>
      </c>
      <c r="F36" s="28">
        <f t="shared" si="2"/>
        <v>20.124583333333337</v>
      </c>
      <c r="G36" s="28">
        <f t="shared" si="2"/>
        <v>73.540909090909096</v>
      </c>
      <c r="H36" s="28">
        <f t="shared" si="2"/>
        <v>22.955454545454547</v>
      </c>
      <c r="I36" s="28">
        <f t="shared" si="2"/>
        <v>4.1204166666666673</v>
      </c>
      <c r="J36" s="28">
        <f t="shared" si="2"/>
        <v>1.3283333333333334</v>
      </c>
      <c r="K36" s="28">
        <f t="shared" si="2"/>
        <v>243.93375000000006</v>
      </c>
      <c r="L36" s="28">
        <f t="shared" si="2"/>
        <v>25.452916666666667</v>
      </c>
      <c r="M36" s="28">
        <f t="shared" si="2"/>
        <v>37.585833333333333</v>
      </c>
      <c r="N36" s="28">
        <f t="shared" si="2"/>
        <v>294.19583333333338</v>
      </c>
      <c r="O36" s="28">
        <f t="shared" si="2"/>
        <v>0</v>
      </c>
      <c r="P36" s="28">
        <f t="shared" si="2"/>
        <v>0.89652173913043465</v>
      </c>
      <c r="Q36" s="28">
        <f t="shared" si="2"/>
        <v>9.6266666666666669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17.139411147783164</v>
      </c>
      <c r="C37" s="28">
        <f t="shared" ref="C37:Q37" si="3">STDEV(C9:C32)</f>
        <v>10.477949482714562</v>
      </c>
      <c r="D37" s="28">
        <f t="shared" si="3"/>
        <v>18.048686807383383</v>
      </c>
      <c r="E37" s="28">
        <f t="shared" si="3"/>
        <v>3.6011895816746513</v>
      </c>
      <c r="F37" s="28">
        <f t="shared" si="3"/>
        <v>12.703506184674273</v>
      </c>
      <c r="G37" s="28">
        <f t="shared" si="3"/>
        <v>21.687422931734297</v>
      </c>
      <c r="H37" s="28">
        <f t="shared" si="3"/>
        <v>6.8386198324019345</v>
      </c>
      <c r="I37" s="28">
        <f t="shared" si="3"/>
        <v>6.3003048005402296E-2</v>
      </c>
      <c r="J37" s="28">
        <f t="shared" si="3"/>
        <v>0.56000517595951693</v>
      </c>
      <c r="K37" s="28">
        <f t="shared" si="3"/>
        <v>121.07299436119899</v>
      </c>
      <c r="L37" s="28">
        <f t="shared" si="3"/>
        <v>6.0449529642983748</v>
      </c>
      <c r="M37" s="28">
        <f t="shared" si="3"/>
        <v>15.813953914369328</v>
      </c>
      <c r="N37" s="28">
        <f t="shared" si="3"/>
        <v>310.94062550683157</v>
      </c>
      <c r="O37" s="28">
        <f t="shared" si="3"/>
        <v>0</v>
      </c>
      <c r="P37" s="28">
        <f t="shared" si="3"/>
        <v>0.38519898866633251</v>
      </c>
      <c r="Q37" s="28">
        <f t="shared" si="3"/>
        <v>0.3526997327037199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156</v>
      </c>
      <c r="B9" s="51">
        <v>15.63</v>
      </c>
      <c r="C9" s="51">
        <v>69.73</v>
      </c>
      <c r="D9" s="51">
        <v>48.96</v>
      </c>
      <c r="E9" s="51">
        <v>3.37</v>
      </c>
      <c r="F9" s="51">
        <v>8.77</v>
      </c>
      <c r="G9" s="51">
        <v>67.39</v>
      </c>
      <c r="H9" s="51">
        <v>20.98</v>
      </c>
      <c r="I9" s="51">
        <v>4.12</v>
      </c>
      <c r="J9" s="51">
        <v>2.33</v>
      </c>
      <c r="K9" s="51">
        <v>352.9</v>
      </c>
      <c r="L9" s="51">
        <v>21.83</v>
      </c>
      <c r="M9" s="51">
        <v>40.770000000000003</v>
      </c>
      <c r="N9" s="51">
        <v>62</v>
      </c>
      <c r="O9" s="51">
        <v>0</v>
      </c>
      <c r="P9" s="51">
        <v>1.01</v>
      </c>
      <c r="Q9" s="51">
        <v>10.09</v>
      </c>
      <c r="R9" s="43"/>
      <c r="S9" s="43"/>
      <c r="T9" s="43"/>
      <c r="U9" s="43"/>
    </row>
    <row r="10" spans="1:21" s="11" customFormat="1" x14ac:dyDescent="0.25">
      <c r="A10" s="50" t="s">
        <v>157</v>
      </c>
      <c r="B10" s="51">
        <v>8.86</v>
      </c>
      <c r="C10" s="51">
        <v>68</v>
      </c>
      <c r="D10" s="51">
        <v>42.19</v>
      </c>
      <c r="E10" s="51">
        <v>5.84</v>
      </c>
      <c r="F10" s="51">
        <v>11.73</v>
      </c>
      <c r="G10" s="51">
        <v>63.53</v>
      </c>
      <c r="H10" s="51">
        <v>16.61</v>
      </c>
      <c r="I10" s="51">
        <v>4.04</v>
      </c>
      <c r="J10" s="51">
        <v>2.6</v>
      </c>
      <c r="K10" s="51">
        <v>357.92</v>
      </c>
      <c r="L10" s="51">
        <v>21.02</v>
      </c>
      <c r="M10" s="51">
        <v>41.59</v>
      </c>
      <c r="N10" s="51">
        <v>62</v>
      </c>
      <c r="O10" s="51">
        <v>0</v>
      </c>
      <c r="P10" s="51">
        <v>0.82</v>
      </c>
      <c r="Q10" s="51">
        <v>10.02</v>
      </c>
      <c r="R10" s="43"/>
      <c r="S10" s="43"/>
      <c r="T10" s="43"/>
      <c r="U10" s="43"/>
    </row>
    <row r="11" spans="1:21" s="11" customFormat="1" x14ac:dyDescent="0.25">
      <c r="A11" s="50" t="s">
        <v>158</v>
      </c>
      <c r="B11" s="51">
        <v>6.3</v>
      </c>
      <c r="C11" s="51">
        <v>60.04</v>
      </c>
      <c r="D11" s="51">
        <v>36.24</v>
      </c>
      <c r="E11" s="51">
        <v>3.52</v>
      </c>
      <c r="F11" s="51">
        <v>11.34</v>
      </c>
      <c r="G11" s="51">
        <v>65.3</v>
      </c>
      <c r="H11" s="51">
        <v>20.66</v>
      </c>
      <c r="I11" s="51">
        <v>4.13</v>
      </c>
      <c r="J11" s="51">
        <v>2.65</v>
      </c>
      <c r="K11" s="51">
        <v>359.87</v>
      </c>
      <c r="L11" s="51">
        <v>20.309999999999999</v>
      </c>
      <c r="M11" s="51">
        <v>44.72</v>
      </c>
      <c r="N11" s="51">
        <v>62.3</v>
      </c>
      <c r="O11" s="51">
        <v>0</v>
      </c>
      <c r="P11" s="51">
        <v>0.7</v>
      </c>
      <c r="Q11" s="51">
        <v>9.93</v>
      </c>
      <c r="R11" s="43"/>
      <c r="S11" s="43"/>
      <c r="T11" s="43"/>
      <c r="U11" s="43"/>
    </row>
    <row r="12" spans="1:21" s="11" customFormat="1" x14ac:dyDescent="0.25">
      <c r="A12" s="50" t="s">
        <v>159</v>
      </c>
      <c r="B12" s="51">
        <v>4.3499999999999996</v>
      </c>
      <c r="C12" s="51">
        <v>57.52</v>
      </c>
      <c r="D12" s="51">
        <v>33.380000000000003</v>
      </c>
      <c r="E12" s="51">
        <v>3.37</v>
      </c>
      <c r="F12" s="51">
        <v>11.73</v>
      </c>
      <c r="G12" s="51">
        <v>56.99</v>
      </c>
      <c r="H12" s="51">
        <v>19.52</v>
      </c>
      <c r="I12" s="51">
        <v>4.1399999999999997</v>
      </c>
      <c r="J12" s="51">
        <v>2.52</v>
      </c>
      <c r="K12" s="51">
        <v>359.68</v>
      </c>
      <c r="L12" s="51">
        <v>19.420000000000002</v>
      </c>
      <c r="M12" s="51">
        <v>45.62</v>
      </c>
      <c r="N12" s="51">
        <v>62.2</v>
      </c>
      <c r="O12" s="51">
        <v>0</v>
      </c>
      <c r="P12" s="51">
        <v>0.61</v>
      </c>
      <c r="Q12" s="51">
        <v>9.93</v>
      </c>
      <c r="R12" s="43"/>
      <c r="S12" s="43"/>
      <c r="T12" s="43"/>
      <c r="U12" s="43"/>
    </row>
    <row r="13" spans="1:21" s="11" customFormat="1" x14ac:dyDescent="0.25">
      <c r="A13" s="50" t="s">
        <v>160</v>
      </c>
      <c r="B13" s="51">
        <v>4.8600000000000003</v>
      </c>
      <c r="C13" s="51">
        <v>56.56</v>
      </c>
      <c r="D13" s="51">
        <v>33.03</v>
      </c>
      <c r="E13" s="51">
        <v>2.72</v>
      </c>
      <c r="F13" s="51">
        <v>8.6</v>
      </c>
      <c r="G13" s="51">
        <v>57.67</v>
      </c>
      <c r="H13" s="51">
        <v>16.87</v>
      </c>
      <c r="I13" s="51">
        <v>4.01</v>
      </c>
      <c r="J13" s="51">
        <v>1.99</v>
      </c>
      <c r="K13" s="51">
        <v>356.05</v>
      </c>
      <c r="L13" s="51">
        <v>18.66</v>
      </c>
      <c r="M13" s="51">
        <v>45.52</v>
      </c>
      <c r="N13" s="51">
        <v>62</v>
      </c>
      <c r="O13" s="51">
        <v>0</v>
      </c>
      <c r="P13" s="51">
        <v>0.56999999999999995</v>
      </c>
      <c r="Q13" s="51">
        <v>9.83</v>
      </c>
      <c r="R13" s="43"/>
      <c r="S13" s="43"/>
      <c r="T13" s="43"/>
      <c r="U13" s="43"/>
    </row>
    <row r="14" spans="1:21" s="11" customFormat="1" x14ac:dyDescent="0.25">
      <c r="A14" s="50" t="s">
        <v>161</v>
      </c>
      <c r="B14" s="51">
        <v>5.31</v>
      </c>
      <c r="C14" s="51">
        <v>56.82</v>
      </c>
      <c r="D14" s="51">
        <v>33.950000000000003</v>
      </c>
      <c r="E14" s="51">
        <v>2.66</v>
      </c>
      <c r="F14" s="51">
        <v>8.83</v>
      </c>
      <c r="G14" s="51">
        <v>57.01</v>
      </c>
      <c r="H14" s="51">
        <v>16.100000000000001</v>
      </c>
      <c r="I14" s="51">
        <v>4.12</v>
      </c>
      <c r="J14" s="51">
        <v>2.09</v>
      </c>
      <c r="K14" s="51">
        <v>357.57</v>
      </c>
      <c r="L14" s="51">
        <v>18.21</v>
      </c>
      <c r="M14" s="51">
        <v>49.03</v>
      </c>
      <c r="N14" s="51">
        <v>62.1</v>
      </c>
      <c r="O14" s="51">
        <v>0</v>
      </c>
      <c r="P14" s="51">
        <v>0.55000000000000004</v>
      </c>
      <c r="Q14" s="51">
        <v>9.75</v>
      </c>
      <c r="R14" s="43"/>
      <c r="S14" s="43"/>
      <c r="T14" s="43"/>
      <c r="U14" s="43"/>
    </row>
    <row r="15" spans="1:21" s="11" customFormat="1" x14ac:dyDescent="0.25">
      <c r="A15" s="50" t="s">
        <v>162</v>
      </c>
      <c r="B15" s="51">
        <v>9.44</v>
      </c>
      <c r="C15" s="51">
        <v>62.59</v>
      </c>
      <c r="D15" s="51">
        <v>40.270000000000003</v>
      </c>
      <c r="E15" s="51">
        <v>2.84</v>
      </c>
      <c r="F15" s="51">
        <v>8.0500000000000007</v>
      </c>
      <c r="G15" s="51">
        <v>57.94</v>
      </c>
      <c r="H15" s="51">
        <v>15.62</v>
      </c>
      <c r="I15" s="51">
        <v>4.0999999999999996</v>
      </c>
      <c r="J15" s="51">
        <v>2.11</v>
      </c>
      <c r="K15" s="51">
        <v>346.46</v>
      </c>
      <c r="L15" s="51">
        <v>17.649999999999999</v>
      </c>
      <c r="M15" s="51">
        <v>49.97</v>
      </c>
      <c r="N15" s="51">
        <v>119.1</v>
      </c>
      <c r="O15" s="51">
        <v>0</v>
      </c>
      <c r="P15" s="51">
        <v>0.6</v>
      </c>
      <c r="Q15" s="51">
        <v>9.83</v>
      </c>
      <c r="R15" s="43"/>
      <c r="S15" s="43"/>
      <c r="T15" s="43"/>
      <c r="U15" s="43"/>
    </row>
    <row r="16" spans="1:21" s="11" customFormat="1" x14ac:dyDescent="0.25">
      <c r="A16" s="50" t="s">
        <v>163</v>
      </c>
      <c r="B16" s="51">
        <v>13.58</v>
      </c>
      <c r="C16" s="51">
        <v>64.680000000000007</v>
      </c>
      <c r="D16" s="51">
        <v>44.68</v>
      </c>
      <c r="E16" s="51">
        <v>4.62</v>
      </c>
      <c r="F16" s="51">
        <v>9.67</v>
      </c>
      <c r="G16" s="51">
        <v>78.849999999999994</v>
      </c>
      <c r="H16" s="51">
        <v>19.600000000000001</v>
      </c>
      <c r="I16" s="51">
        <v>4.08</v>
      </c>
      <c r="J16" s="51">
        <v>2.75</v>
      </c>
      <c r="K16" s="51">
        <v>352.64</v>
      </c>
      <c r="L16" s="51">
        <v>22.09</v>
      </c>
      <c r="M16" s="51">
        <v>41.52</v>
      </c>
      <c r="N16" s="51">
        <v>372.7</v>
      </c>
      <c r="O16" s="51">
        <v>0</v>
      </c>
      <c r="P16" s="51">
        <v>0.65</v>
      </c>
      <c r="Q16" s="51">
        <v>9.86</v>
      </c>
      <c r="R16" s="43"/>
      <c r="S16" s="43"/>
      <c r="T16" s="43"/>
      <c r="U16" s="43"/>
    </row>
    <row r="17" spans="1:21" s="11" customFormat="1" x14ac:dyDescent="0.25">
      <c r="A17" s="50" t="s">
        <v>164</v>
      </c>
      <c r="B17" s="51">
        <v>12.67</v>
      </c>
      <c r="C17" s="51">
        <v>68.599999999999994</v>
      </c>
      <c r="D17" s="51">
        <v>44.79</v>
      </c>
      <c r="E17" s="51">
        <v>3.97</v>
      </c>
      <c r="F17" s="51">
        <v>8.15</v>
      </c>
      <c r="G17" s="51">
        <v>95.76</v>
      </c>
      <c r="H17" s="51">
        <v>20.95</v>
      </c>
      <c r="I17" s="51">
        <v>4.1500000000000004</v>
      </c>
      <c r="J17" s="51">
        <v>2.62</v>
      </c>
      <c r="K17" s="51">
        <v>355.4</v>
      </c>
      <c r="L17" s="51">
        <v>26.02</v>
      </c>
      <c r="M17" s="51">
        <v>28.78</v>
      </c>
      <c r="N17" s="51">
        <v>576.29999999999995</v>
      </c>
      <c r="O17" s="51">
        <v>0</v>
      </c>
      <c r="P17" s="51">
        <v>0.67</v>
      </c>
      <c r="Q17" s="51">
        <v>9.83</v>
      </c>
      <c r="R17" s="43"/>
      <c r="S17" s="43"/>
      <c r="T17" s="43"/>
      <c r="U17" s="43"/>
    </row>
    <row r="18" spans="1:21" s="11" customFormat="1" x14ac:dyDescent="0.25">
      <c r="A18" s="50" t="s">
        <v>165</v>
      </c>
      <c r="B18" s="51">
        <v>10.69</v>
      </c>
      <c r="C18" s="51">
        <v>70.180000000000007</v>
      </c>
      <c r="D18" s="51">
        <v>45.24</v>
      </c>
      <c r="E18" s="51">
        <v>3.19</v>
      </c>
      <c r="F18" s="51">
        <v>10.130000000000001</v>
      </c>
      <c r="G18" s="51">
        <v>100.52</v>
      </c>
      <c r="H18" s="51">
        <v>34.14</v>
      </c>
      <c r="I18" s="51">
        <v>4.09</v>
      </c>
      <c r="J18" s="51">
        <v>2.89</v>
      </c>
      <c r="K18" s="51">
        <v>355.06</v>
      </c>
      <c r="L18" s="51">
        <v>27.91</v>
      </c>
      <c r="M18" s="51">
        <v>20.8</v>
      </c>
      <c r="N18" s="51">
        <v>742.5</v>
      </c>
      <c r="O18" s="51">
        <v>0</v>
      </c>
      <c r="P18" s="51">
        <v>0.67</v>
      </c>
      <c r="Q18" s="51">
        <v>9.83</v>
      </c>
      <c r="R18" s="43"/>
      <c r="S18" s="43"/>
      <c r="T18" s="43"/>
      <c r="U18" s="43"/>
    </row>
    <row r="19" spans="1:21" s="11" customFormat="1" x14ac:dyDescent="0.25">
      <c r="A19" s="50" t="s">
        <v>166</v>
      </c>
      <c r="B19" s="51">
        <v>8.89</v>
      </c>
      <c r="C19" s="51">
        <v>69.650000000000006</v>
      </c>
      <c r="D19" s="51">
        <v>43.27</v>
      </c>
      <c r="E19" s="51">
        <v>2.67</v>
      </c>
      <c r="F19" s="51">
        <v>10.47</v>
      </c>
      <c r="G19" s="51">
        <v>92.29</v>
      </c>
      <c r="H19" s="51">
        <v>31.26</v>
      </c>
      <c r="I19" s="51">
        <v>4.18</v>
      </c>
      <c r="J19" s="51">
        <v>2.38</v>
      </c>
      <c r="K19" s="51">
        <v>350.83</v>
      </c>
      <c r="L19" s="51">
        <v>29.97</v>
      </c>
      <c r="M19" s="51">
        <v>16.88</v>
      </c>
      <c r="N19" s="51">
        <v>916.3</v>
      </c>
      <c r="O19" s="51">
        <v>0</v>
      </c>
      <c r="P19" s="51">
        <v>0.65</v>
      </c>
      <c r="Q19" s="51">
        <v>9.7799999999999994</v>
      </c>
      <c r="R19" s="43"/>
      <c r="S19" s="43"/>
      <c r="T19" s="43"/>
      <c r="U19" s="43"/>
    </row>
    <row r="20" spans="1:21" s="11" customFormat="1" x14ac:dyDescent="0.25">
      <c r="A20" s="50" t="s">
        <v>167</v>
      </c>
      <c r="B20" s="51">
        <v>6.76</v>
      </c>
      <c r="C20" s="51">
        <v>69.05</v>
      </c>
      <c r="D20" s="51">
        <v>41.07</v>
      </c>
      <c r="E20" s="51">
        <v>2.14</v>
      </c>
      <c r="F20" s="51">
        <v>11.08</v>
      </c>
      <c r="G20" s="51">
        <v>88.12</v>
      </c>
      <c r="H20" s="51">
        <v>27.25</v>
      </c>
      <c r="I20" s="51">
        <v>4.1100000000000003</v>
      </c>
      <c r="J20" s="51">
        <v>2.27</v>
      </c>
      <c r="K20" s="51">
        <v>333.8</v>
      </c>
      <c r="L20" s="51">
        <v>30.38</v>
      </c>
      <c r="M20" s="51">
        <v>14.42</v>
      </c>
      <c r="N20" s="51">
        <v>933.7</v>
      </c>
      <c r="O20" s="51">
        <v>0</v>
      </c>
      <c r="P20" s="51">
        <v>0.62</v>
      </c>
      <c r="Q20" s="51">
        <v>9.77</v>
      </c>
      <c r="R20" s="43"/>
      <c r="S20" s="43"/>
      <c r="T20" s="43"/>
      <c r="U20" s="43"/>
    </row>
    <row r="21" spans="1:21" s="11" customFormat="1" x14ac:dyDescent="0.25">
      <c r="A21" s="50" t="s">
        <v>168</v>
      </c>
      <c r="B21" s="51">
        <v>6.03</v>
      </c>
      <c r="C21" s="51">
        <v>63.68</v>
      </c>
      <c r="D21" s="51">
        <v>37.35</v>
      </c>
      <c r="E21" s="51">
        <v>2.33</v>
      </c>
      <c r="F21" s="51">
        <v>11.51</v>
      </c>
      <c r="G21" s="51">
        <v>77.599999999999994</v>
      </c>
      <c r="H21" s="51">
        <v>25.51</v>
      </c>
      <c r="I21" s="51">
        <v>3.96</v>
      </c>
      <c r="J21" s="51">
        <v>2.35</v>
      </c>
      <c r="K21" s="51">
        <v>346.25</v>
      </c>
      <c r="L21" s="51">
        <v>30.89</v>
      </c>
      <c r="M21" s="51">
        <v>13.78</v>
      </c>
      <c r="N21" s="51">
        <v>879.2</v>
      </c>
      <c r="O21" s="51">
        <v>0</v>
      </c>
      <c r="P21" s="51">
        <v>0.6</v>
      </c>
      <c r="Q21" s="51">
        <v>9.75</v>
      </c>
      <c r="R21" s="43"/>
      <c r="S21" s="43"/>
      <c r="T21" s="43"/>
      <c r="U21" s="43"/>
    </row>
    <row r="22" spans="1:21" s="11" customFormat="1" x14ac:dyDescent="0.25">
      <c r="A22" s="50" t="s">
        <v>169</v>
      </c>
      <c r="B22" s="51">
        <v>5.87</v>
      </c>
      <c r="C22" s="51">
        <v>60.71</v>
      </c>
      <c r="D22" s="51">
        <v>35.6</v>
      </c>
      <c r="E22" s="51">
        <v>1.96</v>
      </c>
      <c r="F22" s="51">
        <v>12.49</v>
      </c>
      <c r="G22" s="51">
        <v>73.19</v>
      </c>
      <c r="H22" s="51">
        <v>19.48</v>
      </c>
      <c r="I22" s="51">
        <v>4.0599999999999996</v>
      </c>
      <c r="J22" s="51">
        <v>1.96</v>
      </c>
      <c r="K22" s="51">
        <v>347.26</v>
      </c>
      <c r="L22" s="51">
        <v>30.42</v>
      </c>
      <c r="M22" s="51">
        <v>14.02</v>
      </c>
      <c r="N22" s="51">
        <v>875.5</v>
      </c>
      <c r="O22" s="51">
        <v>0</v>
      </c>
      <c r="P22" s="51">
        <v>0.59</v>
      </c>
      <c r="Q22" s="51">
        <v>9.69</v>
      </c>
      <c r="R22" s="43"/>
      <c r="S22" s="43"/>
      <c r="T22" s="43"/>
      <c r="U22" s="43"/>
    </row>
    <row r="23" spans="1:21" s="11" customFormat="1" x14ac:dyDescent="0.25">
      <c r="A23" s="50" t="s">
        <v>170</v>
      </c>
      <c r="B23" s="51">
        <v>4.82</v>
      </c>
      <c r="C23" s="51">
        <v>52.17</v>
      </c>
      <c r="D23" s="51">
        <v>31.12</v>
      </c>
      <c r="E23" s="51">
        <v>2.0699999999999998</v>
      </c>
      <c r="F23" s="51">
        <v>16.22</v>
      </c>
      <c r="G23" s="51">
        <v>63.82</v>
      </c>
      <c r="H23" s="51">
        <v>17.14</v>
      </c>
      <c r="I23" s="51">
        <v>4.0999999999999996</v>
      </c>
      <c r="J23" s="51">
        <v>1.42</v>
      </c>
      <c r="K23" s="51">
        <v>319.93</v>
      </c>
      <c r="L23" s="51">
        <v>29.5</v>
      </c>
      <c r="M23" s="51">
        <v>15.5</v>
      </c>
      <c r="N23" s="51">
        <v>817.2</v>
      </c>
      <c r="O23" s="51">
        <v>0</v>
      </c>
      <c r="P23" s="51">
        <v>0.54</v>
      </c>
      <c r="Q23" s="51">
        <v>9.64</v>
      </c>
      <c r="R23" s="43"/>
      <c r="S23" s="43"/>
      <c r="T23" s="43"/>
      <c r="U23" s="43"/>
    </row>
    <row r="24" spans="1:21" s="11" customFormat="1" x14ac:dyDescent="0.25">
      <c r="A24" s="50" t="s">
        <v>171</v>
      </c>
      <c r="B24" s="51">
        <v>5.69</v>
      </c>
      <c r="C24" s="51">
        <v>52.25</v>
      </c>
      <c r="D24" s="51">
        <v>31.33</v>
      </c>
      <c r="E24" s="51">
        <v>1.88</v>
      </c>
      <c r="F24" s="51">
        <v>13.76</v>
      </c>
      <c r="G24" s="51">
        <v>55.76</v>
      </c>
      <c r="H24" s="51">
        <v>16.72</v>
      </c>
      <c r="I24" s="51">
        <v>4.12</v>
      </c>
      <c r="J24" s="51">
        <v>2.17</v>
      </c>
      <c r="K24" s="51">
        <v>324.41000000000003</v>
      </c>
      <c r="L24" s="51">
        <v>29.52</v>
      </c>
      <c r="M24" s="51">
        <v>12.31</v>
      </c>
      <c r="N24" s="51">
        <v>340.4</v>
      </c>
      <c r="O24" s="51">
        <v>0</v>
      </c>
      <c r="P24" s="51">
        <v>0.53</v>
      </c>
      <c r="Q24" s="51">
        <v>9.5</v>
      </c>
      <c r="R24" s="43"/>
      <c r="S24" s="43"/>
      <c r="T24" s="43"/>
      <c r="U24" s="43"/>
    </row>
    <row r="25" spans="1:21" s="11" customFormat="1" x14ac:dyDescent="0.25">
      <c r="A25" s="50" t="s">
        <v>172</v>
      </c>
      <c r="B25" s="51">
        <v>9.6999999999999993</v>
      </c>
      <c r="C25" s="51">
        <v>55.7</v>
      </c>
      <c r="D25" s="51">
        <v>36.880000000000003</v>
      </c>
      <c r="E25" s="51">
        <v>2.98</v>
      </c>
      <c r="F25" s="51">
        <v>14.17</v>
      </c>
      <c r="G25" s="51">
        <v>60.79</v>
      </c>
      <c r="H25" s="51">
        <v>16.09</v>
      </c>
      <c r="I25" s="51">
        <v>4.03</v>
      </c>
      <c r="J25" s="51">
        <v>1.71</v>
      </c>
      <c r="K25" s="51">
        <v>349.83</v>
      </c>
      <c r="L25" s="51">
        <v>26.75</v>
      </c>
      <c r="M25" s="51">
        <v>13.07</v>
      </c>
      <c r="N25" s="51">
        <v>196.9</v>
      </c>
      <c r="O25" s="51">
        <v>0</v>
      </c>
      <c r="P25" s="51">
        <v>0.55000000000000004</v>
      </c>
      <c r="Q25" s="51">
        <v>9.4700000000000006</v>
      </c>
      <c r="R25" s="43"/>
      <c r="S25" s="43"/>
      <c r="T25" s="43"/>
      <c r="U25" s="43"/>
    </row>
    <row r="26" spans="1:21" s="11" customFormat="1" x14ac:dyDescent="0.25">
      <c r="A26" s="50" t="s">
        <v>173</v>
      </c>
      <c r="B26" s="51">
        <v>6.02</v>
      </c>
      <c r="C26" s="51">
        <v>55.77</v>
      </c>
      <c r="D26" s="51">
        <v>33.68</v>
      </c>
      <c r="E26" s="51">
        <v>2.39</v>
      </c>
      <c r="F26" s="51">
        <v>9.3800000000000008</v>
      </c>
      <c r="G26" s="51">
        <v>56.36</v>
      </c>
      <c r="H26" s="51">
        <v>16.489999999999998</v>
      </c>
      <c r="I26" s="51">
        <v>4.05</v>
      </c>
      <c r="J26" s="51">
        <v>2.4500000000000002</v>
      </c>
      <c r="K26" s="51">
        <v>327.14</v>
      </c>
      <c r="L26" s="51">
        <v>25.62</v>
      </c>
      <c r="M26" s="51">
        <v>19.8</v>
      </c>
      <c r="N26" s="51">
        <v>107.5</v>
      </c>
      <c r="O26" s="51">
        <v>0</v>
      </c>
      <c r="P26" s="51">
        <v>0.56000000000000005</v>
      </c>
      <c r="Q26" s="51">
        <v>9.51</v>
      </c>
      <c r="R26" s="43"/>
      <c r="S26" s="43"/>
      <c r="T26" s="43"/>
      <c r="U26" s="43"/>
    </row>
    <row r="27" spans="1:21" s="11" customFormat="1" x14ac:dyDescent="0.25">
      <c r="A27" s="50" t="s">
        <v>174</v>
      </c>
      <c r="B27" s="51">
        <v>13.01</v>
      </c>
      <c r="C27" s="51">
        <v>63.73</v>
      </c>
      <c r="D27" s="51">
        <v>43.73</v>
      </c>
      <c r="E27" s="51">
        <v>3.58</v>
      </c>
      <c r="F27" s="51">
        <v>9.14</v>
      </c>
      <c r="G27" s="51">
        <v>51.61</v>
      </c>
      <c r="H27" s="51">
        <v>13.89</v>
      </c>
      <c r="I27" s="51">
        <v>4.1500000000000004</v>
      </c>
      <c r="J27" s="51">
        <v>1.64</v>
      </c>
      <c r="K27" s="51">
        <v>324.3</v>
      </c>
      <c r="L27" s="51">
        <v>23.33</v>
      </c>
      <c r="M27" s="51">
        <v>17.940000000000001</v>
      </c>
      <c r="N27" s="51">
        <v>68</v>
      </c>
      <c r="O27" s="51">
        <v>0</v>
      </c>
      <c r="P27" s="51">
        <v>0.69</v>
      </c>
      <c r="Q27" s="51">
        <v>9.57</v>
      </c>
      <c r="R27" s="43"/>
      <c r="S27" s="43"/>
      <c r="T27" s="43"/>
      <c r="U27" s="43"/>
    </row>
    <row r="28" spans="1:21" s="11" customFormat="1" x14ac:dyDescent="0.25">
      <c r="A28" s="50" t="s">
        <v>175</v>
      </c>
      <c r="B28" s="51">
        <v>21.58</v>
      </c>
      <c r="C28" s="51">
        <v>65.38</v>
      </c>
      <c r="D28" s="51">
        <v>51.18</v>
      </c>
      <c r="E28" s="51">
        <v>4.13</v>
      </c>
      <c r="F28" s="51">
        <v>12.5</v>
      </c>
      <c r="G28" s="51">
        <v>49.41</v>
      </c>
      <c r="H28" s="51">
        <v>14.05</v>
      </c>
      <c r="I28" s="51">
        <v>4.1399999999999997</v>
      </c>
      <c r="J28" s="51">
        <v>1.81</v>
      </c>
      <c r="K28" s="51">
        <v>335.7</v>
      </c>
      <c r="L28" s="51">
        <v>21.37</v>
      </c>
      <c r="M28" s="51">
        <v>20</v>
      </c>
      <c r="N28" s="51">
        <v>65.8</v>
      </c>
      <c r="O28" s="51">
        <v>0</v>
      </c>
      <c r="P28" s="51">
        <v>0.87</v>
      </c>
      <c r="Q28" s="51">
        <v>9.76</v>
      </c>
      <c r="R28" s="43"/>
      <c r="S28" s="43"/>
      <c r="T28" s="43"/>
      <c r="U28" s="43"/>
    </row>
    <row r="29" spans="1:21" s="11" customFormat="1" x14ac:dyDescent="0.25">
      <c r="A29" s="50" t="s">
        <v>176</v>
      </c>
      <c r="B29" s="51">
        <v>16.37</v>
      </c>
      <c r="C29" s="51">
        <v>65.900000000000006</v>
      </c>
      <c r="D29" s="51">
        <v>47.34</v>
      </c>
      <c r="E29" s="51">
        <v>2.96</v>
      </c>
      <c r="F29" s="51">
        <v>8.19</v>
      </c>
      <c r="G29" s="51">
        <v>57.43</v>
      </c>
      <c r="H29" s="51">
        <v>195.28</v>
      </c>
      <c r="I29" s="51">
        <v>4.0599999999999996</v>
      </c>
      <c r="J29" s="51">
        <v>2.19</v>
      </c>
      <c r="K29" s="51">
        <v>327.72</v>
      </c>
      <c r="L29" s="51">
        <v>20.16</v>
      </c>
      <c r="M29" s="51">
        <v>21.11</v>
      </c>
      <c r="N29" s="51">
        <v>65.5</v>
      </c>
      <c r="O29" s="51">
        <v>0</v>
      </c>
      <c r="P29" s="51">
        <v>0.82</v>
      </c>
      <c r="Q29" s="51">
        <v>9.81</v>
      </c>
      <c r="R29" s="43"/>
      <c r="S29" s="43"/>
      <c r="T29" s="43"/>
      <c r="U29" s="43"/>
    </row>
    <row r="30" spans="1:21" s="11" customFormat="1" x14ac:dyDescent="0.25">
      <c r="A30" s="50" t="s">
        <v>177</v>
      </c>
      <c r="B30" s="51">
        <v>14.96</v>
      </c>
      <c r="C30" s="51">
        <v>64.53</v>
      </c>
      <c r="D30" s="51">
        <v>45.57</v>
      </c>
      <c r="E30" s="51">
        <v>2.35</v>
      </c>
      <c r="F30" s="51">
        <v>7.33</v>
      </c>
      <c r="G30" s="51">
        <v>54.59</v>
      </c>
      <c r="H30" s="51">
        <v>14.9</v>
      </c>
      <c r="I30" s="51">
        <v>4.1399999999999997</v>
      </c>
      <c r="J30" s="51">
        <v>2.2999999999999998</v>
      </c>
      <c r="K30" s="51">
        <v>322.88</v>
      </c>
      <c r="L30" s="51">
        <v>19.059999999999999</v>
      </c>
      <c r="M30" s="51">
        <v>22.03</v>
      </c>
      <c r="N30" s="51">
        <v>65.400000000000006</v>
      </c>
      <c r="O30" s="51">
        <v>0</v>
      </c>
      <c r="P30" s="51">
        <v>0.81</v>
      </c>
      <c r="Q30" s="51">
        <v>9.77</v>
      </c>
      <c r="R30" s="43"/>
      <c r="S30" s="43"/>
      <c r="T30" s="43"/>
      <c r="U30" s="43"/>
    </row>
    <row r="31" spans="1:21" s="11" customFormat="1" x14ac:dyDescent="0.25">
      <c r="A31" s="50" t="s">
        <v>178</v>
      </c>
      <c r="B31" s="51">
        <v>12.46</v>
      </c>
      <c r="C31" s="51">
        <v>67.06</v>
      </c>
      <c r="D31" s="51">
        <v>45.03</v>
      </c>
      <c r="E31" s="51">
        <v>1.99</v>
      </c>
      <c r="F31" s="51">
        <v>7.26</v>
      </c>
      <c r="G31" s="51">
        <v>50.87</v>
      </c>
      <c r="H31" s="51">
        <v>2.72</v>
      </c>
      <c r="I31" s="51">
        <v>4.1500000000000004</v>
      </c>
      <c r="J31" s="51">
        <v>1.99</v>
      </c>
      <c r="K31" s="51">
        <v>332.96</v>
      </c>
      <c r="L31" s="51">
        <v>18.09</v>
      </c>
      <c r="M31" s="51">
        <v>25.93</v>
      </c>
      <c r="N31" s="51">
        <v>65.7</v>
      </c>
      <c r="O31" s="51">
        <v>0</v>
      </c>
      <c r="P31" s="51">
        <v>0.77</v>
      </c>
      <c r="Q31" s="51">
        <v>9.6300000000000008</v>
      </c>
      <c r="R31" s="43"/>
      <c r="S31" s="43"/>
      <c r="T31" s="43"/>
      <c r="U31" s="43"/>
    </row>
    <row r="32" spans="1:21" s="11" customFormat="1" x14ac:dyDescent="0.25">
      <c r="A32" s="50" t="s">
        <v>179</v>
      </c>
      <c r="B32" s="51">
        <v>11.39</v>
      </c>
      <c r="C32" s="51">
        <v>68.8</v>
      </c>
      <c r="D32" s="51">
        <v>45.08</v>
      </c>
      <c r="E32" s="51">
        <v>3.18</v>
      </c>
      <c r="F32" s="51">
        <v>8.08</v>
      </c>
      <c r="G32" s="51">
        <v>50.54</v>
      </c>
      <c r="H32" s="51">
        <v>257.47000000000003</v>
      </c>
      <c r="I32" s="51">
        <v>4.0199999999999996</v>
      </c>
      <c r="J32" s="51">
        <v>2.2000000000000002</v>
      </c>
      <c r="K32" s="51">
        <v>341.47</v>
      </c>
      <c r="L32" s="51">
        <v>16.71</v>
      </c>
      <c r="M32" s="51">
        <v>26.17</v>
      </c>
      <c r="N32" s="51">
        <v>65.7</v>
      </c>
      <c r="O32" s="51">
        <v>0</v>
      </c>
      <c r="P32" s="51">
        <v>0.73</v>
      </c>
      <c r="Q32" s="51">
        <v>9.61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4.3499999999999996</v>
      </c>
      <c r="C34" s="28">
        <f t="shared" si="0"/>
        <v>52.17</v>
      </c>
      <c r="D34" s="28">
        <f t="shared" si="0"/>
        <v>31.12</v>
      </c>
      <c r="E34" s="28">
        <f t="shared" si="0"/>
        <v>1.88</v>
      </c>
      <c r="F34" s="28">
        <f t="shared" si="0"/>
        <v>7.26</v>
      </c>
      <c r="G34" s="28">
        <f t="shared" si="0"/>
        <v>49.41</v>
      </c>
      <c r="H34" s="28">
        <f t="shared" si="0"/>
        <v>2.72</v>
      </c>
      <c r="I34" s="28">
        <f t="shared" si="0"/>
        <v>3.96</v>
      </c>
      <c r="J34" s="28">
        <f t="shared" si="0"/>
        <v>1.42</v>
      </c>
      <c r="K34" s="28">
        <f t="shared" si="0"/>
        <v>319.93</v>
      </c>
      <c r="L34" s="28">
        <f t="shared" si="0"/>
        <v>16.71</v>
      </c>
      <c r="M34" s="28">
        <f t="shared" si="0"/>
        <v>12.31</v>
      </c>
      <c r="N34" s="28">
        <f t="shared" si="0"/>
        <v>62</v>
      </c>
      <c r="O34" s="28">
        <f t="shared" si="0"/>
        <v>0</v>
      </c>
      <c r="P34" s="28">
        <f t="shared" si="0"/>
        <v>0.53</v>
      </c>
      <c r="Q34" s="28">
        <f t="shared" si="0"/>
        <v>9.4700000000000006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21.58</v>
      </c>
      <c r="C35" s="29">
        <f t="shared" si="1"/>
        <v>70.180000000000007</v>
      </c>
      <c r="D35" s="29">
        <f t="shared" si="1"/>
        <v>51.18</v>
      </c>
      <c r="E35" s="29">
        <f t="shared" si="1"/>
        <v>5.84</v>
      </c>
      <c r="F35" s="29">
        <f t="shared" si="1"/>
        <v>16.22</v>
      </c>
      <c r="G35" s="29">
        <f t="shared" si="1"/>
        <v>100.52</v>
      </c>
      <c r="H35" s="29">
        <f t="shared" si="1"/>
        <v>257.47000000000003</v>
      </c>
      <c r="I35" s="29">
        <f t="shared" si="1"/>
        <v>4.18</v>
      </c>
      <c r="J35" s="29">
        <f t="shared" si="1"/>
        <v>2.89</v>
      </c>
      <c r="K35" s="29">
        <f t="shared" si="1"/>
        <v>359.87</v>
      </c>
      <c r="L35" s="29">
        <f t="shared" si="1"/>
        <v>30.89</v>
      </c>
      <c r="M35" s="29">
        <f t="shared" si="1"/>
        <v>49.97</v>
      </c>
      <c r="N35" s="29">
        <f t="shared" si="1"/>
        <v>933.7</v>
      </c>
      <c r="O35" s="29">
        <f t="shared" si="1"/>
        <v>0</v>
      </c>
      <c r="P35" s="29">
        <f t="shared" si="1"/>
        <v>1.01</v>
      </c>
      <c r="Q35" s="29">
        <f t="shared" si="1"/>
        <v>10.09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9.8016666666666676</v>
      </c>
      <c r="C36" s="28">
        <f t="shared" si="2"/>
        <v>62.879166666666663</v>
      </c>
      <c r="D36" s="28">
        <f t="shared" si="2"/>
        <v>40.456666666666671</v>
      </c>
      <c r="E36" s="28">
        <f t="shared" si="2"/>
        <v>3.0295833333333331</v>
      </c>
      <c r="F36" s="28">
        <f t="shared" si="2"/>
        <v>10.3575</v>
      </c>
      <c r="G36" s="28">
        <f t="shared" si="2"/>
        <v>65.972499999999982</v>
      </c>
      <c r="H36" s="28">
        <f t="shared" si="2"/>
        <v>36.220833333333331</v>
      </c>
      <c r="I36" s="28">
        <f t="shared" si="2"/>
        <v>4.09375</v>
      </c>
      <c r="J36" s="28">
        <f t="shared" si="2"/>
        <v>2.2245833333333338</v>
      </c>
      <c r="K36" s="28">
        <f t="shared" si="2"/>
        <v>343.25125000000003</v>
      </c>
      <c r="L36" s="28">
        <f t="shared" si="2"/>
        <v>23.537083333333339</v>
      </c>
      <c r="M36" s="28">
        <f t="shared" si="2"/>
        <v>27.553333333333327</v>
      </c>
      <c r="N36" s="28">
        <f t="shared" si="2"/>
        <v>318.58333333333326</v>
      </c>
      <c r="O36" s="28">
        <f t="shared" si="2"/>
        <v>0</v>
      </c>
      <c r="P36" s="28">
        <f t="shared" si="2"/>
        <v>0.67416666666666647</v>
      </c>
      <c r="Q36" s="28">
        <f t="shared" si="2"/>
        <v>9.7566666666666659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4.5157730010598929</v>
      </c>
      <c r="C37" s="28">
        <f t="shared" ref="C37:Q37" si="3">STDEV(C9:C32)</f>
        <v>5.7722009340621883</v>
      </c>
      <c r="D37" s="28">
        <f t="shared" si="3"/>
        <v>5.9433138660300866</v>
      </c>
      <c r="E37" s="28">
        <f t="shared" si="3"/>
        <v>0.94110240244303744</v>
      </c>
      <c r="F37" s="28">
        <f t="shared" si="3"/>
        <v>2.3402159878022459</v>
      </c>
      <c r="G37" s="28">
        <f t="shared" si="3"/>
        <v>15.17653802821116</v>
      </c>
      <c r="H37" s="28">
        <f t="shared" si="3"/>
        <v>59.604672483657346</v>
      </c>
      <c r="I37" s="28">
        <f t="shared" si="3"/>
        <v>5.4677910649946045E-2</v>
      </c>
      <c r="J37" s="28">
        <f t="shared" si="3"/>
        <v>0.36330582597641453</v>
      </c>
      <c r="K37" s="28">
        <f t="shared" si="3"/>
        <v>13.454736781068069</v>
      </c>
      <c r="L37" s="28">
        <f t="shared" si="3"/>
        <v>4.8407055532869459</v>
      </c>
      <c r="M37" s="28">
        <f t="shared" si="3"/>
        <v>13.276929211054886</v>
      </c>
      <c r="N37" s="28">
        <f t="shared" si="3"/>
        <v>344.82702490009297</v>
      </c>
      <c r="O37" s="28">
        <f t="shared" si="3"/>
        <v>0</v>
      </c>
      <c r="P37" s="28">
        <f t="shared" si="3"/>
        <v>0.12250702434755718</v>
      </c>
      <c r="Q37" s="28">
        <f t="shared" si="3"/>
        <v>0.15824215528785265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180</v>
      </c>
      <c r="B9" s="51">
        <v>7.98</v>
      </c>
      <c r="C9" s="51">
        <v>63.44</v>
      </c>
      <c r="D9" s="51">
        <v>39.549999999999997</v>
      </c>
      <c r="E9" s="51">
        <v>3.82</v>
      </c>
      <c r="F9" s="51">
        <v>8.59</v>
      </c>
      <c r="G9" s="51">
        <v>47.96</v>
      </c>
      <c r="H9" s="51">
        <v>13.22</v>
      </c>
      <c r="I9" s="51">
        <v>4.13</v>
      </c>
      <c r="J9" s="51">
        <v>2.2000000000000002</v>
      </c>
      <c r="K9" s="51">
        <v>341.66</v>
      </c>
      <c r="L9" s="51">
        <v>15.99</v>
      </c>
      <c r="M9" s="51">
        <v>26.95</v>
      </c>
      <c r="N9" s="51">
        <v>65.7</v>
      </c>
      <c r="O9" s="51">
        <v>0</v>
      </c>
      <c r="P9" s="51">
        <v>0.65</v>
      </c>
      <c r="Q9" s="51">
        <v>9.51</v>
      </c>
      <c r="R9" s="43"/>
      <c r="S9" s="43"/>
      <c r="T9" s="43"/>
      <c r="U9" s="43"/>
    </row>
    <row r="10" spans="1:21" s="11" customFormat="1" x14ac:dyDescent="0.25">
      <c r="A10" s="50" t="s">
        <v>181</v>
      </c>
      <c r="B10" s="51">
        <v>6.11</v>
      </c>
      <c r="C10" s="51">
        <v>60.43</v>
      </c>
      <c r="D10" s="51">
        <v>36.479999999999997</v>
      </c>
      <c r="E10" s="51">
        <v>6.22</v>
      </c>
      <c r="F10" s="51">
        <v>7.53</v>
      </c>
      <c r="G10" s="51">
        <v>46.23</v>
      </c>
      <c r="H10" s="51">
        <v>20.9</v>
      </c>
      <c r="I10" s="51">
        <v>4.0599999999999996</v>
      </c>
      <c r="J10" s="51">
        <v>2.29</v>
      </c>
      <c r="K10" s="51">
        <v>342.26</v>
      </c>
      <c r="L10" s="51">
        <v>15.27</v>
      </c>
      <c r="M10" s="51">
        <v>26.8</v>
      </c>
      <c r="N10" s="51">
        <v>65.3</v>
      </c>
      <c r="O10" s="51">
        <v>0</v>
      </c>
      <c r="P10" s="51">
        <v>0.56000000000000005</v>
      </c>
      <c r="Q10" s="51">
        <v>9.4</v>
      </c>
      <c r="R10" s="43"/>
      <c r="S10" s="43"/>
      <c r="T10" s="43"/>
      <c r="U10" s="43"/>
    </row>
    <row r="11" spans="1:21" s="11" customFormat="1" x14ac:dyDescent="0.25">
      <c r="A11" s="50" t="s">
        <v>182</v>
      </c>
      <c r="B11" s="51">
        <v>5.46</v>
      </c>
      <c r="C11" s="51">
        <v>58.58</v>
      </c>
      <c r="D11" s="51">
        <v>34.979999999999997</v>
      </c>
      <c r="E11" s="51">
        <v>6.07</v>
      </c>
      <c r="F11" s="51">
        <v>7.24</v>
      </c>
      <c r="G11" s="51">
        <v>56.81</v>
      </c>
      <c r="H11" s="51">
        <v>15.23</v>
      </c>
      <c r="I11" s="51">
        <v>4.0999999999999996</v>
      </c>
      <c r="J11" s="51">
        <v>1.76</v>
      </c>
      <c r="K11" s="51">
        <v>344.48</v>
      </c>
      <c r="L11" s="51">
        <v>14.76</v>
      </c>
      <c r="M11" s="51">
        <v>31.46</v>
      </c>
      <c r="N11" s="51">
        <v>66.3</v>
      </c>
      <c r="O11" s="51">
        <v>0</v>
      </c>
      <c r="P11" s="51">
        <v>0.65</v>
      </c>
      <c r="Q11" s="51">
        <v>9.34</v>
      </c>
      <c r="R11" s="43"/>
      <c r="S11" s="43"/>
      <c r="T11" s="43"/>
      <c r="U11" s="43"/>
    </row>
    <row r="12" spans="1:21" s="11" customFormat="1" x14ac:dyDescent="0.25">
      <c r="A12" s="50" t="s">
        <v>183</v>
      </c>
      <c r="B12" s="51">
        <v>5.31</v>
      </c>
      <c r="C12" s="51">
        <v>57.28</v>
      </c>
      <c r="D12" s="51">
        <v>34.19</v>
      </c>
      <c r="E12" s="51">
        <v>5.41</v>
      </c>
      <c r="F12" s="51">
        <v>7.37</v>
      </c>
      <c r="G12" s="51">
        <v>76.81</v>
      </c>
      <c r="H12" s="51">
        <v>30.84</v>
      </c>
      <c r="I12" s="51">
        <v>4.1900000000000004</v>
      </c>
      <c r="J12" s="51">
        <v>1.79</v>
      </c>
      <c r="K12" s="51">
        <v>342.36</v>
      </c>
      <c r="L12" s="51">
        <v>13.67</v>
      </c>
      <c r="M12" s="51">
        <v>30.94</v>
      </c>
      <c r="N12" s="51">
        <v>65.7</v>
      </c>
      <c r="O12" s="51">
        <v>0</v>
      </c>
      <c r="P12" s="51">
        <v>0.68</v>
      </c>
      <c r="Q12" s="51">
        <v>9.27</v>
      </c>
      <c r="R12" s="43"/>
      <c r="S12" s="43"/>
      <c r="T12" s="43"/>
      <c r="U12" s="43"/>
    </row>
    <row r="13" spans="1:21" s="11" customFormat="1" x14ac:dyDescent="0.25">
      <c r="A13" s="50" t="s">
        <v>184</v>
      </c>
      <c r="B13" s="51">
        <v>6.88</v>
      </c>
      <c r="C13" s="51">
        <v>56.05</v>
      </c>
      <c r="D13" s="51">
        <v>34.799999999999997</v>
      </c>
      <c r="E13" s="51">
        <v>4.43</v>
      </c>
      <c r="F13" s="51">
        <v>8.19</v>
      </c>
      <c r="G13" s="51">
        <v>75.44</v>
      </c>
      <c r="H13" s="51">
        <v>31.18</v>
      </c>
      <c r="I13" s="51">
        <v>4.1399999999999997</v>
      </c>
      <c r="J13" s="51">
        <v>1.76</v>
      </c>
      <c r="K13" s="51">
        <v>359.44</v>
      </c>
      <c r="L13" s="51">
        <v>12.87</v>
      </c>
      <c r="M13" s="51">
        <v>32.82</v>
      </c>
      <c r="N13" s="51">
        <v>65.5</v>
      </c>
      <c r="O13" s="51">
        <v>0</v>
      </c>
      <c r="P13" s="51">
        <v>0.64</v>
      </c>
      <c r="Q13" s="51">
        <v>9.24</v>
      </c>
      <c r="R13" s="43"/>
      <c r="S13" s="43"/>
      <c r="T13" s="43"/>
      <c r="U13" s="43"/>
    </row>
    <row r="14" spans="1:21" s="11" customFormat="1" x14ac:dyDescent="0.25">
      <c r="A14" s="50" t="s">
        <v>185</v>
      </c>
      <c r="B14" s="51">
        <v>10.220000000000001</v>
      </c>
      <c r="C14" s="51">
        <v>58.82</v>
      </c>
      <c r="D14" s="51">
        <v>37.81</v>
      </c>
      <c r="E14" s="51">
        <v>4.53</v>
      </c>
      <c r="F14" s="51">
        <v>7.84</v>
      </c>
      <c r="G14" s="51">
        <v>64.53</v>
      </c>
      <c r="H14" s="51">
        <v>14.67</v>
      </c>
      <c r="I14" s="51">
        <v>4.05</v>
      </c>
      <c r="J14" s="51">
        <v>1.54</v>
      </c>
      <c r="K14" s="51">
        <v>353.67</v>
      </c>
      <c r="L14" s="51">
        <v>13.13</v>
      </c>
      <c r="M14" s="51">
        <v>32.51</v>
      </c>
      <c r="N14" s="51">
        <v>65.7</v>
      </c>
      <c r="O14" s="51">
        <v>0</v>
      </c>
      <c r="P14" s="51">
        <v>0.65</v>
      </c>
      <c r="Q14" s="51">
        <v>9.2799999999999994</v>
      </c>
      <c r="R14" s="43"/>
      <c r="S14" s="43"/>
      <c r="T14" s="43"/>
      <c r="U14" s="43"/>
    </row>
    <row r="15" spans="1:21" s="11" customFormat="1" x14ac:dyDescent="0.25">
      <c r="A15" s="50" t="s">
        <v>186</v>
      </c>
      <c r="B15" s="51">
        <v>18.22</v>
      </c>
      <c r="C15" s="51">
        <v>61.37</v>
      </c>
      <c r="D15" s="51">
        <v>46.68</v>
      </c>
      <c r="E15" s="51">
        <v>6.2</v>
      </c>
      <c r="F15" s="51">
        <v>7.11</v>
      </c>
      <c r="G15" s="51">
        <v>87.27</v>
      </c>
      <c r="H15" s="51">
        <v>45.15</v>
      </c>
      <c r="I15" s="51">
        <v>4.0599999999999996</v>
      </c>
      <c r="J15" s="51">
        <v>1</v>
      </c>
      <c r="K15" s="51">
        <v>353.67</v>
      </c>
      <c r="L15" s="51">
        <v>12.85</v>
      </c>
      <c r="M15" s="51">
        <v>37.69</v>
      </c>
      <c r="N15" s="51">
        <v>151</v>
      </c>
      <c r="O15" s="51">
        <v>0</v>
      </c>
      <c r="P15" s="51">
        <v>0.76</v>
      </c>
      <c r="Q15" s="51">
        <v>9.5500000000000007</v>
      </c>
      <c r="R15" s="43"/>
      <c r="S15" s="43"/>
      <c r="T15" s="43"/>
      <c r="U15" s="43"/>
    </row>
    <row r="16" spans="1:21" s="11" customFormat="1" x14ac:dyDescent="0.25">
      <c r="A16" s="50" t="s">
        <v>187</v>
      </c>
      <c r="B16" s="51">
        <v>35.68</v>
      </c>
      <c r="C16" s="51">
        <v>68.319999999999993</v>
      </c>
      <c r="D16" s="51">
        <v>64.31</v>
      </c>
      <c r="E16" s="51">
        <v>9.64</v>
      </c>
      <c r="F16" s="51">
        <v>6.97</v>
      </c>
      <c r="G16" s="51">
        <v>99.55</v>
      </c>
      <c r="H16" s="51">
        <v>38.340000000000003</v>
      </c>
      <c r="I16" s="51">
        <v>4.07</v>
      </c>
      <c r="J16" s="51">
        <v>1.37</v>
      </c>
      <c r="K16" s="51">
        <v>355.39</v>
      </c>
      <c r="L16" s="51">
        <v>23.26</v>
      </c>
      <c r="M16" s="51">
        <v>30.34</v>
      </c>
      <c r="N16" s="51">
        <v>377.5</v>
      </c>
      <c r="O16" s="51">
        <v>0</v>
      </c>
      <c r="P16" s="51">
        <v>0.94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188</v>
      </c>
      <c r="B17" s="51">
        <v>46.4</v>
      </c>
      <c r="C17" s="51">
        <v>86.05</v>
      </c>
      <c r="D17" s="51">
        <v>81.19</v>
      </c>
      <c r="E17" s="51">
        <v>34.85</v>
      </c>
      <c r="F17" s="51">
        <v>10.16</v>
      </c>
      <c r="G17" s="51">
        <v>189.81</v>
      </c>
      <c r="H17" s="51">
        <v>64.75</v>
      </c>
      <c r="I17" s="51">
        <v>4.03</v>
      </c>
      <c r="J17" s="51">
        <v>2.02</v>
      </c>
      <c r="K17" s="51">
        <v>358.7</v>
      </c>
      <c r="L17" s="51">
        <v>26.39</v>
      </c>
      <c r="M17" s="51">
        <v>17.46</v>
      </c>
      <c r="N17" s="51">
        <v>618.6</v>
      </c>
      <c r="O17" s="51">
        <v>0</v>
      </c>
      <c r="P17" s="51">
        <v>1.0900000000000001</v>
      </c>
      <c r="Q17" s="51">
        <v>9.7100000000000009</v>
      </c>
      <c r="R17" s="43"/>
      <c r="S17" s="43"/>
      <c r="T17" s="43"/>
      <c r="U17" s="43"/>
    </row>
    <row r="18" spans="1:21" s="11" customFormat="1" x14ac:dyDescent="0.25">
      <c r="A18" s="50" t="s">
        <v>189</v>
      </c>
      <c r="B18" s="51">
        <v>42.76</v>
      </c>
      <c r="C18" s="51">
        <v>82.49</v>
      </c>
      <c r="D18" s="51">
        <v>77.39</v>
      </c>
      <c r="E18" s="51">
        <v>25.01</v>
      </c>
      <c r="F18" s="51">
        <v>11.26</v>
      </c>
      <c r="G18" s="51">
        <v>177.86</v>
      </c>
      <c r="H18" s="51">
        <v>63.02</v>
      </c>
      <c r="I18" s="51">
        <v>4.1100000000000003</v>
      </c>
      <c r="J18" s="51">
        <v>1.69</v>
      </c>
      <c r="K18" s="51">
        <v>358.51</v>
      </c>
      <c r="L18" s="51">
        <v>28.79</v>
      </c>
      <c r="M18" s="51">
        <v>13.22</v>
      </c>
      <c r="N18" s="51">
        <v>744.2</v>
      </c>
      <c r="O18" s="51">
        <v>0</v>
      </c>
      <c r="P18" s="51">
        <v>1.08</v>
      </c>
      <c r="Q18" s="51">
        <v>9.73</v>
      </c>
      <c r="R18" s="43"/>
      <c r="S18" s="43"/>
      <c r="T18" s="43"/>
      <c r="U18" s="43"/>
    </row>
    <row r="19" spans="1:21" s="11" customFormat="1" x14ac:dyDescent="0.25">
      <c r="A19" s="50" t="s">
        <v>190</v>
      </c>
      <c r="B19" s="51">
        <v>38.299999999999997</v>
      </c>
      <c r="C19" s="51">
        <v>79.53</v>
      </c>
      <c r="D19" s="51">
        <v>72.27</v>
      </c>
      <c r="E19" s="51">
        <v>76.790000000000006</v>
      </c>
      <c r="F19" s="51">
        <v>43.24</v>
      </c>
      <c r="G19" s="51">
        <v>82.15</v>
      </c>
      <c r="H19" s="51">
        <v>38.69</v>
      </c>
      <c r="I19" s="51">
        <v>4.1399999999999997</v>
      </c>
      <c r="J19" s="51">
        <v>1.83</v>
      </c>
      <c r="K19" s="51">
        <v>358.13</v>
      </c>
      <c r="L19" s="51">
        <v>29.82</v>
      </c>
      <c r="M19" s="51">
        <v>11.68</v>
      </c>
      <c r="N19" s="51">
        <v>897.4</v>
      </c>
      <c r="O19" s="51">
        <v>0</v>
      </c>
      <c r="P19" s="51">
        <v>1.06</v>
      </c>
      <c r="Q19" s="51">
        <v>9.68</v>
      </c>
      <c r="R19" s="43"/>
      <c r="S19" s="43"/>
      <c r="T19" s="43"/>
      <c r="U19" s="43"/>
    </row>
    <row r="20" spans="1:21" s="11" customFormat="1" x14ac:dyDescent="0.25">
      <c r="A20" s="50" t="s">
        <v>191</v>
      </c>
      <c r="B20" s="51">
        <v>16.47</v>
      </c>
      <c r="C20" s="51">
        <v>70.48</v>
      </c>
      <c r="D20" s="51">
        <v>47.4</v>
      </c>
      <c r="E20" s="51">
        <v>30.25</v>
      </c>
      <c r="F20" s="51">
        <v>57.99</v>
      </c>
      <c r="G20" s="51">
        <v>14.38</v>
      </c>
      <c r="H20" s="51">
        <v>3.89</v>
      </c>
      <c r="I20" s="51">
        <v>4.2</v>
      </c>
      <c r="J20" s="51">
        <v>1.86</v>
      </c>
      <c r="K20" s="51">
        <v>332.87</v>
      </c>
      <c r="L20" s="51">
        <v>30.78</v>
      </c>
      <c r="M20" s="51">
        <v>11.33</v>
      </c>
      <c r="N20" s="51">
        <v>912.1</v>
      </c>
      <c r="O20" s="51">
        <v>0</v>
      </c>
      <c r="P20" s="51">
        <v>0.62</v>
      </c>
      <c r="Q20" s="51">
        <v>9.6</v>
      </c>
      <c r="R20" s="43"/>
      <c r="S20" s="43"/>
      <c r="T20" s="43"/>
      <c r="U20" s="43"/>
    </row>
    <row r="21" spans="1:21" s="11" customFormat="1" x14ac:dyDescent="0.25">
      <c r="A21" s="50" t="s">
        <v>192</v>
      </c>
      <c r="B21" s="51">
        <v>13.11</v>
      </c>
      <c r="C21" s="51">
        <v>36.93</v>
      </c>
      <c r="D21" s="51">
        <v>28.84</v>
      </c>
      <c r="E21" s="51">
        <v>30.47</v>
      </c>
      <c r="F21" s="51">
        <v>60.2</v>
      </c>
      <c r="G21" s="51">
        <v>53.91</v>
      </c>
      <c r="H21" s="51">
        <v>14.6</v>
      </c>
      <c r="I21" s="51">
        <v>3.97</v>
      </c>
      <c r="J21" s="51">
        <v>1.29</v>
      </c>
      <c r="K21" s="51">
        <v>355.84</v>
      </c>
      <c r="L21" s="51">
        <v>27.34</v>
      </c>
      <c r="M21" s="51">
        <v>11.11</v>
      </c>
      <c r="N21" s="51">
        <v>860.9</v>
      </c>
      <c r="O21" s="51">
        <v>0</v>
      </c>
      <c r="P21" s="51">
        <v>0.34</v>
      </c>
      <c r="Q21" s="51">
        <v>8.93</v>
      </c>
      <c r="R21" s="43"/>
      <c r="S21" s="43"/>
      <c r="T21" s="43"/>
      <c r="U21" s="43"/>
    </row>
    <row r="22" spans="1:21" s="11" customFormat="1" x14ac:dyDescent="0.25">
      <c r="A22" s="50" t="s">
        <v>193</v>
      </c>
      <c r="B22" s="51">
        <v>5.52</v>
      </c>
      <c r="C22" s="51">
        <v>45.73</v>
      </c>
      <c r="D22" s="51">
        <v>28.27</v>
      </c>
      <c r="E22" s="51">
        <v>6.95</v>
      </c>
      <c r="F22" s="51">
        <v>28.63</v>
      </c>
      <c r="G22" s="51">
        <v>48.79</v>
      </c>
      <c r="H22" s="51">
        <v>12.88</v>
      </c>
      <c r="I22" s="51">
        <v>4.05</v>
      </c>
      <c r="J22" s="51">
        <v>1.36</v>
      </c>
      <c r="K22" s="51">
        <v>341.53</v>
      </c>
      <c r="L22" s="51">
        <v>30.55</v>
      </c>
      <c r="M22" s="51">
        <v>9.7100000000000009</v>
      </c>
      <c r="N22" s="51">
        <v>869.5</v>
      </c>
      <c r="O22" s="51">
        <v>0</v>
      </c>
      <c r="P22" s="51">
        <v>0.32</v>
      </c>
      <c r="Q22" s="51">
        <v>8.82</v>
      </c>
      <c r="R22" s="43"/>
      <c r="S22" s="43"/>
      <c r="T22" s="43"/>
      <c r="U22" s="43"/>
    </row>
    <row r="23" spans="1:21" s="11" customFormat="1" x14ac:dyDescent="0.25">
      <c r="A23" s="50" t="s">
        <v>194</v>
      </c>
      <c r="B23" s="51">
        <v>8.43</v>
      </c>
      <c r="C23" s="51">
        <v>52.82</v>
      </c>
      <c r="D23" s="51">
        <v>34.36</v>
      </c>
      <c r="E23" s="51">
        <v>7.89</v>
      </c>
      <c r="F23" s="51">
        <v>38.450000000000003</v>
      </c>
      <c r="G23" s="51">
        <v>47.09</v>
      </c>
      <c r="H23" s="51">
        <v>13.15</v>
      </c>
      <c r="I23" s="51">
        <v>4.1100000000000003</v>
      </c>
      <c r="J23" s="51">
        <v>1.44</v>
      </c>
      <c r="K23" s="51">
        <v>356.42</v>
      </c>
      <c r="L23" s="51">
        <v>29.85</v>
      </c>
      <c r="M23" s="51">
        <v>9.06</v>
      </c>
      <c r="N23" s="51">
        <v>809</v>
      </c>
      <c r="O23" s="51">
        <v>0</v>
      </c>
      <c r="P23" s="51">
        <v>0.34</v>
      </c>
      <c r="Q23" s="51">
        <v>8.8699999999999992</v>
      </c>
      <c r="R23" s="43"/>
      <c r="S23" s="43"/>
      <c r="T23" s="43"/>
      <c r="U23" s="43"/>
    </row>
    <row r="24" spans="1:21" s="11" customFormat="1" x14ac:dyDescent="0.25">
      <c r="A24" s="50" t="s">
        <v>195</v>
      </c>
      <c r="B24" s="51">
        <v>6.96</v>
      </c>
      <c r="C24" s="51">
        <v>49.63</v>
      </c>
      <c r="D24" s="51">
        <v>29.56</v>
      </c>
      <c r="E24" s="51">
        <v>9.77</v>
      </c>
      <c r="F24" s="51">
        <v>26.5</v>
      </c>
      <c r="G24" s="51">
        <v>31.35</v>
      </c>
      <c r="H24" s="51">
        <v>9.9</v>
      </c>
      <c r="I24" s="51">
        <v>4.05</v>
      </c>
      <c r="J24" s="51">
        <v>1.76</v>
      </c>
      <c r="K24" s="51">
        <v>336.04</v>
      </c>
      <c r="L24" s="51">
        <v>29.09</v>
      </c>
      <c r="M24" s="51">
        <v>9</v>
      </c>
      <c r="N24" s="51">
        <v>235.4</v>
      </c>
      <c r="O24" s="51">
        <v>0</v>
      </c>
      <c r="P24" s="51">
        <v>0.31</v>
      </c>
      <c r="Q24" s="51">
        <v>8.89</v>
      </c>
      <c r="R24" s="43"/>
      <c r="S24" s="43"/>
      <c r="T24" s="43"/>
      <c r="U24" s="43"/>
    </row>
    <row r="25" spans="1:21" s="11" customFormat="1" x14ac:dyDescent="0.25">
      <c r="A25" s="50" t="s">
        <v>196</v>
      </c>
      <c r="B25" s="51">
        <v>8.4499999999999993</v>
      </c>
      <c r="C25" s="51">
        <v>53.1</v>
      </c>
      <c r="D25" s="51">
        <v>33.53</v>
      </c>
      <c r="E25" s="51">
        <v>6.83</v>
      </c>
      <c r="F25" s="51">
        <v>16.420000000000002</v>
      </c>
      <c r="G25" s="51">
        <v>36.29</v>
      </c>
      <c r="H25" s="51">
        <v>7.46</v>
      </c>
      <c r="I25" s="51">
        <v>4.0999999999999996</v>
      </c>
      <c r="J25" s="51">
        <v>1.66</v>
      </c>
      <c r="K25" s="51">
        <v>354.15</v>
      </c>
      <c r="L25" s="51">
        <v>27.13</v>
      </c>
      <c r="M25" s="51">
        <v>10.79</v>
      </c>
      <c r="N25" s="51">
        <v>191.2</v>
      </c>
      <c r="O25" s="51">
        <v>0</v>
      </c>
      <c r="P25" s="51">
        <v>0.37</v>
      </c>
      <c r="Q25" s="51">
        <v>9.07</v>
      </c>
      <c r="R25" s="43"/>
      <c r="S25" s="43"/>
      <c r="T25" s="43"/>
      <c r="U25" s="43"/>
    </row>
    <row r="26" spans="1:21" s="11" customFormat="1" x14ac:dyDescent="0.25">
      <c r="A26" s="50" t="s">
        <v>197</v>
      </c>
      <c r="B26" s="51">
        <v>25.63</v>
      </c>
      <c r="C26" s="51">
        <v>81.760000000000005</v>
      </c>
      <c r="D26" s="51">
        <v>60.06</v>
      </c>
      <c r="E26" s="51">
        <v>9.98</v>
      </c>
      <c r="F26" s="51">
        <v>24.72</v>
      </c>
      <c r="G26" s="51">
        <v>44.67</v>
      </c>
      <c r="H26" s="51">
        <v>9.0399999999999991</v>
      </c>
      <c r="I26" s="51">
        <v>4.0999999999999996</v>
      </c>
      <c r="J26" s="51">
        <v>1.05</v>
      </c>
      <c r="K26" s="51">
        <v>338.32</v>
      </c>
      <c r="L26" s="51">
        <v>25.61</v>
      </c>
      <c r="M26" s="51">
        <v>13.43</v>
      </c>
      <c r="N26" s="51">
        <v>102.9</v>
      </c>
      <c r="O26" s="51">
        <v>0</v>
      </c>
      <c r="P26" s="51">
        <v>0.78</v>
      </c>
      <c r="Q26" s="51">
        <v>9.26</v>
      </c>
      <c r="R26" s="43"/>
      <c r="S26" s="43"/>
      <c r="T26" s="43"/>
      <c r="U26" s="43"/>
    </row>
    <row r="27" spans="1:21" s="11" customFormat="1" x14ac:dyDescent="0.25">
      <c r="A27" s="50" t="s">
        <v>198</v>
      </c>
      <c r="B27" s="51">
        <v>89.63</v>
      </c>
      <c r="C27" s="51">
        <v>107.19</v>
      </c>
      <c r="D27" s="51">
        <v>127.88</v>
      </c>
      <c r="E27" s="51">
        <v>11.39</v>
      </c>
      <c r="F27" s="51">
        <v>21.22</v>
      </c>
      <c r="G27" s="51">
        <v>46.04</v>
      </c>
      <c r="H27" s="51">
        <v>10.25</v>
      </c>
      <c r="I27" s="51">
        <v>4.12</v>
      </c>
      <c r="J27" s="51">
        <v>0.88</v>
      </c>
      <c r="K27" s="51">
        <v>159.76</v>
      </c>
      <c r="L27" s="51">
        <v>22.74</v>
      </c>
      <c r="M27" s="51">
        <v>22.62</v>
      </c>
      <c r="N27" s="51">
        <v>67.2</v>
      </c>
      <c r="O27" s="51">
        <v>0</v>
      </c>
      <c r="P27" s="51">
        <v>1.33</v>
      </c>
      <c r="Q27" s="51">
        <v>9.34</v>
      </c>
      <c r="R27" s="43"/>
      <c r="S27" s="43"/>
      <c r="T27" s="43"/>
      <c r="U27" s="43"/>
    </row>
    <row r="28" spans="1:21" s="11" customFormat="1" x14ac:dyDescent="0.25">
      <c r="A28" s="50" t="s">
        <v>199</v>
      </c>
      <c r="B28" s="51">
        <v>88.39</v>
      </c>
      <c r="C28" s="51">
        <v>86.44</v>
      </c>
      <c r="D28" s="51">
        <v>116.04</v>
      </c>
      <c r="E28" s="51">
        <v>8</v>
      </c>
      <c r="F28" s="51">
        <v>7.7</v>
      </c>
      <c r="G28" s="51">
        <v>60.62</v>
      </c>
      <c r="H28" s="51">
        <v>13.3</v>
      </c>
      <c r="I28" s="51">
        <v>4</v>
      </c>
      <c r="J28" s="51">
        <v>0.61</v>
      </c>
      <c r="K28" s="51">
        <v>350.03</v>
      </c>
      <c r="L28" s="51">
        <v>20.67</v>
      </c>
      <c r="M28" s="51">
        <v>32.56</v>
      </c>
      <c r="N28" s="51">
        <v>66</v>
      </c>
      <c r="O28" s="51">
        <v>0</v>
      </c>
      <c r="P28" s="51">
        <v>1.52</v>
      </c>
      <c r="Q28" s="51">
        <v>9.57</v>
      </c>
      <c r="R28" s="43"/>
      <c r="S28" s="43"/>
      <c r="T28" s="43"/>
      <c r="U28" s="43"/>
    </row>
    <row r="29" spans="1:21" s="11" customFormat="1" x14ac:dyDescent="0.25">
      <c r="A29" s="50" t="s">
        <v>200</v>
      </c>
      <c r="B29" s="51">
        <v>88.84</v>
      </c>
      <c r="C29" s="51">
        <v>81.23</v>
      </c>
      <c r="D29" s="51">
        <v>113.69</v>
      </c>
      <c r="E29" s="51">
        <v>6.07</v>
      </c>
      <c r="F29" s="51">
        <v>7.16</v>
      </c>
      <c r="G29" s="51">
        <v>92.53</v>
      </c>
      <c r="H29" s="51">
        <v>20.5</v>
      </c>
      <c r="I29" s="51">
        <v>4.13</v>
      </c>
      <c r="J29" s="51">
        <v>1.03</v>
      </c>
      <c r="K29" s="51">
        <v>279.7</v>
      </c>
      <c r="L29" s="51">
        <v>19.46</v>
      </c>
      <c r="M29" s="51">
        <v>31.11</v>
      </c>
      <c r="N29" s="51">
        <v>66</v>
      </c>
      <c r="O29" s="51">
        <v>0</v>
      </c>
      <c r="P29" s="51">
        <v>1.56</v>
      </c>
      <c r="Q29" s="51">
        <v>9.7100000000000009</v>
      </c>
      <c r="R29" s="43"/>
      <c r="S29" s="43"/>
      <c r="T29" s="43"/>
      <c r="U29" s="43"/>
    </row>
    <row r="30" spans="1:21" s="11" customFormat="1" x14ac:dyDescent="0.25">
      <c r="A30" s="50" t="s">
        <v>201</v>
      </c>
      <c r="B30" s="51">
        <v>101.85</v>
      </c>
      <c r="C30" s="51">
        <v>84.58</v>
      </c>
      <c r="D30" s="51">
        <v>125.49</v>
      </c>
      <c r="E30" s="51">
        <v>7.19</v>
      </c>
      <c r="F30" s="51">
        <v>7.37</v>
      </c>
      <c r="G30" s="51">
        <v>119.74</v>
      </c>
      <c r="H30" s="51">
        <v>26.9</v>
      </c>
      <c r="I30" s="51">
        <v>4.05</v>
      </c>
      <c r="J30" s="51">
        <v>0.6</v>
      </c>
      <c r="K30" s="51">
        <v>350.54</v>
      </c>
      <c r="L30" s="51">
        <v>17.54</v>
      </c>
      <c r="M30" s="51">
        <v>37.75</v>
      </c>
      <c r="N30" s="51">
        <v>66.2</v>
      </c>
      <c r="O30" s="51">
        <v>0</v>
      </c>
      <c r="P30" s="51">
        <v>1.74</v>
      </c>
      <c r="Q30" s="51">
        <v>9.76</v>
      </c>
      <c r="R30" s="43"/>
      <c r="S30" s="43"/>
      <c r="T30" s="43"/>
      <c r="U30" s="43"/>
    </row>
    <row r="31" spans="1:21" s="11" customFormat="1" x14ac:dyDescent="0.25">
      <c r="A31" s="50" t="s">
        <v>202</v>
      </c>
      <c r="B31" s="51">
        <v>106.42</v>
      </c>
      <c r="C31" s="51">
        <v>86.92</v>
      </c>
      <c r="D31" s="51">
        <v>127.63</v>
      </c>
      <c r="E31" s="51">
        <v>6.59</v>
      </c>
      <c r="F31" s="51">
        <v>6.73</v>
      </c>
      <c r="G31" s="51">
        <v>129.38999999999999</v>
      </c>
      <c r="H31" s="51">
        <v>32.06</v>
      </c>
      <c r="I31" s="51">
        <v>4.07</v>
      </c>
      <c r="J31" s="51">
        <v>0.69</v>
      </c>
      <c r="K31" s="51">
        <v>318.16000000000003</v>
      </c>
      <c r="L31" s="51">
        <v>16.239999999999998</v>
      </c>
      <c r="M31" s="51">
        <v>39.65</v>
      </c>
      <c r="N31" s="51">
        <v>65.8</v>
      </c>
      <c r="O31" s="51">
        <v>0</v>
      </c>
      <c r="P31" s="51">
        <v>1.77</v>
      </c>
      <c r="Q31" s="51">
        <v>9.82</v>
      </c>
      <c r="R31" s="43"/>
      <c r="S31" s="43"/>
      <c r="T31" s="43"/>
      <c r="U31" s="43"/>
    </row>
    <row r="32" spans="1:21" s="11" customFormat="1" x14ac:dyDescent="0.25">
      <c r="A32" s="50" t="s">
        <v>203</v>
      </c>
      <c r="B32" s="51">
        <v>87.9</v>
      </c>
      <c r="C32" s="51">
        <v>84.65</v>
      </c>
      <c r="D32" s="51">
        <v>108.76</v>
      </c>
      <c r="E32" s="51">
        <v>6.68</v>
      </c>
      <c r="F32" s="51">
        <v>8.35</v>
      </c>
      <c r="G32" s="51">
        <v>125.83</v>
      </c>
      <c r="H32" s="51">
        <v>30.64</v>
      </c>
      <c r="I32" s="51">
        <v>4.1900000000000004</v>
      </c>
      <c r="J32" s="51">
        <v>0.67</v>
      </c>
      <c r="K32" s="51">
        <v>336.28</v>
      </c>
      <c r="L32" s="51">
        <v>16.09</v>
      </c>
      <c r="M32" s="51">
        <v>38.9</v>
      </c>
      <c r="N32" s="51">
        <v>65.599999999999994</v>
      </c>
      <c r="O32" s="51">
        <v>0</v>
      </c>
      <c r="P32" s="51">
        <v>1.58</v>
      </c>
      <c r="Q32" s="51">
        <v>9.86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5.31</v>
      </c>
      <c r="C34" s="28">
        <f t="shared" si="0"/>
        <v>36.93</v>
      </c>
      <c r="D34" s="28">
        <f t="shared" si="0"/>
        <v>28.27</v>
      </c>
      <c r="E34" s="28">
        <f t="shared" si="0"/>
        <v>3.82</v>
      </c>
      <c r="F34" s="28">
        <f t="shared" si="0"/>
        <v>6.73</v>
      </c>
      <c r="G34" s="28">
        <f t="shared" si="0"/>
        <v>14.38</v>
      </c>
      <c r="H34" s="28">
        <f t="shared" si="0"/>
        <v>3.89</v>
      </c>
      <c r="I34" s="28">
        <f t="shared" si="0"/>
        <v>3.97</v>
      </c>
      <c r="J34" s="28">
        <f t="shared" si="0"/>
        <v>0.6</v>
      </c>
      <c r="K34" s="28">
        <f t="shared" si="0"/>
        <v>159.76</v>
      </c>
      <c r="L34" s="28">
        <f t="shared" si="0"/>
        <v>12.85</v>
      </c>
      <c r="M34" s="28">
        <f t="shared" si="0"/>
        <v>9</v>
      </c>
      <c r="N34" s="28">
        <f t="shared" si="0"/>
        <v>65.3</v>
      </c>
      <c r="O34" s="28">
        <f t="shared" si="0"/>
        <v>0</v>
      </c>
      <c r="P34" s="28">
        <f t="shared" si="0"/>
        <v>0.31</v>
      </c>
      <c r="Q34" s="28">
        <f t="shared" si="0"/>
        <v>8.82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106.42</v>
      </c>
      <c r="C35" s="29">
        <f t="shared" si="1"/>
        <v>107.19</v>
      </c>
      <c r="D35" s="29">
        <f t="shared" si="1"/>
        <v>127.88</v>
      </c>
      <c r="E35" s="29">
        <f t="shared" si="1"/>
        <v>76.790000000000006</v>
      </c>
      <c r="F35" s="29">
        <f t="shared" si="1"/>
        <v>60.2</v>
      </c>
      <c r="G35" s="29">
        <f t="shared" si="1"/>
        <v>189.81</v>
      </c>
      <c r="H35" s="29">
        <f t="shared" si="1"/>
        <v>64.75</v>
      </c>
      <c r="I35" s="29">
        <f t="shared" si="1"/>
        <v>4.2</v>
      </c>
      <c r="J35" s="29">
        <f t="shared" si="1"/>
        <v>2.29</v>
      </c>
      <c r="K35" s="29">
        <f t="shared" si="1"/>
        <v>359.44</v>
      </c>
      <c r="L35" s="29">
        <f t="shared" si="1"/>
        <v>30.78</v>
      </c>
      <c r="M35" s="29">
        <f t="shared" si="1"/>
        <v>39.65</v>
      </c>
      <c r="N35" s="29">
        <f t="shared" si="1"/>
        <v>912.1</v>
      </c>
      <c r="O35" s="29">
        <f t="shared" si="1"/>
        <v>0</v>
      </c>
      <c r="P35" s="29">
        <f t="shared" si="1"/>
        <v>1.77</v>
      </c>
      <c r="Q35" s="29">
        <f t="shared" si="1"/>
        <v>9.86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36.288333333333327</v>
      </c>
      <c r="C36" s="28">
        <f t="shared" si="2"/>
        <v>68.909166666666678</v>
      </c>
      <c r="D36" s="28">
        <f t="shared" si="2"/>
        <v>64.215000000000003</v>
      </c>
      <c r="E36" s="28">
        <f t="shared" si="2"/>
        <v>13.792916666666665</v>
      </c>
      <c r="F36" s="28">
        <f t="shared" si="2"/>
        <v>18.205833333333334</v>
      </c>
      <c r="G36" s="28">
        <f t="shared" si="2"/>
        <v>77.293749999999974</v>
      </c>
      <c r="H36" s="28">
        <f t="shared" si="2"/>
        <v>24.189999999999994</v>
      </c>
      <c r="I36" s="28">
        <f t="shared" si="2"/>
        <v>4.0924999999999985</v>
      </c>
      <c r="J36" s="28">
        <f t="shared" si="2"/>
        <v>1.4229166666666666</v>
      </c>
      <c r="K36" s="28">
        <f t="shared" si="2"/>
        <v>336.57958333333329</v>
      </c>
      <c r="L36" s="28">
        <f t="shared" si="2"/>
        <v>21.662083333333332</v>
      </c>
      <c r="M36" s="28">
        <f t="shared" si="2"/>
        <v>23.703749999999999</v>
      </c>
      <c r="N36" s="28">
        <f t="shared" si="2"/>
        <v>315.02916666666664</v>
      </c>
      <c r="O36" s="28">
        <f t="shared" si="2"/>
        <v>0</v>
      </c>
      <c r="P36" s="28">
        <f t="shared" si="2"/>
        <v>0.88916666666666655</v>
      </c>
      <c r="Q36" s="28">
        <f t="shared" si="2"/>
        <v>9.4104166666666647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36.263047986557375</v>
      </c>
      <c r="C37" s="28">
        <f t="shared" ref="C37:Q37" si="3">STDEV(C9:C32)</f>
        <v>16.951908938720329</v>
      </c>
      <c r="D37" s="28">
        <f t="shared" si="3"/>
        <v>36.328709810860872</v>
      </c>
      <c r="E37" s="28">
        <f t="shared" si="3"/>
        <v>16.188872313270068</v>
      </c>
      <c r="F37" s="28">
        <f t="shared" si="3"/>
        <v>16.42880924438548</v>
      </c>
      <c r="G37" s="28">
        <f t="shared" si="3"/>
        <v>44.354333920148143</v>
      </c>
      <c r="H37" s="28">
        <f t="shared" si="3"/>
        <v>16.553899842635289</v>
      </c>
      <c r="I37" s="28">
        <f t="shared" si="3"/>
        <v>5.795425482373074E-2</v>
      </c>
      <c r="J37" s="28">
        <f t="shared" si="3"/>
        <v>0.50732443240016079</v>
      </c>
      <c r="K37" s="28">
        <f t="shared" si="3"/>
        <v>41.378277275083072</v>
      </c>
      <c r="L37" s="28">
        <f t="shared" si="3"/>
        <v>6.5973083965894821</v>
      </c>
      <c r="M37" s="28">
        <f t="shared" si="3"/>
        <v>11.139199804411831</v>
      </c>
      <c r="N37" s="28">
        <f t="shared" si="3"/>
        <v>340.30554363007724</v>
      </c>
      <c r="O37" s="28">
        <f t="shared" si="3"/>
        <v>0</v>
      </c>
      <c r="P37" s="28">
        <f t="shared" si="3"/>
        <v>0.47304670848215136</v>
      </c>
      <c r="Q37" s="28">
        <f t="shared" si="3"/>
        <v>0.31940813698309961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2" sqref="G52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204</v>
      </c>
      <c r="B9" s="51">
        <v>72.349999999999994</v>
      </c>
      <c r="C9" s="51">
        <v>70.87</v>
      </c>
      <c r="D9" s="51">
        <v>95.04</v>
      </c>
      <c r="E9" s="51">
        <v>3.22</v>
      </c>
      <c r="F9" s="51">
        <v>7.68</v>
      </c>
      <c r="G9" s="51">
        <v>105.56</v>
      </c>
      <c r="H9" s="51">
        <v>24.08</v>
      </c>
      <c r="I9" s="51">
        <v>4.03</v>
      </c>
      <c r="J9" s="51">
        <v>1.29</v>
      </c>
      <c r="K9" s="51">
        <v>333.24</v>
      </c>
      <c r="L9" s="51">
        <v>16.079999999999998</v>
      </c>
      <c r="M9" s="51">
        <v>33</v>
      </c>
      <c r="N9" s="51">
        <v>65.8</v>
      </c>
      <c r="O9" s="51">
        <v>0</v>
      </c>
      <c r="P9" s="51">
        <v>1.42</v>
      </c>
      <c r="Q9" s="51">
        <v>9.8000000000000007</v>
      </c>
      <c r="R9" s="43"/>
      <c r="S9" s="43"/>
      <c r="T9" s="43"/>
      <c r="U9" s="43"/>
    </row>
    <row r="10" spans="1:21" s="11" customFormat="1" x14ac:dyDescent="0.25">
      <c r="A10" s="50" t="s">
        <v>205</v>
      </c>
      <c r="B10" s="51">
        <v>56.74</v>
      </c>
      <c r="C10" s="51">
        <v>69.55</v>
      </c>
      <c r="D10" s="51">
        <v>81.83</v>
      </c>
      <c r="E10" s="51">
        <v>3.8</v>
      </c>
      <c r="F10" s="51">
        <v>6.37</v>
      </c>
      <c r="G10" s="51">
        <v>77.260000000000005</v>
      </c>
      <c r="H10" s="51">
        <v>21.93</v>
      </c>
      <c r="I10" s="51">
        <v>4.0199999999999996</v>
      </c>
      <c r="J10" s="51">
        <v>0.71</v>
      </c>
      <c r="K10" s="51">
        <v>322.24</v>
      </c>
      <c r="L10" s="51">
        <v>15.05</v>
      </c>
      <c r="M10" s="51">
        <v>42.45</v>
      </c>
      <c r="N10" s="51">
        <v>66.599999999999994</v>
      </c>
      <c r="O10" s="51">
        <v>0</v>
      </c>
      <c r="P10" s="51">
        <v>1.08</v>
      </c>
      <c r="Q10" s="51">
        <v>9.74</v>
      </c>
      <c r="R10" s="43"/>
      <c r="S10" s="43"/>
      <c r="T10" s="43"/>
      <c r="U10" s="43"/>
    </row>
    <row r="11" spans="1:21" s="11" customFormat="1" x14ac:dyDescent="0.25">
      <c r="A11" s="50" t="s">
        <v>206</v>
      </c>
      <c r="B11" s="51">
        <v>46.69</v>
      </c>
      <c r="C11" s="51">
        <v>66.45</v>
      </c>
      <c r="D11" s="51">
        <v>72.12</v>
      </c>
      <c r="E11" s="51">
        <v>2.8</v>
      </c>
      <c r="F11" s="51">
        <v>6.68</v>
      </c>
      <c r="G11" s="51">
        <v>83.53</v>
      </c>
      <c r="H11" s="51">
        <v>23.83</v>
      </c>
      <c r="I11" s="51">
        <v>4.0999999999999996</v>
      </c>
      <c r="J11" s="51">
        <v>0.69</v>
      </c>
      <c r="K11" s="51">
        <v>322.64</v>
      </c>
      <c r="L11" s="51">
        <v>13.32</v>
      </c>
      <c r="M11" s="51">
        <v>53.02</v>
      </c>
      <c r="N11" s="51">
        <v>66.2</v>
      </c>
      <c r="O11" s="51">
        <v>0</v>
      </c>
      <c r="P11" s="51">
        <v>0.97</v>
      </c>
      <c r="Q11" s="51">
        <v>9.6999999999999993</v>
      </c>
      <c r="R11" s="43"/>
      <c r="S11" s="43"/>
      <c r="T11" s="43"/>
      <c r="U11" s="43"/>
    </row>
    <row r="12" spans="1:21" s="11" customFormat="1" x14ac:dyDescent="0.25">
      <c r="A12" s="50" t="s">
        <v>207</v>
      </c>
      <c r="B12" s="51">
        <v>44.46</v>
      </c>
      <c r="C12" s="51">
        <v>65.78</v>
      </c>
      <c r="D12" s="51">
        <v>70.02</v>
      </c>
      <c r="E12" s="51">
        <v>2.79</v>
      </c>
      <c r="F12" s="51">
        <v>6.41</v>
      </c>
      <c r="G12" s="51">
        <v>94.7</v>
      </c>
      <c r="H12" s="51">
        <v>26.94</v>
      </c>
      <c r="I12" s="51">
        <v>4.01</v>
      </c>
      <c r="J12" s="51">
        <v>0.7</v>
      </c>
      <c r="K12" s="51">
        <v>353.62</v>
      </c>
      <c r="L12" s="51">
        <v>12.88</v>
      </c>
      <c r="M12" s="51">
        <v>52.32</v>
      </c>
      <c r="N12" s="51">
        <v>66.099999999999994</v>
      </c>
      <c r="O12" s="51">
        <v>0</v>
      </c>
      <c r="P12" s="51">
        <v>0.89</v>
      </c>
      <c r="Q12" s="51">
        <v>9.69</v>
      </c>
      <c r="R12" s="43"/>
      <c r="S12" s="43"/>
      <c r="T12" s="43"/>
      <c r="U12" s="43"/>
    </row>
    <row r="13" spans="1:21" s="11" customFormat="1" x14ac:dyDescent="0.25">
      <c r="A13" s="50" t="s">
        <v>208</v>
      </c>
      <c r="B13" s="51">
        <v>46.16</v>
      </c>
      <c r="C13" s="51">
        <v>62.14</v>
      </c>
      <c r="D13" s="51">
        <v>69.17</v>
      </c>
      <c r="E13" s="51">
        <v>4.09</v>
      </c>
      <c r="F13" s="51">
        <v>6.69</v>
      </c>
      <c r="G13" s="51">
        <v>98</v>
      </c>
      <c r="H13" s="51">
        <v>28.92</v>
      </c>
      <c r="I13" s="51">
        <v>4.05</v>
      </c>
      <c r="J13" s="51">
        <v>0.67</v>
      </c>
      <c r="K13" s="51">
        <v>299.39999999999998</v>
      </c>
      <c r="L13" s="51">
        <v>12.98</v>
      </c>
      <c r="M13" s="51">
        <v>45.95</v>
      </c>
      <c r="N13" s="51">
        <v>66.099999999999994</v>
      </c>
      <c r="O13" s="51">
        <v>0</v>
      </c>
      <c r="P13" s="51">
        <v>0.9</v>
      </c>
      <c r="Q13" s="51">
        <v>9.66</v>
      </c>
      <c r="R13" s="43"/>
      <c r="S13" s="43"/>
      <c r="T13" s="43"/>
      <c r="U13" s="43"/>
    </row>
    <row r="14" spans="1:21" s="11" customFormat="1" x14ac:dyDescent="0.25">
      <c r="A14" s="50" t="s">
        <v>209</v>
      </c>
      <c r="B14" s="51">
        <v>50.49</v>
      </c>
      <c r="C14" s="51">
        <v>63.73</v>
      </c>
      <c r="D14" s="51">
        <v>73.790000000000006</v>
      </c>
      <c r="E14" s="51">
        <v>4.18</v>
      </c>
      <c r="F14" s="51">
        <v>6.95</v>
      </c>
      <c r="G14" s="51">
        <v>118.34</v>
      </c>
      <c r="H14" s="51">
        <v>32.89</v>
      </c>
      <c r="I14" s="51">
        <v>4.08</v>
      </c>
      <c r="J14" s="51">
        <v>0.88</v>
      </c>
      <c r="K14" s="51">
        <v>267.31</v>
      </c>
      <c r="L14" s="51">
        <v>13.29</v>
      </c>
      <c r="M14" s="51">
        <v>45.81</v>
      </c>
      <c r="N14" s="51">
        <v>66.5</v>
      </c>
      <c r="O14" s="51">
        <v>0</v>
      </c>
      <c r="P14" s="51">
        <v>0.98</v>
      </c>
      <c r="Q14" s="51">
        <v>9.66</v>
      </c>
      <c r="R14" s="43"/>
      <c r="S14" s="43"/>
      <c r="T14" s="43"/>
      <c r="U14" s="43"/>
    </row>
    <row r="15" spans="1:21" s="11" customFormat="1" x14ac:dyDescent="0.25">
      <c r="A15" s="50" t="s">
        <v>210</v>
      </c>
      <c r="B15" s="51">
        <v>54.93</v>
      </c>
      <c r="C15" s="51">
        <v>67.489999999999995</v>
      </c>
      <c r="D15" s="51">
        <v>79.31</v>
      </c>
      <c r="E15" s="51">
        <v>3.97</v>
      </c>
      <c r="F15" s="51">
        <v>7.06</v>
      </c>
      <c r="G15" s="51">
        <v>131.56</v>
      </c>
      <c r="H15" s="51">
        <v>49.04</v>
      </c>
      <c r="I15" s="51">
        <v>4.1100000000000003</v>
      </c>
      <c r="J15" s="51">
        <v>0.68</v>
      </c>
      <c r="K15" s="51">
        <v>359.61</v>
      </c>
      <c r="L15" s="51">
        <v>13.63</v>
      </c>
      <c r="M15" s="51">
        <v>44.15</v>
      </c>
      <c r="N15" s="51">
        <v>164.4</v>
      </c>
      <c r="O15" s="51">
        <v>0</v>
      </c>
      <c r="P15" s="51">
        <v>1.08</v>
      </c>
      <c r="Q15" s="51">
        <v>9.6999999999999993</v>
      </c>
      <c r="R15" s="43"/>
      <c r="S15" s="43"/>
      <c r="T15" s="43"/>
      <c r="U15" s="43"/>
    </row>
    <row r="16" spans="1:21" s="11" customFormat="1" x14ac:dyDescent="0.25">
      <c r="A16" s="50" t="s">
        <v>211</v>
      </c>
      <c r="B16" s="51">
        <v>57.13</v>
      </c>
      <c r="C16" s="51">
        <v>69.349999999999994</v>
      </c>
      <c r="D16" s="51">
        <v>82.05</v>
      </c>
      <c r="E16" s="51">
        <v>5.24</v>
      </c>
      <c r="F16" s="51">
        <v>7.99</v>
      </c>
      <c r="G16" s="51">
        <v>129.05000000000001</v>
      </c>
      <c r="H16" s="51">
        <v>49.79</v>
      </c>
      <c r="I16" s="51">
        <v>4.1100000000000003</v>
      </c>
      <c r="J16" s="51">
        <v>0.95</v>
      </c>
      <c r="K16" s="51">
        <v>353.84</v>
      </c>
      <c r="L16" s="51">
        <v>22.32</v>
      </c>
      <c r="M16" s="51">
        <v>34.549999999999997</v>
      </c>
      <c r="N16" s="51">
        <v>427.2</v>
      </c>
      <c r="O16" s="51">
        <v>0</v>
      </c>
      <c r="P16" s="51">
        <v>1.1399999999999999</v>
      </c>
      <c r="Q16" s="51">
        <v>9.7100000000000009</v>
      </c>
      <c r="R16" s="43"/>
      <c r="S16" s="43"/>
      <c r="T16" s="43"/>
      <c r="U16" s="43"/>
    </row>
    <row r="17" spans="1:21" s="11" customFormat="1" x14ac:dyDescent="0.25">
      <c r="A17" s="50" t="s">
        <v>212</v>
      </c>
      <c r="B17" s="51">
        <v>52.14</v>
      </c>
      <c r="C17" s="51">
        <v>67.22</v>
      </c>
      <c r="D17" s="51">
        <v>75.61</v>
      </c>
      <c r="E17" s="51">
        <v>5.3</v>
      </c>
      <c r="F17" s="51">
        <v>7.66</v>
      </c>
      <c r="G17" s="51">
        <v>125.28</v>
      </c>
      <c r="H17" s="51">
        <v>42.31</v>
      </c>
      <c r="I17" s="51">
        <v>4.1100000000000003</v>
      </c>
      <c r="J17" s="51">
        <v>1.3</v>
      </c>
      <c r="K17" s="51">
        <v>92.87</v>
      </c>
      <c r="L17" s="51">
        <v>23.81</v>
      </c>
      <c r="M17" s="51">
        <v>23.91</v>
      </c>
      <c r="N17" s="51">
        <v>638.70000000000005</v>
      </c>
      <c r="O17" s="51">
        <v>0</v>
      </c>
      <c r="P17" s="51">
        <v>1.06</v>
      </c>
      <c r="Q17" s="51">
        <v>9.7100000000000009</v>
      </c>
      <c r="R17" s="43"/>
      <c r="S17" s="43"/>
      <c r="T17" s="43"/>
      <c r="U17" s="43"/>
    </row>
    <row r="18" spans="1:21" s="11" customFormat="1" x14ac:dyDescent="0.25">
      <c r="A18" s="50" t="s">
        <v>213</v>
      </c>
      <c r="B18" s="51">
        <v>40.07</v>
      </c>
      <c r="C18" s="51">
        <v>70.25</v>
      </c>
      <c r="D18" s="51">
        <v>67.989999999999995</v>
      </c>
      <c r="E18" s="51">
        <v>4.01</v>
      </c>
      <c r="F18" s="51">
        <v>8.2799999999999994</v>
      </c>
      <c r="G18" s="51">
        <v>104.76</v>
      </c>
      <c r="H18" s="51">
        <v>32.89</v>
      </c>
      <c r="I18" s="51">
        <v>4.0599999999999996</v>
      </c>
      <c r="J18" s="51">
        <v>1.84</v>
      </c>
      <c r="K18" s="51">
        <v>104.15</v>
      </c>
      <c r="L18" s="51">
        <v>24.33</v>
      </c>
      <c r="M18" s="51">
        <v>20.54</v>
      </c>
      <c r="N18" s="51">
        <v>809.7</v>
      </c>
      <c r="O18" s="51">
        <v>0</v>
      </c>
      <c r="P18" s="51">
        <v>0.95</v>
      </c>
      <c r="Q18" s="51">
        <v>9.66</v>
      </c>
      <c r="R18" s="43"/>
      <c r="S18" s="43"/>
      <c r="T18" s="43"/>
      <c r="U18" s="43"/>
    </row>
    <row r="19" spans="1:21" s="11" customFormat="1" x14ac:dyDescent="0.25">
      <c r="A19" s="50" t="s">
        <v>214</v>
      </c>
      <c r="B19" s="51">
        <v>26.24</v>
      </c>
      <c r="C19" s="51">
        <v>73.31</v>
      </c>
      <c r="D19" s="51">
        <v>57.8</v>
      </c>
      <c r="E19" s="51">
        <v>5.09</v>
      </c>
      <c r="F19" s="51">
        <v>13.8</v>
      </c>
      <c r="G19" s="51">
        <v>87.63</v>
      </c>
      <c r="H19" s="51">
        <v>24.24</v>
      </c>
      <c r="I19" s="51">
        <v>4.07</v>
      </c>
      <c r="J19" s="51">
        <v>1.59</v>
      </c>
      <c r="K19" s="51">
        <v>359.52</v>
      </c>
      <c r="L19" s="51">
        <v>29</v>
      </c>
      <c r="M19" s="51">
        <v>13.41</v>
      </c>
      <c r="N19" s="51">
        <v>914.4</v>
      </c>
      <c r="O19" s="51">
        <v>0</v>
      </c>
      <c r="P19" s="51">
        <v>0.78</v>
      </c>
      <c r="Q19" s="51">
        <v>9.57</v>
      </c>
      <c r="R19" s="43"/>
      <c r="S19" s="43"/>
      <c r="T19" s="43"/>
      <c r="U19" s="43"/>
    </row>
    <row r="20" spans="1:21" s="11" customFormat="1" x14ac:dyDescent="0.25">
      <c r="A20" s="50" t="s">
        <v>215</v>
      </c>
      <c r="B20" s="51">
        <v>11.76</v>
      </c>
      <c r="C20" s="51">
        <v>71.05</v>
      </c>
      <c r="D20" s="51">
        <v>46.32</v>
      </c>
      <c r="E20" s="51">
        <v>19.03</v>
      </c>
      <c r="F20" s="51">
        <v>26.35</v>
      </c>
      <c r="G20" s="51">
        <v>53.86</v>
      </c>
      <c r="H20" s="51">
        <v>12.55</v>
      </c>
      <c r="I20" s="51">
        <v>3.98</v>
      </c>
      <c r="J20" s="51">
        <v>1.1399999999999999</v>
      </c>
      <c r="K20" s="51">
        <v>347.61</v>
      </c>
      <c r="L20" s="51">
        <v>30.99</v>
      </c>
      <c r="M20" s="51">
        <v>13.5</v>
      </c>
      <c r="N20" s="51">
        <v>921.6</v>
      </c>
      <c r="O20" s="51">
        <v>0</v>
      </c>
      <c r="P20" s="51">
        <v>0.56999999999999995</v>
      </c>
      <c r="Q20" s="51">
        <v>9.5500000000000007</v>
      </c>
      <c r="R20" s="43"/>
      <c r="S20" s="43"/>
      <c r="T20" s="43"/>
      <c r="U20" s="43"/>
    </row>
    <row r="21" spans="1:21" s="11" customFormat="1" x14ac:dyDescent="0.25">
      <c r="A21" s="50" t="s">
        <v>216</v>
      </c>
      <c r="B21" s="51">
        <v>8.7200000000000006</v>
      </c>
      <c r="C21" s="51">
        <v>69.91</v>
      </c>
      <c r="D21" s="51">
        <v>41.64</v>
      </c>
      <c r="E21" s="51">
        <v>22.55</v>
      </c>
      <c r="F21" s="51">
        <v>26.01</v>
      </c>
      <c r="G21" s="51">
        <v>37.119999999999997</v>
      </c>
      <c r="H21" s="51">
        <v>7.95</v>
      </c>
      <c r="I21" s="51">
        <v>4.07</v>
      </c>
      <c r="J21" s="51">
        <v>1.36</v>
      </c>
      <c r="K21" s="51">
        <v>349.71</v>
      </c>
      <c r="L21" s="51">
        <v>30.78</v>
      </c>
      <c r="M21" s="51">
        <v>12.37</v>
      </c>
      <c r="N21" s="51">
        <v>842.1</v>
      </c>
      <c r="O21" s="51">
        <v>0</v>
      </c>
      <c r="P21" s="51">
        <v>0.54</v>
      </c>
      <c r="Q21" s="51">
        <v>9.4600000000000009</v>
      </c>
      <c r="R21" s="43"/>
      <c r="S21" s="43"/>
      <c r="T21" s="43"/>
      <c r="U21" s="43"/>
    </row>
    <row r="22" spans="1:21" s="11" customFormat="1" x14ac:dyDescent="0.25">
      <c r="A22" s="50" t="s">
        <v>217</v>
      </c>
      <c r="B22" s="51">
        <v>6.66</v>
      </c>
      <c r="C22" s="51">
        <v>65.72</v>
      </c>
      <c r="D22" s="51">
        <v>39.01</v>
      </c>
      <c r="E22" s="51">
        <v>6.82</v>
      </c>
      <c r="F22" s="51">
        <v>17.95</v>
      </c>
      <c r="G22" s="51">
        <v>56.66</v>
      </c>
      <c r="H22" s="51">
        <v>11.62</v>
      </c>
      <c r="I22" s="51">
        <v>4.04</v>
      </c>
      <c r="J22" s="51">
        <v>1.56</v>
      </c>
      <c r="K22" s="51">
        <v>338.76</v>
      </c>
      <c r="L22" s="51">
        <v>32.700000000000003</v>
      </c>
      <c r="M22" s="51">
        <v>9.44</v>
      </c>
      <c r="N22" s="51">
        <v>857.4</v>
      </c>
      <c r="O22" s="51">
        <v>0</v>
      </c>
      <c r="P22" s="51">
        <v>0.47</v>
      </c>
      <c r="Q22" s="51">
        <v>9.19</v>
      </c>
      <c r="R22" s="43"/>
      <c r="S22" s="43"/>
      <c r="T22" s="43"/>
      <c r="U22" s="43"/>
    </row>
    <row r="23" spans="1:21" s="11" customFormat="1" x14ac:dyDescent="0.25">
      <c r="A23" s="50" t="s">
        <v>218</v>
      </c>
      <c r="B23" s="51">
        <v>8.39</v>
      </c>
      <c r="C23" s="51">
        <v>59.3</v>
      </c>
      <c r="D23" s="51">
        <v>36.29</v>
      </c>
      <c r="E23" s="51">
        <v>5.84</v>
      </c>
      <c r="F23" s="51">
        <v>24.8</v>
      </c>
      <c r="G23" s="51">
        <v>63.2</v>
      </c>
      <c r="H23" s="51">
        <v>14.51</v>
      </c>
      <c r="I23" s="51">
        <v>4.03</v>
      </c>
      <c r="J23" s="51">
        <v>1.34</v>
      </c>
      <c r="K23" s="51">
        <v>352.37</v>
      </c>
      <c r="L23" s="51">
        <v>32.32</v>
      </c>
      <c r="M23" s="51">
        <v>9.32</v>
      </c>
      <c r="N23" s="51">
        <v>800.3</v>
      </c>
      <c r="O23" s="51">
        <v>0</v>
      </c>
      <c r="P23" s="51">
        <v>0.43</v>
      </c>
      <c r="Q23" s="51">
        <v>9.1300000000000008</v>
      </c>
      <c r="R23" s="43"/>
      <c r="S23" s="43"/>
      <c r="T23" s="43"/>
      <c r="U23" s="43"/>
    </row>
    <row r="24" spans="1:21" s="11" customFormat="1" x14ac:dyDescent="0.25">
      <c r="A24" s="50" t="s">
        <v>219</v>
      </c>
      <c r="B24" s="51">
        <v>8.4499999999999993</v>
      </c>
      <c r="C24" s="51">
        <v>54.77</v>
      </c>
      <c r="D24" s="51">
        <v>35.4</v>
      </c>
      <c r="E24" s="51">
        <v>5.84</v>
      </c>
      <c r="F24" s="51">
        <v>35.68</v>
      </c>
      <c r="G24" s="51">
        <v>49.85</v>
      </c>
      <c r="H24" s="51">
        <v>10.87</v>
      </c>
      <c r="I24" s="51">
        <v>4.04</v>
      </c>
      <c r="J24" s="51">
        <v>1.04</v>
      </c>
      <c r="K24" s="51">
        <v>323.47000000000003</v>
      </c>
      <c r="L24" s="51">
        <v>30.18</v>
      </c>
      <c r="M24" s="51">
        <v>11.09</v>
      </c>
      <c r="N24" s="51">
        <v>255.5</v>
      </c>
      <c r="O24" s="51">
        <v>0</v>
      </c>
      <c r="P24" s="51">
        <v>0.38</v>
      </c>
      <c r="Q24" s="51">
        <v>9.07</v>
      </c>
      <c r="R24" s="43"/>
      <c r="S24" s="43"/>
      <c r="T24" s="43"/>
      <c r="U24" s="43"/>
    </row>
    <row r="25" spans="1:21" s="11" customFormat="1" x14ac:dyDescent="0.25">
      <c r="A25" s="50" t="s">
        <v>220</v>
      </c>
      <c r="B25" s="51">
        <v>19.75</v>
      </c>
      <c r="C25" s="51">
        <v>79.31</v>
      </c>
      <c r="D25" s="51">
        <v>51.93</v>
      </c>
      <c r="E25" s="51">
        <v>7.12</v>
      </c>
      <c r="F25" s="51">
        <v>37.6</v>
      </c>
      <c r="G25" s="51">
        <v>27.76</v>
      </c>
      <c r="H25" s="51">
        <v>7.56</v>
      </c>
      <c r="I25" s="51">
        <v>4.1500000000000004</v>
      </c>
      <c r="J25" s="51">
        <v>1.19</v>
      </c>
      <c r="K25" s="51">
        <v>344.01</v>
      </c>
      <c r="L25" s="51">
        <v>28.01</v>
      </c>
      <c r="M25" s="51">
        <v>11.49</v>
      </c>
      <c r="N25" s="51">
        <v>195.2</v>
      </c>
      <c r="O25" s="51">
        <v>0</v>
      </c>
      <c r="P25" s="51">
        <v>0.42</v>
      </c>
      <c r="Q25" s="51">
        <v>9.07</v>
      </c>
      <c r="R25" s="43"/>
      <c r="S25" s="43"/>
      <c r="T25" s="43"/>
      <c r="U25" s="43"/>
    </row>
    <row r="26" spans="1:21" s="11" customFormat="1" x14ac:dyDescent="0.25">
      <c r="A26" s="50" t="s">
        <v>221</v>
      </c>
      <c r="B26" s="51">
        <v>28.09</v>
      </c>
      <c r="C26" s="51">
        <v>95.21</v>
      </c>
      <c r="D26" s="51">
        <v>72.27</v>
      </c>
      <c r="E26" s="51">
        <v>4.55</v>
      </c>
      <c r="F26" s="51">
        <v>21.55</v>
      </c>
      <c r="G26" s="51">
        <v>42.17</v>
      </c>
      <c r="H26" s="51">
        <v>10.31</v>
      </c>
      <c r="I26" s="51">
        <v>3.98</v>
      </c>
      <c r="J26" s="51">
        <v>1.31</v>
      </c>
      <c r="K26" s="51">
        <v>344.42</v>
      </c>
      <c r="L26" s="51">
        <v>26.69</v>
      </c>
      <c r="M26" s="51">
        <v>16.760000000000002</v>
      </c>
      <c r="N26" s="51">
        <v>105.8</v>
      </c>
      <c r="O26" s="51">
        <v>0</v>
      </c>
      <c r="P26" s="51">
        <v>1.1100000000000001</v>
      </c>
      <c r="Q26" s="51">
        <v>9.02</v>
      </c>
      <c r="R26" s="43"/>
      <c r="S26" s="43"/>
      <c r="T26" s="43"/>
      <c r="U26" s="43"/>
    </row>
    <row r="27" spans="1:21" s="11" customFormat="1" x14ac:dyDescent="0.25">
      <c r="A27" s="50" t="s">
        <v>222</v>
      </c>
      <c r="B27" s="51">
        <v>74.459999999999994</v>
      </c>
      <c r="C27" s="51">
        <v>113.24</v>
      </c>
      <c r="D27" s="51">
        <v>118.33</v>
      </c>
      <c r="E27" s="51">
        <v>4.82</v>
      </c>
      <c r="F27" s="51">
        <v>10.06</v>
      </c>
      <c r="G27" s="51">
        <v>49.11</v>
      </c>
      <c r="H27" s="51">
        <v>8.6999999999999993</v>
      </c>
      <c r="I27" s="51">
        <v>4.0999999999999996</v>
      </c>
      <c r="J27" s="51">
        <v>0.82</v>
      </c>
      <c r="K27" s="51">
        <v>338.95</v>
      </c>
      <c r="L27" s="51">
        <v>23.62</v>
      </c>
      <c r="M27" s="51">
        <v>23.34</v>
      </c>
      <c r="N27" s="51">
        <v>73.7</v>
      </c>
      <c r="O27" s="51">
        <v>0</v>
      </c>
      <c r="P27" s="51">
        <v>1.5</v>
      </c>
      <c r="Q27" s="51">
        <v>9.4600000000000009</v>
      </c>
      <c r="R27" s="43"/>
      <c r="S27" s="43"/>
      <c r="T27" s="43"/>
      <c r="U27" s="43"/>
    </row>
    <row r="28" spans="1:21" s="11" customFormat="1" x14ac:dyDescent="0.25">
      <c r="A28" s="50" t="s">
        <v>223</v>
      </c>
      <c r="B28" s="51">
        <v>62.8</v>
      </c>
      <c r="C28" s="51">
        <v>136.01</v>
      </c>
      <c r="D28" s="51">
        <v>121.42</v>
      </c>
      <c r="E28" s="51">
        <v>10.08</v>
      </c>
      <c r="F28" s="51">
        <v>9.66</v>
      </c>
      <c r="G28" s="51">
        <v>81.650000000000006</v>
      </c>
      <c r="H28" s="51">
        <v>16.489999999999998</v>
      </c>
      <c r="I28" s="51">
        <v>4.05</v>
      </c>
      <c r="J28" s="51">
        <v>0.74</v>
      </c>
      <c r="K28" s="51">
        <v>273.95999999999998</v>
      </c>
      <c r="L28" s="51">
        <v>21.92</v>
      </c>
      <c r="M28" s="51">
        <v>26.36</v>
      </c>
      <c r="N28" s="51">
        <v>71.900000000000006</v>
      </c>
      <c r="O28" s="51">
        <v>0</v>
      </c>
      <c r="P28" s="51">
        <v>1.31</v>
      </c>
      <c r="Q28" s="51">
        <v>9.56</v>
      </c>
      <c r="R28" s="43"/>
      <c r="S28" s="43"/>
      <c r="T28" s="43"/>
      <c r="U28" s="43"/>
    </row>
    <row r="29" spans="1:21" s="11" customFormat="1" x14ac:dyDescent="0.25">
      <c r="A29" s="50" t="s">
        <v>224</v>
      </c>
      <c r="B29" s="51">
        <v>106.24</v>
      </c>
      <c r="C29" s="51">
        <v>127.94</v>
      </c>
      <c r="D29" s="51">
        <v>150.1</v>
      </c>
      <c r="E29" s="51">
        <v>10.87</v>
      </c>
      <c r="F29" s="51">
        <v>8.74</v>
      </c>
      <c r="G29" s="51">
        <v>104.43</v>
      </c>
      <c r="H29" s="51">
        <v>23.2</v>
      </c>
      <c r="I29" s="51">
        <v>4.1399999999999997</v>
      </c>
      <c r="J29" s="51">
        <v>0.73</v>
      </c>
      <c r="K29" s="51">
        <v>352.05</v>
      </c>
      <c r="L29" s="51">
        <v>20.76</v>
      </c>
      <c r="M29" s="51">
        <v>35.729999999999997</v>
      </c>
      <c r="N29" s="51">
        <v>72.8</v>
      </c>
      <c r="O29" s="51">
        <v>0</v>
      </c>
      <c r="P29" s="51">
        <v>2.2999999999999998</v>
      </c>
      <c r="Q29" s="51">
        <v>9.6199999999999992</v>
      </c>
      <c r="R29" s="43"/>
      <c r="S29" s="43"/>
      <c r="T29" s="43"/>
      <c r="U29" s="43"/>
    </row>
    <row r="30" spans="1:21" s="11" customFormat="1" x14ac:dyDescent="0.25">
      <c r="A30" s="50" t="s">
        <v>225</v>
      </c>
      <c r="B30" s="51">
        <v>126.07</v>
      </c>
      <c r="C30" s="51">
        <v>116.45</v>
      </c>
      <c r="D30" s="51">
        <v>161.94</v>
      </c>
      <c r="E30" s="51">
        <v>6.38</v>
      </c>
      <c r="F30" s="51">
        <v>7.44</v>
      </c>
      <c r="G30" s="51">
        <v>130.82</v>
      </c>
      <c r="H30" s="51">
        <v>28.06</v>
      </c>
      <c r="I30" s="51">
        <v>4.1500000000000004</v>
      </c>
      <c r="J30" s="51">
        <v>0.61</v>
      </c>
      <c r="K30" s="51">
        <v>339.33</v>
      </c>
      <c r="L30" s="51">
        <v>18.600000000000001</v>
      </c>
      <c r="M30" s="51">
        <v>37.799999999999997</v>
      </c>
      <c r="N30" s="51">
        <v>72.400000000000006</v>
      </c>
      <c r="O30" s="51">
        <v>0</v>
      </c>
      <c r="P30" s="51">
        <v>1.92</v>
      </c>
      <c r="Q30" s="51">
        <v>9.66</v>
      </c>
      <c r="R30" s="43"/>
      <c r="S30" s="43"/>
      <c r="T30" s="43"/>
      <c r="U30" s="43"/>
    </row>
    <row r="31" spans="1:21" s="11" customFormat="1" x14ac:dyDescent="0.25">
      <c r="A31" s="50" t="s">
        <v>226</v>
      </c>
      <c r="B31" s="51">
        <v>60.75</v>
      </c>
      <c r="C31" s="51">
        <v>82.9</v>
      </c>
      <c r="D31" s="51">
        <v>92.03</v>
      </c>
      <c r="E31" s="51">
        <v>3.74</v>
      </c>
      <c r="F31" s="51">
        <v>8.82</v>
      </c>
      <c r="G31" s="51">
        <v>147.79</v>
      </c>
      <c r="H31" s="51">
        <v>32.549999999999997</v>
      </c>
      <c r="I31" s="51">
        <v>4.07</v>
      </c>
      <c r="J31" s="51">
        <v>0.82</v>
      </c>
      <c r="K31" s="51">
        <v>259.04000000000002</v>
      </c>
      <c r="L31" s="51">
        <v>18.579999999999998</v>
      </c>
      <c r="M31" s="51">
        <v>36.57</v>
      </c>
      <c r="N31" s="51">
        <v>72.400000000000006</v>
      </c>
      <c r="O31" s="51">
        <v>0</v>
      </c>
      <c r="P31" s="51">
        <v>1.46</v>
      </c>
      <c r="Q31" s="51">
        <v>9.7200000000000006</v>
      </c>
      <c r="R31" s="43"/>
      <c r="S31" s="43"/>
      <c r="T31" s="43"/>
      <c r="U31" s="43"/>
    </row>
    <row r="32" spans="1:21" s="11" customFormat="1" x14ac:dyDescent="0.25">
      <c r="A32" s="50" t="s">
        <v>227</v>
      </c>
      <c r="B32" s="51">
        <v>51.83</v>
      </c>
      <c r="C32" s="51">
        <v>81.09</v>
      </c>
      <c r="D32" s="51">
        <v>83.93</v>
      </c>
      <c r="E32" s="51">
        <v>3.97</v>
      </c>
      <c r="F32" s="51">
        <v>11.36</v>
      </c>
      <c r="G32" s="51">
        <v>87.61</v>
      </c>
      <c r="H32" s="51">
        <v>29.29</v>
      </c>
      <c r="I32" s="51">
        <v>4.2300000000000004</v>
      </c>
      <c r="J32" s="51">
        <v>0.77</v>
      </c>
      <c r="K32" s="51">
        <v>337.18</v>
      </c>
      <c r="L32" s="51">
        <v>17.41</v>
      </c>
      <c r="M32" s="51">
        <v>41.83</v>
      </c>
      <c r="N32" s="51">
        <v>72.599999999999994</v>
      </c>
      <c r="O32" s="51">
        <v>0</v>
      </c>
      <c r="P32" s="51">
        <v>1.39</v>
      </c>
      <c r="Q32" s="51">
        <v>9.67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6.66</v>
      </c>
      <c r="C34" s="28">
        <f t="shared" si="0"/>
        <v>54.77</v>
      </c>
      <c r="D34" s="28">
        <f t="shared" si="0"/>
        <v>35.4</v>
      </c>
      <c r="E34" s="28">
        <f t="shared" si="0"/>
        <v>2.79</v>
      </c>
      <c r="F34" s="28">
        <f t="shared" si="0"/>
        <v>6.37</v>
      </c>
      <c r="G34" s="28">
        <f t="shared" si="0"/>
        <v>27.76</v>
      </c>
      <c r="H34" s="28">
        <f t="shared" si="0"/>
        <v>7.56</v>
      </c>
      <c r="I34" s="28">
        <f t="shared" si="0"/>
        <v>3.98</v>
      </c>
      <c r="J34" s="28">
        <f t="shared" si="0"/>
        <v>0.61</v>
      </c>
      <c r="K34" s="28">
        <f t="shared" si="0"/>
        <v>92.87</v>
      </c>
      <c r="L34" s="28">
        <f t="shared" si="0"/>
        <v>12.88</v>
      </c>
      <c r="M34" s="28">
        <f t="shared" si="0"/>
        <v>9.32</v>
      </c>
      <c r="N34" s="28">
        <f t="shared" si="0"/>
        <v>65.8</v>
      </c>
      <c r="O34" s="28">
        <f t="shared" si="0"/>
        <v>0</v>
      </c>
      <c r="P34" s="28">
        <f t="shared" si="0"/>
        <v>0.38</v>
      </c>
      <c r="Q34" s="28">
        <f t="shared" si="0"/>
        <v>9.02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126.07</v>
      </c>
      <c r="C35" s="29">
        <f t="shared" si="1"/>
        <v>136.01</v>
      </c>
      <c r="D35" s="29">
        <f t="shared" si="1"/>
        <v>161.94</v>
      </c>
      <c r="E35" s="29">
        <f t="shared" si="1"/>
        <v>22.55</v>
      </c>
      <c r="F35" s="29">
        <f t="shared" si="1"/>
        <v>37.6</v>
      </c>
      <c r="G35" s="29">
        <f t="shared" si="1"/>
        <v>147.79</v>
      </c>
      <c r="H35" s="29">
        <f t="shared" si="1"/>
        <v>49.79</v>
      </c>
      <c r="I35" s="29">
        <f t="shared" si="1"/>
        <v>4.2300000000000004</v>
      </c>
      <c r="J35" s="29">
        <f t="shared" si="1"/>
        <v>1.84</v>
      </c>
      <c r="K35" s="29">
        <f t="shared" si="1"/>
        <v>359.61</v>
      </c>
      <c r="L35" s="29">
        <f t="shared" si="1"/>
        <v>32.700000000000003</v>
      </c>
      <c r="M35" s="29">
        <f t="shared" si="1"/>
        <v>53.02</v>
      </c>
      <c r="N35" s="29">
        <f t="shared" si="1"/>
        <v>921.6</v>
      </c>
      <c r="O35" s="29">
        <f t="shared" si="1"/>
        <v>0</v>
      </c>
      <c r="P35" s="29">
        <f t="shared" si="1"/>
        <v>2.2999999999999998</v>
      </c>
      <c r="Q35" s="29">
        <f t="shared" si="1"/>
        <v>9.8000000000000007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46.723749999999995</v>
      </c>
      <c r="C36" s="28">
        <f t="shared" si="2"/>
        <v>79.126666666666679</v>
      </c>
      <c r="D36" s="28">
        <f t="shared" si="2"/>
        <v>78.139166666666668</v>
      </c>
      <c r="E36" s="28">
        <f t="shared" si="2"/>
        <v>6.5041666666666673</v>
      </c>
      <c r="F36" s="28">
        <f t="shared" si="2"/>
        <v>13.816250000000002</v>
      </c>
      <c r="G36" s="28">
        <f t="shared" si="2"/>
        <v>86.987499999999997</v>
      </c>
      <c r="H36" s="28">
        <f t="shared" si="2"/>
        <v>23.771666666666665</v>
      </c>
      <c r="I36" s="28">
        <f t="shared" si="2"/>
        <v>4.0741666666666676</v>
      </c>
      <c r="J36" s="28">
        <f t="shared" si="2"/>
        <v>1.0304166666666665</v>
      </c>
      <c r="K36" s="28">
        <f t="shared" si="2"/>
        <v>311.22083333333336</v>
      </c>
      <c r="L36" s="28">
        <f t="shared" si="2"/>
        <v>22.052083333333332</v>
      </c>
      <c r="M36" s="28">
        <f t="shared" si="2"/>
        <v>28.946250000000006</v>
      </c>
      <c r="N36" s="28">
        <f t="shared" si="2"/>
        <v>323.55833333333334</v>
      </c>
      <c r="O36" s="28">
        <f t="shared" si="2"/>
        <v>0</v>
      </c>
      <c r="P36" s="28">
        <f t="shared" si="2"/>
        <v>1.0437500000000002</v>
      </c>
      <c r="Q36" s="28">
        <f t="shared" si="2"/>
        <v>9.5324999999999989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30.083259943103698</v>
      </c>
      <c r="C37" s="28">
        <f t="shared" ref="C37:Q37" si="3">STDEV(C9:C32)</f>
        <v>22.143780492335843</v>
      </c>
      <c r="D37" s="28">
        <f t="shared" si="3"/>
        <v>33.055673053418417</v>
      </c>
      <c r="E37" s="28">
        <f t="shared" si="3"/>
        <v>4.858170094456006</v>
      </c>
      <c r="F37" s="28">
        <f t="shared" si="3"/>
        <v>9.6024638199288983</v>
      </c>
      <c r="G37" s="28">
        <f t="shared" si="3"/>
        <v>33.947119779214688</v>
      </c>
      <c r="H37" s="28">
        <f t="shared" si="3"/>
        <v>12.322194421543552</v>
      </c>
      <c r="I37" s="28">
        <f t="shared" si="3"/>
        <v>5.8153968548767386E-2</v>
      </c>
      <c r="J37" s="28">
        <f t="shared" si="3"/>
        <v>0.35055830212449124</v>
      </c>
      <c r="K37" s="28">
        <f t="shared" si="3"/>
        <v>71.39727189506587</v>
      </c>
      <c r="L37" s="28">
        <f t="shared" si="3"/>
        <v>6.8502992503131264</v>
      </c>
      <c r="M37" s="28">
        <f t="shared" si="3"/>
        <v>14.649362595571231</v>
      </c>
      <c r="N37" s="28">
        <f t="shared" si="3"/>
        <v>342.83225320932058</v>
      </c>
      <c r="O37" s="28">
        <f t="shared" si="3"/>
        <v>0</v>
      </c>
      <c r="P37" s="28">
        <f t="shared" si="3"/>
        <v>0.47649820931275322</v>
      </c>
      <c r="Q37" s="28">
        <f t="shared" si="3"/>
        <v>0.24388611026995508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5" sqref="G55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228</v>
      </c>
      <c r="B9" s="51">
        <v>39.82</v>
      </c>
      <c r="C9" s="51">
        <v>80.89</v>
      </c>
      <c r="D9" s="51">
        <v>74.19</v>
      </c>
      <c r="E9" s="51">
        <v>4.46</v>
      </c>
      <c r="F9" s="51">
        <v>13.16</v>
      </c>
      <c r="G9" s="51">
        <v>81.47</v>
      </c>
      <c r="H9" s="51">
        <v>27.07</v>
      </c>
      <c r="I9" s="51">
        <v>4.0999999999999996</v>
      </c>
      <c r="J9" s="51">
        <v>0.65</v>
      </c>
      <c r="K9" s="51">
        <v>311.75</v>
      </c>
      <c r="L9" s="51">
        <v>16.78</v>
      </c>
      <c r="M9" s="51">
        <v>37.83</v>
      </c>
      <c r="N9" s="51">
        <v>72.900000000000006</v>
      </c>
      <c r="O9" s="51">
        <v>0</v>
      </c>
      <c r="P9" s="51">
        <v>1.23</v>
      </c>
      <c r="Q9" s="51">
        <v>9.7100000000000009</v>
      </c>
      <c r="R9" s="43"/>
      <c r="S9" s="43"/>
      <c r="T9" s="43"/>
      <c r="U9" s="43"/>
    </row>
    <row r="10" spans="1:21" s="11" customFormat="1" x14ac:dyDescent="0.25">
      <c r="A10" s="50" t="s">
        <v>229</v>
      </c>
      <c r="B10" s="51">
        <v>32.090000000000003</v>
      </c>
      <c r="C10" s="51">
        <v>69.239999999999995</v>
      </c>
      <c r="D10" s="51">
        <v>61.76</v>
      </c>
      <c r="E10" s="51">
        <v>4.32</v>
      </c>
      <c r="F10" s="51">
        <v>13.11</v>
      </c>
      <c r="G10" s="51">
        <v>70.569999999999993</v>
      </c>
      <c r="H10" s="51">
        <v>26.5</v>
      </c>
      <c r="I10" s="51">
        <v>4.09</v>
      </c>
      <c r="J10" s="51">
        <v>0.64</v>
      </c>
      <c r="K10" s="51">
        <v>314.5</v>
      </c>
      <c r="L10" s="51">
        <v>15.94</v>
      </c>
      <c r="M10" s="51">
        <v>38.119999999999997</v>
      </c>
      <c r="N10" s="51">
        <v>73.099999999999994</v>
      </c>
      <c r="O10" s="51">
        <v>0</v>
      </c>
      <c r="P10" s="51">
        <v>1.07</v>
      </c>
      <c r="Q10" s="51">
        <v>9.69</v>
      </c>
      <c r="R10" s="43"/>
      <c r="S10" s="43"/>
      <c r="T10" s="43"/>
      <c r="U10" s="43"/>
    </row>
    <row r="11" spans="1:21" s="11" customFormat="1" x14ac:dyDescent="0.25">
      <c r="A11" s="50" t="s">
        <v>230</v>
      </c>
      <c r="B11" s="51">
        <v>32.51</v>
      </c>
      <c r="C11" s="51">
        <v>70.45</v>
      </c>
      <c r="D11" s="51">
        <v>62.07</v>
      </c>
      <c r="E11" s="51">
        <v>4.18</v>
      </c>
      <c r="F11" s="51">
        <v>7.91</v>
      </c>
      <c r="G11" s="51">
        <v>67.37</v>
      </c>
      <c r="H11" s="51">
        <v>23.42</v>
      </c>
      <c r="I11" s="51">
        <v>4.0599999999999996</v>
      </c>
      <c r="J11" s="51">
        <v>0.63</v>
      </c>
      <c r="K11" s="51">
        <v>322.74</v>
      </c>
      <c r="L11" s="51">
        <v>15.43</v>
      </c>
      <c r="M11" s="51">
        <v>39.07</v>
      </c>
      <c r="N11" s="51">
        <v>73.099999999999994</v>
      </c>
      <c r="O11" s="51">
        <v>0</v>
      </c>
      <c r="P11" s="51">
        <v>1.06</v>
      </c>
      <c r="Q11" s="51">
        <v>9.6</v>
      </c>
      <c r="R11" s="43"/>
      <c r="S11" s="43"/>
      <c r="T11" s="43"/>
      <c r="U11" s="43"/>
    </row>
    <row r="12" spans="1:21" s="11" customFormat="1" x14ac:dyDescent="0.25">
      <c r="A12" s="50" t="s">
        <v>231</v>
      </c>
      <c r="B12" s="51">
        <v>28.74</v>
      </c>
      <c r="C12" s="51">
        <v>69.2</v>
      </c>
      <c r="D12" s="51">
        <v>59.2</v>
      </c>
      <c r="E12" s="51">
        <v>3.98</v>
      </c>
      <c r="F12" s="51">
        <v>7.18</v>
      </c>
      <c r="G12" s="51">
        <v>65.59</v>
      </c>
      <c r="H12" s="51">
        <v>24.09</v>
      </c>
      <c r="I12" s="51">
        <v>4</v>
      </c>
      <c r="J12" s="51">
        <v>0.77</v>
      </c>
      <c r="K12" s="51">
        <v>37.03</v>
      </c>
      <c r="L12" s="51">
        <v>15.18</v>
      </c>
      <c r="M12" s="51">
        <v>39.31</v>
      </c>
      <c r="N12" s="51">
        <v>73.2</v>
      </c>
      <c r="O12" s="51">
        <v>0</v>
      </c>
      <c r="P12" s="51">
        <v>0.97</v>
      </c>
      <c r="Q12" s="51">
        <v>9.58</v>
      </c>
      <c r="R12" s="43"/>
      <c r="S12" s="43"/>
      <c r="T12" s="43"/>
      <c r="U12" s="43"/>
    </row>
    <row r="13" spans="1:21" s="11" customFormat="1" x14ac:dyDescent="0.25">
      <c r="A13" s="50" t="s">
        <v>232</v>
      </c>
      <c r="B13" s="51">
        <v>30.48</v>
      </c>
      <c r="C13" s="51">
        <v>70.39</v>
      </c>
      <c r="D13" s="51">
        <v>61.21</v>
      </c>
      <c r="E13" s="51">
        <v>4.51</v>
      </c>
      <c r="F13" s="51">
        <v>10.130000000000001</v>
      </c>
      <c r="G13" s="51">
        <v>61.64</v>
      </c>
      <c r="H13" s="51">
        <v>16.09</v>
      </c>
      <c r="I13" s="51">
        <v>3.95</v>
      </c>
      <c r="J13" s="51">
        <v>1.18</v>
      </c>
      <c r="K13" s="51">
        <v>359.08</v>
      </c>
      <c r="L13" s="51">
        <v>14.68</v>
      </c>
      <c r="M13" s="51">
        <v>41.66</v>
      </c>
      <c r="N13" s="51">
        <v>73.5</v>
      </c>
      <c r="O13" s="51">
        <v>0</v>
      </c>
      <c r="P13" s="51">
        <v>0.87</v>
      </c>
      <c r="Q13" s="51">
        <v>9.6</v>
      </c>
      <c r="R13" s="43"/>
      <c r="S13" s="43"/>
      <c r="T13" s="43"/>
      <c r="U13" s="43"/>
    </row>
    <row r="14" spans="1:21" s="11" customFormat="1" x14ac:dyDescent="0.25">
      <c r="A14" s="50" t="s">
        <v>233</v>
      </c>
      <c r="B14" s="51">
        <v>42.45</v>
      </c>
      <c r="C14" s="51">
        <v>74.47</v>
      </c>
      <c r="D14" s="51">
        <v>72.95</v>
      </c>
      <c r="E14" s="51">
        <v>9.7799999999999994</v>
      </c>
      <c r="F14" s="51">
        <v>8.24</v>
      </c>
      <c r="G14" s="51">
        <v>72.89</v>
      </c>
      <c r="H14" s="51">
        <v>20.11</v>
      </c>
      <c r="I14" s="51">
        <v>4.08</v>
      </c>
      <c r="J14" s="51">
        <v>0.73</v>
      </c>
      <c r="K14" s="51">
        <v>327.68</v>
      </c>
      <c r="L14" s="51">
        <v>14.72</v>
      </c>
      <c r="M14" s="51">
        <v>40.5</v>
      </c>
      <c r="N14" s="51">
        <v>73.599999999999994</v>
      </c>
      <c r="O14" s="51">
        <v>0</v>
      </c>
      <c r="P14" s="51">
        <v>0.9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234</v>
      </c>
      <c r="B15" s="51">
        <v>54.65</v>
      </c>
      <c r="C15" s="51">
        <v>76.14</v>
      </c>
      <c r="D15" s="51">
        <v>83.36</v>
      </c>
      <c r="E15" s="51">
        <v>9.89</v>
      </c>
      <c r="F15" s="51">
        <v>7.21</v>
      </c>
      <c r="G15" s="51">
        <v>123.81</v>
      </c>
      <c r="H15" s="51">
        <v>36.159999999999997</v>
      </c>
      <c r="I15" s="51">
        <v>4.05</v>
      </c>
      <c r="J15" s="51">
        <v>0.63</v>
      </c>
      <c r="K15" s="51">
        <v>357.06</v>
      </c>
      <c r="L15" s="51">
        <v>16.190000000000001</v>
      </c>
      <c r="M15" s="51">
        <v>41.98</v>
      </c>
      <c r="N15" s="51">
        <v>157.4</v>
      </c>
      <c r="O15" s="51">
        <v>0</v>
      </c>
      <c r="P15" s="51">
        <v>1.03</v>
      </c>
      <c r="Q15" s="51">
        <v>9.61</v>
      </c>
      <c r="R15" s="43"/>
      <c r="S15" s="43"/>
      <c r="T15" s="43"/>
      <c r="U15" s="43"/>
    </row>
    <row r="16" spans="1:21" s="11" customFormat="1" x14ac:dyDescent="0.25">
      <c r="A16" s="50" t="s">
        <v>235</v>
      </c>
      <c r="B16" s="51">
        <v>55.72</v>
      </c>
      <c r="C16" s="51">
        <v>71.78</v>
      </c>
      <c r="D16" s="51">
        <v>82.18</v>
      </c>
      <c r="E16" s="51">
        <v>8.6199999999999992</v>
      </c>
      <c r="F16" s="51">
        <v>6.8</v>
      </c>
      <c r="G16" s="51">
        <v>173.94</v>
      </c>
      <c r="H16" s="51">
        <v>54.2</v>
      </c>
      <c r="I16" s="51">
        <v>4.12</v>
      </c>
      <c r="J16" s="51">
        <v>1.49</v>
      </c>
      <c r="K16" s="51">
        <v>204.82</v>
      </c>
      <c r="L16" s="51">
        <v>18.21</v>
      </c>
      <c r="M16" s="51">
        <v>50.15</v>
      </c>
      <c r="N16" s="51">
        <v>387.7</v>
      </c>
      <c r="O16" s="51">
        <v>0</v>
      </c>
      <c r="P16" s="51">
        <v>1.08</v>
      </c>
      <c r="Q16" s="51">
        <v>9.65</v>
      </c>
      <c r="R16" s="43"/>
      <c r="S16" s="43"/>
      <c r="T16" s="43"/>
      <c r="U16" s="43"/>
    </row>
    <row r="17" spans="1:21" s="11" customFormat="1" x14ac:dyDescent="0.25">
      <c r="A17" s="50" t="s">
        <v>236</v>
      </c>
      <c r="B17" s="51">
        <v>47.81</v>
      </c>
      <c r="C17" s="51">
        <v>73.95</v>
      </c>
      <c r="D17" s="51">
        <v>74.209999999999994</v>
      </c>
      <c r="E17" s="51">
        <v>4.53</v>
      </c>
      <c r="F17" s="51">
        <v>9.42</v>
      </c>
      <c r="G17" s="51">
        <v>133.44999999999999</v>
      </c>
      <c r="H17" s="51">
        <v>63.93</v>
      </c>
      <c r="I17" s="51">
        <v>4.0199999999999996</v>
      </c>
      <c r="J17" s="51">
        <v>1.27</v>
      </c>
      <c r="K17" s="51">
        <v>197.3</v>
      </c>
      <c r="L17" s="51">
        <v>23.94</v>
      </c>
      <c r="M17" s="51">
        <v>39.94</v>
      </c>
      <c r="N17" s="51">
        <v>598.20000000000005</v>
      </c>
      <c r="O17" s="51">
        <v>0</v>
      </c>
      <c r="P17" s="51">
        <v>1.08</v>
      </c>
      <c r="Q17" s="51">
        <v>9.67</v>
      </c>
      <c r="R17" s="43"/>
      <c r="S17" s="43"/>
      <c r="T17" s="43"/>
      <c r="U17" s="43"/>
    </row>
    <row r="18" spans="1:21" s="11" customFormat="1" x14ac:dyDescent="0.25">
      <c r="A18" s="50" t="s">
        <v>237</v>
      </c>
      <c r="B18" s="51">
        <v>28.69</v>
      </c>
      <c r="C18" s="51">
        <v>78.760000000000005</v>
      </c>
      <c r="D18" s="51">
        <v>62.3</v>
      </c>
      <c r="E18" s="51">
        <v>12.52</v>
      </c>
      <c r="F18" s="51">
        <v>16.190000000000001</v>
      </c>
      <c r="G18" s="51">
        <v>114.18</v>
      </c>
      <c r="H18" s="51">
        <v>55.65</v>
      </c>
      <c r="I18" s="51">
        <v>4.04</v>
      </c>
      <c r="J18" s="51">
        <v>1.0900000000000001</v>
      </c>
      <c r="K18" s="51">
        <v>189.11</v>
      </c>
      <c r="L18" s="51">
        <v>27.51</v>
      </c>
      <c r="M18" s="51">
        <v>26.65</v>
      </c>
      <c r="N18" s="51">
        <v>743.4</v>
      </c>
      <c r="O18" s="51">
        <v>0</v>
      </c>
      <c r="P18" s="51">
        <v>1.0900000000000001</v>
      </c>
      <c r="Q18" s="51">
        <v>9.66</v>
      </c>
      <c r="R18" s="43"/>
      <c r="S18" s="43"/>
      <c r="T18" s="43"/>
      <c r="U18" s="43"/>
    </row>
    <row r="19" spans="1:21" s="11" customFormat="1" x14ac:dyDescent="0.25">
      <c r="A19" s="50" t="s">
        <v>238</v>
      </c>
      <c r="B19" s="51">
        <v>17.71</v>
      </c>
      <c r="C19" s="51">
        <v>82.82</v>
      </c>
      <c r="D19" s="51">
        <v>57.48</v>
      </c>
      <c r="E19" s="51">
        <v>14.97</v>
      </c>
      <c r="F19" s="51">
        <v>22.43</v>
      </c>
      <c r="G19" s="51">
        <v>116.46</v>
      </c>
      <c r="H19" s="51">
        <v>48.02</v>
      </c>
      <c r="I19" s="51">
        <v>4.0999999999999996</v>
      </c>
      <c r="J19" s="51">
        <v>0.93</v>
      </c>
      <c r="K19" s="51">
        <v>188.15</v>
      </c>
      <c r="L19" s="51">
        <v>30</v>
      </c>
      <c r="M19" s="51">
        <v>19.8</v>
      </c>
      <c r="N19" s="51">
        <v>850.3</v>
      </c>
      <c r="O19" s="51">
        <v>0</v>
      </c>
      <c r="P19" s="51">
        <v>1.02</v>
      </c>
      <c r="Q19" s="51">
        <v>9.6300000000000008</v>
      </c>
      <c r="R19" s="43"/>
      <c r="S19" s="43"/>
      <c r="T19" s="43"/>
      <c r="U19" s="43"/>
    </row>
    <row r="20" spans="1:21" s="11" customFormat="1" x14ac:dyDescent="0.25">
      <c r="A20" s="50" t="s">
        <v>239</v>
      </c>
      <c r="B20" s="51">
        <v>7.6</v>
      </c>
      <c r="C20" s="51">
        <v>76.28</v>
      </c>
      <c r="D20" s="51">
        <v>45.95</v>
      </c>
      <c r="E20" s="51">
        <v>7.13</v>
      </c>
      <c r="F20" s="51">
        <v>16.98</v>
      </c>
      <c r="G20" s="51">
        <v>68.47</v>
      </c>
      <c r="H20" s="51">
        <v>35.96</v>
      </c>
      <c r="I20" s="51">
        <v>4.09</v>
      </c>
      <c r="J20" s="51">
        <v>0.74</v>
      </c>
      <c r="K20" s="51">
        <v>328.59</v>
      </c>
      <c r="L20" s="51">
        <v>32.19</v>
      </c>
      <c r="M20" s="51">
        <v>15.95</v>
      </c>
      <c r="N20" s="51">
        <v>843</v>
      </c>
      <c r="O20" s="51">
        <v>0</v>
      </c>
      <c r="P20" s="51">
        <v>0.92</v>
      </c>
      <c r="Q20" s="51">
        <v>9.5500000000000007</v>
      </c>
      <c r="R20" s="43"/>
      <c r="S20" s="43"/>
      <c r="T20" s="43"/>
      <c r="U20" s="43"/>
    </row>
    <row r="21" spans="1:21" s="11" customFormat="1" x14ac:dyDescent="0.25">
      <c r="A21" s="50" t="s">
        <v>240</v>
      </c>
      <c r="B21" s="51">
        <v>5.35</v>
      </c>
      <c r="C21" s="51">
        <v>64.44</v>
      </c>
      <c r="D21" s="51">
        <v>36.93</v>
      </c>
      <c r="E21" s="51">
        <v>7.09</v>
      </c>
      <c r="F21" s="51">
        <v>22.1</v>
      </c>
      <c r="G21" s="51">
        <v>49.25</v>
      </c>
      <c r="H21" s="51">
        <v>23.91</v>
      </c>
      <c r="I21" s="51">
        <v>3.99</v>
      </c>
      <c r="J21" s="51">
        <v>1.1599999999999999</v>
      </c>
      <c r="K21" s="51">
        <v>326.88</v>
      </c>
      <c r="L21" s="51">
        <v>32.950000000000003</v>
      </c>
      <c r="M21" s="51">
        <v>13.96</v>
      </c>
      <c r="N21" s="51">
        <v>776.1</v>
      </c>
      <c r="O21" s="51">
        <v>0</v>
      </c>
      <c r="P21" s="51">
        <v>0.75</v>
      </c>
      <c r="Q21" s="51">
        <v>9.4</v>
      </c>
      <c r="R21" s="43"/>
      <c r="S21" s="43"/>
      <c r="T21" s="43"/>
      <c r="U21" s="43"/>
    </row>
    <row r="22" spans="1:21" s="11" customFormat="1" x14ac:dyDescent="0.25">
      <c r="A22" s="50" t="s">
        <v>241</v>
      </c>
      <c r="B22" s="51">
        <v>6.63</v>
      </c>
      <c r="C22" s="51">
        <v>60.53</v>
      </c>
      <c r="D22" s="51">
        <v>36.94</v>
      </c>
      <c r="E22" s="51">
        <v>8.6199999999999992</v>
      </c>
      <c r="F22" s="51">
        <v>28.58</v>
      </c>
      <c r="G22" s="51">
        <v>44.4</v>
      </c>
      <c r="H22" s="51">
        <v>20.38</v>
      </c>
      <c r="I22" s="51">
        <v>4.12</v>
      </c>
      <c r="J22" s="51">
        <v>1.97</v>
      </c>
      <c r="K22" s="51">
        <v>343.62</v>
      </c>
      <c r="L22" s="51">
        <v>33.770000000000003</v>
      </c>
      <c r="M22" s="51">
        <v>12.2</v>
      </c>
      <c r="N22" s="51">
        <v>767</v>
      </c>
      <c r="O22" s="51">
        <v>0</v>
      </c>
      <c r="P22" s="51">
        <v>0.68</v>
      </c>
      <c r="Q22" s="51">
        <v>9.2899999999999991</v>
      </c>
      <c r="R22" s="43"/>
      <c r="S22" s="43"/>
      <c r="T22" s="43"/>
      <c r="U22" s="43"/>
    </row>
    <row r="23" spans="1:21" s="11" customFormat="1" x14ac:dyDescent="0.25">
      <c r="A23" s="50" t="s">
        <v>242</v>
      </c>
      <c r="B23" s="51">
        <v>11.03</v>
      </c>
      <c r="C23" s="51">
        <v>58.04</v>
      </c>
      <c r="D23" s="51">
        <v>39.049999999999997</v>
      </c>
      <c r="E23" s="51">
        <v>5.48</v>
      </c>
      <c r="F23" s="51">
        <v>27.54</v>
      </c>
      <c r="G23" s="51">
        <v>38.26</v>
      </c>
      <c r="H23" s="51">
        <v>11.89</v>
      </c>
      <c r="I23" s="51">
        <v>4.0999999999999996</v>
      </c>
      <c r="J23" s="51">
        <v>1.55</v>
      </c>
      <c r="K23" s="51">
        <v>339.13</v>
      </c>
      <c r="L23" s="51">
        <v>34.22</v>
      </c>
      <c r="M23" s="51">
        <v>10.83</v>
      </c>
      <c r="N23" s="51">
        <v>729.6</v>
      </c>
      <c r="O23" s="51">
        <v>0</v>
      </c>
      <c r="P23" s="51">
        <v>0.56000000000000005</v>
      </c>
      <c r="Q23" s="51">
        <v>9.1999999999999993</v>
      </c>
      <c r="R23" s="43"/>
      <c r="S23" s="43"/>
      <c r="T23" s="43"/>
      <c r="U23" s="43"/>
    </row>
    <row r="24" spans="1:21" s="11" customFormat="1" x14ac:dyDescent="0.25">
      <c r="A24" s="50" t="s">
        <v>243</v>
      </c>
      <c r="B24" s="51">
        <v>9.66</v>
      </c>
      <c r="C24" s="51">
        <v>55.69</v>
      </c>
      <c r="D24" s="51">
        <v>36.520000000000003</v>
      </c>
      <c r="E24" s="51">
        <v>4.97</v>
      </c>
      <c r="F24" s="51">
        <v>25.44</v>
      </c>
      <c r="G24" s="51">
        <v>33.93</v>
      </c>
      <c r="H24" s="51">
        <v>45.84</v>
      </c>
      <c r="I24" s="51">
        <v>4.1399999999999997</v>
      </c>
      <c r="J24" s="51">
        <v>2.13</v>
      </c>
      <c r="K24" s="51">
        <v>357.93</v>
      </c>
      <c r="L24" s="51">
        <v>32.75</v>
      </c>
      <c r="M24" s="51">
        <v>13.14</v>
      </c>
      <c r="N24" s="51">
        <v>260.10000000000002</v>
      </c>
      <c r="O24" s="51">
        <v>0</v>
      </c>
      <c r="P24" s="51">
        <v>0.56999999999999995</v>
      </c>
      <c r="Q24" s="51">
        <v>9.19</v>
      </c>
      <c r="R24" s="43"/>
      <c r="S24" s="43"/>
      <c r="T24" s="43"/>
      <c r="U24" s="43"/>
    </row>
    <row r="25" spans="1:21" s="11" customFormat="1" x14ac:dyDescent="0.25">
      <c r="A25" s="50" t="s">
        <v>244</v>
      </c>
      <c r="B25" s="51">
        <v>19.79</v>
      </c>
      <c r="C25" s="51">
        <v>66.48</v>
      </c>
      <c r="D25" s="51">
        <v>50.61</v>
      </c>
      <c r="E25" s="51">
        <v>6.9</v>
      </c>
      <c r="F25" s="51">
        <v>36.43</v>
      </c>
      <c r="G25" s="51">
        <v>34.590000000000003</v>
      </c>
      <c r="H25" s="51">
        <v>156.86000000000001</v>
      </c>
      <c r="I25" s="51">
        <v>4.18</v>
      </c>
      <c r="J25" s="51">
        <v>1.35</v>
      </c>
      <c r="K25" s="51">
        <v>356.11</v>
      </c>
      <c r="L25" s="51">
        <v>30.55</v>
      </c>
      <c r="M25" s="51">
        <v>14.56</v>
      </c>
      <c r="N25" s="51">
        <v>215.3</v>
      </c>
      <c r="O25" s="51">
        <v>0</v>
      </c>
      <c r="P25" s="51">
        <v>0.57999999999999996</v>
      </c>
      <c r="Q25" s="51">
        <v>9.23</v>
      </c>
      <c r="R25" s="43"/>
      <c r="S25" s="43"/>
      <c r="T25" s="43"/>
      <c r="U25" s="43"/>
    </row>
    <row r="26" spans="1:21" s="11" customFormat="1" x14ac:dyDescent="0.25">
      <c r="A26" s="50" t="s">
        <v>245</v>
      </c>
      <c r="B26" s="51">
        <v>11.67</v>
      </c>
      <c r="C26" s="51">
        <v>94.36</v>
      </c>
      <c r="D26" s="51">
        <v>57.69</v>
      </c>
      <c r="E26" s="51">
        <v>8.07</v>
      </c>
      <c r="F26" s="51">
        <v>47.77</v>
      </c>
      <c r="G26" s="51">
        <v>37.68</v>
      </c>
      <c r="H26" s="51">
        <v>12.14</v>
      </c>
      <c r="I26" s="51">
        <v>4.05</v>
      </c>
      <c r="J26" s="51">
        <v>0.68</v>
      </c>
      <c r="K26" s="51">
        <v>274.47000000000003</v>
      </c>
      <c r="L26" s="51">
        <v>28.35</v>
      </c>
      <c r="M26" s="51">
        <v>20.57</v>
      </c>
      <c r="N26" s="51">
        <v>98.9</v>
      </c>
      <c r="O26" s="51">
        <v>0</v>
      </c>
      <c r="P26" s="51">
        <v>0.63</v>
      </c>
      <c r="Q26" s="51">
        <v>9.23</v>
      </c>
      <c r="R26" s="43"/>
      <c r="S26" s="43"/>
      <c r="T26" s="43"/>
      <c r="U26" s="43"/>
    </row>
    <row r="27" spans="1:21" s="11" customFormat="1" x14ac:dyDescent="0.25">
      <c r="A27" s="50" t="s">
        <v>246</v>
      </c>
      <c r="B27" s="51">
        <v>105.73</v>
      </c>
      <c r="C27" s="51">
        <v>132.44999999999999</v>
      </c>
      <c r="D27" s="51">
        <v>153.99</v>
      </c>
      <c r="E27" s="51">
        <v>8.77</v>
      </c>
      <c r="F27" s="51">
        <v>15.71</v>
      </c>
      <c r="G27" s="51">
        <v>57.02</v>
      </c>
      <c r="H27" s="51">
        <v>17.600000000000001</v>
      </c>
      <c r="I27" s="51">
        <v>4.0999999999999996</v>
      </c>
      <c r="J27" s="51">
        <v>0.57999999999999996</v>
      </c>
      <c r="K27" s="51">
        <v>337.04</v>
      </c>
      <c r="L27" s="51">
        <v>25.43</v>
      </c>
      <c r="M27" s="51">
        <v>28.38</v>
      </c>
      <c r="N27" s="51">
        <v>63.3</v>
      </c>
      <c r="O27" s="51">
        <v>0</v>
      </c>
      <c r="P27" s="51">
        <v>1.68</v>
      </c>
      <c r="Q27" s="51">
        <v>9.5399999999999991</v>
      </c>
      <c r="R27" s="43"/>
      <c r="S27" s="43"/>
      <c r="T27" s="43"/>
      <c r="U27" s="43"/>
    </row>
    <row r="28" spans="1:21" s="11" customFormat="1" x14ac:dyDescent="0.25">
      <c r="A28" s="50" t="s">
        <v>247</v>
      </c>
      <c r="B28" s="51">
        <v>14.43</v>
      </c>
      <c r="C28" s="51">
        <v>104.09</v>
      </c>
      <c r="D28" s="51">
        <v>65.819999999999993</v>
      </c>
      <c r="E28" s="51">
        <v>10.07</v>
      </c>
      <c r="F28" s="51">
        <v>21.17</v>
      </c>
      <c r="G28" s="51">
        <v>91.47</v>
      </c>
      <c r="H28" s="51">
        <v>31.96</v>
      </c>
      <c r="I28" s="51">
        <v>4.16</v>
      </c>
      <c r="J28" s="51">
        <v>0.56000000000000005</v>
      </c>
      <c r="K28" s="51">
        <v>226.89</v>
      </c>
      <c r="L28" s="51">
        <v>24.85</v>
      </c>
      <c r="M28" s="51">
        <v>23.48</v>
      </c>
      <c r="N28" s="51">
        <v>60.9</v>
      </c>
      <c r="O28" s="51">
        <v>0</v>
      </c>
      <c r="P28" s="51">
        <v>0.95</v>
      </c>
      <c r="Q28" s="51">
        <v>9.56</v>
      </c>
      <c r="R28" s="43"/>
      <c r="S28" s="43"/>
      <c r="T28" s="43"/>
      <c r="U28" s="43"/>
    </row>
    <row r="29" spans="1:21" s="11" customFormat="1" x14ac:dyDescent="0.25">
      <c r="A29" s="50" t="s">
        <v>248</v>
      </c>
      <c r="B29" s="51">
        <v>82.8</v>
      </c>
      <c r="C29" s="51">
        <v>114.34</v>
      </c>
      <c r="D29" s="51">
        <v>124.57</v>
      </c>
      <c r="E29" s="51">
        <v>7.24</v>
      </c>
      <c r="F29" s="51">
        <v>11.82</v>
      </c>
      <c r="G29" s="51">
        <v>79.010000000000005</v>
      </c>
      <c r="H29" s="51">
        <v>16.670000000000002</v>
      </c>
      <c r="I29" s="51">
        <v>4.0999999999999996</v>
      </c>
      <c r="J29" s="51">
        <v>0.75</v>
      </c>
      <c r="K29" s="51">
        <v>345.83</v>
      </c>
      <c r="L29" s="51">
        <v>23.37</v>
      </c>
      <c r="M29" s="51">
        <v>32.630000000000003</v>
      </c>
      <c r="N29" s="51">
        <v>61.4</v>
      </c>
      <c r="O29" s="51">
        <v>0</v>
      </c>
      <c r="P29" s="51">
        <v>1.76</v>
      </c>
      <c r="Q29" s="51">
        <v>9.5299999999999994</v>
      </c>
      <c r="R29" s="43"/>
      <c r="S29" s="43"/>
      <c r="T29" s="43"/>
      <c r="U29" s="43"/>
    </row>
    <row r="30" spans="1:21" s="11" customFormat="1" x14ac:dyDescent="0.25">
      <c r="A30" s="50" t="s">
        <v>249</v>
      </c>
      <c r="B30" s="51">
        <v>124.43</v>
      </c>
      <c r="C30" s="51">
        <v>119.69</v>
      </c>
      <c r="D30" s="51">
        <v>162.32</v>
      </c>
      <c r="E30" s="51">
        <v>6.25</v>
      </c>
      <c r="F30" s="51">
        <v>7.6</v>
      </c>
      <c r="G30" s="51">
        <v>113.24</v>
      </c>
      <c r="H30" s="51">
        <v>57.24</v>
      </c>
      <c r="I30" s="51">
        <v>4.1500000000000004</v>
      </c>
      <c r="J30" s="51">
        <v>0.7</v>
      </c>
      <c r="K30" s="51">
        <v>344.73</v>
      </c>
      <c r="L30" s="51">
        <v>20.85</v>
      </c>
      <c r="M30" s="51">
        <v>41.67</v>
      </c>
      <c r="N30" s="51">
        <v>61.5</v>
      </c>
      <c r="O30" s="51">
        <v>0</v>
      </c>
      <c r="P30" s="51">
        <v>2.36</v>
      </c>
      <c r="Q30" s="51">
        <v>9.57</v>
      </c>
      <c r="R30" s="43"/>
      <c r="S30" s="43"/>
      <c r="T30" s="43"/>
      <c r="U30" s="43"/>
    </row>
    <row r="31" spans="1:21" s="11" customFormat="1" x14ac:dyDescent="0.25">
      <c r="A31" s="50" t="s">
        <v>250</v>
      </c>
      <c r="B31" s="51">
        <v>231.82</v>
      </c>
      <c r="C31" s="51">
        <v>137.35</v>
      </c>
      <c r="D31" s="51">
        <v>257.66000000000003</v>
      </c>
      <c r="E31" s="51">
        <v>7.44</v>
      </c>
      <c r="F31" s="51">
        <v>7.69</v>
      </c>
      <c r="G31" s="51">
        <v>165.73</v>
      </c>
      <c r="H31" s="51">
        <v>40.76</v>
      </c>
      <c r="I31" s="51">
        <v>4.1900000000000004</v>
      </c>
      <c r="J31" s="51">
        <v>0.73</v>
      </c>
      <c r="K31" s="51">
        <v>318.88</v>
      </c>
      <c r="L31" s="51">
        <v>19.72</v>
      </c>
      <c r="M31" s="51">
        <v>41.57</v>
      </c>
      <c r="N31" s="51">
        <v>61.4</v>
      </c>
      <c r="O31" s="51">
        <v>0</v>
      </c>
      <c r="P31" s="51">
        <v>2.58</v>
      </c>
      <c r="Q31" s="51">
        <v>9.7200000000000006</v>
      </c>
      <c r="R31" s="43"/>
      <c r="S31" s="43"/>
      <c r="T31" s="43"/>
      <c r="U31" s="43"/>
    </row>
    <row r="32" spans="1:21" s="11" customFormat="1" x14ac:dyDescent="0.25">
      <c r="A32" s="50" t="s">
        <v>251</v>
      </c>
      <c r="B32" s="51">
        <v>155.32</v>
      </c>
      <c r="C32" s="51">
        <v>123.07</v>
      </c>
      <c r="D32" s="51">
        <v>188.86</v>
      </c>
      <c r="E32" s="51">
        <v>6.94</v>
      </c>
      <c r="F32" s="51">
        <v>8.01</v>
      </c>
      <c r="G32" s="51">
        <v>173.69</v>
      </c>
      <c r="H32" s="51">
        <v>38.11</v>
      </c>
      <c r="I32" s="51">
        <v>4.0599999999999996</v>
      </c>
      <c r="J32" s="51">
        <v>0.68</v>
      </c>
      <c r="K32" s="51">
        <v>322</v>
      </c>
      <c r="L32" s="51">
        <v>19.03</v>
      </c>
      <c r="M32" s="51">
        <v>47.17</v>
      </c>
      <c r="N32" s="51">
        <v>61.6</v>
      </c>
      <c r="O32" s="51">
        <v>0</v>
      </c>
      <c r="P32" s="51">
        <v>2.16</v>
      </c>
      <c r="Q32" s="51">
        <v>9.82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5.35</v>
      </c>
      <c r="C34" s="28">
        <f t="shared" si="0"/>
        <v>55.69</v>
      </c>
      <c r="D34" s="28">
        <f t="shared" si="0"/>
        <v>36.520000000000003</v>
      </c>
      <c r="E34" s="28">
        <f t="shared" si="0"/>
        <v>3.98</v>
      </c>
      <c r="F34" s="28">
        <f t="shared" si="0"/>
        <v>6.8</v>
      </c>
      <c r="G34" s="28">
        <f t="shared" si="0"/>
        <v>33.93</v>
      </c>
      <c r="H34" s="28">
        <f t="shared" si="0"/>
        <v>11.89</v>
      </c>
      <c r="I34" s="28">
        <f t="shared" si="0"/>
        <v>3.95</v>
      </c>
      <c r="J34" s="28">
        <f t="shared" si="0"/>
        <v>0.56000000000000005</v>
      </c>
      <c r="K34" s="28">
        <f t="shared" si="0"/>
        <v>37.03</v>
      </c>
      <c r="L34" s="28">
        <f t="shared" si="0"/>
        <v>14.68</v>
      </c>
      <c r="M34" s="28">
        <f t="shared" si="0"/>
        <v>10.83</v>
      </c>
      <c r="N34" s="28">
        <f t="shared" si="0"/>
        <v>60.9</v>
      </c>
      <c r="O34" s="28">
        <f t="shared" si="0"/>
        <v>0</v>
      </c>
      <c r="P34" s="28">
        <f t="shared" si="0"/>
        <v>0.56000000000000005</v>
      </c>
      <c r="Q34" s="28">
        <f t="shared" si="0"/>
        <v>9.19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231.82</v>
      </c>
      <c r="C35" s="29">
        <f t="shared" si="1"/>
        <v>137.35</v>
      </c>
      <c r="D35" s="29">
        <f t="shared" si="1"/>
        <v>257.66000000000003</v>
      </c>
      <c r="E35" s="29">
        <f t="shared" si="1"/>
        <v>14.97</v>
      </c>
      <c r="F35" s="29">
        <f t="shared" si="1"/>
        <v>47.77</v>
      </c>
      <c r="G35" s="29">
        <f t="shared" si="1"/>
        <v>173.94</v>
      </c>
      <c r="H35" s="29">
        <f t="shared" si="1"/>
        <v>156.86000000000001</v>
      </c>
      <c r="I35" s="29">
        <f t="shared" si="1"/>
        <v>4.1900000000000004</v>
      </c>
      <c r="J35" s="29">
        <f t="shared" si="1"/>
        <v>2.13</v>
      </c>
      <c r="K35" s="29">
        <f t="shared" si="1"/>
        <v>359.08</v>
      </c>
      <c r="L35" s="29">
        <f t="shared" si="1"/>
        <v>34.22</v>
      </c>
      <c r="M35" s="29">
        <f t="shared" si="1"/>
        <v>50.15</v>
      </c>
      <c r="N35" s="29">
        <f t="shared" si="1"/>
        <v>850.3</v>
      </c>
      <c r="O35" s="29">
        <f t="shared" si="1"/>
        <v>0</v>
      </c>
      <c r="P35" s="29">
        <f t="shared" si="1"/>
        <v>2.58</v>
      </c>
      <c r="Q35" s="29">
        <f t="shared" si="1"/>
        <v>9.82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49.872083333333329</v>
      </c>
      <c r="C36" s="28">
        <f t="shared" si="2"/>
        <v>84.370833333333323</v>
      </c>
      <c r="D36" s="28">
        <f t="shared" si="2"/>
        <v>83.65916666666665</v>
      </c>
      <c r="E36" s="28">
        <f t="shared" si="2"/>
        <v>7.3637500000000005</v>
      </c>
      <c r="F36" s="28">
        <f t="shared" si="2"/>
        <v>16.609166666666663</v>
      </c>
      <c r="G36" s="28">
        <f t="shared" si="2"/>
        <v>86.171250000000001</v>
      </c>
      <c r="H36" s="28">
        <f t="shared" si="2"/>
        <v>37.690000000000005</v>
      </c>
      <c r="I36" s="28">
        <f t="shared" si="2"/>
        <v>4.0849999999999991</v>
      </c>
      <c r="J36" s="28">
        <f t="shared" si="2"/>
        <v>0.98291666666666666</v>
      </c>
      <c r="K36" s="28">
        <f t="shared" si="2"/>
        <v>292.97166666666669</v>
      </c>
      <c r="L36" s="28">
        <f t="shared" si="2"/>
        <v>23.608750000000001</v>
      </c>
      <c r="M36" s="28">
        <f t="shared" si="2"/>
        <v>30.463333333333328</v>
      </c>
      <c r="N36" s="28">
        <f t="shared" si="2"/>
        <v>301.52083333333331</v>
      </c>
      <c r="O36" s="28">
        <f t="shared" si="2"/>
        <v>0</v>
      </c>
      <c r="P36" s="28">
        <f t="shared" si="2"/>
        <v>1.1491666666666667</v>
      </c>
      <c r="Q36" s="28">
        <f t="shared" si="2"/>
        <v>9.5362499999999972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54.975691069003339</v>
      </c>
      <c r="C37" s="28">
        <f t="shared" ref="C37:Q37" si="3">STDEV(C9:C32)</f>
        <v>24.177392946927696</v>
      </c>
      <c r="D37" s="28">
        <f t="shared" si="3"/>
        <v>55.057973708088682</v>
      </c>
      <c r="E37" s="28">
        <f t="shared" si="3"/>
        <v>2.7673497170617458</v>
      </c>
      <c r="F37" s="28">
        <f t="shared" si="3"/>
        <v>10.601844760174554</v>
      </c>
      <c r="G37" s="28">
        <f t="shared" si="3"/>
        <v>43.731875382340029</v>
      </c>
      <c r="H37" s="28">
        <f t="shared" si="3"/>
        <v>29.594282203331687</v>
      </c>
      <c r="I37" s="28">
        <f t="shared" si="3"/>
        <v>5.9344242605620844E-2</v>
      </c>
      <c r="J37" s="28">
        <f t="shared" si="3"/>
        <v>0.44425295542719478</v>
      </c>
      <c r="K37" s="28">
        <f t="shared" si="3"/>
        <v>79.275946989074001</v>
      </c>
      <c r="L37" s="28">
        <f t="shared" si="3"/>
        <v>6.984621811367183</v>
      </c>
      <c r="M37" s="28">
        <f t="shared" si="3"/>
        <v>12.629076411776644</v>
      </c>
      <c r="N37" s="28">
        <f t="shared" si="3"/>
        <v>312.00694108662356</v>
      </c>
      <c r="O37" s="28">
        <f t="shared" si="3"/>
        <v>0</v>
      </c>
      <c r="P37" s="28">
        <f t="shared" si="3"/>
        <v>0.55851446337324251</v>
      </c>
      <c r="Q37" s="28">
        <f t="shared" si="3"/>
        <v>0.18069461386068189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252</v>
      </c>
      <c r="B9" s="51">
        <v>124.6</v>
      </c>
      <c r="C9" s="51">
        <v>98.76</v>
      </c>
      <c r="D9" s="51">
        <v>149.09</v>
      </c>
      <c r="E9" s="51">
        <v>5.26</v>
      </c>
      <c r="F9" s="51">
        <v>6.98</v>
      </c>
      <c r="G9" s="51">
        <v>162.09</v>
      </c>
      <c r="H9" s="51">
        <v>30.71</v>
      </c>
      <c r="I9" s="51">
        <v>4.04</v>
      </c>
      <c r="J9" s="51">
        <v>0.57999999999999996</v>
      </c>
      <c r="K9" s="51">
        <v>343.59</v>
      </c>
      <c r="L9" s="51">
        <v>17.5</v>
      </c>
      <c r="M9" s="51">
        <v>52.57</v>
      </c>
      <c r="N9" s="51">
        <v>61.5</v>
      </c>
      <c r="O9" s="51">
        <v>0</v>
      </c>
      <c r="P9" s="51">
        <v>1.9</v>
      </c>
      <c r="Q9" s="51">
        <v>9.85</v>
      </c>
      <c r="R9" s="43"/>
      <c r="S9" s="43"/>
      <c r="T9" s="43"/>
      <c r="U9" s="43"/>
    </row>
    <row r="10" spans="1:21" s="11" customFormat="1" x14ac:dyDescent="0.25">
      <c r="A10" s="50" t="s">
        <v>253</v>
      </c>
      <c r="B10" s="51">
        <v>110.15</v>
      </c>
      <c r="C10" s="51">
        <v>85.73</v>
      </c>
      <c r="D10" s="51">
        <v>133.12</v>
      </c>
      <c r="E10" s="51">
        <v>5.04</v>
      </c>
      <c r="F10" s="51">
        <v>10.029999999999999</v>
      </c>
      <c r="G10" s="51">
        <v>158.07</v>
      </c>
      <c r="H10" s="51">
        <v>50.38</v>
      </c>
      <c r="I10" s="51">
        <v>4.12</v>
      </c>
      <c r="J10" s="51">
        <v>1.02</v>
      </c>
      <c r="K10" s="51">
        <v>339.95</v>
      </c>
      <c r="L10" s="51">
        <v>18.59</v>
      </c>
      <c r="M10" s="51">
        <v>46.56</v>
      </c>
      <c r="N10" s="51">
        <v>61.3</v>
      </c>
      <c r="O10" s="51">
        <v>0</v>
      </c>
      <c r="P10" s="51">
        <v>1.61</v>
      </c>
      <c r="Q10" s="51">
        <v>9.91</v>
      </c>
      <c r="R10" s="43"/>
      <c r="S10" s="43"/>
      <c r="T10" s="43"/>
      <c r="U10" s="43"/>
    </row>
    <row r="11" spans="1:21" s="11" customFormat="1" x14ac:dyDescent="0.25">
      <c r="A11" s="50" t="s">
        <v>254</v>
      </c>
      <c r="B11" s="51">
        <v>74.48</v>
      </c>
      <c r="C11" s="51">
        <v>77.88</v>
      </c>
      <c r="D11" s="51">
        <v>100.42</v>
      </c>
      <c r="E11" s="51">
        <v>6.84</v>
      </c>
      <c r="F11" s="51">
        <v>14.23</v>
      </c>
      <c r="G11" s="51">
        <v>77.87</v>
      </c>
      <c r="H11" s="51">
        <v>29.53</v>
      </c>
      <c r="I11" s="51">
        <v>4.09</v>
      </c>
      <c r="J11" s="51">
        <v>0.69</v>
      </c>
      <c r="K11" s="51">
        <v>249.29</v>
      </c>
      <c r="L11" s="51">
        <v>18.48</v>
      </c>
      <c r="M11" s="51">
        <v>40.1</v>
      </c>
      <c r="N11" s="51">
        <v>61.6</v>
      </c>
      <c r="O11" s="51">
        <v>0</v>
      </c>
      <c r="P11" s="51">
        <v>1.33</v>
      </c>
      <c r="Q11" s="51">
        <v>9.8800000000000008</v>
      </c>
      <c r="R11" s="43"/>
      <c r="S11" s="43"/>
      <c r="T11" s="43"/>
      <c r="U11" s="43"/>
    </row>
    <row r="12" spans="1:21" s="11" customFormat="1" x14ac:dyDescent="0.25">
      <c r="A12" s="50" t="s">
        <v>255</v>
      </c>
      <c r="B12" s="51">
        <v>62.59</v>
      </c>
      <c r="C12" s="51">
        <v>79.3</v>
      </c>
      <c r="D12" s="51">
        <v>89.96</v>
      </c>
      <c r="E12" s="51">
        <v>5.84</v>
      </c>
      <c r="F12" s="51">
        <v>9.18</v>
      </c>
      <c r="G12" s="51">
        <v>98.92</v>
      </c>
      <c r="H12" s="51">
        <v>31.18</v>
      </c>
      <c r="I12" s="51">
        <v>4.17</v>
      </c>
      <c r="J12" s="51">
        <v>0.7</v>
      </c>
      <c r="K12" s="51">
        <v>342.7</v>
      </c>
      <c r="L12" s="51">
        <v>17.02</v>
      </c>
      <c r="M12" s="51">
        <v>54.28</v>
      </c>
      <c r="N12" s="51">
        <v>61.7</v>
      </c>
      <c r="O12" s="51">
        <v>0</v>
      </c>
      <c r="P12" s="51">
        <v>1.22</v>
      </c>
      <c r="Q12" s="51">
        <v>9.84</v>
      </c>
      <c r="R12" s="43"/>
      <c r="S12" s="43"/>
      <c r="T12" s="43"/>
      <c r="U12" s="43"/>
    </row>
    <row r="13" spans="1:21" s="11" customFormat="1" x14ac:dyDescent="0.25">
      <c r="A13" s="50" t="s">
        <v>256</v>
      </c>
      <c r="B13" s="51">
        <v>68.239999999999995</v>
      </c>
      <c r="C13" s="51">
        <v>72.64</v>
      </c>
      <c r="D13" s="51">
        <v>91.68</v>
      </c>
      <c r="E13" s="51">
        <v>5.55</v>
      </c>
      <c r="F13" s="51">
        <v>8.81</v>
      </c>
      <c r="G13" s="51">
        <v>145.71</v>
      </c>
      <c r="H13" s="51">
        <v>35.380000000000003</v>
      </c>
      <c r="I13" s="51">
        <v>4.0999999999999996</v>
      </c>
      <c r="J13" s="51">
        <v>0.46</v>
      </c>
      <c r="K13" s="51">
        <v>328.51</v>
      </c>
      <c r="L13" s="51">
        <v>16.809999999999999</v>
      </c>
      <c r="M13" s="51">
        <v>50.1</v>
      </c>
      <c r="N13" s="51">
        <v>61.6</v>
      </c>
      <c r="O13" s="51">
        <v>0</v>
      </c>
      <c r="P13" s="51">
        <v>1.24</v>
      </c>
      <c r="Q13" s="51">
        <v>9.76</v>
      </c>
      <c r="R13" s="43"/>
      <c r="S13" s="43"/>
      <c r="T13" s="43"/>
      <c r="U13" s="43"/>
    </row>
    <row r="14" spans="1:21" s="11" customFormat="1" x14ac:dyDescent="0.25">
      <c r="A14" s="50" t="s">
        <v>257</v>
      </c>
      <c r="B14" s="51">
        <v>66.11</v>
      </c>
      <c r="C14" s="51">
        <v>75.400000000000006</v>
      </c>
      <c r="D14" s="51">
        <v>91.93</v>
      </c>
      <c r="E14" s="51">
        <v>4.7300000000000004</v>
      </c>
      <c r="F14" s="51">
        <v>8.89</v>
      </c>
      <c r="G14" s="51">
        <v>106.32</v>
      </c>
      <c r="H14" s="51">
        <v>30.87</v>
      </c>
      <c r="I14" s="51">
        <v>4.09</v>
      </c>
      <c r="J14" s="51">
        <v>0.39</v>
      </c>
      <c r="K14" s="51">
        <v>311.95</v>
      </c>
      <c r="L14" s="51">
        <v>16.809999999999999</v>
      </c>
      <c r="M14" s="51">
        <v>46.43</v>
      </c>
      <c r="N14" s="51">
        <v>61.9</v>
      </c>
      <c r="O14" s="51">
        <v>0</v>
      </c>
      <c r="P14" s="51">
        <v>1.17</v>
      </c>
      <c r="Q14" s="51">
        <v>9.75</v>
      </c>
      <c r="R14" s="43"/>
      <c r="S14" s="43"/>
      <c r="T14" s="43"/>
      <c r="U14" s="43"/>
    </row>
    <row r="15" spans="1:21" s="11" customFormat="1" x14ac:dyDescent="0.25">
      <c r="A15" s="50" t="s">
        <v>258</v>
      </c>
      <c r="B15" s="51">
        <v>115.11</v>
      </c>
      <c r="C15" s="51">
        <v>88.65</v>
      </c>
      <c r="D15" s="51">
        <v>138.63</v>
      </c>
      <c r="E15" s="51">
        <v>5.61</v>
      </c>
      <c r="F15" s="51">
        <v>6.88</v>
      </c>
      <c r="G15" s="51">
        <v>127.93</v>
      </c>
      <c r="H15" s="51">
        <v>32.65</v>
      </c>
      <c r="I15" s="51">
        <v>4.07</v>
      </c>
      <c r="J15" s="51">
        <v>0.6</v>
      </c>
      <c r="K15" s="51">
        <v>325.05</v>
      </c>
      <c r="L15" s="51">
        <v>16.45</v>
      </c>
      <c r="M15" s="51">
        <v>51.37</v>
      </c>
      <c r="N15" s="51">
        <v>125</v>
      </c>
      <c r="O15" s="51">
        <v>0</v>
      </c>
      <c r="P15" s="51">
        <v>1.46</v>
      </c>
      <c r="Q15" s="51">
        <v>9.75</v>
      </c>
      <c r="R15" s="43"/>
      <c r="S15" s="43"/>
      <c r="T15" s="43"/>
      <c r="U15" s="43"/>
    </row>
    <row r="16" spans="1:21" s="11" customFormat="1" x14ac:dyDescent="0.25">
      <c r="A16" s="50" t="s">
        <v>259</v>
      </c>
      <c r="B16" s="51">
        <v>105.08</v>
      </c>
      <c r="C16" s="51">
        <v>87.46</v>
      </c>
      <c r="D16" s="51">
        <v>129.96</v>
      </c>
      <c r="E16" s="51">
        <v>7.49</v>
      </c>
      <c r="F16" s="51">
        <v>9.6</v>
      </c>
      <c r="G16" s="51">
        <v>162.96</v>
      </c>
      <c r="H16" s="51">
        <v>45.2</v>
      </c>
      <c r="I16" s="51">
        <v>4.12</v>
      </c>
      <c r="J16" s="51">
        <v>1.1499999999999999</v>
      </c>
      <c r="K16" s="51">
        <v>355.48</v>
      </c>
      <c r="L16" s="51">
        <v>22.19</v>
      </c>
      <c r="M16" s="51">
        <v>44.67</v>
      </c>
      <c r="N16" s="51">
        <v>320.7</v>
      </c>
      <c r="O16" s="51">
        <v>0</v>
      </c>
      <c r="P16" s="51">
        <v>1.45</v>
      </c>
      <c r="Q16" s="51">
        <v>9.8699999999999992</v>
      </c>
      <c r="R16" s="43"/>
      <c r="S16" s="43"/>
      <c r="T16" s="43"/>
      <c r="U16" s="43"/>
    </row>
    <row r="17" spans="1:21" s="11" customFormat="1" x14ac:dyDescent="0.25">
      <c r="A17" s="50" t="s">
        <v>260</v>
      </c>
      <c r="B17" s="51">
        <v>79.680000000000007</v>
      </c>
      <c r="C17" s="51">
        <v>79.650000000000006</v>
      </c>
      <c r="D17" s="51">
        <v>104.28</v>
      </c>
      <c r="E17" s="51">
        <v>7.56</v>
      </c>
      <c r="F17" s="51">
        <v>10.34</v>
      </c>
      <c r="G17" s="51">
        <v>178.1</v>
      </c>
      <c r="H17" s="51">
        <v>49.36</v>
      </c>
      <c r="I17" s="51">
        <v>4.18</v>
      </c>
      <c r="J17" s="51">
        <v>1.88</v>
      </c>
      <c r="K17" s="51">
        <v>106.84</v>
      </c>
      <c r="L17" s="51">
        <v>22.75</v>
      </c>
      <c r="M17" s="51">
        <v>34.520000000000003</v>
      </c>
      <c r="N17" s="51">
        <v>511.5</v>
      </c>
      <c r="O17" s="51">
        <v>0</v>
      </c>
      <c r="P17" s="51">
        <v>1.34</v>
      </c>
      <c r="Q17" s="51">
        <v>9.85</v>
      </c>
      <c r="R17" s="43"/>
      <c r="S17" s="43"/>
      <c r="T17" s="43"/>
      <c r="U17" s="43"/>
    </row>
    <row r="18" spans="1:21" s="11" customFormat="1" x14ac:dyDescent="0.25">
      <c r="A18" s="50" t="s">
        <v>261</v>
      </c>
      <c r="B18" s="51">
        <v>63.21</v>
      </c>
      <c r="C18" s="51">
        <v>81</v>
      </c>
      <c r="D18" s="51">
        <v>92.1</v>
      </c>
      <c r="E18" s="51">
        <v>5.99</v>
      </c>
      <c r="F18" s="51">
        <v>9.98</v>
      </c>
      <c r="G18" s="51">
        <v>124.92</v>
      </c>
      <c r="H18" s="51">
        <v>42.77</v>
      </c>
      <c r="I18" s="51">
        <v>4.24</v>
      </c>
      <c r="J18" s="51">
        <v>1.92</v>
      </c>
      <c r="K18" s="51">
        <v>106.99</v>
      </c>
      <c r="L18" s="51">
        <v>25.63</v>
      </c>
      <c r="M18" s="51">
        <v>29.82</v>
      </c>
      <c r="N18" s="51">
        <v>670.5</v>
      </c>
      <c r="O18" s="51">
        <v>0</v>
      </c>
      <c r="P18" s="51">
        <v>1.23</v>
      </c>
      <c r="Q18" s="51">
        <v>9.8000000000000007</v>
      </c>
      <c r="R18" s="43"/>
      <c r="S18" s="43"/>
      <c r="T18" s="43"/>
      <c r="U18" s="43"/>
    </row>
    <row r="19" spans="1:21" s="11" customFormat="1" x14ac:dyDescent="0.25">
      <c r="A19" s="50" t="s">
        <v>262</v>
      </c>
      <c r="B19" s="51">
        <v>33.06</v>
      </c>
      <c r="C19" s="51">
        <v>81.22</v>
      </c>
      <c r="D19" s="51">
        <v>67.19</v>
      </c>
      <c r="E19" s="51">
        <v>5.74</v>
      </c>
      <c r="F19" s="51">
        <v>14.62</v>
      </c>
      <c r="G19" s="51">
        <v>100.73</v>
      </c>
      <c r="H19" s="51">
        <v>30.38</v>
      </c>
      <c r="I19" s="51">
        <v>4.05</v>
      </c>
      <c r="J19" s="51">
        <v>1.96</v>
      </c>
      <c r="K19" s="51">
        <v>103.3</v>
      </c>
      <c r="L19" s="51">
        <v>29.87</v>
      </c>
      <c r="M19" s="51">
        <v>21.79</v>
      </c>
      <c r="N19" s="51">
        <v>756.8</v>
      </c>
      <c r="O19" s="51">
        <v>0</v>
      </c>
      <c r="P19" s="51">
        <v>1.04</v>
      </c>
      <c r="Q19" s="51">
        <v>9.68</v>
      </c>
      <c r="R19" s="43"/>
      <c r="S19" s="43"/>
      <c r="T19" s="43"/>
      <c r="U19" s="43"/>
    </row>
    <row r="20" spans="1:21" s="11" customFormat="1" x14ac:dyDescent="0.25">
      <c r="A20" s="50" t="s">
        <v>263</v>
      </c>
      <c r="B20" s="51">
        <v>12.59</v>
      </c>
      <c r="C20" s="51">
        <v>83.27</v>
      </c>
      <c r="D20" s="51">
        <v>53.6</v>
      </c>
      <c r="E20" s="51">
        <v>6.77</v>
      </c>
      <c r="F20" s="51">
        <v>26.38</v>
      </c>
      <c r="G20" s="51">
        <v>62.8</v>
      </c>
      <c r="H20" s="51">
        <v>24.95</v>
      </c>
      <c r="I20" s="51">
        <v>4.08</v>
      </c>
      <c r="J20" s="51">
        <v>1.56</v>
      </c>
      <c r="K20" s="51">
        <v>356.31</v>
      </c>
      <c r="L20" s="51">
        <v>34.520000000000003</v>
      </c>
      <c r="M20" s="51">
        <v>19.739999999999998</v>
      </c>
      <c r="N20" s="51">
        <v>756</v>
      </c>
      <c r="O20" s="51">
        <v>0</v>
      </c>
      <c r="P20" s="51">
        <v>0.9</v>
      </c>
      <c r="Q20" s="51">
        <v>9.59</v>
      </c>
      <c r="R20" s="43"/>
      <c r="S20" s="43"/>
      <c r="T20" s="43"/>
      <c r="U20" s="43"/>
    </row>
    <row r="21" spans="1:21" s="11" customFormat="1" x14ac:dyDescent="0.25">
      <c r="A21" s="50" t="s">
        <v>264</v>
      </c>
      <c r="B21" s="51">
        <v>8.93</v>
      </c>
      <c r="C21" s="51">
        <v>79.87</v>
      </c>
      <c r="D21" s="51">
        <v>48.89</v>
      </c>
      <c r="E21" s="51">
        <v>7.1</v>
      </c>
      <c r="F21" s="51">
        <v>32.950000000000003</v>
      </c>
      <c r="G21" s="51">
        <v>65.239999999999995</v>
      </c>
      <c r="H21" s="51">
        <v>25.69</v>
      </c>
      <c r="I21" s="51">
        <v>4.1900000000000004</v>
      </c>
      <c r="J21" s="51">
        <v>1.29</v>
      </c>
      <c r="K21" s="51">
        <v>337.91</v>
      </c>
      <c r="L21" s="51">
        <v>35.130000000000003</v>
      </c>
      <c r="M21" s="51">
        <v>13.42</v>
      </c>
      <c r="N21" s="51">
        <v>716.5</v>
      </c>
      <c r="O21" s="51">
        <v>0</v>
      </c>
      <c r="P21" s="51">
        <v>0.87</v>
      </c>
      <c r="Q21" s="51">
        <v>9.5399999999999991</v>
      </c>
      <c r="R21" s="43"/>
      <c r="S21" s="43"/>
      <c r="T21" s="43"/>
      <c r="U21" s="43"/>
    </row>
    <row r="22" spans="1:21" s="11" customFormat="1" x14ac:dyDescent="0.25">
      <c r="A22" s="50" t="s">
        <v>265</v>
      </c>
      <c r="B22" s="51">
        <v>7.35</v>
      </c>
      <c r="C22" s="51">
        <v>72.16</v>
      </c>
      <c r="D22" s="51">
        <v>43.59</v>
      </c>
      <c r="E22" s="51">
        <v>7.07</v>
      </c>
      <c r="F22" s="51">
        <v>31.19</v>
      </c>
      <c r="G22" s="51">
        <v>65.52</v>
      </c>
      <c r="H22" s="51">
        <v>23.51</v>
      </c>
      <c r="I22" s="51">
        <v>4.08</v>
      </c>
      <c r="J22" s="51">
        <v>1.37</v>
      </c>
      <c r="K22" s="51">
        <v>328.99</v>
      </c>
      <c r="L22" s="51">
        <v>35.770000000000003</v>
      </c>
      <c r="M22" s="51">
        <v>13.13</v>
      </c>
      <c r="N22" s="51">
        <v>719.2</v>
      </c>
      <c r="O22" s="51">
        <v>0</v>
      </c>
      <c r="P22" s="51">
        <v>0.8</v>
      </c>
      <c r="Q22" s="51">
        <v>9.5299999999999994</v>
      </c>
      <c r="R22" s="43"/>
      <c r="S22" s="43"/>
      <c r="T22" s="43"/>
      <c r="U22" s="43"/>
    </row>
    <row r="23" spans="1:21" s="11" customFormat="1" x14ac:dyDescent="0.25">
      <c r="A23" s="50" t="s">
        <v>266</v>
      </c>
      <c r="B23" s="51">
        <v>5.69</v>
      </c>
      <c r="C23" s="51">
        <v>61.94</v>
      </c>
      <c r="D23" s="51">
        <v>35.630000000000003</v>
      </c>
      <c r="E23" s="51">
        <v>7.47</v>
      </c>
      <c r="F23" s="51">
        <v>40.47</v>
      </c>
      <c r="G23" s="51">
        <v>53.38</v>
      </c>
      <c r="H23" s="51">
        <v>22.15</v>
      </c>
      <c r="I23" s="51">
        <v>4.09</v>
      </c>
      <c r="J23" s="51">
        <v>0.66</v>
      </c>
      <c r="K23" s="51">
        <v>312.41000000000003</v>
      </c>
      <c r="L23" s="51">
        <v>33.71</v>
      </c>
      <c r="M23" s="51">
        <v>13.43</v>
      </c>
      <c r="N23" s="51">
        <v>604.6</v>
      </c>
      <c r="O23" s="51">
        <v>0</v>
      </c>
      <c r="P23" s="51">
        <v>0.69</v>
      </c>
      <c r="Q23" s="51">
        <v>9.4499999999999993</v>
      </c>
      <c r="R23" s="43"/>
      <c r="S23" s="43"/>
      <c r="T23" s="43"/>
      <c r="U23" s="43"/>
    </row>
    <row r="24" spans="1:21" s="11" customFormat="1" x14ac:dyDescent="0.25">
      <c r="A24" s="50" t="s">
        <v>267</v>
      </c>
      <c r="B24" s="51">
        <v>6.16</v>
      </c>
      <c r="C24" s="51">
        <v>60.51</v>
      </c>
      <c r="D24" s="51">
        <v>36.549999999999997</v>
      </c>
      <c r="E24" s="51">
        <v>8.1199999999999992</v>
      </c>
      <c r="F24" s="51">
        <v>36.85</v>
      </c>
      <c r="G24" s="51">
        <v>55.44</v>
      </c>
      <c r="H24" s="51">
        <v>19.5</v>
      </c>
      <c r="I24" s="51">
        <v>4.1399999999999997</v>
      </c>
      <c r="J24" s="51">
        <v>0.87</v>
      </c>
      <c r="K24" s="51">
        <v>314.88</v>
      </c>
      <c r="L24" s="51">
        <v>32.770000000000003</v>
      </c>
      <c r="M24" s="51">
        <v>13.8</v>
      </c>
      <c r="N24" s="51">
        <v>275.8</v>
      </c>
      <c r="O24" s="51">
        <v>0</v>
      </c>
      <c r="P24" s="51">
        <v>0.57999999999999996</v>
      </c>
      <c r="Q24" s="51">
        <v>9.35</v>
      </c>
      <c r="R24" s="43"/>
      <c r="S24" s="43"/>
      <c r="T24" s="43"/>
      <c r="U24" s="43"/>
    </row>
    <row r="25" spans="1:21" s="11" customFormat="1" x14ac:dyDescent="0.25">
      <c r="A25" s="50" t="s">
        <v>268</v>
      </c>
      <c r="B25" s="51">
        <v>12.84</v>
      </c>
      <c r="C25" s="51">
        <v>88.98</v>
      </c>
      <c r="D25" s="51">
        <v>56.78</v>
      </c>
      <c r="E25" s="51">
        <v>14.72</v>
      </c>
      <c r="F25" s="51">
        <v>48.51</v>
      </c>
      <c r="G25" s="51">
        <v>49.92</v>
      </c>
      <c r="H25" s="51">
        <v>18.43</v>
      </c>
      <c r="I25" s="51">
        <v>4.01</v>
      </c>
      <c r="J25" s="51">
        <v>1.02</v>
      </c>
      <c r="K25" s="51">
        <v>345.98</v>
      </c>
      <c r="L25" s="51">
        <v>30</v>
      </c>
      <c r="M25" s="51">
        <v>17.25</v>
      </c>
      <c r="N25" s="51">
        <v>186.5</v>
      </c>
      <c r="O25" s="51">
        <v>0</v>
      </c>
      <c r="P25" s="51">
        <v>0.72</v>
      </c>
      <c r="Q25" s="51">
        <v>9.25</v>
      </c>
      <c r="R25" s="43"/>
      <c r="S25" s="43"/>
      <c r="T25" s="43"/>
      <c r="U25" s="43"/>
    </row>
    <row r="26" spans="1:21" s="11" customFormat="1" x14ac:dyDescent="0.25">
      <c r="A26" s="50" t="s">
        <v>269</v>
      </c>
      <c r="B26" s="51">
        <v>10.29</v>
      </c>
      <c r="C26" s="51">
        <v>81.8</v>
      </c>
      <c r="D26" s="51">
        <v>49.27</v>
      </c>
      <c r="E26" s="51">
        <v>27.92</v>
      </c>
      <c r="F26" s="51">
        <v>41.52</v>
      </c>
      <c r="G26" s="51">
        <v>67.459999999999994</v>
      </c>
      <c r="H26" s="51">
        <v>20.86</v>
      </c>
      <c r="I26" s="51">
        <v>4.1500000000000004</v>
      </c>
      <c r="J26" s="51">
        <v>1.75</v>
      </c>
      <c r="K26" s="51">
        <v>351.89</v>
      </c>
      <c r="L26" s="51">
        <v>28.74</v>
      </c>
      <c r="M26" s="51">
        <v>22.07</v>
      </c>
      <c r="N26" s="51">
        <v>103.9</v>
      </c>
      <c r="O26" s="51">
        <v>0</v>
      </c>
      <c r="P26" s="51">
        <v>0.99</v>
      </c>
      <c r="Q26" s="51">
        <v>9.32</v>
      </c>
      <c r="R26" s="43"/>
      <c r="S26" s="43"/>
      <c r="T26" s="43"/>
      <c r="U26" s="43"/>
    </row>
    <row r="27" spans="1:21" s="11" customFormat="1" x14ac:dyDescent="0.25">
      <c r="A27" s="50" t="s">
        <v>270</v>
      </c>
      <c r="B27" s="51">
        <v>10.1</v>
      </c>
      <c r="C27" s="51">
        <v>96.94</v>
      </c>
      <c r="D27" s="51">
        <v>57.45</v>
      </c>
      <c r="E27" s="51">
        <v>37.880000000000003</v>
      </c>
      <c r="F27" s="51">
        <v>27.9</v>
      </c>
      <c r="G27" s="51">
        <v>84.82</v>
      </c>
      <c r="H27" s="51">
        <v>25.08</v>
      </c>
      <c r="I27" s="51">
        <v>4.03</v>
      </c>
      <c r="J27" s="51">
        <v>1.5</v>
      </c>
      <c r="K27" s="51">
        <v>39.25</v>
      </c>
      <c r="L27" s="51">
        <v>26.64</v>
      </c>
      <c r="M27" s="51">
        <v>24.61</v>
      </c>
      <c r="N27" s="51">
        <v>63.3</v>
      </c>
      <c r="O27" s="51">
        <v>0</v>
      </c>
      <c r="P27" s="51">
        <v>1.3</v>
      </c>
      <c r="Q27" s="51">
        <v>9.41</v>
      </c>
      <c r="R27" s="43"/>
      <c r="S27" s="43"/>
      <c r="T27" s="43"/>
      <c r="U27" s="43"/>
    </row>
    <row r="28" spans="1:21" s="11" customFormat="1" x14ac:dyDescent="0.25">
      <c r="A28" s="50" t="s">
        <v>271</v>
      </c>
      <c r="B28" s="51">
        <v>35.94</v>
      </c>
      <c r="C28" s="51">
        <v>118.9</v>
      </c>
      <c r="D28" s="51">
        <v>87.57</v>
      </c>
      <c r="E28" s="51">
        <v>34.71</v>
      </c>
      <c r="F28" s="51">
        <v>23.51</v>
      </c>
      <c r="G28" s="51">
        <v>95.85</v>
      </c>
      <c r="H28" s="51">
        <v>30.2</v>
      </c>
      <c r="I28" s="51">
        <v>4.12</v>
      </c>
      <c r="J28" s="51">
        <v>0.76</v>
      </c>
      <c r="K28" s="51">
        <v>44.75</v>
      </c>
      <c r="L28" s="51">
        <v>24.67</v>
      </c>
      <c r="M28" s="51">
        <v>26.57</v>
      </c>
      <c r="N28" s="51">
        <v>62</v>
      </c>
      <c r="O28" s="51">
        <v>0</v>
      </c>
      <c r="P28" s="51">
        <v>1.57</v>
      </c>
      <c r="Q28" s="51">
        <v>9.5</v>
      </c>
      <c r="R28" s="43"/>
      <c r="S28" s="43"/>
      <c r="T28" s="43"/>
      <c r="U28" s="43"/>
    </row>
    <row r="29" spans="1:21" s="11" customFormat="1" x14ac:dyDescent="0.25">
      <c r="A29" s="50" t="s">
        <v>272</v>
      </c>
      <c r="B29" s="51">
        <v>16.579999999999998</v>
      </c>
      <c r="C29" s="51">
        <v>100.97</v>
      </c>
      <c r="D29" s="51">
        <v>66.05</v>
      </c>
      <c r="E29" s="51">
        <v>15.9</v>
      </c>
      <c r="F29" s="51">
        <v>31.61</v>
      </c>
      <c r="G29" s="51">
        <v>97.22</v>
      </c>
      <c r="H29" s="51">
        <v>24.64</v>
      </c>
      <c r="I29" s="51">
        <v>4.09</v>
      </c>
      <c r="J29" s="51">
        <v>1</v>
      </c>
      <c r="K29" s="51">
        <v>83.5</v>
      </c>
      <c r="L29" s="51">
        <v>23.9</v>
      </c>
      <c r="M29" s="51">
        <v>26.91</v>
      </c>
      <c r="N29" s="51">
        <v>62.3</v>
      </c>
      <c r="O29" s="51">
        <v>0</v>
      </c>
      <c r="P29" s="51">
        <v>1.37</v>
      </c>
      <c r="Q29" s="51">
        <v>9.5500000000000007</v>
      </c>
      <c r="R29" s="43"/>
      <c r="S29" s="43"/>
      <c r="T29" s="43"/>
      <c r="U29" s="43"/>
    </row>
    <row r="30" spans="1:21" s="11" customFormat="1" x14ac:dyDescent="0.25">
      <c r="A30" s="50" t="s">
        <v>273</v>
      </c>
      <c r="B30" s="51">
        <v>15.92</v>
      </c>
      <c r="C30" s="51">
        <v>99.34</v>
      </c>
      <c r="D30" s="51">
        <v>62.69</v>
      </c>
      <c r="E30" s="51">
        <v>13.66</v>
      </c>
      <c r="F30" s="51">
        <v>29.21</v>
      </c>
      <c r="G30" s="51">
        <v>89.73</v>
      </c>
      <c r="H30" s="51">
        <v>21.53</v>
      </c>
      <c r="I30" s="51">
        <v>3.96</v>
      </c>
      <c r="J30" s="51">
        <v>0.93</v>
      </c>
      <c r="K30" s="51">
        <v>89.28</v>
      </c>
      <c r="L30" s="51">
        <v>23.46</v>
      </c>
      <c r="M30" s="51">
        <v>29.31</v>
      </c>
      <c r="N30" s="51">
        <v>62.7</v>
      </c>
      <c r="O30" s="51">
        <v>0</v>
      </c>
      <c r="P30" s="51">
        <v>1.1499999999999999</v>
      </c>
      <c r="Q30" s="51">
        <v>9.5500000000000007</v>
      </c>
      <c r="R30" s="43"/>
      <c r="S30" s="43"/>
      <c r="T30" s="43"/>
      <c r="U30" s="43"/>
    </row>
    <row r="31" spans="1:21" s="11" customFormat="1" x14ac:dyDescent="0.25">
      <c r="A31" s="50" t="s">
        <v>274</v>
      </c>
      <c r="B31" s="51">
        <v>9.6300000000000008</v>
      </c>
      <c r="C31" s="51">
        <v>82.37</v>
      </c>
      <c r="D31" s="51">
        <v>50.76</v>
      </c>
      <c r="E31" s="51">
        <v>11.72</v>
      </c>
      <c r="F31" s="51">
        <v>17.010000000000002</v>
      </c>
      <c r="G31" s="51">
        <v>80.13</v>
      </c>
      <c r="H31" s="51">
        <v>34.49</v>
      </c>
      <c r="I31" s="51">
        <v>4.1500000000000004</v>
      </c>
      <c r="J31" s="51">
        <v>1.32</v>
      </c>
      <c r="K31" s="51">
        <v>88.31</v>
      </c>
      <c r="L31" s="51">
        <v>22.9</v>
      </c>
      <c r="M31" s="51">
        <v>30.54</v>
      </c>
      <c r="N31" s="51">
        <v>62.6</v>
      </c>
      <c r="O31" s="51">
        <v>0</v>
      </c>
      <c r="P31" s="51">
        <v>1.1100000000000001</v>
      </c>
      <c r="Q31" s="51">
        <v>9.52</v>
      </c>
      <c r="R31" s="43"/>
      <c r="S31" s="43"/>
      <c r="T31" s="43"/>
      <c r="U31" s="43"/>
    </row>
    <row r="32" spans="1:21" s="11" customFormat="1" x14ac:dyDescent="0.25">
      <c r="A32" s="50" t="s">
        <v>275</v>
      </c>
      <c r="B32" s="51">
        <v>5.63</v>
      </c>
      <c r="C32" s="51">
        <v>78.22</v>
      </c>
      <c r="D32" s="51">
        <v>45.39</v>
      </c>
      <c r="E32" s="51">
        <v>12.63</v>
      </c>
      <c r="F32" s="51">
        <v>23.61</v>
      </c>
      <c r="G32" s="51">
        <v>74.180000000000007</v>
      </c>
      <c r="H32" s="51">
        <v>30.59</v>
      </c>
      <c r="I32" s="51">
        <v>4.17</v>
      </c>
      <c r="J32" s="51">
        <v>1.17</v>
      </c>
      <c r="K32" s="51">
        <v>86.38</v>
      </c>
      <c r="L32" s="51">
        <v>22.47</v>
      </c>
      <c r="M32" s="51">
        <v>32.28</v>
      </c>
      <c r="N32" s="51">
        <v>63.2</v>
      </c>
      <c r="O32" s="51">
        <v>0</v>
      </c>
      <c r="P32" s="51">
        <v>1.01</v>
      </c>
      <c r="Q32" s="51">
        <v>9.51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5.63</v>
      </c>
      <c r="C34" s="28">
        <f t="shared" si="0"/>
        <v>60.51</v>
      </c>
      <c r="D34" s="28">
        <f t="shared" si="0"/>
        <v>35.630000000000003</v>
      </c>
      <c r="E34" s="28">
        <f t="shared" si="0"/>
        <v>4.7300000000000004</v>
      </c>
      <c r="F34" s="28">
        <f t="shared" si="0"/>
        <v>6.88</v>
      </c>
      <c r="G34" s="28">
        <f t="shared" si="0"/>
        <v>49.92</v>
      </c>
      <c r="H34" s="28">
        <f t="shared" si="0"/>
        <v>18.43</v>
      </c>
      <c r="I34" s="28">
        <f t="shared" si="0"/>
        <v>3.96</v>
      </c>
      <c r="J34" s="28">
        <f t="shared" si="0"/>
        <v>0.39</v>
      </c>
      <c r="K34" s="28">
        <f t="shared" si="0"/>
        <v>39.25</v>
      </c>
      <c r="L34" s="28">
        <f t="shared" si="0"/>
        <v>16.45</v>
      </c>
      <c r="M34" s="28">
        <f t="shared" si="0"/>
        <v>13.13</v>
      </c>
      <c r="N34" s="28">
        <f t="shared" si="0"/>
        <v>61.3</v>
      </c>
      <c r="O34" s="28">
        <f t="shared" si="0"/>
        <v>0</v>
      </c>
      <c r="P34" s="28">
        <f t="shared" si="0"/>
        <v>0.57999999999999996</v>
      </c>
      <c r="Q34" s="28">
        <f t="shared" si="0"/>
        <v>9.25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124.6</v>
      </c>
      <c r="C35" s="29">
        <f t="shared" si="1"/>
        <v>118.9</v>
      </c>
      <c r="D35" s="29">
        <f t="shared" si="1"/>
        <v>149.09</v>
      </c>
      <c r="E35" s="29">
        <f t="shared" si="1"/>
        <v>37.880000000000003</v>
      </c>
      <c r="F35" s="29">
        <f t="shared" si="1"/>
        <v>48.51</v>
      </c>
      <c r="G35" s="29">
        <f t="shared" si="1"/>
        <v>178.1</v>
      </c>
      <c r="H35" s="29">
        <f t="shared" si="1"/>
        <v>50.38</v>
      </c>
      <c r="I35" s="29">
        <f t="shared" si="1"/>
        <v>4.24</v>
      </c>
      <c r="J35" s="29">
        <f t="shared" si="1"/>
        <v>1.96</v>
      </c>
      <c r="K35" s="29">
        <f t="shared" si="1"/>
        <v>356.31</v>
      </c>
      <c r="L35" s="29">
        <f t="shared" si="1"/>
        <v>35.770000000000003</v>
      </c>
      <c r="M35" s="29">
        <f t="shared" si="1"/>
        <v>54.28</v>
      </c>
      <c r="N35" s="29">
        <f t="shared" si="1"/>
        <v>756.8</v>
      </c>
      <c r="O35" s="29">
        <f t="shared" si="1"/>
        <v>0</v>
      </c>
      <c r="P35" s="29">
        <f t="shared" si="1"/>
        <v>1.9</v>
      </c>
      <c r="Q35" s="29">
        <f t="shared" si="1"/>
        <v>9.91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44.16500000000002</v>
      </c>
      <c r="C36" s="28">
        <f t="shared" si="2"/>
        <v>83.873333333333349</v>
      </c>
      <c r="D36" s="28">
        <f t="shared" si="2"/>
        <v>78.440833333333345</v>
      </c>
      <c r="E36" s="28">
        <f t="shared" si="2"/>
        <v>11.305</v>
      </c>
      <c r="F36" s="28">
        <f t="shared" si="2"/>
        <v>21.677499999999995</v>
      </c>
      <c r="G36" s="28">
        <f t="shared" si="2"/>
        <v>99.387916666666669</v>
      </c>
      <c r="H36" s="28">
        <f t="shared" si="2"/>
        <v>30.41791666666667</v>
      </c>
      <c r="I36" s="28">
        <f t="shared" si="2"/>
        <v>4.1054166666666676</v>
      </c>
      <c r="J36" s="28">
        <f t="shared" si="2"/>
        <v>1.1062500000000002</v>
      </c>
      <c r="K36" s="28">
        <f t="shared" si="2"/>
        <v>237.22874999999999</v>
      </c>
      <c r="L36" s="28">
        <f t="shared" si="2"/>
        <v>24.865833333333331</v>
      </c>
      <c r="M36" s="28">
        <f t="shared" si="2"/>
        <v>31.469583333333329</v>
      </c>
      <c r="N36" s="28">
        <f t="shared" si="2"/>
        <v>270.5291666666667</v>
      </c>
      <c r="O36" s="28">
        <f t="shared" si="2"/>
        <v>0</v>
      </c>
      <c r="P36" s="28">
        <f t="shared" si="2"/>
        <v>1.16875</v>
      </c>
      <c r="Q36" s="28">
        <f t="shared" si="2"/>
        <v>9.6254166666666663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40.511062901278009</v>
      </c>
      <c r="C37" s="28">
        <f t="shared" ref="C37:Q37" si="3">STDEV(C9:C32)</f>
        <v>12.722659233470525</v>
      </c>
      <c r="D37" s="28">
        <f t="shared" si="3"/>
        <v>34.013234881461194</v>
      </c>
      <c r="E37" s="28">
        <f t="shared" si="3"/>
        <v>9.2631668920280834</v>
      </c>
      <c r="F37" s="28">
        <f t="shared" si="3"/>
        <v>12.738454021959082</v>
      </c>
      <c r="G37" s="28">
        <f t="shared" si="3"/>
        <v>38.579639029479353</v>
      </c>
      <c r="H37" s="28">
        <f t="shared" si="3"/>
        <v>8.9436924478343283</v>
      </c>
      <c r="I37" s="28">
        <f t="shared" si="3"/>
        <v>6.3175336868162429E-2</v>
      </c>
      <c r="J37" s="28">
        <f t="shared" si="3"/>
        <v>0.47339488526103018</v>
      </c>
      <c r="K37" s="28">
        <f t="shared" si="3"/>
        <v>124.5402105943751</v>
      </c>
      <c r="L37" s="28">
        <f t="shared" si="3"/>
        <v>6.4237324357259116</v>
      </c>
      <c r="M37" s="28">
        <f t="shared" si="3"/>
        <v>13.737582053928056</v>
      </c>
      <c r="N37" s="28">
        <f t="shared" si="3"/>
        <v>278.32126335236768</v>
      </c>
      <c r="O37" s="28">
        <f t="shared" si="3"/>
        <v>0</v>
      </c>
      <c r="P37" s="28">
        <f t="shared" si="3"/>
        <v>0.31835600116577184</v>
      </c>
      <c r="Q37" s="28">
        <f t="shared" si="3"/>
        <v>0.19688838521325749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276</v>
      </c>
      <c r="B9" s="51">
        <v>7.46</v>
      </c>
      <c r="C9" s="51">
        <v>78.09</v>
      </c>
      <c r="D9" s="51">
        <v>46.46</v>
      </c>
      <c r="E9" s="51">
        <v>12.16</v>
      </c>
      <c r="F9" s="51">
        <v>25.2</v>
      </c>
      <c r="G9" s="51">
        <v>72.22</v>
      </c>
      <c r="H9" s="51">
        <v>33.840000000000003</v>
      </c>
      <c r="I9" s="51">
        <v>4.26</v>
      </c>
      <c r="J9" s="51">
        <v>0.8</v>
      </c>
      <c r="K9" s="51">
        <v>353.29</v>
      </c>
      <c r="L9" s="51">
        <v>21.33</v>
      </c>
      <c r="M9" s="51">
        <v>43.12</v>
      </c>
      <c r="N9" s="51">
        <v>63.8</v>
      </c>
      <c r="O9" s="51">
        <v>0</v>
      </c>
      <c r="P9" s="51">
        <v>0.96</v>
      </c>
      <c r="Q9" s="51">
        <v>9.48</v>
      </c>
      <c r="R9" s="43"/>
      <c r="S9" s="43"/>
      <c r="T9" s="43"/>
      <c r="U9" s="43"/>
    </row>
    <row r="10" spans="1:21" s="11" customFormat="1" x14ac:dyDescent="0.25">
      <c r="A10" s="50" t="s">
        <v>277</v>
      </c>
      <c r="B10" s="51">
        <v>6.96</v>
      </c>
      <c r="C10" s="51">
        <v>77.36</v>
      </c>
      <c r="D10" s="51">
        <v>46</v>
      </c>
      <c r="E10" s="51">
        <v>30.87</v>
      </c>
      <c r="F10" s="51">
        <v>20.399999999999999</v>
      </c>
      <c r="G10" s="51">
        <v>97.93</v>
      </c>
      <c r="H10" s="51">
        <v>35.549999999999997</v>
      </c>
      <c r="I10" s="51">
        <v>4.17</v>
      </c>
      <c r="J10" s="51">
        <v>1.95</v>
      </c>
      <c r="K10" s="51">
        <v>356.13</v>
      </c>
      <c r="L10" s="51">
        <v>20.170000000000002</v>
      </c>
      <c r="M10" s="51">
        <v>41.22</v>
      </c>
      <c r="N10" s="51">
        <v>63.1</v>
      </c>
      <c r="O10" s="51">
        <v>0</v>
      </c>
      <c r="P10" s="51">
        <v>1.05</v>
      </c>
      <c r="Q10" s="51">
        <v>9.48</v>
      </c>
      <c r="R10" s="43"/>
      <c r="S10" s="43"/>
      <c r="T10" s="43"/>
      <c r="U10" s="43"/>
    </row>
    <row r="11" spans="1:21" s="11" customFormat="1" x14ac:dyDescent="0.25">
      <c r="A11" s="50" t="s">
        <v>278</v>
      </c>
      <c r="B11" s="51">
        <v>6.51</v>
      </c>
      <c r="C11" s="51">
        <v>79.069999999999993</v>
      </c>
      <c r="D11" s="51">
        <v>46.53</v>
      </c>
      <c r="E11" s="51">
        <v>21.92</v>
      </c>
      <c r="F11" s="51">
        <v>10.35</v>
      </c>
      <c r="G11" s="51">
        <v>160.25</v>
      </c>
      <c r="H11" s="51">
        <v>40.369999999999997</v>
      </c>
      <c r="I11" s="51">
        <v>4.1100000000000003</v>
      </c>
      <c r="J11" s="51">
        <v>1.34</v>
      </c>
      <c r="K11" s="51">
        <v>13.95</v>
      </c>
      <c r="L11" s="51">
        <v>20.16</v>
      </c>
      <c r="M11" s="51">
        <v>36.75</v>
      </c>
      <c r="N11" s="51">
        <v>63.9</v>
      </c>
      <c r="O11" s="51">
        <v>0</v>
      </c>
      <c r="P11" s="51">
        <v>1.06</v>
      </c>
      <c r="Q11" s="51">
        <v>9.51</v>
      </c>
      <c r="R11" s="43"/>
      <c r="S11" s="43"/>
      <c r="T11" s="43"/>
      <c r="U11" s="43"/>
    </row>
    <row r="12" spans="1:21" s="11" customFormat="1" x14ac:dyDescent="0.25">
      <c r="A12" s="50" t="s">
        <v>279</v>
      </c>
      <c r="B12" s="51">
        <v>6.08</v>
      </c>
      <c r="C12" s="51">
        <v>71.91</v>
      </c>
      <c r="D12" s="51">
        <v>42.45</v>
      </c>
      <c r="E12" s="51">
        <v>9.41</v>
      </c>
      <c r="F12" s="51">
        <v>10.38</v>
      </c>
      <c r="G12" s="51">
        <v>149.72</v>
      </c>
      <c r="H12" s="51">
        <v>42.14</v>
      </c>
      <c r="I12" s="51">
        <v>4.0599999999999996</v>
      </c>
      <c r="J12" s="51">
        <v>1.54</v>
      </c>
      <c r="K12" s="51">
        <v>104.63</v>
      </c>
      <c r="L12" s="51">
        <v>19.71</v>
      </c>
      <c r="M12" s="51">
        <v>35.36</v>
      </c>
      <c r="N12" s="51">
        <v>64</v>
      </c>
      <c r="O12" s="51">
        <v>0</v>
      </c>
      <c r="P12" s="51">
        <v>1.04</v>
      </c>
      <c r="Q12" s="51">
        <v>9.5</v>
      </c>
      <c r="R12" s="43"/>
      <c r="S12" s="43"/>
      <c r="T12" s="43"/>
      <c r="U12" s="43"/>
    </row>
    <row r="13" spans="1:21" s="11" customFormat="1" x14ac:dyDescent="0.25">
      <c r="A13" s="50" t="s">
        <v>280</v>
      </c>
      <c r="B13" s="51">
        <v>7.41</v>
      </c>
      <c r="C13" s="51">
        <v>67.510000000000005</v>
      </c>
      <c r="D13" s="51">
        <v>40.94</v>
      </c>
      <c r="E13" s="51">
        <v>7.45</v>
      </c>
      <c r="F13" s="51">
        <v>11.95</v>
      </c>
      <c r="G13" s="51">
        <v>77.89</v>
      </c>
      <c r="H13" s="51">
        <v>42.15</v>
      </c>
      <c r="I13" s="51">
        <v>4.1500000000000004</v>
      </c>
      <c r="J13" s="51">
        <v>0.82</v>
      </c>
      <c r="K13" s="51">
        <v>26.68</v>
      </c>
      <c r="L13" s="51">
        <v>18.690000000000001</v>
      </c>
      <c r="M13" s="51">
        <v>38.369999999999997</v>
      </c>
      <c r="N13" s="51">
        <v>63.9</v>
      </c>
      <c r="O13" s="51">
        <v>0</v>
      </c>
      <c r="P13" s="51">
        <v>0.91</v>
      </c>
      <c r="Q13" s="51">
        <v>9.42</v>
      </c>
      <c r="R13" s="43"/>
      <c r="S13" s="43"/>
      <c r="T13" s="43"/>
      <c r="U13" s="43"/>
    </row>
    <row r="14" spans="1:21" s="11" customFormat="1" x14ac:dyDescent="0.25">
      <c r="A14" s="50" t="s">
        <v>281</v>
      </c>
      <c r="B14" s="51">
        <v>13.65</v>
      </c>
      <c r="C14" s="51">
        <v>71.930000000000007</v>
      </c>
      <c r="D14" s="51">
        <v>48.53</v>
      </c>
      <c r="E14" s="51">
        <v>7.91</v>
      </c>
      <c r="F14" s="51">
        <v>12.08</v>
      </c>
      <c r="G14" s="51">
        <v>68.05</v>
      </c>
      <c r="H14" s="51">
        <v>32.96</v>
      </c>
      <c r="I14" s="51">
        <v>3.97</v>
      </c>
      <c r="J14" s="51">
        <v>0.87</v>
      </c>
      <c r="K14" s="51">
        <v>49.52</v>
      </c>
      <c r="L14" s="51">
        <v>17.989999999999998</v>
      </c>
      <c r="M14" s="51">
        <v>38.67</v>
      </c>
      <c r="N14" s="51">
        <v>63.8</v>
      </c>
      <c r="O14" s="51">
        <v>0</v>
      </c>
      <c r="P14" s="51">
        <v>0.79</v>
      </c>
      <c r="Q14" s="51">
        <v>9.4600000000000009</v>
      </c>
      <c r="R14" s="43"/>
      <c r="S14" s="43"/>
      <c r="T14" s="43"/>
      <c r="U14" s="43"/>
    </row>
    <row r="15" spans="1:21" s="11" customFormat="1" x14ac:dyDescent="0.25">
      <c r="A15" s="50" t="s">
        <v>282</v>
      </c>
      <c r="B15" s="51">
        <v>19.27</v>
      </c>
      <c r="C15" s="51">
        <v>76.08</v>
      </c>
      <c r="D15" s="51">
        <v>55.2</v>
      </c>
      <c r="E15" s="51">
        <v>6.24</v>
      </c>
      <c r="F15" s="51">
        <v>8.7899999999999991</v>
      </c>
      <c r="G15" s="51">
        <v>75.94</v>
      </c>
      <c r="H15" s="51">
        <v>34.18</v>
      </c>
      <c r="I15" s="51">
        <v>4.07</v>
      </c>
      <c r="J15" s="51">
        <v>0.99</v>
      </c>
      <c r="K15" s="51">
        <v>18.43</v>
      </c>
      <c r="L15" s="51">
        <v>18.02</v>
      </c>
      <c r="M15" s="51">
        <v>39.630000000000003</v>
      </c>
      <c r="N15" s="51">
        <v>118.3</v>
      </c>
      <c r="O15" s="51">
        <v>0</v>
      </c>
      <c r="P15" s="51">
        <v>0.82</v>
      </c>
      <c r="Q15" s="51">
        <v>9.5500000000000007</v>
      </c>
      <c r="R15" s="43"/>
      <c r="S15" s="43"/>
      <c r="T15" s="43"/>
      <c r="U15" s="43"/>
    </row>
    <row r="16" spans="1:21" s="11" customFormat="1" x14ac:dyDescent="0.25">
      <c r="A16" s="50" t="s">
        <v>283</v>
      </c>
      <c r="B16" s="51">
        <v>23.63</v>
      </c>
      <c r="C16" s="51">
        <v>75.040000000000006</v>
      </c>
      <c r="D16" s="51">
        <v>57.78</v>
      </c>
      <c r="E16" s="51">
        <v>5.58</v>
      </c>
      <c r="F16" s="51">
        <v>7.47</v>
      </c>
      <c r="G16" s="51">
        <v>83.34</v>
      </c>
      <c r="H16" s="51">
        <v>34.18</v>
      </c>
      <c r="I16" s="51">
        <v>4.07</v>
      </c>
      <c r="J16" s="51">
        <v>1.62</v>
      </c>
      <c r="K16" s="51">
        <v>7.14</v>
      </c>
      <c r="L16" s="51">
        <v>21.71</v>
      </c>
      <c r="M16" s="51">
        <v>37.67</v>
      </c>
      <c r="N16" s="51">
        <v>288.7</v>
      </c>
      <c r="O16" s="51">
        <v>0</v>
      </c>
      <c r="P16" s="51">
        <v>0.84</v>
      </c>
      <c r="Q16" s="51">
        <v>9.5500000000000007</v>
      </c>
      <c r="R16" s="43"/>
      <c r="S16" s="43"/>
      <c r="T16" s="43"/>
      <c r="U16" s="43"/>
    </row>
    <row r="17" spans="1:21" s="11" customFormat="1" x14ac:dyDescent="0.25">
      <c r="A17" s="50" t="s">
        <v>284</v>
      </c>
      <c r="B17" s="51">
        <v>29.33</v>
      </c>
      <c r="C17" s="51">
        <v>78.319999999999993</v>
      </c>
      <c r="D17" s="51">
        <v>64.44</v>
      </c>
      <c r="E17" s="51">
        <v>6.42</v>
      </c>
      <c r="F17" s="51">
        <v>7.55</v>
      </c>
      <c r="G17" s="51">
        <v>98.97</v>
      </c>
      <c r="H17" s="51">
        <v>34.18</v>
      </c>
      <c r="I17" s="51">
        <v>4.1100000000000003</v>
      </c>
      <c r="J17" s="51">
        <v>1.58</v>
      </c>
      <c r="K17" s="51">
        <v>79.319999999999993</v>
      </c>
      <c r="L17" s="51">
        <v>24.03</v>
      </c>
      <c r="M17" s="51">
        <v>32.39</v>
      </c>
      <c r="N17" s="51">
        <v>470.4</v>
      </c>
      <c r="O17" s="51">
        <v>0</v>
      </c>
      <c r="P17" s="51">
        <v>0.87</v>
      </c>
      <c r="Q17" s="51">
        <v>9.58</v>
      </c>
      <c r="R17" s="43"/>
      <c r="S17" s="43"/>
      <c r="T17" s="43"/>
      <c r="U17" s="43"/>
    </row>
    <row r="18" spans="1:21" s="11" customFormat="1" x14ac:dyDescent="0.25">
      <c r="A18" s="50" t="s">
        <v>285</v>
      </c>
      <c r="B18" s="51">
        <v>27.06</v>
      </c>
      <c r="C18" s="51">
        <v>76.59</v>
      </c>
      <c r="D18" s="51">
        <v>61.72</v>
      </c>
      <c r="E18" s="51">
        <v>8.93</v>
      </c>
      <c r="F18" s="51">
        <v>16.2</v>
      </c>
      <c r="G18" s="51">
        <v>116.23</v>
      </c>
      <c r="H18" s="51">
        <v>12.68</v>
      </c>
      <c r="I18" s="51">
        <v>4.13</v>
      </c>
      <c r="J18" s="51">
        <v>1.74</v>
      </c>
      <c r="K18" s="51">
        <v>98.47</v>
      </c>
      <c r="L18" s="51">
        <v>26.25</v>
      </c>
      <c r="M18" s="51">
        <v>33.99</v>
      </c>
      <c r="N18" s="51">
        <v>608.1</v>
      </c>
      <c r="O18" s="51">
        <v>0</v>
      </c>
      <c r="P18" s="51">
        <v>0.88</v>
      </c>
      <c r="Q18" s="51">
        <v>9.61</v>
      </c>
      <c r="R18" s="43"/>
      <c r="S18" s="43"/>
      <c r="T18" s="43"/>
      <c r="U18" s="43"/>
    </row>
    <row r="19" spans="1:21" s="11" customFormat="1" x14ac:dyDescent="0.25">
      <c r="A19" s="50" t="s">
        <v>286</v>
      </c>
      <c r="B19" s="51">
        <v>18.760000000000002</v>
      </c>
      <c r="C19" s="51">
        <v>88.97</v>
      </c>
      <c r="D19" s="51">
        <v>55.31</v>
      </c>
      <c r="E19" s="51">
        <v>13.9</v>
      </c>
      <c r="F19" s="51">
        <v>20.399999999999999</v>
      </c>
      <c r="G19" s="51">
        <v>97.34</v>
      </c>
      <c r="H19" s="51">
        <v>48.33</v>
      </c>
      <c r="I19" s="51">
        <v>4.13</v>
      </c>
      <c r="J19" s="51">
        <v>1.21</v>
      </c>
      <c r="K19" s="51">
        <v>329.83</v>
      </c>
      <c r="L19" s="51">
        <v>32.4</v>
      </c>
      <c r="M19" s="51">
        <v>30.08</v>
      </c>
      <c r="N19" s="51">
        <v>712.7</v>
      </c>
      <c r="O19" s="51">
        <v>0</v>
      </c>
      <c r="P19" s="51">
        <v>1.01</v>
      </c>
      <c r="Q19" s="51">
        <v>9.6199999999999992</v>
      </c>
      <c r="R19" s="43"/>
      <c r="S19" s="43"/>
      <c r="T19" s="43"/>
      <c r="U19" s="43"/>
    </row>
    <row r="20" spans="1:21" s="11" customFormat="1" x14ac:dyDescent="0.25">
      <c r="A20" s="50" t="s">
        <v>287</v>
      </c>
      <c r="B20" s="51">
        <v>7.34</v>
      </c>
      <c r="C20" s="51">
        <v>94.51</v>
      </c>
      <c r="D20" s="51">
        <v>55.19</v>
      </c>
      <c r="E20" s="51">
        <v>7.35</v>
      </c>
      <c r="F20" s="51">
        <v>20.81</v>
      </c>
      <c r="G20" s="51">
        <v>86.31</v>
      </c>
      <c r="H20" s="51">
        <v>51.13</v>
      </c>
      <c r="I20" s="51">
        <v>4.08</v>
      </c>
      <c r="J20" s="51">
        <v>1.56</v>
      </c>
      <c r="K20" s="51">
        <v>334.6</v>
      </c>
      <c r="L20" s="51">
        <v>33.369999999999997</v>
      </c>
      <c r="M20" s="51">
        <v>31.88</v>
      </c>
      <c r="N20" s="51">
        <v>719.7</v>
      </c>
      <c r="O20" s="51">
        <v>0</v>
      </c>
      <c r="P20" s="51">
        <v>1.02</v>
      </c>
      <c r="Q20" s="51">
        <v>9.57</v>
      </c>
      <c r="R20" s="43"/>
      <c r="S20" s="43"/>
      <c r="T20" s="43"/>
      <c r="U20" s="43"/>
    </row>
    <row r="21" spans="1:21" s="11" customFormat="1" x14ac:dyDescent="0.25">
      <c r="A21" s="50" t="s">
        <v>288</v>
      </c>
      <c r="B21" s="51">
        <v>3.88</v>
      </c>
      <c r="C21" s="51">
        <v>75.099999999999994</v>
      </c>
      <c r="D21" s="51">
        <v>42.35</v>
      </c>
      <c r="E21" s="51">
        <v>9.19</v>
      </c>
      <c r="F21" s="51">
        <v>27.36</v>
      </c>
      <c r="G21" s="51">
        <v>106.53</v>
      </c>
      <c r="H21" s="51">
        <v>28.77</v>
      </c>
      <c r="I21" s="51">
        <v>4.1100000000000003</v>
      </c>
      <c r="J21" s="51">
        <v>0.66</v>
      </c>
      <c r="K21" s="51">
        <v>334.19</v>
      </c>
      <c r="L21" s="51">
        <v>32.869999999999997</v>
      </c>
      <c r="M21" s="51">
        <v>26.36</v>
      </c>
      <c r="N21" s="51">
        <v>690.8</v>
      </c>
      <c r="O21" s="51">
        <v>0</v>
      </c>
      <c r="P21" s="51">
        <v>0.91</v>
      </c>
      <c r="Q21" s="51">
        <v>9.57</v>
      </c>
      <c r="R21" s="43"/>
      <c r="S21" s="43"/>
      <c r="T21" s="43"/>
      <c r="U21" s="43"/>
    </row>
    <row r="22" spans="1:21" s="11" customFormat="1" x14ac:dyDescent="0.25">
      <c r="A22" s="50" t="s">
        <v>289</v>
      </c>
      <c r="B22" s="51">
        <v>6.33</v>
      </c>
      <c r="C22" s="51">
        <v>76.92</v>
      </c>
      <c r="D22" s="51">
        <v>45.26</v>
      </c>
      <c r="E22" s="51">
        <v>25.63</v>
      </c>
      <c r="F22" s="51">
        <v>52.7</v>
      </c>
      <c r="G22" s="51">
        <v>61.74</v>
      </c>
      <c r="H22" s="51">
        <v>20.7</v>
      </c>
      <c r="I22" s="51">
        <v>4.09</v>
      </c>
      <c r="J22" s="51">
        <v>1.1599999999999999</v>
      </c>
      <c r="K22" s="51">
        <v>351.08</v>
      </c>
      <c r="L22" s="51">
        <v>33.35</v>
      </c>
      <c r="M22" s="51">
        <v>23.01</v>
      </c>
      <c r="N22" s="51">
        <v>653.20000000000005</v>
      </c>
      <c r="O22" s="51">
        <v>0</v>
      </c>
      <c r="P22" s="51">
        <v>0.88</v>
      </c>
      <c r="Q22" s="51">
        <v>9.57</v>
      </c>
      <c r="R22" s="43"/>
      <c r="S22" s="43"/>
      <c r="T22" s="43"/>
      <c r="U22" s="43"/>
    </row>
    <row r="23" spans="1:21" s="11" customFormat="1" x14ac:dyDescent="0.25">
      <c r="A23" s="50" t="s">
        <v>290</v>
      </c>
      <c r="B23" s="51">
        <v>5.13</v>
      </c>
      <c r="C23" s="51">
        <v>78.319999999999993</v>
      </c>
      <c r="D23" s="51">
        <v>45.03</v>
      </c>
      <c r="E23" s="51">
        <v>23.21</v>
      </c>
      <c r="F23" s="51">
        <v>47.73</v>
      </c>
      <c r="G23" s="51">
        <v>96.24</v>
      </c>
      <c r="H23" s="51">
        <v>36.82</v>
      </c>
      <c r="I23" s="51">
        <v>4.07</v>
      </c>
      <c r="J23" s="51">
        <v>1.31</v>
      </c>
      <c r="K23" s="51">
        <v>337.08</v>
      </c>
      <c r="L23" s="51">
        <v>33.54</v>
      </c>
      <c r="M23" s="51">
        <v>22.26</v>
      </c>
      <c r="N23" s="51">
        <v>502.5</v>
      </c>
      <c r="O23" s="51">
        <v>0</v>
      </c>
      <c r="P23" s="51">
        <v>0.91</v>
      </c>
      <c r="Q23" s="51">
        <v>9.5</v>
      </c>
      <c r="R23" s="43"/>
      <c r="S23" s="43"/>
      <c r="T23" s="43"/>
      <c r="U23" s="43"/>
    </row>
    <row r="24" spans="1:21" s="11" customFormat="1" x14ac:dyDescent="0.25">
      <c r="A24" s="50" t="s">
        <v>291</v>
      </c>
      <c r="B24" s="51">
        <v>9.39</v>
      </c>
      <c r="C24" s="51">
        <v>78.599999999999994</v>
      </c>
      <c r="D24" s="51">
        <v>48.6</v>
      </c>
      <c r="E24" s="51">
        <v>26.13</v>
      </c>
      <c r="F24" s="51">
        <v>38.51</v>
      </c>
      <c r="G24" s="51">
        <v>86.12</v>
      </c>
      <c r="H24" s="51">
        <v>31.93</v>
      </c>
      <c r="I24" s="51">
        <v>4</v>
      </c>
      <c r="J24" s="51">
        <v>1.65</v>
      </c>
      <c r="K24" s="51">
        <v>352.37</v>
      </c>
      <c r="L24" s="51">
        <v>32.659999999999997</v>
      </c>
      <c r="M24" s="51">
        <v>19.04</v>
      </c>
      <c r="N24" s="51">
        <v>263.39999999999998</v>
      </c>
      <c r="O24" s="51">
        <v>0</v>
      </c>
      <c r="P24" s="51">
        <v>0.88</v>
      </c>
      <c r="Q24" s="51">
        <v>9.43</v>
      </c>
      <c r="R24" s="43"/>
      <c r="S24" s="43"/>
      <c r="T24" s="43"/>
      <c r="U24" s="43"/>
    </row>
    <row r="25" spans="1:21" s="11" customFormat="1" x14ac:dyDescent="0.25">
      <c r="A25" s="50" t="s">
        <v>292</v>
      </c>
      <c r="B25" s="51">
        <v>8.41</v>
      </c>
      <c r="C25" s="51">
        <v>77.48</v>
      </c>
      <c r="D25" s="51">
        <v>46.57</v>
      </c>
      <c r="E25" s="51">
        <v>11.08</v>
      </c>
      <c r="F25" s="51">
        <v>24.11</v>
      </c>
      <c r="G25" s="51">
        <v>78.38</v>
      </c>
      <c r="H25" s="51">
        <v>34.04</v>
      </c>
      <c r="I25" s="51">
        <v>4.12</v>
      </c>
      <c r="J25" s="51">
        <v>1.84</v>
      </c>
      <c r="K25" s="51">
        <v>357.83</v>
      </c>
      <c r="L25" s="51">
        <v>30.76</v>
      </c>
      <c r="M25" s="51">
        <v>21.54</v>
      </c>
      <c r="N25" s="51">
        <v>200.7</v>
      </c>
      <c r="O25" s="51">
        <v>0</v>
      </c>
      <c r="P25" s="51">
        <v>0.9</v>
      </c>
      <c r="Q25" s="51">
        <v>9.3800000000000008</v>
      </c>
      <c r="R25" s="43"/>
      <c r="S25" s="43"/>
      <c r="T25" s="43"/>
      <c r="U25" s="43"/>
    </row>
    <row r="26" spans="1:21" s="11" customFormat="1" x14ac:dyDescent="0.25">
      <c r="A26" s="50" t="s">
        <v>293</v>
      </c>
      <c r="B26" s="51">
        <v>35.18</v>
      </c>
      <c r="C26" s="51">
        <v>134.83000000000001</v>
      </c>
      <c r="D26" s="51">
        <v>98.66</v>
      </c>
      <c r="E26" s="51">
        <v>14.1</v>
      </c>
      <c r="F26" s="51">
        <v>23.49</v>
      </c>
      <c r="G26" s="51">
        <v>82.06</v>
      </c>
      <c r="H26" s="51">
        <v>27.05</v>
      </c>
      <c r="I26" s="51">
        <v>4.03</v>
      </c>
      <c r="J26" s="51">
        <v>1.33</v>
      </c>
      <c r="K26" s="51">
        <v>358.01</v>
      </c>
      <c r="L26" s="51">
        <v>28.43</v>
      </c>
      <c r="M26" s="51">
        <v>26.84</v>
      </c>
      <c r="N26" s="51">
        <v>105.7</v>
      </c>
      <c r="O26" s="51">
        <v>0</v>
      </c>
      <c r="P26" s="51">
        <v>1.88</v>
      </c>
      <c r="Q26" s="51">
        <v>9.3699999999999992</v>
      </c>
      <c r="R26" s="43"/>
      <c r="S26" s="43"/>
      <c r="T26" s="43"/>
      <c r="U26" s="43"/>
    </row>
    <row r="27" spans="1:21" s="11" customFormat="1" x14ac:dyDescent="0.25">
      <c r="A27" s="50" t="s">
        <v>294</v>
      </c>
      <c r="B27" s="51">
        <v>189.08</v>
      </c>
      <c r="C27" s="51">
        <v>177.96</v>
      </c>
      <c r="D27" s="51">
        <v>244.6</v>
      </c>
      <c r="E27" s="51">
        <v>14.9</v>
      </c>
      <c r="F27" s="51">
        <v>12.58</v>
      </c>
      <c r="G27" s="51">
        <v>109.16</v>
      </c>
      <c r="H27" s="51">
        <v>31.16</v>
      </c>
      <c r="I27" s="51">
        <v>4.08</v>
      </c>
      <c r="J27" s="51">
        <v>0.59</v>
      </c>
      <c r="K27" s="51">
        <v>327.04000000000002</v>
      </c>
      <c r="L27" s="51">
        <v>25.62</v>
      </c>
      <c r="M27" s="51">
        <v>37.130000000000003</v>
      </c>
      <c r="N27" s="51">
        <v>65.900000000000006</v>
      </c>
      <c r="O27" s="51">
        <v>0</v>
      </c>
      <c r="P27" s="51">
        <v>3.94</v>
      </c>
      <c r="Q27" s="51">
        <v>9.4600000000000009</v>
      </c>
      <c r="R27" s="43"/>
      <c r="S27" s="43"/>
      <c r="T27" s="43"/>
      <c r="U27" s="43"/>
    </row>
    <row r="28" spans="1:21" s="11" customFormat="1" x14ac:dyDescent="0.25">
      <c r="A28" s="50" t="s">
        <v>295</v>
      </c>
      <c r="B28" s="51">
        <v>195.38</v>
      </c>
      <c r="C28" s="51">
        <v>184.49</v>
      </c>
      <c r="D28" s="51">
        <v>253.07</v>
      </c>
      <c r="E28" s="51">
        <v>14.41</v>
      </c>
      <c r="F28" s="51">
        <v>8.92</v>
      </c>
      <c r="G28" s="51">
        <v>189.12</v>
      </c>
      <c r="H28" s="51">
        <v>37.9</v>
      </c>
      <c r="I28" s="51">
        <v>4.1399999999999997</v>
      </c>
      <c r="J28" s="51">
        <v>0.69</v>
      </c>
      <c r="K28" s="51">
        <v>321.43</v>
      </c>
      <c r="L28" s="51">
        <v>23.1</v>
      </c>
      <c r="M28" s="51">
        <v>46.59</v>
      </c>
      <c r="N28" s="51">
        <v>63.6</v>
      </c>
      <c r="O28" s="51">
        <v>0</v>
      </c>
      <c r="P28" s="51">
        <v>3.29</v>
      </c>
      <c r="Q28" s="51">
        <v>9.5399999999999991</v>
      </c>
      <c r="R28" s="43"/>
      <c r="S28" s="43"/>
      <c r="T28" s="43"/>
      <c r="U28" s="43"/>
    </row>
    <row r="29" spans="1:21" s="11" customFormat="1" x14ac:dyDescent="0.25">
      <c r="A29" s="50" t="s">
        <v>296</v>
      </c>
      <c r="B29" s="51">
        <v>158.83000000000001</v>
      </c>
      <c r="C29" s="51">
        <v>139</v>
      </c>
      <c r="D29" s="51">
        <v>199.99</v>
      </c>
      <c r="E29" s="51">
        <v>10.050000000000001</v>
      </c>
      <c r="F29" s="51">
        <v>8.4</v>
      </c>
      <c r="G29" s="51">
        <v>219.85</v>
      </c>
      <c r="H29" s="51">
        <v>44.63</v>
      </c>
      <c r="I29" s="51">
        <v>3.92</v>
      </c>
      <c r="J29" s="51">
        <v>0.8</v>
      </c>
      <c r="K29" s="51">
        <v>54.44</v>
      </c>
      <c r="L29" s="51">
        <v>21.83</v>
      </c>
      <c r="M29" s="51">
        <v>49.32</v>
      </c>
      <c r="N29" s="51">
        <v>63.6</v>
      </c>
      <c r="O29" s="51">
        <v>0</v>
      </c>
      <c r="P29" s="51">
        <v>3.71</v>
      </c>
      <c r="Q29" s="51">
        <v>9.68</v>
      </c>
      <c r="R29" s="43"/>
      <c r="S29" s="43"/>
      <c r="T29" s="43"/>
      <c r="U29" s="43"/>
    </row>
    <row r="30" spans="1:21" s="11" customFormat="1" x14ac:dyDescent="0.25">
      <c r="A30" s="50" t="s">
        <v>297</v>
      </c>
      <c r="B30" s="51">
        <v>110.02</v>
      </c>
      <c r="C30" s="51">
        <v>146.82</v>
      </c>
      <c r="D30" s="51">
        <v>156.30000000000001</v>
      </c>
      <c r="E30" s="51">
        <v>10.7</v>
      </c>
      <c r="F30" s="51">
        <v>8.7899999999999991</v>
      </c>
      <c r="G30" s="51">
        <v>221.84</v>
      </c>
      <c r="H30" s="51">
        <v>66.53</v>
      </c>
      <c r="I30" s="51">
        <v>3.99</v>
      </c>
      <c r="J30" s="51">
        <v>0.77</v>
      </c>
      <c r="K30" s="51">
        <v>284.08</v>
      </c>
      <c r="L30" s="51">
        <v>22.59</v>
      </c>
      <c r="M30" s="51">
        <v>42.51</v>
      </c>
      <c r="N30" s="51">
        <v>63.8</v>
      </c>
      <c r="O30" s="51">
        <v>0</v>
      </c>
      <c r="P30" s="51">
        <v>3.59</v>
      </c>
      <c r="Q30" s="51">
        <v>9.81</v>
      </c>
      <c r="R30" s="43"/>
      <c r="S30" s="43"/>
      <c r="T30" s="43"/>
      <c r="U30" s="43"/>
    </row>
    <row r="31" spans="1:21" s="11" customFormat="1" x14ac:dyDescent="0.25">
      <c r="A31" s="50" t="s">
        <v>298</v>
      </c>
      <c r="B31" s="51">
        <v>180.66</v>
      </c>
      <c r="C31" s="51">
        <v>150.33000000000001</v>
      </c>
      <c r="D31" s="51">
        <v>222.23</v>
      </c>
      <c r="E31" s="51">
        <v>18.59</v>
      </c>
      <c r="F31" s="51">
        <v>8.5500000000000007</v>
      </c>
      <c r="G31" s="51">
        <v>157.19999999999999</v>
      </c>
      <c r="H31" s="51">
        <v>54.18</v>
      </c>
      <c r="I31" s="51">
        <v>4.13</v>
      </c>
      <c r="J31" s="51">
        <v>0.87</v>
      </c>
      <c r="K31" s="51">
        <v>334.98</v>
      </c>
      <c r="L31" s="51">
        <v>20.84</v>
      </c>
      <c r="M31" s="51">
        <v>51.51</v>
      </c>
      <c r="N31" s="51">
        <v>64</v>
      </c>
      <c r="O31" s="51">
        <v>0</v>
      </c>
      <c r="P31" s="51">
        <v>4.42</v>
      </c>
      <c r="Q31" s="51">
        <v>9.8800000000000008</v>
      </c>
      <c r="R31" s="43"/>
      <c r="S31" s="43"/>
      <c r="T31" s="43"/>
      <c r="U31" s="43"/>
    </row>
    <row r="32" spans="1:21" s="11" customFormat="1" x14ac:dyDescent="0.25">
      <c r="A32" s="50" t="s">
        <v>299</v>
      </c>
      <c r="B32" s="51">
        <v>96.26</v>
      </c>
      <c r="C32" s="51">
        <v>122.29</v>
      </c>
      <c r="D32" s="51">
        <v>141.09</v>
      </c>
      <c r="E32" s="51">
        <v>21.75</v>
      </c>
      <c r="F32" s="51">
        <v>17.36</v>
      </c>
      <c r="G32" s="51">
        <v>183.47</v>
      </c>
      <c r="H32" s="51">
        <v>54.83</v>
      </c>
      <c r="I32" s="51">
        <v>4.08</v>
      </c>
      <c r="J32" s="51">
        <v>1.1100000000000001</v>
      </c>
      <c r="K32" s="51">
        <v>26.43</v>
      </c>
      <c r="L32" s="51">
        <v>21.5</v>
      </c>
      <c r="M32" s="51">
        <v>36.200000000000003</v>
      </c>
      <c r="N32" s="51">
        <v>63.7</v>
      </c>
      <c r="O32" s="51">
        <v>0</v>
      </c>
      <c r="P32" s="51">
        <v>3.05</v>
      </c>
      <c r="Q32" s="51">
        <v>9.9499999999999993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3.88</v>
      </c>
      <c r="C34" s="28">
        <f t="shared" si="0"/>
        <v>67.510000000000005</v>
      </c>
      <c r="D34" s="28">
        <f t="shared" si="0"/>
        <v>40.94</v>
      </c>
      <c r="E34" s="28">
        <f t="shared" si="0"/>
        <v>5.58</v>
      </c>
      <c r="F34" s="28">
        <f t="shared" si="0"/>
        <v>7.47</v>
      </c>
      <c r="G34" s="28">
        <f t="shared" si="0"/>
        <v>61.74</v>
      </c>
      <c r="H34" s="28">
        <f t="shared" si="0"/>
        <v>12.68</v>
      </c>
      <c r="I34" s="28">
        <f t="shared" si="0"/>
        <v>3.92</v>
      </c>
      <c r="J34" s="28">
        <f t="shared" si="0"/>
        <v>0.59</v>
      </c>
      <c r="K34" s="28">
        <f t="shared" si="0"/>
        <v>7.14</v>
      </c>
      <c r="L34" s="28">
        <f t="shared" si="0"/>
        <v>17.989999999999998</v>
      </c>
      <c r="M34" s="28">
        <f t="shared" si="0"/>
        <v>19.04</v>
      </c>
      <c r="N34" s="28">
        <f t="shared" si="0"/>
        <v>63.1</v>
      </c>
      <c r="O34" s="28">
        <f t="shared" si="0"/>
        <v>0</v>
      </c>
      <c r="P34" s="28">
        <f t="shared" si="0"/>
        <v>0.79</v>
      </c>
      <c r="Q34" s="28">
        <f t="shared" si="0"/>
        <v>9.3699999999999992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195.38</v>
      </c>
      <c r="C35" s="29">
        <f t="shared" si="1"/>
        <v>184.49</v>
      </c>
      <c r="D35" s="29">
        <f t="shared" si="1"/>
        <v>253.07</v>
      </c>
      <c r="E35" s="29">
        <f t="shared" si="1"/>
        <v>30.87</v>
      </c>
      <c r="F35" s="29">
        <f t="shared" si="1"/>
        <v>52.7</v>
      </c>
      <c r="G35" s="29">
        <f t="shared" si="1"/>
        <v>221.84</v>
      </c>
      <c r="H35" s="29">
        <f t="shared" si="1"/>
        <v>66.53</v>
      </c>
      <c r="I35" s="29">
        <f t="shared" si="1"/>
        <v>4.26</v>
      </c>
      <c r="J35" s="29">
        <f t="shared" si="1"/>
        <v>1.95</v>
      </c>
      <c r="K35" s="29">
        <f t="shared" si="1"/>
        <v>358.01</v>
      </c>
      <c r="L35" s="29">
        <f t="shared" si="1"/>
        <v>33.54</v>
      </c>
      <c r="M35" s="29">
        <f t="shared" si="1"/>
        <v>51.51</v>
      </c>
      <c r="N35" s="29">
        <f t="shared" si="1"/>
        <v>719.7</v>
      </c>
      <c r="O35" s="29">
        <f t="shared" si="1"/>
        <v>0</v>
      </c>
      <c r="P35" s="29">
        <f t="shared" si="1"/>
        <v>4.42</v>
      </c>
      <c r="Q35" s="29">
        <f t="shared" si="1"/>
        <v>9.9499999999999993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48.833750000000002</v>
      </c>
      <c r="C36" s="28">
        <f t="shared" si="2"/>
        <v>99.063333333333333</v>
      </c>
      <c r="D36" s="28">
        <f t="shared" si="2"/>
        <v>90.17916666666666</v>
      </c>
      <c r="E36" s="28">
        <f t="shared" si="2"/>
        <v>14.078333333333333</v>
      </c>
      <c r="F36" s="28">
        <f t="shared" si="2"/>
        <v>18.753333333333334</v>
      </c>
      <c r="G36" s="28">
        <f t="shared" si="2"/>
        <v>115.66250000000001</v>
      </c>
      <c r="H36" s="28">
        <f t="shared" si="2"/>
        <v>37.926249999999989</v>
      </c>
      <c r="I36" s="28">
        <f t="shared" si="2"/>
        <v>4.0862500000000006</v>
      </c>
      <c r="J36" s="28">
        <f t="shared" si="2"/>
        <v>1.2</v>
      </c>
      <c r="K36" s="28">
        <f t="shared" si="2"/>
        <v>217.12291666666661</v>
      </c>
      <c r="L36" s="28">
        <f t="shared" si="2"/>
        <v>25.038333333333338</v>
      </c>
      <c r="M36" s="28">
        <f t="shared" si="2"/>
        <v>35.06</v>
      </c>
      <c r="N36" s="28">
        <f t="shared" si="2"/>
        <v>254.2208333333333</v>
      </c>
      <c r="O36" s="28">
        <f t="shared" si="2"/>
        <v>0</v>
      </c>
      <c r="P36" s="28">
        <f t="shared" si="2"/>
        <v>1.6504166666666666</v>
      </c>
      <c r="Q36" s="28">
        <f t="shared" si="2"/>
        <v>9.5612499999999994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66.187151834285658</v>
      </c>
      <c r="C37" s="28">
        <f t="shared" ref="C37:Q37" si="3">STDEV(C9:C32)</f>
        <v>36.216477233276116</v>
      </c>
      <c r="D37" s="28">
        <f t="shared" si="3"/>
        <v>70.795685567183668</v>
      </c>
      <c r="E37" s="28">
        <f t="shared" si="3"/>
        <v>7.2759871086882173</v>
      </c>
      <c r="F37" s="28">
        <f t="shared" si="3"/>
        <v>12.504334784617576</v>
      </c>
      <c r="G37" s="28">
        <f t="shared" si="3"/>
        <v>48.361221102467368</v>
      </c>
      <c r="H37" s="28">
        <f t="shared" si="3"/>
        <v>11.535583064173029</v>
      </c>
      <c r="I37" s="28">
        <f t="shared" si="3"/>
        <v>7.0822036609837838E-2</v>
      </c>
      <c r="J37" s="28">
        <f t="shared" si="3"/>
        <v>0.41313225590549768</v>
      </c>
      <c r="K37" s="28">
        <f t="shared" si="3"/>
        <v>148.53550503613809</v>
      </c>
      <c r="L37" s="28">
        <f t="shared" si="3"/>
        <v>5.6012783220064728</v>
      </c>
      <c r="M37" s="28">
        <f t="shared" si="3"/>
        <v>8.7487559364050576</v>
      </c>
      <c r="N37" s="28">
        <f t="shared" si="3"/>
        <v>254.4808525797377</v>
      </c>
      <c r="O37" s="28">
        <f t="shared" si="3"/>
        <v>0</v>
      </c>
      <c r="P37" s="28">
        <f t="shared" si="3"/>
        <v>1.227696603104921</v>
      </c>
      <c r="Q37" s="28">
        <f t="shared" si="3"/>
        <v>0.14540236526991898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300</v>
      </c>
      <c r="B9" s="51">
        <v>98.9</v>
      </c>
      <c r="C9" s="51">
        <v>92.66</v>
      </c>
      <c r="D9" s="51">
        <v>127.72</v>
      </c>
      <c r="E9" s="51">
        <v>11.8</v>
      </c>
      <c r="F9" s="51">
        <v>13.31</v>
      </c>
      <c r="G9" s="51">
        <v>138.01</v>
      </c>
      <c r="H9" s="51">
        <v>46.59</v>
      </c>
      <c r="I9" s="51">
        <v>4.1500000000000004</v>
      </c>
      <c r="J9" s="51">
        <v>1.24</v>
      </c>
      <c r="K9" s="51">
        <v>42.49</v>
      </c>
      <c r="L9" s="51">
        <v>20.73</v>
      </c>
      <c r="M9" s="51">
        <v>35.06</v>
      </c>
      <c r="N9" s="51">
        <v>63.8</v>
      </c>
      <c r="O9" s="51">
        <v>0</v>
      </c>
      <c r="P9" s="51">
        <v>3.01</v>
      </c>
      <c r="Q9" s="51">
        <v>9.94</v>
      </c>
      <c r="R9" s="43"/>
      <c r="S9" s="43"/>
      <c r="T9" s="43"/>
      <c r="U9" s="43"/>
    </row>
    <row r="10" spans="1:21" s="11" customFormat="1" x14ac:dyDescent="0.25">
      <c r="A10" s="50" t="s">
        <v>301</v>
      </c>
      <c r="B10" s="51">
        <v>80.61</v>
      </c>
      <c r="C10" s="51">
        <v>85.06</v>
      </c>
      <c r="D10" s="51">
        <v>107.71</v>
      </c>
      <c r="E10" s="51">
        <v>5.5</v>
      </c>
      <c r="F10" s="51">
        <v>7.9</v>
      </c>
      <c r="G10" s="51">
        <v>93.44</v>
      </c>
      <c r="H10" s="51">
        <v>36.93</v>
      </c>
      <c r="I10" s="51">
        <v>3.99</v>
      </c>
      <c r="J10" s="51">
        <v>1.69</v>
      </c>
      <c r="K10" s="51">
        <v>23.07</v>
      </c>
      <c r="L10" s="51">
        <v>20.96</v>
      </c>
      <c r="M10" s="51">
        <v>30.79</v>
      </c>
      <c r="N10" s="51">
        <v>63.9</v>
      </c>
      <c r="O10" s="51">
        <v>0</v>
      </c>
      <c r="P10" s="51">
        <v>2.2799999999999998</v>
      </c>
      <c r="Q10" s="51">
        <v>9.85</v>
      </c>
      <c r="R10" s="43"/>
      <c r="S10" s="43"/>
      <c r="T10" s="43"/>
      <c r="U10" s="43"/>
    </row>
    <row r="11" spans="1:21" s="11" customFormat="1" x14ac:dyDescent="0.25">
      <c r="A11" s="50" t="s">
        <v>302</v>
      </c>
      <c r="B11" s="51">
        <v>56.56</v>
      </c>
      <c r="C11" s="51">
        <v>78.42</v>
      </c>
      <c r="D11" s="51">
        <v>86.23</v>
      </c>
      <c r="E11" s="51">
        <v>5.85</v>
      </c>
      <c r="F11" s="51">
        <v>17.53</v>
      </c>
      <c r="G11" s="51">
        <v>65.48</v>
      </c>
      <c r="H11" s="51">
        <v>17.95</v>
      </c>
      <c r="I11" s="51">
        <v>4.03</v>
      </c>
      <c r="J11" s="51">
        <v>0.71</v>
      </c>
      <c r="K11" s="51">
        <v>54.44</v>
      </c>
      <c r="L11" s="51">
        <v>19.940000000000001</v>
      </c>
      <c r="M11" s="51">
        <v>35.07</v>
      </c>
      <c r="N11" s="51">
        <v>63.9</v>
      </c>
      <c r="O11" s="51">
        <v>0</v>
      </c>
      <c r="P11" s="51">
        <v>1.9</v>
      </c>
      <c r="Q11" s="51">
        <v>9.75</v>
      </c>
      <c r="R11" s="43"/>
      <c r="S11" s="43"/>
      <c r="T11" s="43"/>
      <c r="U11" s="43"/>
    </row>
    <row r="12" spans="1:21" s="11" customFormat="1" x14ac:dyDescent="0.25">
      <c r="A12" s="50" t="s">
        <v>303</v>
      </c>
      <c r="B12" s="51">
        <v>31.69</v>
      </c>
      <c r="C12" s="51">
        <v>64.11</v>
      </c>
      <c r="D12" s="51">
        <v>58.9</v>
      </c>
      <c r="E12" s="51">
        <v>8.18</v>
      </c>
      <c r="F12" s="51">
        <v>20.47</v>
      </c>
      <c r="G12" s="51">
        <v>48.47</v>
      </c>
      <c r="H12" s="51">
        <v>20.41</v>
      </c>
      <c r="I12" s="51">
        <v>4.0599999999999996</v>
      </c>
      <c r="J12" s="51">
        <v>0.74</v>
      </c>
      <c r="K12" s="51">
        <v>100.44</v>
      </c>
      <c r="L12" s="51">
        <v>18.77</v>
      </c>
      <c r="M12" s="51">
        <v>34.04</v>
      </c>
      <c r="N12" s="51">
        <v>63.7</v>
      </c>
      <c r="O12" s="51">
        <v>0</v>
      </c>
      <c r="P12" s="51">
        <v>1.1599999999999999</v>
      </c>
      <c r="Q12" s="51">
        <v>9.6999999999999993</v>
      </c>
      <c r="R12" s="43"/>
      <c r="S12" s="43"/>
      <c r="T12" s="43"/>
      <c r="U12" s="43"/>
    </row>
    <row r="13" spans="1:21" s="11" customFormat="1" x14ac:dyDescent="0.25">
      <c r="A13" s="50" t="s">
        <v>304</v>
      </c>
      <c r="B13" s="51">
        <v>38.58</v>
      </c>
      <c r="C13" s="51">
        <v>78.67</v>
      </c>
      <c r="D13" s="51">
        <v>72.040000000000006</v>
      </c>
      <c r="E13" s="51">
        <v>7.35</v>
      </c>
      <c r="F13" s="51">
        <v>13.56</v>
      </c>
      <c r="G13" s="51">
        <v>57.43</v>
      </c>
      <c r="H13" s="51">
        <v>16.260000000000002</v>
      </c>
      <c r="I13" s="51">
        <v>4.22</v>
      </c>
      <c r="J13" s="51">
        <v>0.81</v>
      </c>
      <c r="K13" s="51">
        <v>352.23</v>
      </c>
      <c r="L13" s="51">
        <v>18.329999999999998</v>
      </c>
      <c r="M13" s="51">
        <v>47.37</v>
      </c>
      <c r="N13" s="51">
        <v>64.099999999999994</v>
      </c>
      <c r="O13" s="51">
        <v>0</v>
      </c>
      <c r="P13" s="51">
        <v>1.26</v>
      </c>
      <c r="Q13" s="51">
        <v>9.69</v>
      </c>
      <c r="R13" s="43"/>
      <c r="S13" s="43"/>
      <c r="T13" s="43"/>
      <c r="U13" s="43"/>
    </row>
    <row r="14" spans="1:21" s="11" customFormat="1" x14ac:dyDescent="0.25">
      <c r="A14" s="50" t="s">
        <v>305</v>
      </c>
      <c r="B14" s="51">
        <v>41</v>
      </c>
      <c r="C14" s="51">
        <v>69.14</v>
      </c>
      <c r="D14" s="51">
        <v>69</v>
      </c>
      <c r="E14" s="51">
        <v>2.75</v>
      </c>
      <c r="F14" s="51">
        <v>6.98</v>
      </c>
      <c r="G14" s="51">
        <v>76.14</v>
      </c>
      <c r="H14" s="51">
        <v>19.329999999999998</v>
      </c>
      <c r="I14" s="51">
        <v>4.09</v>
      </c>
      <c r="J14" s="51">
        <v>0.64</v>
      </c>
      <c r="K14" s="51">
        <v>313.79000000000002</v>
      </c>
      <c r="L14" s="51">
        <v>16.7</v>
      </c>
      <c r="M14" s="51">
        <v>50.25</v>
      </c>
      <c r="N14" s="51">
        <v>64.099999999999994</v>
      </c>
      <c r="O14" s="51">
        <v>0</v>
      </c>
      <c r="P14" s="51">
        <v>1.18</v>
      </c>
      <c r="Q14" s="51">
        <v>9.68</v>
      </c>
      <c r="R14" s="43"/>
      <c r="S14" s="43"/>
      <c r="T14" s="43"/>
      <c r="U14" s="43"/>
    </row>
    <row r="15" spans="1:21" s="11" customFormat="1" x14ac:dyDescent="0.25">
      <c r="A15" s="50" t="s">
        <v>306</v>
      </c>
      <c r="B15" s="51">
        <v>69.63</v>
      </c>
      <c r="C15" s="51">
        <v>73.33</v>
      </c>
      <c r="D15" s="51">
        <v>94.15</v>
      </c>
      <c r="E15" s="51">
        <v>2.83</v>
      </c>
      <c r="F15" s="51">
        <v>6.62</v>
      </c>
      <c r="G15" s="51">
        <v>104.54</v>
      </c>
      <c r="H15" s="51">
        <v>21.42</v>
      </c>
      <c r="I15" s="51">
        <v>4.03</v>
      </c>
      <c r="J15" s="51">
        <v>0.67</v>
      </c>
      <c r="K15" s="51">
        <v>339.34</v>
      </c>
      <c r="L15" s="51">
        <v>16.850000000000001</v>
      </c>
      <c r="M15" s="51">
        <v>51.88</v>
      </c>
      <c r="N15" s="51">
        <v>151.6</v>
      </c>
      <c r="O15" s="51">
        <v>0</v>
      </c>
      <c r="P15" s="51">
        <v>1.1000000000000001</v>
      </c>
      <c r="Q15" s="51">
        <v>9.65</v>
      </c>
      <c r="R15" s="43"/>
      <c r="S15" s="43"/>
      <c r="T15" s="43"/>
      <c r="U15" s="43"/>
    </row>
    <row r="16" spans="1:21" s="11" customFormat="1" x14ac:dyDescent="0.25">
      <c r="A16" s="50" t="s">
        <v>307</v>
      </c>
      <c r="B16" s="51">
        <v>124.42</v>
      </c>
      <c r="C16" s="51">
        <v>90.59</v>
      </c>
      <c r="D16" s="51">
        <v>147.11000000000001</v>
      </c>
      <c r="E16" s="51">
        <v>4.6100000000000003</v>
      </c>
      <c r="F16" s="51">
        <v>10.34</v>
      </c>
      <c r="G16" s="51">
        <v>116.18</v>
      </c>
      <c r="H16" s="51">
        <v>24.57</v>
      </c>
      <c r="I16" s="51">
        <v>4.12</v>
      </c>
      <c r="J16" s="51">
        <v>1.55</v>
      </c>
      <c r="K16" s="51">
        <v>322.62</v>
      </c>
      <c r="L16" s="51">
        <v>22.02</v>
      </c>
      <c r="M16" s="51">
        <v>43.41</v>
      </c>
      <c r="N16" s="51">
        <v>378</v>
      </c>
      <c r="O16" s="51">
        <v>0</v>
      </c>
      <c r="P16" s="51">
        <v>1.32</v>
      </c>
      <c r="Q16" s="51">
        <v>9.84</v>
      </c>
      <c r="R16" s="43"/>
      <c r="S16" s="43"/>
      <c r="T16" s="43"/>
      <c r="U16" s="43"/>
    </row>
    <row r="17" spans="1:21" s="11" customFormat="1" x14ac:dyDescent="0.25">
      <c r="A17" s="50" t="s">
        <v>308</v>
      </c>
      <c r="B17" s="51">
        <v>70.349999999999994</v>
      </c>
      <c r="C17" s="51">
        <v>75.010000000000005</v>
      </c>
      <c r="D17" s="51">
        <v>92.91</v>
      </c>
      <c r="E17" s="51">
        <v>4.6900000000000004</v>
      </c>
      <c r="F17" s="51">
        <v>9.67</v>
      </c>
      <c r="G17" s="51">
        <v>95.34</v>
      </c>
      <c r="H17" s="51">
        <v>19.559999999999999</v>
      </c>
      <c r="I17" s="51">
        <v>4.1500000000000004</v>
      </c>
      <c r="J17" s="51">
        <v>1.51</v>
      </c>
      <c r="K17" s="51">
        <v>107.09</v>
      </c>
      <c r="L17" s="51">
        <v>25.35</v>
      </c>
      <c r="M17" s="51">
        <v>27.63</v>
      </c>
      <c r="N17" s="51">
        <v>561.9</v>
      </c>
      <c r="O17" s="51">
        <v>0</v>
      </c>
      <c r="P17" s="51">
        <v>1.1000000000000001</v>
      </c>
      <c r="Q17" s="51">
        <v>9.84</v>
      </c>
      <c r="R17" s="43"/>
      <c r="S17" s="43"/>
      <c r="T17" s="43"/>
      <c r="U17" s="43"/>
    </row>
    <row r="18" spans="1:21" s="11" customFormat="1" x14ac:dyDescent="0.25">
      <c r="A18" s="50" t="s">
        <v>309</v>
      </c>
      <c r="B18" s="51">
        <v>59.24</v>
      </c>
      <c r="C18" s="51">
        <v>77.41</v>
      </c>
      <c r="D18" s="51">
        <v>86.62</v>
      </c>
      <c r="E18" s="51">
        <v>4.3499999999999996</v>
      </c>
      <c r="F18" s="51">
        <v>8.14</v>
      </c>
      <c r="G18" s="51">
        <v>74.69</v>
      </c>
      <c r="H18" s="51">
        <v>26.54</v>
      </c>
      <c r="I18" s="51">
        <v>3.98</v>
      </c>
      <c r="J18" s="51">
        <v>1.19</v>
      </c>
      <c r="K18" s="51">
        <v>86.16</v>
      </c>
      <c r="L18" s="51">
        <v>28.33</v>
      </c>
      <c r="M18" s="51">
        <v>25.96</v>
      </c>
      <c r="N18" s="51">
        <v>709</v>
      </c>
      <c r="O18" s="51">
        <v>0</v>
      </c>
      <c r="P18" s="51">
        <v>1.03</v>
      </c>
      <c r="Q18" s="51">
        <v>9.7799999999999994</v>
      </c>
      <c r="R18" s="43"/>
      <c r="S18" s="43"/>
      <c r="T18" s="43"/>
      <c r="U18" s="43"/>
    </row>
    <row r="19" spans="1:21" s="11" customFormat="1" x14ac:dyDescent="0.25">
      <c r="A19" s="50" t="s">
        <v>310</v>
      </c>
      <c r="B19" s="51">
        <v>36.26</v>
      </c>
      <c r="C19" s="51">
        <v>83.4</v>
      </c>
      <c r="D19" s="51">
        <v>69.09</v>
      </c>
      <c r="E19" s="51">
        <v>9.07</v>
      </c>
      <c r="F19" s="51">
        <v>10.07</v>
      </c>
      <c r="G19" s="51">
        <v>68.25</v>
      </c>
      <c r="H19" s="51">
        <v>21.94</v>
      </c>
      <c r="I19" s="51">
        <v>4.2</v>
      </c>
      <c r="J19" s="51">
        <v>1.74</v>
      </c>
      <c r="K19" s="51">
        <v>75.62</v>
      </c>
      <c r="L19" s="51">
        <v>30.79</v>
      </c>
      <c r="M19" s="51">
        <v>20.57</v>
      </c>
      <c r="N19" s="51">
        <v>807.7</v>
      </c>
      <c r="O19" s="51">
        <v>0</v>
      </c>
      <c r="P19" s="51">
        <v>0.89</v>
      </c>
      <c r="Q19" s="51">
        <v>9.6999999999999993</v>
      </c>
      <c r="R19" s="43"/>
      <c r="S19" s="43"/>
      <c r="T19" s="43"/>
      <c r="U19" s="43"/>
    </row>
    <row r="20" spans="1:21" s="11" customFormat="1" x14ac:dyDescent="0.25">
      <c r="A20" s="50" t="s">
        <v>311</v>
      </c>
      <c r="B20" s="51">
        <v>22.31</v>
      </c>
      <c r="C20" s="51">
        <v>85.32</v>
      </c>
      <c r="D20" s="51">
        <v>62.33</v>
      </c>
      <c r="E20" s="51">
        <v>13.7</v>
      </c>
      <c r="F20" s="51">
        <v>16.57</v>
      </c>
      <c r="G20" s="51">
        <v>62.26</v>
      </c>
      <c r="H20" s="51">
        <v>20.260000000000002</v>
      </c>
      <c r="I20" s="51">
        <v>4.12</v>
      </c>
      <c r="J20" s="51">
        <v>1.57</v>
      </c>
      <c r="K20" s="51">
        <v>354.57</v>
      </c>
      <c r="L20" s="51">
        <v>33.89</v>
      </c>
      <c r="M20" s="51">
        <v>16.739999999999998</v>
      </c>
      <c r="N20" s="51">
        <v>816.6</v>
      </c>
      <c r="O20" s="51">
        <v>0</v>
      </c>
      <c r="P20" s="51">
        <v>0.76</v>
      </c>
      <c r="Q20" s="51">
        <v>9.65</v>
      </c>
      <c r="R20" s="43"/>
      <c r="S20" s="43"/>
      <c r="T20" s="43"/>
      <c r="U20" s="43"/>
    </row>
    <row r="21" spans="1:21" s="11" customFormat="1" x14ac:dyDescent="0.25">
      <c r="A21" s="50" t="s">
        <v>312</v>
      </c>
      <c r="B21" s="51">
        <v>17.170000000000002</v>
      </c>
      <c r="C21" s="51">
        <v>81.53</v>
      </c>
      <c r="D21" s="51">
        <v>55.17</v>
      </c>
      <c r="E21" s="51">
        <v>15.72</v>
      </c>
      <c r="F21" s="51">
        <v>16.920000000000002</v>
      </c>
      <c r="G21" s="51">
        <v>51.23</v>
      </c>
      <c r="H21" s="51">
        <v>16.21</v>
      </c>
      <c r="I21" s="51">
        <v>4.1100000000000003</v>
      </c>
      <c r="J21" s="51">
        <v>1.96</v>
      </c>
      <c r="K21" s="51">
        <v>340.35</v>
      </c>
      <c r="L21" s="51">
        <v>35.21</v>
      </c>
      <c r="M21" s="51">
        <v>12.8</v>
      </c>
      <c r="N21" s="51">
        <v>788.8</v>
      </c>
      <c r="O21" s="51">
        <v>0</v>
      </c>
      <c r="P21" s="51">
        <v>0.61</v>
      </c>
      <c r="Q21" s="51">
        <v>9.61</v>
      </c>
      <c r="R21" s="43"/>
      <c r="S21" s="43"/>
      <c r="T21" s="43"/>
      <c r="U21" s="43"/>
    </row>
    <row r="22" spans="1:21" s="11" customFormat="1" x14ac:dyDescent="0.25">
      <c r="A22" s="50" t="s">
        <v>313</v>
      </c>
      <c r="B22" s="51">
        <v>17.350000000000001</v>
      </c>
      <c r="C22" s="51">
        <v>81.97</v>
      </c>
      <c r="D22" s="51">
        <v>55.06</v>
      </c>
      <c r="E22" s="51">
        <v>17.82</v>
      </c>
      <c r="F22" s="51">
        <v>13.95</v>
      </c>
      <c r="G22" s="51">
        <v>51.77</v>
      </c>
      <c r="H22" s="51">
        <v>14.44</v>
      </c>
      <c r="I22" s="51">
        <v>4.21</v>
      </c>
      <c r="J22" s="51">
        <v>2.2400000000000002</v>
      </c>
      <c r="K22" s="51">
        <v>357</v>
      </c>
      <c r="L22" s="51">
        <v>35.51</v>
      </c>
      <c r="M22" s="51">
        <v>13.31</v>
      </c>
      <c r="N22" s="51">
        <v>765.2</v>
      </c>
      <c r="O22" s="51">
        <v>0</v>
      </c>
      <c r="P22" s="51">
        <v>0.71</v>
      </c>
      <c r="Q22" s="51">
        <v>9.57</v>
      </c>
      <c r="R22" s="43"/>
      <c r="S22" s="43"/>
      <c r="T22" s="43"/>
      <c r="U22" s="43"/>
    </row>
    <row r="23" spans="1:21" s="11" customFormat="1" x14ac:dyDescent="0.25">
      <c r="A23" s="50" t="s">
        <v>314</v>
      </c>
      <c r="B23" s="51">
        <v>9.35</v>
      </c>
      <c r="C23" s="51">
        <v>78.75</v>
      </c>
      <c r="D23" s="51">
        <v>47.83</v>
      </c>
      <c r="E23" s="51">
        <v>6.63</v>
      </c>
      <c r="F23" s="51">
        <v>16.14</v>
      </c>
      <c r="G23" s="51">
        <v>60.78</v>
      </c>
      <c r="H23" s="51">
        <v>14.76</v>
      </c>
      <c r="I23" s="51">
        <v>4.12</v>
      </c>
      <c r="J23" s="51">
        <v>2.34</v>
      </c>
      <c r="K23" s="51">
        <v>357.57</v>
      </c>
      <c r="L23" s="51">
        <v>34.21</v>
      </c>
      <c r="M23" s="51">
        <v>13.07</v>
      </c>
      <c r="N23" s="51">
        <v>694.8</v>
      </c>
      <c r="O23" s="51">
        <v>0</v>
      </c>
      <c r="P23" s="51">
        <v>0.67</v>
      </c>
      <c r="Q23" s="51">
        <v>9.56</v>
      </c>
      <c r="R23" s="43"/>
      <c r="S23" s="43"/>
      <c r="T23" s="43"/>
      <c r="U23" s="43"/>
    </row>
    <row r="24" spans="1:21" s="11" customFormat="1" x14ac:dyDescent="0.25">
      <c r="A24" s="50" t="s">
        <v>315</v>
      </c>
      <c r="B24" s="51">
        <v>17.760000000000002</v>
      </c>
      <c r="C24" s="51">
        <v>76.31</v>
      </c>
      <c r="D24" s="51">
        <v>51.8</v>
      </c>
      <c r="E24" s="51">
        <v>6.63</v>
      </c>
      <c r="F24" s="51">
        <v>19.059999999999999</v>
      </c>
      <c r="G24" s="51">
        <v>59.48</v>
      </c>
      <c r="H24" s="51">
        <v>15.47</v>
      </c>
      <c r="I24" s="51">
        <v>4.0599999999999996</v>
      </c>
      <c r="J24" s="51">
        <v>2.41</v>
      </c>
      <c r="K24" s="51">
        <v>359.3</v>
      </c>
      <c r="L24" s="51">
        <v>33.020000000000003</v>
      </c>
      <c r="M24" s="51">
        <v>11.96</v>
      </c>
      <c r="N24" s="51">
        <v>289.89999999999998</v>
      </c>
      <c r="O24" s="51">
        <v>0</v>
      </c>
      <c r="P24" s="51">
        <v>0.63</v>
      </c>
      <c r="Q24" s="51">
        <v>9.48</v>
      </c>
      <c r="R24" s="43"/>
      <c r="S24" s="43"/>
      <c r="T24" s="43"/>
      <c r="U24" s="43"/>
    </row>
    <row r="25" spans="1:21" s="11" customFormat="1" x14ac:dyDescent="0.25">
      <c r="A25" s="50" t="s">
        <v>316</v>
      </c>
      <c r="B25" s="51">
        <v>15</v>
      </c>
      <c r="C25" s="51">
        <v>66.34</v>
      </c>
      <c r="D25" s="51">
        <v>46.69</v>
      </c>
      <c r="E25" s="51">
        <v>13.87</v>
      </c>
      <c r="F25" s="51">
        <v>24.7</v>
      </c>
      <c r="G25" s="51">
        <v>40.36</v>
      </c>
      <c r="H25" s="51">
        <v>9.75</v>
      </c>
      <c r="I25" s="51">
        <v>4.08</v>
      </c>
      <c r="J25" s="51">
        <v>1.69</v>
      </c>
      <c r="K25" s="51">
        <v>359.43</v>
      </c>
      <c r="L25" s="51">
        <v>31.49</v>
      </c>
      <c r="M25" s="51">
        <v>15.59</v>
      </c>
      <c r="N25" s="51">
        <v>288.89999999999998</v>
      </c>
      <c r="O25" s="51">
        <v>0</v>
      </c>
      <c r="P25" s="51">
        <v>0.59</v>
      </c>
      <c r="Q25" s="51">
        <v>9.48</v>
      </c>
      <c r="R25" s="43"/>
      <c r="S25" s="43"/>
      <c r="T25" s="43"/>
      <c r="U25" s="43"/>
    </row>
    <row r="26" spans="1:21" s="11" customFormat="1" x14ac:dyDescent="0.25">
      <c r="A26" s="50" t="s">
        <v>317</v>
      </c>
      <c r="B26" s="51">
        <v>39.76</v>
      </c>
      <c r="C26" s="51">
        <v>95.2</v>
      </c>
      <c r="D26" s="51">
        <v>81.63</v>
      </c>
      <c r="E26" s="51">
        <v>18.37</v>
      </c>
      <c r="F26" s="51">
        <v>18.77</v>
      </c>
      <c r="G26" s="51">
        <v>43.95</v>
      </c>
      <c r="H26" s="51">
        <v>10.28</v>
      </c>
      <c r="I26" s="51">
        <v>4.17</v>
      </c>
      <c r="J26" s="51">
        <v>1.74</v>
      </c>
      <c r="K26" s="51">
        <v>349.69</v>
      </c>
      <c r="L26" s="51">
        <v>28.93</v>
      </c>
      <c r="M26" s="51">
        <v>18.57</v>
      </c>
      <c r="N26" s="51">
        <v>111.6</v>
      </c>
      <c r="O26" s="51">
        <v>0</v>
      </c>
      <c r="P26" s="51">
        <v>1.24</v>
      </c>
      <c r="Q26" s="51">
        <v>9.5399999999999991</v>
      </c>
      <c r="R26" s="43"/>
      <c r="S26" s="43"/>
      <c r="T26" s="43"/>
      <c r="U26" s="43"/>
    </row>
    <row r="27" spans="1:21" s="11" customFormat="1" x14ac:dyDescent="0.25">
      <c r="A27" s="50" t="s">
        <v>318</v>
      </c>
      <c r="B27" s="51">
        <v>123.88</v>
      </c>
      <c r="C27" s="51">
        <v>115.43</v>
      </c>
      <c r="D27" s="51">
        <v>155.91999999999999</v>
      </c>
      <c r="E27" s="51">
        <v>15.01</v>
      </c>
      <c r="F27" s="51">
        <v>8.82</v>
      </c>
      <c r="G27" s="51">
        <v>64.430000000000007</v>
      </c>
      <c r="H27" s="51">
        <v>13.23</v>
      </c>
      <c r="I27" s="51">
        <v>4.04</v>
      </c>
      <c r="J27" s="51">
        <v>0.67</v>
      </c>
      <c r="K27" s="51">
        <v>324.82</v>
      </c>
      <c r="L27" s="51">
        <v>26.74</v>
      </c>
      <c r="M27" s="51">
        <v>30.74</v>
      </c>
      <c r="N27" s="51">
        <v>76.2</v>
      </c>
      <c r="O27" s="51">
        <v>0</v>
      </c>
      <c r="P27" s="51">
        <v>2.2799999999999998</v>
      </c>
      <c r="Q27" s="51">
        <v>9.5399999999999991</v>
      </c>
      <c r="R27" s="43"/>
      <c r="S27" s="43"/>
      <c r="T27" s="43"/>
      <c r="U27" s="43"/>
    </row>
    <row r="28" spans="1:21" s="11" customFormat="1" x14ac:dyDescent="0.25">
      <c r="A28" s="50" t="s">
        <v>319</v>
      </c>
      <c r="B28" s="51">
        <v>203.93</v>
      </c>
      <c r="C28" s="51">
        <v>122.47</v>
      </c>
      <c r="D28" s="51">
        <v>227.52</v>
      </c>
      <c r="E28" s="51">
        <v>9.8000000000000007</v>
      </c>
      <c r="F28" s="51">
        <v>8.3699999999999992</v>
      </c>
      <c r="G28" s="51">
        <v>120.38</v>
      </c>
      <c r="H28" s="51">
        <v>16.559999999999999</v>
      </c>
      <c r="I28" s="51">
        <v>4.0199999999999996</v>
      </c>
      <c r="J28" s="51">
        <v>0.64</v>
      </c>
      <c r="K28" s="51">
        <v>331.53</v>
      </c>
      <c r="L28" s="51">
        <v>23.72</v>
      </c>
      <c r="M28" s="51">
        <v>35.58</v>
      </c>
      <c r="N28" s="51">
        <v>73.5</v>
      </c>
      <c r="O28" s="51">
        <v>0</v>
      </c>
      <c r="P28" s="51">
        <v>2.73</v>
      </c>
      <c r="Q28" s="51">
        <v>9.6300000000000008</v>
      </c>
      <c r="R28" s="43"/>
      <c r="S28" s="43"/>
      <c r="T28" s="43"/>
      <c r="U28" s="43"/>
    </row>
    <row r="29" spans="1:21" s="11" customFormat="1" x14ac:dyDescent="0.25">
      <c r="A29" s="50" t="s">
        <v>320</v>
      </c>
      <c r="B29" s="51">
        <v>286.39999999999998</v>
      </c>
      <c r="C29" s="51">
        <v>136.43</v>
      </c>
      <c r="D29" s="51">
        <v>300.95</v>
      </c>
      <c r="E29" s="51">
        <v>11.81</v>
      </c>
      <c r="F29" s="51">
        <v>9.66</v>
      </c>
      <c r="G29" s="51">
        <v>203.75</v>
      </c>
      <c r="H29" s="51">
        <v>19.93</v>
      </c>
      <c r="I29" s="51">
        <v>4.07</v>
      </c>
      <c r="J29" s="51">
        <v>0.63</v>
      </c>
      <c r="K29" s="51">
        <v>322.20999999999998</v>
      </c>
      <c r="L29" s="51">
        <v>22.2</v>
      </c>
      <c r="M29" s="51">
        <v>42.97</v>
      </c>
      <c r="N29" s="51">
        <v>73.400000000000006</v>
      </c>
      <c r="O29" s="51">
        <v>0</v>
      </c>
      <c r="P29" s="51">
        <v>4.29</v>
      </c>
      <c r="Q29" s="51">
        <v>9.8699999999999992</v>
      </c>
      <c r="R29" s="43"/>
      <c r="S29" s="43"/>
      <c r="T29" s="43"/>
      <c r="U29" s="43"/>
    </row>
    <row r="30" spans="1:21" s="11" customFormat="1" x14ac:dyDescent="0.25">
      <c r="A30" s="50" t="s">
        <v>321</v>
      </c>
      <c r="B30" s="51">
        <v>320.35000000000002</v>
      </c>
      <c r="C30" s="51">
        <v>132.47999999999999</v>
      </c>
      <c r="D30" s="51">
        <v>326.11</v>
      </c>
      <c r="E30" s="51">
        <v>11.47</v>
      </c>
      <c r="F30" s="51">
        <v>9.57</v>
      </c>
      <c r="G30" s="51">
        <v>215.39</v>
      </c>
      <c r="H30" s="51">
        <v>40.33</v>
      </c>
      <c r="I30" s="51">
        <v>4.13</v>
      </c>
      <c r="J30" s="51">
        <v>0.81</v>
      </c>
      <c r="K30" s="51">
        <v>352.65</v>
      </c>
      <c r="L30" s="51">
        <v>21.7</v>
      </c>
      <c r="M30" s="51">
        <v>46.54</v>
      </c>
      <c r="N30" s="51">
        <v>73.3</v>
      </c>
      <c r="O30" s="51">
        <v>0</v>
      </c>
      <c r="P30" s="51">
        <v>4.21</v>
      </c>
      <c r="Q30" s="51">
        <v>10.039999999999999</v>
      </c>
      <c r="R30" s="43"/>
      <c r="S30" s="43"/>
      <c r="T30" s="43"/>
      <c r="U30" s="43"/>
    </row>
    <row r="31" spans="1:21" s="11" customFormat="1" x14ac:dyDescent="0.25">
      <c r="A31" s="50" t="s">
        <v>322</v>
      </c>
      <c r="B31" s="51">
        <v>261.14</v>
      </c>
      <c r="C31" s="51">
        <v>101.08</v>
      </c>
      <c r="D31" s="51">
        <v>261.33</v>
      </c>
      <c r="E31" s="51">
        <v>8.5299999999999994</v>
      </c>
      <c r="F31" s="51">
        <v>7.37</v>
      </c>
      <c r="G31" s="51">
        <v>223.17</v>
      </c>
      <c r="H31" s="51">
        <v>55.23</v>
      </c>
      <c r="I31" s="51">
        <v>4.17</v>
      </c>
      <c r="J31" s="51">
        <v>0.72</v>
      </c>
      <c r="K31" s="51">
        <v>356.69</v>
      </c>
      <c r="L31" s="51">
        <v>20.16</v>
      </c>
      <c r="M31" s="51">
        <v>47.3</v>
      </c>
      <c r="N31" s="51">
        <v>73.3</v>
      </c>
      <c r="O31" s="51">
        <v>0</v>
      </c>
      <c r="P31" s="51">
        <v>3.06</v>
      </c>
      <c r="Q31" s="51">
        <v>10.06</v>
      </c>
      <c r="R31" s="43"/>
      <c r="S31" s="43"/>
      <c r="T31" s="43"/>
      <c r="U31" s="43"/>
    </row>
    <row r="32" spans="1:21" s="11" customFormat="1" x14ac:dyDescent="0.25">
      <c r="A32" s="50" t="s">
        <v>323</v>
      </c>
      <c r="B32" s="51">
        <v>277.91000000000003</v>
      </c>
      <c r="C32" s="51">
        <v>89.55</v>
      </c>
      <c r="D32" s="51">
        <v>269.58999999999997</v>
      </c>
      <c r="E32" s="51">
        <v>6.32</v>
      </c>
      <c r="F32" s="51">
        <v>6.84</v>
      </c>
      <c r="G32" s="51">
        <v>174.75</v>
      </c>
      <c r="H32" s="51">
        <v>47.75</v>
      </c>
      <c r="I32" s="51">
        <v>4</v>
      </c>
      <c r="J32" s="51">
        <v>0.65</v>
      </c>
      <c r="K32" s="51">
        <v>254.94</v>
      </c>
      <c r="L32" s="51">
        <v>19.350000000000001</v>
      </c>
      <c r="M32" s="51">
        <v>47.37</v>
      </c>
      <c r="N32" s="51">
        <v>73.5</v>
      </c>
      <c r="O32" s="51">
        <v>0</v>
      </c>
      <c r="P32" s="51">
        <v>2.85</v>
      </c>
      <c r="Q32" s="51">
        <v>10.220000000000001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9.35</v>
      </c>
      <c r="C34" s="28">
        <f t="shared" si="0"/>
        <v>64.11</v>
      </c>
      <c r="D34" s="28">
        <f t="shared" si="0"/>
        <v>46.69</v>
      </c>
      <c r="E34" s="28">
        <f t="shared" si="0"/>
        <v>2.75</v>
      </c>
      <c r="F34" s="28">
        <f t="shared" si="0"/>
        <v>6.62</v>
      </c>
      <c r="G34" s="28">
        <f t="shared" si="0"/>
        <v>40.36</v>
      </c>
      <c r="H34" s="28">
        <f t="shared" si="0"/>
        <v>9.75</v>
      </c>
      <c r="I34" s="28">
        <f t="shared" si="0"/>
        <v>3.98</v>
      </c>
      <c r="J34" s="28">
        <f t="shared" si="0"/>
        <v>0.63</v>
      </c>
      <c r="K34" s="28">
        <f t="shared" si="0"/>
        <v>23.07</v>
      </c>
      <c r="L34" s="28">
        <f t="shared" si="0"/>
        <v>16.7</v>
      </c>
      <c r="M34" s="28">
        <f t="shared" si="0"/>
        <v>11.96</v>
      </c>
      <c r="N34" s="28">
        <f t="shared" si="0"/>
        <v>63.7</v>
      </c>
      <c r="O34" s="28">
        <f t="shared" si="0"/>
        <v>0</v>
      </c>
      <c r="P34" s="28">
        <f t="shared" si="0"/>
        <v>0.59</v>
      </c>
      <c r="Q34" s="28">
        <f t="shared" si="0"/>
        <v>9.48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320.35000000000002</v>
      </c>
      <c r="C35" s="29">
        <f t="shared" si="1"/>
        <v>136.43</v>
      </c>
      <c r="D35" s="29">
        <f t="shared" si="1"/>
        <v>326.11</v>
      </c>
      <c r="E35" s="29">
        <f t="shared" si="1"/>
        <v>18.37</v>
      </c>
      <c r="F35" s="29">
        <f t="shared" si="1"/>
        <v>24.7</v>
      </c>
      <c r="G35" s="29">
        <f t="shared" si="1"/>
        <v>223.17</v>
      </c>
      <c r="H35" s="29">
        <f t="shared" si="1"/>
        <v>55.23</v>
      </c>
      <c r="I35" s="29">
        <f t="shared" si="1"/>
        <v>4.22</v>
      </c>
      <c r="J35" s="29">
        <f t="shared" si="1"/>
        <v>2.41</v>
      </c>
      <c r="K35" s="29">
        <f t="shared" si="1"/>
        <v>359.43</v>
      </c>
      <c r="L35" s="29">
        <f t="shared" si="1"/>
        <v>35.51</v>
      </c>
      <c r="M35" s="29">
        <f t="shared" si="1"/>
        <v>51.88</v>
      </c>
      <c r="N35" s="29">
        <f t="shared" si="1"/>
        <v>816.6</v>
      </c>
      <c r="O35" s="29">
        <f t="shared" si="1"/>
        <v>0</v>
      </c>
      <c r="P35" s="29">
        <f t="shared" si="1"/>
        <v>4.29</v>
      </c>
      <c r="Q35" s="29">
        <f t="shared" si="1"/>
        <v>10.220000000000001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96.64791666666666</v>
      </c>
      <c r="C36" s="28">
        <f t="shared" si="2"/>
        <v>88.777499999999989</v>
      </c>
      <c r="D36" s="28">
        <f t="shared" si="2"/>
        <v>123.05874999999999</v>
      </c>
      <c r="E36" s="28">
        <f t="shared" si="2"/>
        <v>9.2774999999999999</v>
      </c>
      <c r="F36" s="28">
        <f t="shared" si="2"/>
        <v>12.555416666666666</v>
      </c>
      <c r="G36" s="28">
        <f t="shared" si="2"/>
        <v>96.236249999999998</v>
      </c>
      <c r="H36" s="28">
        <f t="shared" si="2"/>
        <v>23.570833333333336</v>
      </c>
      <c r="I36" s="28">
        <f t="shared" si="2"/>
        <v>4.0966666666666658</v>
      </c>
      <c r="J36" s="28">
        <f t="shared" si="2"/>
        <v>1.2733333333333332</v>
      </c>
      <c r="K36" s="28">
        <f t="shared" si="2"/>
        <v>259.91833333333324</v>
      </c>
      <c r="L36" s="28">
        <f t="shared" si="2"/>
        <v>25.204166666666669</v>
      </c>
      <c r="M36" s="28">
        <f t="shared" si="2"/>
        <v>31.440416666666664</v>
      </c>
      <c r="N36" s="28">
        <f t="shared" si="2"/>
        <v>299.61249999999995</v>
      </c>
      <c r="O36" s="28">
        <f t="shared" si="2"/>
        <v>0</v>
      </c>
      <c r="P36" s="28">
        <f t="shared" si="2"/>
        <v>1.7024999999999999</v>
      </c>
      <c r="Q36" s="28">
        <f t="shared" si="2"/>
        <v>9.7362499999999983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97.776873053737347</v>
      </c>
      <c r="C37" s="28">
        <f t="shared" ref="C37:Q37" si="3">STDEV(C9:C32)</f>
        <v>19.684138008316143</v>
      </c>
      <c r="D37" s="28">
        <f t="shared" si="3"/>
        <v>87.098812217354123</v>
      </c>
      <c r="E37" s="28">
        <f t="shared" si="3"/>
        <v>4.6350041039332677</v>
      </c>
      <c r="F37" s="28">
        <f t="shared" si="3"/>
        <v>5.1184397921434117</v>
      </c>
      <c r="G37" s="28">
        <f t="shared" si="3"/>
        <v>55.893737598387439</v>
      </c>
      <c r="H37" s="28">
        <f t="shared" si="3"/>
        <v>12.425657507462274</v>
      </c>
      <c r="I37" s="28">
        <f t="shared" si="3"/>
        <v>7.044372818484064E-2</v>
      </c>
      <c r="J37" s="28">
        <f t="shared" si="3"/>
        <v>0.60853113718817786</v>
      </c>
      <c r="K37" s="28">
        <f t="shared" si="3"/>
        <v>127.45684182316879</v>
      </c>
      <c r="L37" s="28">
        <f t="shared" si="3"/>
        <v>6.2920853781395003</v>
      </c>
      <c r="M37" s="28">
        <f t="shared" si="3"/>
        <v>13.632969780507544</v>
      </c>
      <c r="N37" s="28">
        <f t="shared" si="3"/>
        <v>300.49019127809777</v>
      </c>
      <c r="O37" s="28">
        <f t="shared" si="3"/>
        <v>0</v>
      </c>
      <c r="P37" s="28">
        <f t="shared" si="3"/>
        <v>1.124746348216382</v>
      </c>
      <c r="Q37" s="28">
        <f t="shared" si="3"/>
        <v>0.19157953280897294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324</v>
      </c>
      <c r="B9" s="51">
        <v>247.95</v>
      </c>
      <c r="C9" s="51">
        <v>84.47</v>
      </c>
      <c r="D9" s="51">
        <v>241.75</v>
      </c>
      <c r="E9" s="51">
        <v>5.43</v>
      </c>
      <c r="F9" s="51">
        <v>7.46</v>
      </c>
      <c r="G9" s="51">
        <v>173.54</v>
      </c>
      <c r="H9" s="51">
        <v>53.87</v>
      </c>
      <c r="I9" s="51">
        <v>4.1399999999999997</v>
      </c>
      <c r="J9" s="51">
        <v>0.67</v>
      </c>
      <c r="K9" s="51">
        <v>335.08</v>
      </c>
      <c r="L9" s="51">
        <v>18.96</v>
      </c>
      <c r="M9" s="51">
        <v>54.03</v>
      </c>
      <c r="N9" s="51">
        <v>73.8</v>
      </c>
      <c r="O9" s="51">
        <v>0</v>
      </c>
      <c r="P9" s="51">
        <v>2.63</v>
      </c>
      <c r="Q9" s="51">
        <v>10.36</v>
      </c>
      <c r="R9" s="43"/>
      <c r="S9" s="43"/>
      <c r="T9" s="43"/>
      <c r="U9" s="43"/>
    </row>
    <row r="10" spans="1:21" s="11" customFormat="1" x14ac:dyDescent="0.25">
      <c r="A10" s="50" t="s">
        <v>325</v>
      </c>
      <c r="B10" s="51">
        <v>154.16</v>
      </c>
      <c r="C10" s="51">
        <v>77.209999999999994</v>
      </c>
      <c r="D10" s="51">
        <v>163.89</v>
      </c>
      <c r="E10" s="51">
        <v>5.52</v>
      </c>
      <c r="F10" s="51">
        <v>7.27</v>
      </c>
      <c r="G10" s="51">
        <v>89.86</v>
      </c>
      <c r="H10" s="51">
        <v>40.43</v>
      </c>
      <c r="I10" s="51">
        <v>4.16</v>
      </c>
      <c r="J10" s="51">
        <v>0.67</v>
      </c>
      <c r="K10" s="51">
        <v>330.97</v>
      </c>
      <c r="L10" s="51">
        <v>17.78</v>
      </c>
      <c r="M10" s="51">
        <v>59.28</v>
      </c>
      <c r="N10" s="51">
        <v>73.599999999999994</v>
      </c>
      <c r="O10" s="51">
        <v>0</v>
      </c>
      <c r="P10" s="51">
        <v>1.7</v>
      </c>
      <c r="Q10" s="51">
        <v>10.34</v>
      </c>
      <c r="R10" s="43"/>
      <c r="S10" s="43"/>
      <c r="T10" s="43"/>
      <c r="U10" s="43"/>
    </row>
    <row r="11" spans="1:21" s="11" customFormat="1" x14ac:dyDescent="0.25">
      <c r="A11" s="50" t="s">
        <v>326</v>
      </c>
      <c r="B11" s="51">
        <v>185.41</v>
      </c>
      <c r="C11" s="51">
        <v>72.400000000000006</v>
      </c>
      <c r="D11" s="51">
        <v>185.31</v>
      </c>
      <c r="E11" s="51">
        <v>4.9000000000000004</v>
      </c>
      <c r="F11" s="51">
        <v>7.31</v>
      </c>
      <c r="G11" s="51">
        <v>93.4</v>
      </c>
      <c r="H11" s="51">
        <v>35.53</v>
      </c>
      <c r="I11" s="51">
        <v>3.94</v>
      </c>
      <c r="J11" s="51">
        <v>0.84</v>
      </c>
      <c r="K11" s="51">
        <v>348.77</v>
      </c>
      <c r="L11" s="51">
        <v>17.04</v>
      </c>
      <c r="M11" s="51">
        <v>59.37</v>
      </c>
      <c r="N11" s="51">
        <v>73.599999999999994</v>
      </c>
      <c r="O11" s="51">
        <v>0</v>
      </c>
      <c r="P11" s="51">
        <v>1.94</v>
      </c>
      <c r="Q11" s="51">
        <v>10.26</v>
      </c>
      <c r="R11" s="43"/>
      <c r="S11" s="43"/>
      <c r="T11" s="43"/>
      <c r="U11" s="43"/>
    </row>
    <row r="12" spans="1:21" s="11" customFormat="1" x14ac:dyDescent="0.25">
      <c r="A12" s="50" t="s">
        <v>327</v>
      </c>
      <c r="B12" s="51">
        <v>166.45</v>
      </c>
      <c r="C12" s="51">
        <v>66.55</v>
      </c>
      <c r="D12" s="51">
        <v>168.1</v>
      </c>
      <c r="E12" s="51">
        <v>3.91</v>
      </c>
      <c r="F12" s="51">
        <v>7.04</v>
      </c>
      <c r="G12" s="51">
        <v>71.75</v>
      </c>
      <c r="H12" s="51">
        <v>23.25</v>
      </c>
      <c r="I12" s="51">
        <v>4.09</v>
      </c>
      <c r="J12" s="51">
        <v>0.73</v>
      </c>
      <c r="K12" s="51">
        <v>332.01</v>
      </c>
      <c r="L12" s="51">
        <v>17.59</v>
      </c>
      <c r="M12" s="51">
        <v>50.17</v>
      </c>
      <c r="N12" s="51">
        <v>73.8</v>
      </c>
      <c r="O12" s="51">
        <v>0</v>
      </c>
      <c r="P12" s="51">
        <v>1.79</v>
      </c>
      <c r="Q12" s="51">
        <v>10.16</v>
      </c>
      <c r="R12" s="43"/>
      <c r="S12" s="43"/>
      <c r="T12" s="43"/>
      <c r="U12" s="43"/>
    </row>
    <row r="13" spans="1:21" s="11" customFormat="1" x14ac:dyDescent="0.25">
      <c r="A13" s="50" t="s">
        <v>328</v>
      </c>
      <c r="B13" s="51">
        <v>135.56</v>
      </c>
      <c r="C13" s="51">
        <v>65.62</v>
      </c>
      <c r="D13" s="51">
        <v>142</v>
      </c>
      <c r="E13" s="51">
        <v>3.44</v>
      </c>
      <c r="F13" s="51">
        <v>7.26</v>
      </c>
      <c r="G13" s="51">
        <v>60.87</v>
      </c>
      <c r="H13" s="51">
        <v>20.99</v>
      </c>
      <c r="I13" s="51">
        <v>4.08</v>
      </c>
      <c r="J13" s="51">
        <v>0.74</v>
      </c>
      <c r="K13" s="51">
        <v>346.46</v>
      </c>
      <c r="L13" s="51">
        <v>17.079999999999998</v>
      </c>
      <c r="M13" s="51">
        <v>59.64</v>
      </c>
      <c r="N13" s="51">
        <v>74</v>
      </c>
      <c r="O13" s="51">
        <v>0</v>
      </c>
      <c r="P13" s="51">
        <v>1.54</v>
      </c>
      <c r="Q13" s="51">
        <v>10.02</v>
      </c>
      <c r="R13" s="43"/>
      <c r="S13" s="43"/>
      <c r="T13" s="43"/>
      <c r="U13" s="43"/>
    </row>
    <row r="14" spans="1:21" s="11" customFormat="1" x14ac:dyDescent="0.25">
      <c r="A14" s="50" t="s">
        <v>329</v>
      </c>
      <c r="B14" s="51">
        <v>132.30000000000001</v>
      </c>
      <c r="C14" s="51">
        <v>72.67</v>
      </c>
      <c r="D14" s="51">
        <v>144.06</v>
      </c>
      <c r="E14" s="51">
        <v>3.96</v>
      </c>
      <c r="F14" s="51">
        <v>7.79</v>
      </c>
      <c r="G14" s="51">
        <v>101.3</v>
      </c>
      <c r="H14" s="51">
        <v>23.97</v>
      </c>
      <c r="I14" s="51">
        <v>4</v>
      </c>
      <c r="J14" s="51">
        <v>0.7</v>
      </c>
      <c r="K14" s="51">
        <v>339.62</v>
      </c>
      <c r="L14" s="51">
        <v>15.86</v>
      </c>
      <c r="M14" s="51">
        <v>65</v>
      </c>
      <c r="N14" s="51">
        <v>73.900000000000006</v>
      </c>
      <c r="O14" s="51">
        <v>0</v>
      </c>
      <c r="P14" s="51">
        <v>1.51</v>
      </c>
      <c r="Q14" s="51">
        <v>9.93</v>
      </c>
      <c r="R14" s="43"/>
      <c r="S14" s="43"/>
      <c r="T14" s="43"/>
      <c r="U14" s="43"/>
    </row>
    <row r="15" spans="1:21" s="11" customFormat="1" x14ac:dyDescent="0.25">
      <c r="A15" s="50" t="s">
        <v>330</v>
      </c>
      <c r="B15" s="51">
        <v>128.06</v>
      </c>
      <c r="C15" s="51">
        <v>74.59</v>
      </c>
      <c r="D15" s="51">
        <v>139.97999999999999</v>
      </c>
      <c r="E15" s="51">
        <v>4.08</v>
      </c>
      <c r="F15" s="51">
        <v>8.1999999999999993</v>
      </c>
      <c r="G15" s="51">
        <v>113.83</v>
      </c>
      <c r="H15" s="51">
        <v>29.11</v>
      </c>
      <c r="I15" s="51">
        <v>4.12</v>
      </c>
      <c r="J15" s="51">
        <v>0.57999999999999996</v>
      </c>
      <c r="K15" s="51">
        <v>235.37</v>
      </c>
      <c r="L15" s="51">
        <v>17.809999999999999</v>
      </c>
      <c r="M15" s="51">
        <v>65.05</v>
      </c>
      <c r="N15" s="51">
        <v>172.3</v>
      </c>
      <c r="O15" s="51">
        <v>0</v>
      </c>
      <c r="P15" s="51">
        <v>1.36</v>
      </c>
      <c r="Q15" s="51">
        <v>9.93</v>
      </c>
      <c r="R15" s="43"/>
      <c r="S15" s="43"/>
      <c r="T15" s="43"/>
      <c r="U15" s="43"/>
    </row>
    <row r="16" spans="1:21" s="11" customFormat="1" x14ac:dyDescent="0.25">
      <c r="A16" s="50" t="s">
        <v>331</v>
      </c>
      <c r="B16" s="51">
        <v>126.59</v>
      </c>
      <c r="C16" s="51">
        <v>75.98</v>
      </c>
      <c r="D16" s="51">
        <v>139.16</v>
      </c>
      <c r="E16" s="51">
        <v>5.0199999999999996</v>
      </c>
      <c r="F16" s="51">
        <v>7.34</v>
      </c>
      <c r="G16" s="51">
        <v>113.45</v>
      </c>
      <c r="H16" s="51">
        <v>34.61</v>
      </c>
      <c r="I16" s="51">
        <v>4.0599999999999996</v>
      </c>
      <c r="J16" s="51">
        <v>0.86</v>
      </c>
      <c r="K16" s="51">
        <v>359.17</v>
      </c>
      <c r="L16" s="51">
        <v>27.05</v>
      </c>
      <c r="M16" s="51">
        <v>46.52</v>
      </c>
      <c r="N16" s="51">
        <v>392.5</v>
      </c>
      <c r="O16" s="51">
        <v>0</v>
      </c>
      <c r="P16" s="51">
        <v>1.51</v>
      </c>
      <c r="Q16" s="51">
        <v>9.91</v>
      </c>
      <c r="R16" s="43"/>
      <c r="S16" s="43"/>
      <c r="T16" s="43"/>
      <c r="U16" s="43"/>
    </row>
    <row r="17" spans="1:21" s="11" customFormat="1" x14ac:dyDescent="0.25">
      <c r="A17" s="50" t="s">
        <v>332</v>
      </c>
      <c r="B17" s="51">
        <v>116.28</v>
      </c>
      <c r="C17" s="51">
        <v>83.97</v>
      </c>
      <c r="D17" s="51">
        <v>132.94</v>
      </c>
      <c r="E17" s="51">
        <v>6.2</v>
      </c>
      <c r="F17" s="51">
        <v>6.75</v>
      </c>
      <c r="G17" s="51">
        <v>132.97999999999999</v>
      </c>
      <c r="H17" s="51">
        <v>34.36</v>
      </c>
      <c r="I17" s="51">
        <v>4.03</v>
      </c>
      <c r="J17" s="51">
        <v>1.41</v>
      </c>
      <c r="K17" s="51">
        <v>198.38</v>
      </c>
      <c r="L17" s="51">
        <v>28.68</v>
      </c>
      <c r="M17" s="51">
        <v>44.46</v>
      </c>
      <c r="N17" s="51">
        <v>587.5</v>
      </c>
      <c r="O17" s="51">
        <v>0</v>
      </c>
      <c r="P17" s="51">
        <v>1.48</v>
      </c>
      <c r="Q17" s="51">
        <v>9.92</v>
      </c>
      <c r="R17" s="43"/>
      <c r="S17" s="43"/>
      <c r="T17" s="43"/>
      <c r="U17" s="43"/>
    </row>
    <row r="18" spans="1:21" s="11" customFormat="1" x14ac:dyDescent="0.25">
      <c r="A18" s="50" t="s">
        <v>333</v>
      </c>
      <c r="B18" s="51">
        <v>80.78</v>
      </c>
      <c r="C18" s="51">
        <v>90.87</v>
      </c>
      <c r="D18" s="51">
        <v>110.41</v>
      </c>
      <c r="E18" s="51">
        <v>5.19</v>
      </c>
      <c r="F18" s="51">
        <v>10.79</v>
      </c>
      <c r="G18" s="51">
        <v>120.84</v>
      </c>
      <c r="H18" s="51">
        <v>38.479999999999997</v>
      </c>
      <c r="I18" s="51">
        <v>4.17</v>
      </c>
      <c r="J18" s="51">
        <v>1.26</v>
      </c>
      <c r="K18" s="51">
        <v>191.27</v>
      </c>
      <c r="L18" s="51">
        <v>27.15</v>
      </c>
      <c r="M18" s="51">
        <v>36.31</v>
      </c>
      <c r="N18" s="51">
        <v>701.5</v>
      </c>
      <c r="O18" s="51">
        <v>0</v>
      </c>
      <c r="P18" s="51">
        <v>1.35</v>
      </c>
      <c r="Q18" s="51">
        <v>9.84</v>
      </c>
      <c r="R18" s="43"/>
      <c r="S18" s="43"/>
      <c r="T18" s="43"/>
      <c r="U18" s="43"/>
    </row>
    <row r="19" spans="1:21" s="11" customFormat="1" x14ac:dyDescent="0.25">
      <c r="A19" s="50" t="s">
        <v>334</v>
      </c>
      <c r="B19" s="51">
        <v>36.74</v>
      </c>
      <c r="C19" s="51">
        <v>86.97</v>
      </c>
      <c r="D19" s="51">
        <v>74.91</v>
      </c>
      <c r="E19" s="51">
        <v>5.49</v>
      </c>
      <c r="F19" s="51">
        <v>14.66</v>
      </c>
      <c r="G19" s="51">
        <v>86.7</v>
      </c>
      <c r="H19" s="51">
        <v>37.35</v>
      </c>
      <c r="I19" s="51">
        <v>4.0999999999999996</v>
      </c>
      <c r="J19" s="51">
        <v>1.28</v>
      </c>
      <c r="K19" s="51">
        <v>241.65</v>
      </c>
      <c r="L19" s="51">
        <v>31.31</v>
      </c>
      <c r="M19" s="51">
        <v>28.56</v>
      </c>
      <c r="N19" s="51">
        <v>773.6</v>
      </c>
      <c r="O19" s="51">
        <v>0</v>
      </c>
      <c r="P19" s="51">
        <v>1.1000000000000001</v>
      </c>
      <c r="Q19" s="51">
        <v>9.73</v>
      </c>
      <c r="R19" s="43"/>
      <c r="S19" s="43"/>
      <c r="T19" s="43"/>
      <c r="U19" s="43"/>
    </row>
    <row r="20" spans="1:21" s="11" customFormat="1" x14ac:dyDescent="0.25">
      <c r="A20" s="50" t="s">
        <v>335</v>
      </c>
      <c r="B20" s="51">
        <v>17.95</v>
      </c>
      <c r="C20" s="51">
        <v>98.08</v>
      </c>
      <c r="D20" s="51">
        <v>61.65</v>
      </c>
      <c r="E20" s="51">
        <v>6.51</v>
      </c>
      <c r="F20" s="51">
        <v>15.37</v>
      </c>
      <c r="G20" s="51">
        <v>75.78</v>
      </c>
      <c r="H20" s="51">
        <v>32.29</v>
      </c>
      <c r="I20" s="51">
        <v>4.07</v>
      </c>
      <c r="J20" s="51">
        <v>1.27</v>
      </c>
      <c r="K20" s="51">
        <v>310.57</v>
      </c>
      <c r="L20" s="51">
        <v>34.57</v>
      </c>
      <c r="M20" s="51">
        <v>17.77</v>
      </c>
      <c r="N20" s="51">
        <v>777.9</v>
      </c>
      <c r="O20" s="51">
        <v>0</v>
      </c>
      <c r="P20" s="51">
        <v>1.02</v>
      </c>
      <c r="Q20" s="51">
        <v>9.64</v>
      </c>
      <c r="R20" s="43"/>
      <c r="S20" s="43"/>
      <c r="T20" s="43"/>
      <c r="U20" s="43"/>
    </row>
    <row r="21" spans="1:21" s="11" customFormat="1" x14ac:dyDescent="0.25">
      <c r="A21" s="50" t="s">
        <v>336</v>
      </c>
      <c r="B21" s="51">
        <v>5.97</v>
      </c>
      <c r="C21" s="51">
        <v>96.16</v>
      </c>
      <c r="D21" s="51">
        <v>55.03</v>
      </c>
      <c r="E21" s="51">
        <v>6.74</v>
      </c>
      <c r="F21" s="51">
        <v>15.23</v>
      </c>
      <c r="G21" s="51">
        <v>64.849999999999994</v>
      </c>
      <c r="H21" s="51">
        <v>29.7</v>
      </c>
      <c r="I21" s="51">
        <v>4.1900000000000004</v>
      </c>
      <c r="J21" s="51">
        <v>1.1100000000000001</v>
      </c>
      <c r="K21" s="51">
        <v>300.39999999999998</v>
      </c>
      <c r="L21" s="51">
        <v>35.450000000000003</v>
      </c>
      <c r="M21" s="51">
        <v>15.1</v>
      </c>
      <c r="N21" s="51">
        <v>704.4</v>
      </c>
      <c r="O21" s="51">
        <v>0</v>
      </c>
      <c r="P21" s="51">
        <v>1.01</v>
      </c>
      <c r="Q21" s="51">
        <v>9.57</v>
      </c>
      <c r="R21" s="43"/>
      <c r="S21" s="43"/>
      <c r="T21" s="43"/>
      <c r="U21" s="43"/>
    </row>
    <row r="22" spans="1:21" s="11" customFormat="1" x14ac:dyDescent="0.25">
      <c r="A22" s="50" t="s">
        <v>337</v>
      </c>
      <c r="B22" s="51">
        <v>5.23</v>
      </c>
      <c r="C22" s="51">
        <v>80.06</v>
      </c>
      <c r="D22" s="51">
        <v>45.63</v>
      </c>
      <c r="E22" s="51">
        <v>5.52</v>
      </c>
      <c r="F22" s="51">
        <v>15.58</v>
      </c>
      <c r="G22" s="51">
        <v>73.42</v>
      </c>
      <c r="H22" s="51">
        <v>28.51</v>
      </c>
      <c r="I22" s="51">
        <v>3.96</v>
      </c>
      <c r="J22" s="51">
        <v>1.7</v>
      </c>
      <c r="K22" s="51">
        <v>310.77</v>
      </c>
      <c r="L22" s="51">
        <v>36.07</v>
      </c>
      <c r="M22" s="51">
        <v>15.35</v>
      </c>
      <c r="N22" s="51">
        <v>715.5</v>
      </c>
      <c r="O22" s="51">
        <v>0</v>
      </c>
      <c r="P22" s="51">
        <v>0.97</v>
      </c>
      <c r="Q22" s="51">
        <v>9.5299999999999994</v>
      </c>
      <c r="R22" s="43"/>
      <c r="S22" s="43"/>
      <c r="T22" s="43"/>
      <c r="U22" s="43"/>
    </row>
    <row r="23" spans="1:21" s="11" customFormat="1" x14ac:dyDescent="0.25">
      <c r="A23" s="50" t="s">
        <v>338</v>
      </c>
      <c r="B23" s="51">
        <v>7.05</v>
      </c>
      <c r="C23" s="51">
        <v>73.59</v>
      </c>
      <c r="D23" s="51">
        <v>43.12</v>
      </c>
      <c r="E23" s="51">
        <v>7.21</v>
      </c>
      <c r="F23" s="51">
        <v>22.91</v>
      </c>
      <c r="G23" s="51">
        <v>54.57</v>
      </c>
      <c r="H23" s="51">
        <v>25.94</v>
      </c>
      <c r="I23" s="51">
        <v>4.05</v>
      </c>
      <c r="J23" s="51">
        <v>1.6</v>
      </c>
      <c r="K23" s="51">
        <v>333.7</v>
      </c>
      <c r="L23" s="51">
        <v>36.47</v>
      </c>
      <c r="M23" s="51">
        <v>15.12</v>
      </c>
      <c r="N23" s="51">
        <v>659.8</v>
      </c>
      <c r="O23" s="51">
        <v>0</v>
      </c>
      <c r="P23" s="51">
        <v>0.78</v>
      </c>
      <c r="Q23" s="51">
        <v>9.49</v>
      </c>
      <c r="R23" s="43"/>
      <c r="S23" s="43"/>
      <c r="T23" s="43"/>
      <c r="U23" s="43"/>
    </row>
    <row r="24" spans="1:21" s="11" customFormat="1" x14ac:dyDescent="0.25">
      <c r="A24" s="50" t="s">
        <v>339</v>
      </c>
      <c r="B24" s="51">
        <v>7.05</v>
      </c>
      <c r="C24" s="51">
        <v>69.94</v>
      </c>
      <c r="D24" s="51">
        <v>42.19</v>
      </c>
      <c r="E24" s="51">
        <v>12.58</v>
      </c>
      <c r="F24" s="51">
        <v>26.59</v>
      </c>
      <c r="G24" s="51">
        <v>55.86</v>
      </c>
      <c r="H24" s="51">
        <v>24.56</v>
      </c>
      <c r="I24" s="51">
        <v>4.05</v>
      </c>
      <c r="J24" s="51">
        <v>1.62</v>
      </c>
      <c r="K24" s="51">
        <v>323.01</v>
      </c>
      <c r="L24" s="51">
        <v>34.479999999999997</v>
      </c>
      <c r="M24" s="51">
        <v>15.33</v>
      </c>
      <c r="N24" s="51">
        <v>246</v>
      </c>
      <c r="O24" s="51">
        <v>0</v>
      </c>
      <c r="P24" s="51">
        <v>0.67</v>
      </c>
      <c r="Q24" s="51">
        <v>9.41</v>
      </c>
      <c r="R24" s="43"/>
      <c r="S24" s="43"/>
      <c r="T24" s="43"/>
      <c r="U24" s="43"/>
    </row>
    <row r="25" spans="1:21" s="11" customFormat="1" x14ac:dyDescent="0.25">
      <c r="A25" s="50" t="s">
        <v>340</v>
      </c>
      <c r="B25" s="51">
        <v>10.31</v>
      </c>
      <c r="C25" s="51">
        <v>71.23</v>
      </c>
      <c r="D25" s="51">
        <v>44.56</v>
      </c>
      <c r="E25" s="51">
        <v>22.15</v>
      </c>
      <c r="F25" s="51">
        <v>40.99</v>
      </c>
      <c r="G25" s="51">
        <v>47.63</v>
      </c>
      <c r="H25" s="51">
        <v>22.97</v>
      </c>
      <c r="I25" s="51">
        <v>4.22</v>
      </c>
      <c r="J25" s="51">
        <v>1.54</v>
      </c>
      <c r="K25" s="51">
        <v>347.8</v>
      </c>
      <c r="L25" s="51">
        <v>33.04</v>
      </c>
      <c r="M25" s="51">
        <v>17.010000000000002</v>
      </c>
      <c r="N25" s="51">
        <v>258.8</v>
      </c>
      <c r="O25" s="51">
        <v>0</v>
      </c>
      <c r="P25" s="51">
        <v>0.63</v>
      </c>
      <c r="Q25" s="51">
        <v>9.39</v>
      </c>
      <c r="R25" s="43"/>
      <c r="S25" s="43"/>
      <c r="T25" s="43"/>
      <c r="U25" s="43"/>
    </row>
    <row r="26" spans="1:21" s="11" customFormat="1" x14ac:dyDescent="0.25">
      <c r="A26" s="50" t="s">
        <v>341</v>
      </c>
      <c r="B26" s="51">
        <v>11.36</v>
      </c>
      <c r="C26" s="51">
        <v>101.61</v>
      </c>
      <c r="D26" s="51">
        <v>60.16</v>
      </c>
      <c r="E26" s="51">
        <v>22.03</v>
      </c>
      <c r="F26" s="51">
        <v>39.479999999999997</v>
      </c>
      <c r="G26" s="51">
        <v>50.75</v>
      </c>
      <c r="H26" s="51">
        <v>20.309999999999999</v>
      </c>
      <c r="I26" s="51">
        <v>4.1500000000000004</v>
      </c>
      <c r="J26" s="51">
        <v>0.82</v>
      </c>
      <c r="K26" s="51">
        <v>298.54000000000002</v>
      </c>
      <c r="L26" s="51">
        <v>30.93</v>
      </c>
      <c r="M26" s="51">
        <v>18.91</v>
      </c>
      <c r="N26" s="51">
        <v>106.6</v>
      </c>
      <c r="O26" s="51">
        <v>0</v>
      </c>
      <c r="P26" s="51">
        <v>1.02</v>
      </c>
      <c r="Q26" s="51">
        <v>9.4</v>
      </c>
      <c r="R26" s="43"/>
      <c r="S26" s="43"/>
      <c r="T26" s="43"/>
      <c r="U26" s="43"/>
    </row>
    <row r="27" spans="1:21" s="11" customFormat="1" x14ac:dyDescent="0.25">
      <c r="A27" s="50" t="s">
        <v>342</v>
      </c>
      <c r="B27" s="51">
        <v>111.71</v>
      </c>
      <c r="C27" s="51">
        <v>171.02</v>
      </c>
      <c r="D27" s="51">
        <v>177.3</v>
      </c>
      <c r="E27" s="51">
        <v>17.489999999999998</v>
      </c>
      <c r="F27" s="51">
        <v>23.53</v>
      </c>
      <c r="G27" s="51">
        <v>63.65</v>
      </c>
      <c r="H27" s="51">
        <v>21.84</v>
      </c>
      <c r="I27" s="51">
        <v>4.09</v>
      </c>
      <c r="J27" s="51">
        <v>0.55000000000000004</v>
      </c>
      <c r="K27" s="51">
        <v>335.39</v>
      </c>
      <c r="L27" s="51">
        <v>28.67</v>
      </c>
      <c r="M27" s="51">
        <v>28.88</v>
      </c>
      <c r="N27" s="51">
        <v>68.7</v>
      </c>
      <c r="O27" s="51">
        <v>0</v>
      </c>
      <c r="P27" s="51">
        <v>2.09</v>
      </c>
      <c r="Q27" s="51">
        <v>9.5299999999999994</v>
      </c>
      <c r="R27" s="43"/>
      <c r="S27" s="43"/>
      <c r="T27" s="43"/>
      <c r="U27" s="43"/>
    </row>
    <row r="28" spans="1:21" s="11" customFormat="1" x14ac:dyDescent="0.25">
      <c r="A28" s="50" t="s">
        <v>343</v>
      </c>
      <c r="B28" s="51">
        <v>150.43</v>
      </c>
      <c r="C28" s="51">
        <v>168.4</v>
      </c>
      <c r="D28" s="51">
        <v>208.02</v>
      </c>
      <c r="E28" s="51">
        <v>14.17</v>
      </c>
      <c r="F28" s="51">
        <v>14.41</v>
      </c>
      <c r="G28" s="51">
        <v>102.32</v>
      </c>
      <c r="H28" s="51">
        <v>25.57</v>
      </c>
      <c r="I28" s="51">
        <v>4.16</v>
      </c>
      <c r="J28" s="51">
        <v>0.72</v>
      </c>
      <c r="K28" s="51">
        <v>336.41</v>
      </c>
      <c r="L28" s="51">
        <v>25.38</v>
      </c>
      <c r="M28" s="51">
        <v>33.630000000000003</v>
      </c>
      <c r="N28" s="51">
        <v>66.3</v>
      </c>
      <c r="O28" s="51">
        <v>0</v>
      </c>
      <c r="P28" s="51">
        <v>2.35</v>
      </c>
      <c r="Q28" s="51">
        <v>9.56</v>
      </c>
      <c r="R28" s="43"/>
      <c r="S28" s="43"/>
      <c r="T28" s="43"/>
      <c r="U28" s="43"/>
    </row>
    <row r="29" spans="1:21" s="11" customFormat="1" x14ac:dyDescent="0.25">
      <c r="A29" s="50" t="s">
        <v>344</v>
      </c>
      <c r="B29" s="51">
        <v>124.7</v>
      </c>
      <c r="C29" s="51">
        <v>127.01</v>
      </c>
      <c r="D29" s="51">
        <v>165.75</v>
      </c>
      <c r="E29" s="51">
        <v>10.96</v>
      </c>
      <c r="F29" s="51">
        <v>9.51</v>
      </c>
      <c r="G29" s="51">
        <v>131.54</v>
      </c>
      <c r="H29" s="51">
        <v>29.01</v>
      </c>
      <c r="I29" s="51">
        <v>4.16</v>
      </c>
      <c r="J29" s="51">
        <v>0.6</v>
      </c>
      <c r="K29" s="51">
        <v>353.41</v>
      </c>
      <c r="L29" s="51">
        <v>25.1</v>
      </c>
      <c r="M29" s="51">
        <v>38.909999999999997</v>
      </c>
      <c r="N29" s="51">
        <v>66.599999999999994</v>
      </c>
      <c r="O29" s="51">
        <v>0</v>
      </c>
      <c r="P29" s="51">
        <v>2.4700000000000002</v>
      </c>
      <c r="Q29" s="51">
        <v>9.58</v>
      </c>
      <c r="R29" s="43"/>
      <c r="S29" s="43"/>
      <c r="T29" s="43"/>
      <c r="U29" s="43"/>
    </row>
    <row r="30" spans="1:21" s="11" customFormat="1" x14ac:dyDescent="0.25">
      <c r="A30" s="50" t="s">
        <v>345</v>
      </c>
      <c r="B30" s="51">
        <v>138.19999999999999</v>
      </c>
      <c r="C30" s="51">
        <v>117.73</v>
      </c>
      <c r="D30" s="51">
        <v>169.48</v>
      </c>
      <c r="E30" s="51">
        <v>8.41</v>
      </c>
      <c r="F30" s="51">
        <v>7.26</v>
      </c>
      <c r="G30" s="51">
        <v>138.79</v>
      </c>
      <c r="H30" s="51">
        <v>31.11</v>
      </c>
      <c r="I30" s="51">
        <v>4.0999999999999996</v>
      </c>
      <c r="J30" s="51">
        <v>0.54</v>
      </c>
      <c r="K30" s="51">
        <v>349.21</v>
      </c>
      <c r="L30" s="51">
        <v>22.87</v>
      </c>
      <c r="M30" s="51">
        <v>40.880000000000003</v>
      </c>
      <c r="N30" s="51">
        <v>66.5</v>
      </c>
      <c r="O30" s="51">
        <v>0</v>
      </c>
      <c r="P30" s="51">
        <v>2.59</v>
      </c>
      <c r="Q30" s="51">
        <v>9.68</v>
      </c>
      <c r="R30" s="43"/>
      <c r="S30" s="43"/>
      <c r="T30" s="43"/>
      <c r="U30" s="43"/>
    </row>
    <row r="31" spans="1:21" s="11" customFormat="1" x14ac:dyDescent="0.25">
      <c r="A31" s="50" t="s">
        <v>346</v>
      </c>
      <c r="B31" s="51">
        <v>122.45</v>
      </c>
      <c r="C31" s="51">
        <v>113.25</v>
      </c>
      <c r="D31" s="51">
        <v>153.87</v>
      </c>
      <c r="E31" s="51">
        <v>9.01</v>
      </c>
      <c r="F31" s="51">
        <v>10.210000000000001</v>
      </c>
      <c r="G31" s="51">
        <v>144.46</v>
      </c>
      <c r="H31" s="51">
        <v>31.87</v>
      </c>
      <c r="I31" s="51">
        <v>4.1100000000000003</v>
      </c>
      <c r="J31" s="51">
        <v>0.68</v>
      </c>
      <c r="K31" s="51">
        <v>349.11</v>
      </c>
      <c r="L31" s="51">
        <v>21.92</v>
      </c>
      <c r="M31" s="51">
        <v>43.15</v>
      </c>
      <c r="N31" s="51">
        <v>66.5</v>
      </c>
      <c r="O31" s="51">
        <v>0</v>
      </c>
      <c r="P31" s="51">
        <v>2.14</v>
      </c>
      <c r="Q31" s="51">
        <v>9.8000000000000007</v>
      </c>
      <c r="R31" s="43"/>
      <c r="S31" s="43"/>
      <c r="T31" s="43"/>
      <c r="U31" s="43"/>
    </row>
    <row r="32" spans="1:21" s="11" customFormat="1" x14ac:dyDescent="0.25">
      <c r="A32" s="50" t="s">
        <v>347</v>
      </c>
      <c r="B32" s="51">
        <v>182.12</v>
      </c>
      <c r="C32" s="51">
        <v>121.88</v>
      </c>
      <c r="D32" s="51">
        <v>205.2</v>
      </c>
      <c r="E32" s="51">
        <v>8.48</v>
      </c>
      <c r="F32" s="51">
        <v>7.32</v>
      </c>
      <c r="G32" s="51">
        <v>119.8</v>
      </c>
      <c r="H32" s="51">
        <v>32.130000000000003</v>
      </c>
      <c r="I32" s="51">
        <v>4.16</v>
      </c>
      <c r="J32" s="51">
        <v>0.44</v>
      </c>
      <c r="K32" s="51">
        <v>351.31</v>
      </c>
      <c r="L32" s="51">
        <v>20.98</v>
      </c>
      <c r="M32" s="51">
        <v>48.19</v>
      </c>
      <c r="N32" s="51">
        <v>66.599999999999994</v>
      </c>
      <c r="O32" s="51">
        <v>0</v>
      </c>
      <c r="P32" s="51">
        <v>1.81</v>
      </c>
      <c r="Q32" s="51">
        <v>9.83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5.23</v>
      </c>
      <c r="C34" s="28">
        <f t="shared" si="0"/>
        <v>65.62</v>
      </c>
      <c r="D34" s="28">
        <f t="shared" si="0"/>
        <v>42.19</v>
      </c>
      <c r="E34" s="28">
        <f t="shared" si="0"/>
        <v>3.44</v>
      </c>
      <c r="F34" s="28">
        <f t="shared" si="0"/>
        <v>6.75</v>
      </c>
      <c r="G34" s="28">
        <f t="shared" si="0"/>
        <v>47.63</v>
      </c>
      <c r="H34" s="28">
        <f t="shared" si="0"/>
        <v>20.309999999999999</v>
      </c>
      <c r="I34" s="28">
        <f t="shared" si="0"/>
        <v>3.94</v>
      </c>
      <c r="J34" s="28">
        <f t="shared" si="0"/>
        <v>0.44</v>
      </c>
      <c r="K34" s="28">
        <f t="shared" si="0"/>
        <v>191.27</v>
      </c>
      <c r="L34" s="28">
        <f t="shared" si="0"/>
        <v>15.86</v>
      </c>
      <c r="M34" s="28">
        <f t="shared" si="0"/>
        <v>15.1</v>
      </c>
      <c r="N34" s="28">
        <f t="shared" si="0"/>
        <v>66.3</v>
      </c>
      <c r="O34" s="28">
        <f t="shared" si="0"/>
        <v>0</v>
      </c>
      <c r="P34" s="28">
        <f t="shared" si="0"/>
        <v>0.63</v>
      </c>
      <c r="Q34" s="28">
        <f t="shared" si="0"/>
        <v>9.39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247.95</v>
      </c>
      <c r="C35" s="29">
        <f t="shared" si="1"/>
        <v>171.02</v>
      </c>
      <c r="D35" s="29">
        <f t="shared" si="1"/>
        <v>241.75</v>
      </c>
      <c r="E35" s="29">
        <f t="shared" si="1"/>
        <v>22.15</v>
      </c>
      <c r="F35" s="29">
        <f t="shared" si="1"/>
        <v>40.99</v>
      </c>
      <c r="G35" s="29">
        <f t="shared" si="1"/>
        <v>173.54</v>
      </c>
      <c r="H35" s="29">
        <f t="shared" si="1"/>
        <v>53.87</v>
      </c>
      <c r="I35" s="29">
        <f t="shared" si="1"/>
        <v>4.22</v>
      </c>
      <c r="J35" s="29">
        <f t="shared" si="1"/>
        <v>1.7</v>
      </c>
      <c r="K35" s="29">
        <f t="shared" si="1"/>
        <v>359.17</v>
      </c>
      <c r="L35" s="29">
        <f t="shared" si="1"/>
        <v>36.47</v>
      </c>
      <c r="M35" s="29">
        <f t="shared" si="1"/>
        <v>65.05</v>
      </c>
      <c r="N35" s="29">
        <f t="shared" si="1"/>
        <v>777.9</v>
      </c>
      <c r="O35" s="29">
        <f t="shared" si="1"/>
        <v>0</v>
      </c>
      <c r="P35" s="29">
        <f t="shared" si="1"/>
        <v>2.63</v>
      </c>
      <c r="Q35" s="29">
        <f t="shared" si="1"/>
        <v>10.36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100.20041666666664</v>
      </c>
      <c r="C36" s="28">
        <f t="shared" si="2"/>
        <v>94.21916666666668</v>
      </c>
      <c r="D36" s="28">
        <f t="shared" si="2"/>
        <v>128.10291666666669</v>
      </c>
      <c r="E36" s="28">
        <f t="shared" si="2"/>
        <v>8.5166666666666657</v>
      </c>
      <c r="F36" s="28">
        <f t="shared" si="2"/>
        <v>14.177500000000002</v>
      </c>
      <c r="G36" s="28">
        <f t="shared" si="2"/>
        <v>95.080833333333331</v>
      </c>
      <c r="H36" s="28">
        <f t="shared" si="2"/>
        <v>30.323333333333338</v>
      </c>
      <c r="I36" s="28">
        <f t="shared" si="2"/>
        <v>4.0983333333333327</v>
      </c>
      <c r="J36" s="28">
        <f t="shared" si="2"/>
        <v>0.95541666666666669</v>
      </c>
      <c r="K36" s="28">
        <f t="shared" si="2"/>
        <v>314.9325</v>
      </c>
      <c r="L36" s="28">
        <f t="shared" si="2"/>
        <v>25.926666666666673</v>
      </c>
      <c r="M36" s="28">
        <f t="shared" si="2"/>
        <v>38.192499999999995</v>
      </c>
      <c r="N36" s="28">
        <f t="shared" si="2"/>
        <v>289.17916666666673</v>
      </c>
      <c r="O36" s="28">
        <f t="shared" si="2"/>
        <v>0</v>
      </c>
      <c r="P36" s="28">
        <f t="shared" si="2"/>
        <v>1.5608333333333337</v>
      </c>
      <c r="Q36" s="28">
        <f t="shared" si="2"/>
        <v>9.7837500000000031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70.619546282953081</v>
      </c>
      <c r="C37" s="28">
        <f t="shared" ref="C37:Q37" si="3">STDEV(C9:C32)</f>
        <v>29.317495728610574</v>
      </c>
      <c r="D37" s="28">
        <f t="shared" si="3"/>
        <v>60.521776927214638</v>
      </c>
      <c r="E37" s="28">
        <f t="shared" si="3"/>
        <v>5.4310545590325656</v>
      </c>
      <c r="F37" s="28">
        <f t="shared" si="3"/>
        <v>9.8749389651388402</v>
      </c>
      <c r="G37" s="28">
        <f t="shared" si="3"/>
        <v>34.439369902414903</v>
      </c>
      <c r="H37" s="28">
        <f t="shared" si="3"/>
        <v>7.6047145941166399</v>
      </c>
      <c r="I37" s="28">
        <f t="shared" si="3"/>
        <v>7.0567061331243935E-2</v>
      </c>
      <c r="J37" s="28">
        <f t="shared" si="3"/>
        <v>0.39826776186998553</v>
      </c>
      <c r="K37" s="28">
        <f t="shared" si="3"/>
        <v>48.579049272920692</v>
      </c>
      <c r="L37" s="28">
        <f t="shared" si="3"/>
        <v>7.0241612011477796</v>
      </c>
      <c r="M37" s="28">
        <f t="shared" si="3"/>
        <v>17.420438832889232</v>
      </c>
      <c r="N37" s="28">
        <f t="shared" si="3"/>
        <v>284.33025038893038</v>
      </c>
      <c r="O37" s="28">
        <f t="shared" si="3"/>
        <v>0</v>
      </c>
      <c r="P37" s="28">
        <f t="shared" si="3"/>
        <v>0.60294146133526205</v>
      </c>
      <c r="Q37" s="28">
        <f t="shared" si="3"/>
        <v>0.29319547567539589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348</v>
      </c>
      <c r="B9" s="51">
        <v>102.99</v>
      </c>
      <c r="C9" s="51">
        <v>103.12</v>
      </c>
      <c r="D9" s="51">
        <v>135.80000000000001</v>
      </c>
      <c r="E9" s="51">
        <v>5.67</v>
      </c>
      <c r="F9" s="51">
        <v>11.5</v>
      </c>
      <c r="G9" s="51">
        <v>117.97</v>
      </c>
      <c r="H9" s="51">
        <v>29.97</v>
      </c>
      <c r="I9" s="51">
        <v>4.16</v>
      </c>
      <c r="J9" s="51">
        <v>0.71</v>
      </c>
      <c r="K9" s="51">
        <v>345.74</v>
      </c>
      <c r="L9" s="51">
        <v>21.1</v>
      </c>
      <c r="M9" s="51">
        <v>49.13</v>
      </c>
      <c r="N9" s="51">
        <v>66.599999999999994</v>
      </c>
      <c r="O9" s="51">
        <v>0</v>
      </c>
      <c r="P9" s="51">
        <v>1.82</v>
      </c>
      <c r="Q9" s="51">
        <v>9.8800000000000008</v>
      </c>
      <c r="R9" s="43"/>
      <c r="S9" s="43"/>
      <c r="T9" s="43"/>
      <c r="U9" s="43"/>
    </row>
    <row r="10" spans="1:21" s="11" customFormat="1" x14ac:dyDescent="0.25">
      <c r="A10" s="50" t="s">
        <v>349</v>
      </c>
      <c r="B10" s="51">
        <v>84.01</v>
      </c>
      <c r="C10" s="51">
        <v>81.069999999999993</v>
      </c>
      <c r="D10" s="51">
        <v>107.26</v>
      </c>
      <c r="E10" s="51">
        <v>3.6</v>
      </c>
      <c r="F10" s="51">
        <v>10.65</v>
      </c>
      <c r="G10" s="51">
        <v>108.67</v>
      </c>
      <c r="H10" s="51">
        <v>29.33</v>
      </c>
      <c r="I10" s="51">
        <v>3.97</v>
      </c>
      <c r="J10" s="51">
        <v>0.67</v>
      </c>
      <c r="K10" s="51">
        <v>345.01</v>
      </c>
      <c r="L10" s="51">
        <v>21.05</v>
      </c>
      <c r="M10" s="51">
        <v>48.18</v>
      </c>
      <c r="N10" s="51">
        <v>66.8</v>
      </c>
      <c r="O10" s="51">
        <v>0</v>
      </c>
      <c r="P10" s="51">
        <v>1.62</v>
      </c>
      <c r="Q10" s="51">
        <v>9.8800000000000008</v>
      </c>
      <c r="R10" s="43"/>
      <c r="S10" s="43"/>
      <c r="T10" s="43"/>
      <c r="U10" s="43"/>
    </row>
    <row r="11" spans="1:21" s="11" customFormat="1" x14ac:dyDescent="0.25">
      <c r="A11" s="50" t="s">
        <v>350</v>
      </c>
      <c r="B11" s="51">
        <v>76.28</v>
      </c>
      <c r="C11" s="51">
        <v>76.69</v>
      </c>
      <c r="D11" s="51">
        <v>101.24</v>
      </c>
      <c r="E11" s="51">
        <v>2.9</v>
      </c>
      <c r="F11" s="51">
        <v>13.26</v>
      </c>
      <c r="G11" s="51">
        <v>93.71</v>
      </c>
      <c r="H11" s="51">
        <v>29.99</v>
      </c>
      <c r="I11" s="51">
        <v>4.0999999999999996</v>
      </c>
      <c r="J11" s="51">
        <v>0.84</v>
      </c>
      <c r="K11" s="51">
        <v>237.17</v>
      </c>
      <c r="L11" s="51">
        <v>20.04</v>
      </c>
      <c r="M11" s="51">
        <v>44.39</v>
      </c>
      <c r="N11" s="51">
        <v>65.900000000000006</v>
      </c>
      <c r="O11" s="51">
        <v>0</v>
      </c>
      <c r="P11" s="51">
        <v>1.52</v>
      </c>
      <c r="Q11" s="51">
        <v>9.82</v>
      </c>
      <c r="R11" s="43"/>
      <c r="S11" s="43"/>
      <c r="T11" s="43"/>
      <c r="U11" s="43"/>
    </row>
    <row r="12" spans="1:21" s="11" customFormat="1" x14ac:dyDescent="0.25">
      <c r="A12" s="50" t="s">
        <v>351</v>
      </c>
      <c r="B12" s="51">
        <v>46.22</v>
      </c>
      <c r="C12" s="51">
        <v>60.81</v>
      </c>
      <c r="D12" s="51">
        <v>68.650000000000006</v>
      </c>
      <c r="E12" s="51">
        <v>4.47</v>
      </c>
      <c r="F12" s="51">
        <v>17.64</v>
      </c>
      <c r="G12" s="51">
        <v>88.44</v>
      </c>
      <c r="H12" s="51">
        <v>28.65</v>
      </c>
      <c r="I12" s="51">
        <v>4.03</v>
      </c>
      <c r="J12" s="51">
        <v>0.79</v>
      </c>
      <c r="K12" s="51">
        <v>245.64</v>
      </c>
      <c r="L12" s="51">
        <v>19.82</v>
      </c>
      <c r="M12" s="51">
        <v>47.49</v>
      </c>
      <c r="N12" s="51">
        <v>66.3</v>
      </c>
      <c r="O12" s="51">
        <v>0</v>
      </c>
      <c r="P12" s="51">
        <v>1.1599999999999999</v>
      </c>
      <c r="Q12" s="51">
        <v>9.7899999999999991</v>
      </c>
      <c r="R12" s="43"/>
      <c r="S12" s="43"/>
      <c r="T12" s="43"/>
      <c r="U12" s="43"/>
    </row>
    <row r="13" spans="1:21" s="11" customFormat="1" x14ac:dyDescent="0.25">
      <c r="A13" s="50" t="s">
        <v>352</v>
      </c>
      <c r="B13" s="51">
        <v>40.28</v>
      </c>
      <c r="C13" s="51">
        <v>71.459999999999994</v>
      </c>
      <c r="D13" s="51">
        <v>69.64</v>
      </c>
      <c r="E13" s="51">
        <v>4.13</v>
      </c>
      <c r="F13" s="51">
        <v>13.27</v>
      </c>
      <c r="G13" s="51">
        <v>71.790000000000006</v>
      </c>
      <c r="H13" s="51">
        <v>26.49</v>
      </c>
      <c r="I13" s="51">
        <v>4.05</v>
      </c>
      <c r="J13" s="51">
        <v>0.68</v>
      </c>
      <c r="K13" s="51">
        <v>268.36</v>
      </c>
      <c r="L13" s="51">
        <v>19.350000000000001</v>
      </c>
      <c r="M13" s="51">
        <v>47.51</v>
      </c>
      <c r="N13" s="51">
        <v>66.099999999999994</v>
      </c>
      <c r="O13" s="51">
        <v>0</v>
      </c>
      <c r="P13" s="51">
        <v>1.1399999999999999</v>
      </c>
      <c r="Q13" s="51">
        <v>9.74</v>
      </c>
      <c r="R13" s="43"/>
      <c r="S13" s="43"/>
      <c r="T13" s="43"/>
      <c r="U13" s="43"/>
    </row>
    <row r="14" spans="1:21" s="11" customFormat="1" x14ac:dyDescent="0.25">
      <c r="A14" s="50" t="s">
        <v>353</v>
      </c>
      <c r="B14" s="51">
        <v>45.1</v>
      </c>
      <c r="C14" s="51">
        <v>68.59</v>
      </c>
      <c r="D14" s="51">
        <v>70.84</v>
      </c>
      <c r="E14" s="51">
        <v>2.54</v>
      </c>
      <c r="F14" s="51">
        <v>7.75</v>
      </c>
      <c r="G14" s="51">
        <v>66.78</v>
      </c>
      <c r="H14" s="51">
        <v>26.98</v>
      </c>
      <c r="I14" s="51">
        <v>4.03</v>
      </c>
      <c r="J14" s="51">
        <v>0.63</v>
      </c>
      <c r="K14" s="51">
        <v>264.58999999999997</v>
      </c>
      <c r="L14" s="51">
        <v>19.12</v>
      </c>
      <c r="M14" s="51">
        <v>44.95</v>
      </c>
      <c r="N14" s="51">
        <v>66.7</v>
      </c>
      <c r="O14" s="51">
        <v>0</v>
      </c>
      <c r="P14" s="51">
        <v>1.19</v>
      </c>
      <c r="Q14" s="51">
        <v>9.6999999999999993</v>
      </c>
      <c r="R14" s="43"/>
      <c r="S14" s="43"/>
      <c r="T14" s="43"/>
      <c r="U14" s="43"/>
    </row>
    <row r="15" spans="1:21" s="11" customFormat="1" x14ac:dyDescent="0.25">
      <c r="A15" s="50" t="s">
        <v>354</v>
      </c>
      <c r="B15" s="51">
        <v>37.619999999999997</v>
      </c>
      <c r="C15" s="51">
        <v>70.849999999999994</v>
      </c>
      <c r="D15" s="51">
        <v>67</v>
      </c>
      <c r="E15" s="51">
        <v>2.0099999999999998</v>
      </c>
      <c r="F15" s="51">
        <v>8.1300000000000008</v>
      </c>
      <c r="G15" s="51">
        <v>71.41</v>
      </c>
      <c r="H15" s="51">
        <v>28.67</v>
      </c>
      <c r="I15" s="51">
        <v>4.07</v>
      </c>
      <c r="J15" s="51">
        <v>0.66</v>
      </c>
      <c r="K15" s="51">
        <v>237.77</v>
      </c>
      <c r="L15" s="51">
        <v>19.47</v>
      </c>
      <c r="M15" s="51">
        <v>46.57</v>
      </c>
      <c r="N15" s="51">
        <v>134.19999999999999</v>
      </c>
      <c r="O15" s="51">
        <v>0</v>
      </c>
      <c r="P15" s="51">
        <v>1.18</v>
      </c>
      <c r="Q15" s="51">
        <v>9.68</v>
      </c>
      <c r="R15" s="43"/>
      <c r="S15" s="43"/>
      <c r="T15" s="43"/>
      <c r="U15" s="43"/>
    </row>
    <row r="16" spans="1:21" s="11" customFormat="1" x14ac:dyDescent="0.25">
      <c r="A16" s="50" t="s">
        <v>355</v>
      </c>
      <c r="B16" s="51">
        <v>43.79</v>
      </c>
      <c r="C16" s="51">
        <v>75.27</v>
      </c>
      <c r="D16" s="51">
        <v>73.2</v>
      </c>
      <c r="E16" s="51">
        <v>3.95</v>
      </c>
      <c r="F16" s="51">
        <v>12.18</v>
      </c>
      <c r="G16" s="51">
        <v>80.33</v>
      </c>
      <c r="H16" s="51">
        <v>32.619999999999997</v>
      </c>
      <c r="I16" s="51">
        <v>4.12</v>
      </c>
      <c r="J16" s="51">
        <v>0.9</v>
      </c>
      <c r="K16" s="51">
        <v>358.64</v>
      </c>
      <c r="L16" s="51">
        <v>26.07</v>
      </c>
      <c r="M16" s="51">
        <v>44.43</v>
      </c>
      <c r="N16" s="51">
        <v>304.39999999999998</v>
      </c>
      <c r="O16" s="51">
        <v>0</v>
      </c>
      <c r="P16" s="51">
        <v>1.24</v>
      </c>
      <c r="Q16" s="51">
        <v>9.66</v>
      </c>
      <c r="R16" s="43"/>
      <c r="S16" s="43"/>
      <c r="T16" s="43"/>
      <c r="U16" s="43"/>
    </row>
    <row r="17" spans="1:21" s="11" customFormat="1" x14ac:dyDescent="0.25">
      <c r="A17" s="50" t="s">
        <v>356</v>
      </c>
      <c r="B17" s="51">
        <v>30.02</v>
      </c>
      <c r="C17" s="51">
        <v>72.77</v>
      </c>
      <c r="D17" s="51">
        <v>61.92</v>
      </c>
      <c r="E17" s="51">
        <v>6.86</v>
      </c>
      <c r="F17" s="51">
        <v>13.37</v>
      </c>
      <c r="G17" s="51">
        <v>86.74</v>
      </c>
      <c r="H17" s="51">
        <v>36.15</v>
      </c>
      <c r="I17" s="51">
        <v>4</v>
      </c>
      <c r="J17" s="51">
        <v>0.75</v>
      </c>
      <c r="K17" s="51">
        <v>268.07</v>
      </c>
      <c r="L17" s="51">
        <v>26.55</v>
      </c>
      <c r="M17" s="51">
        <v>34.03</v>
      </c>
      <c r="N17" s="51">
        <v>488.8</v>
      </c>
      <c r="O17" s="51">
        <v>0</v>
      </c>
      <c r="P17" s="51">
        <v>1.18</v>
      </c>
      <c r="Q17" s="51">
        <v>9.66</v>
      </c>
      <c r="R17" s="43"/>
      <c r="S17" s="43"/>
      <c r="T17" s="43"/>
      <c r="U17" s="43"/>
    </row>
    <row r="18" spans="1:21" s="11" customFormat="1" x14ac:dyDescent="0.25">
      <c r="A18" s="50" t="s">
        <v>357</v>
      </c>
      <c r="B18" s="51">
        <v>20.13</v>
      </c>
      <c r="C18" s="51">
        <v>82.53</v>
      </c>
      <c r="D18" s="51">
        <v>56.11</v>
      </c>
      <c r="E18" s="51">
        <v>4.82</v>
      </c>
      <c r="F18" s="51">
        <v>10.6</v>
      </c>
      <c r="G18" s="51">
        <v>85.49</v>
      </c>
      <c r="H18" s="51">
        <v>36.86</v>
      </c>
      <c r="I18" s="51">
        <v>4.09</v>
      </c>
      <c r="J18" s="51">
        <v>0.97</v>
      </c>
      <c r="K18" s="51">
        <v>271.08999999999997</v>
      </c>
      <c r="L18" s="51">
        <v>30.19</v>
      </c>
      <c r="M18" s="51">
        <v>34.44</v>
      </c>
      <c r="N18" s="51">
        <v>643.6</v>
      </c>
      <c r="O18" s="51">
        <v>0</v>
      </c>
      <c r="P18" s="51">
        <v>1.1499999999999999</v>
      </c>
      <c r="Q18" s="51">
        <v>9.66</v>
      </c>
      <c r="R18" s="43"/>
      <c r="S18" s="43"/>
      <c r="T18" s="43"/>
      <c r="U18" s="43"/>
    </row>
    <row r="19" spans="1:21" s="11" customFormat="1" x14ac:dyDescent="0.25">
      <c r="A19" s="50" t="s">
        <v>358</v>
      </c>
      <c r="B19" s="51">
        <v>9.5399999999999991</v>
      </c>
      <c r="C19" s="51">
        <v>84.75</v>
      </c>
      <c r="D19" s="51">
        <v>51.81</v>
      </c>
      <c r="E19" s="51">
        <v>4.68</v>
      </c>
      <c r="F19" s="51">
        <v>11.71</v>
      </c>
      <c r="G19" s="51">
        <v>86.94</v>
      </c>
      <c r="H19" s="51">
        <v>37.229999999999997</v>
      </c>
      <c r="I19" s="51">
        <v>4.13</v>
      </c>
      <c r="J19" s="51">
        <v>0.99</v>
      </c>
      <c r="K19" s="51">
        <v>272.72000000000003</v>
      </c>
      <c r="L19" s="51">
        <v>32.369999999999997</v>
      </c>
      <c r="M19" s="51">
        <v>28.35</v>
      </c>
      <c r="N19" s="51">
        <v>723.1</v>
      </c>
      <c r="O19" s="51">
        <v>0</v>
      </c>
      <c r="P19" s="51">
        <v>1.08</v>
      </c>
      <c r="Q19" s="51">
        <v>9.6</v>
      </c>
      <c r="R19" s="43"/>
      <c r="S19" s="43"/>
      <c r="T19" s="43"/>
      <c r="U19" s="43"/>
    </row>
    <row r="20" spans="1:21" s="11" customFormat="1" x14ac:dyDescent="0.25">
      <c r="A20" s="50" t="s">
        <v>359</v>
      </c>
      <c r="B20" s="51">
        <v>3.51</v>
      </c>
      <c r="C20" s="51">
        <v>76.709999999999994</v>
      </c>
      <c r="D20" s="51">
        <v>42.9</v>
      </c>
      <c r="E20" s="51">
        <v>5.12</v>
      </c>
      <c r="F20" s="51">
        <v>14.64</v>
      </c>
      <c r="G20" s="51">
        <v>86.04</v>
      </c>
      <c r="H20" s="51">
        <v>33.700000000000003</v>
      </c>
      <c r="I20" s="51">
        <v>4.1500000000000004</v>
      </c>
      <c r="J20" s="51">
        <v>1.24</v>
      </c>
      <c r="K20" s="51">
        <v>283.08</v>
      </c>
      <c r="L20" s="51">
        <v>33.909999999999997</v>
      </c>
      <c r="M20" s="51">
        <v>25.03</v>
      </c>
      <c r="N20" s="51">
        <v>725.1</v>
      </c>
      <c r="O20" s="51">
        <v>0</v>
      </c>
      <c r="P20" s="51">
        <v>0.92</v>
      </c>
      <c r="Q20" s="51">
        <v>9.58</v>
      </c>
      <c r="R20" s="43"/>
      <c r="S20" s="43"/>
      <c r="T20" s="43"/>
      <c r="U20" s="43"/>
    </row>
    <row r="21" spans="1:21" s="11" customFormat="1" x14ac:dyDescent="0.25">
      <c r="A21" s="50" t="s">
        <v>360</v>
      </c>
      <c r="B21" s="51">
        <v>3.55</v>
      </c>
      <c r="C21" s="51">
        <v>69.08</v>
      </c>
      <c r="D21" s="51">
        <v>38.94</v>
      </c>
      <c r="E21" s="51">
        <v>10.28</v>
      </c>
      <c r="F21" s="51">
        <v>22.25</v>
      </c>
      <c r="G21" s="51">
        <v>84.88</v>
      </c>
      <c r="H21" s="51">
        <v>31.42</v>
      </c>
      <c r="I21" s="51">
        <v>4.1100000000000003</v>
      </c>
      <c r="J21" s="51">
        <v>1.1499999999999999</v>
      </c>
      <c r="K21" s="51">
        <v>284.06</v>
      </c>
      <c r="L21" s="51">
        <v>34.950000000000003</v>
      </c>
      <c r="M21" s="51">
        <v>21.95</v>
      </c>
      <c r="N21" s="51">
        <v>707</v>
      </c>
      <c r="O21" s="51">
        <v>0</v>
      </c>
      <c r="P21" s="51">
        <v>0.88</v>
      </c>
      <c r="Q21" s="51">
        <v>9.48</v>
      </c>
      <c r="R21" s="43"/>
      <c r="S21" s="43"/>
      <c r="T21" s="43"/>
      <c r="U21" s="43"/>
    </row>
    <row r="22" spans="1:21" s="11" customFormat="1" x14ac:dyDescent="0.25">
      <c r="A22" s="50" t="s">
        <v>361</v>
      </c>
      <c r="B22" s="51">
        <v>4.62</v>
      </c>
      <c r="C22" s="51">
        <v>68.45</v>
      </c>
      <c r="D22" s="51">
        <v>39.44</v>
      </c>
      <c r="E22" s="51">
        <v>7.27</v>
      </c>
      <c r="F22" s="51">
        <v>19.54</v>
      </c>
      <c r="G22" s="51">
        <v>91.9</v>
      </c>
      <c r="H22" s="51">
        <v>31.46</v>
      </c>
      <c r="I22" s="51">
        <v>4.1399999999999997</v>
      </c>
      <c r="J22" s="51">
        <v>1.83</v>
      </c>
      <c r="K22" s="51">
        <v>305.5</v>
      </c>
      <c r="L22" s="51">
        <v>35.51</v>
      </c>
      <c r="M22" s="51">
        <v>20.91</v>
      </c>
      <c r="N22" s="51">
        <v>707.8</v>
      </c>
      <c r="O22" s="51">
        <v>0</v>
      </c>
      <c r="P22" s="51">
        <v>0.85</v>
      </c>
      <c r="Q22" s="51">
        <v>9.4499999999999993</v>
      </c>
      <c r="R22" s="43"/>
      <c r="S22" s="43"/>
      <c r="T22" s="43"/>
      <c r="U22" s="43"/>
    </row>
    <row r="23" spans="1:21" s="11" customFormat="1" x14ac:dyDescent="0.25">
      <c r="A23" s="50" t="s">
        <v>362</v>
      </c>
      <c r="B23" s="51">
        <v>4.21</v>
      </c>
      <c r="C23" s="51">
        <v>62.7</v>
      </c>
      <c r="D23" s="51">
        <v>35.96</v>
      </c>
      <c r="E23" s="51">
        <v>6.44</v>
      </c>
      <c r="F23" s="51">
        <v>20.25</v>
      </c>
      <c r="G23" s="51">
        <v>79.569999999999993</v>
      </c>
      <c r="H23" s="51">
        <v>27.63</v>
      </c>
      <c r="I23" s="51">
        <v>4.04</v>
      </c>
      <c r="J23" s="51">
        <v>1.76</v>
      </c>
      <c r="K23" s="51">
        <v>300.49</v>
      </c>
      <c r="L23" s="51">
        <v>34.92</v>
      </c>
      <c r="M23" s="51">
        <v>19.14</v>
      </c>
      <c r="N23" s="51">
        <v>614.5</v>
      </c>
      <c r="O23" s="51">
        <v>0</v>
      </c>
      <c r="P23" s="51">
        <v>0.75</v>
      </c>
      <c r="Q23" s="51">
        <v>9.23</v>
      </c>
      <c r="R23" s="43"/>
      <c r="S23" s="43"/>
      <c r="T23" s="43"/>
      <c r="U23" s="43"/>
    </row>
    <row r="24" spans="1:21" s="11" customFormat="1" x14ac:dyDescent="0.25">
      <c r="A24" s="50" t="s">
        <v>363</v>
      </c>
      <c r="B24" s="51">
        <v>5.25</v>
      </c>
      <c r="C24" s="51">
        <v>60.97</v>
      </c>
      <c r="D24" s="51">
        <v>36.07</v>
      </c>
      <c r="E24" s="51">
        <v>5.82</v>
      </c>
      <c r="F24" s="51">
        <v>16.48</v>
      </c>
      <c r="G24" s="51">
        <v>67.489999999999995</v>
      </c>
      <c r="H24" s="51">
        <v>26.06</v>
      </c>
      <c r="I24" s="51">
        <v>4.07</v>
      </c>
      <c r="J24" s="51">
        <v>2.0099999999999998</v>
      </c>
      <c r="K24" s="51">
        <v>308.94</v>
      </c>
      <c r="L24" s="51">
        <v>34.590000000000003</v>
      </c>
      <c r="M24" s="51">
        <v>16.47</v>
      </c>
      <c r="N24" s="51">
        <v>255.4</v>
      </c>
      <c r="O24" s="51">
        <v>0</v>
      </c>
      <c r="P24" s="51">
        <v>0.67</v>
      </c>
      <c r="Q24" s="51">
        <v>9.17</v>
      </c>
      <c r="R24" s="43"/>
      <c r="S24" s="43"/>
      <c r="T24" s="43"/>
      <c r="U24" s="43"/>
    </row>
    <row r="25" spans="1:21" s="11" customFormat="1" x14ac:dyDescent="0.25">
      <c r="A25" s="50" t="s">
        <v>364</v>
      </c>
      <c r="B25" s="51">
        <v>5.61</v>
      </c>
      <c r="C25" s="51">
        <v>60.61</v>
      </c>
      <c r="D25" s="51">
        <v>35.85</v>
      </c>
      <c r="E25" s="51">
        <v>4.7699999999999996</v>
      </c>
      <c r="F25" s="51">
        <v>23.93</v>
      </c>
      <c r="G25" s="51">
        <v>56.39</v>
      </c>
      <c r="H25" s="51">
        <v>24.5</v>
      </c>
      <c r="I25" s="51">
        <v>4.1100000000000003</v>
      </c>
      <c r="J25" s="51">
        <v>0.98</v>
      </c>
      <c r="K25" s="51">
        <v>296.5</v>
      </c>
      <c r="L25" s="51">
        <v>33.56</v>
      </c>
      <c r="M25" s="51">
        <v>14.66</v>
      </c>
      <c r="N25" s="51">
        <v>268</v>
      </c>
      <c r="O25" s="51">
        <v>0</v>
      </c>
      <c r="P25" s="51">
        <v>0.56999999999999995</v>
      </c>
      <c r="Q25" s="51">
        <v>9.0299999999999994</v>
      </c>
      <c r="R25" s="43"/>
      <c r="S25" s="43"/>
      <c r="T25" s="43"/>
      <c r="U25" s="43"/>
    </row>
    <row r="26" spans="1:21" s="11" customFormat="1" x14ac:dyDescent="0.25">
      <c r="A26" s="50" t="s">
        <v>365</v>
      </c>
      <c r="B26" s="51">
        <v>7.66</v>
      </c>
      <c r="C26" s="51">
        <v>75.62</v>
      </c>
      <c r="D26" s="51">
        <v>44.44</v>
      </c>
      <c r="E26" s="51">
        <v>9.17</v>
      </c>
      <c r="F26" s="51">
        <v>34.19</v>
      </c>
      <c r="G26" s="51">
        <v>37.78</v>
      </c>
      <c r="H26" s="51">
        <v>20.99</v>
      </c>
      <c r="I26" s="51">
        <v>4.0599999999999996</v>
      </c>
      <c r="J26" s="51">
        <v>0.65</v>
      </c>
      <c r="K26" s="51">
        <v>285.91000000000003</v>
      </c>
      <c r="L26" s="51">
        <v>32</v>
      </c>
      <c r="M26" s="51">
        <v>14.03</v>
      </c>
      <c r="N26" s="51">
        <v>107.2</v>
      </c>
      <c r="O26" s="51">
        <v>0</v>
      </c>
      <c r="P26" s="51">
        <v>0.89</v>
      </c>
      <c r="Q26" s="51">
        <v>9</v>
      </c>
      <c r="R26" s="43"/>
      <c r="S26" s="43"/>
      <c r="T26" s="43"/>
      <c r="U26" s="43"/>
    </row>
    <row r="27" spans="1:21" s="11" customFormat="1" x14ac:dyDescent="0.25">
      <c r="A27" s="50" t="s">
        <v>366</v>
      </c>
      <c r="B27" s="51">
        <v>79.31</v>
      </c>
      <c r="C27" s="51">
        <v>130.71</v>
      </c>
      <c r="D27" s="51">
        <v>130.77000000000001</v>
      </c>
      <c r="E27" s="51">
        <v>15.11</v>
      </c>
      <c r="F27" s="51">
        <v>18.96</v>
      </c>
      <c r="G27" s="51">
        <v>62.37</v>
      </c>
      <c r="H27" s="51">
        <v>19.190000000000001</v>
      </c>
      <c r="I27" s="51">
        <v>4.09</v>
      </c>
      <c r="J27" s="51">
        <v>0.83</v>
      </c>
      <c r="K27" s="51">
        <v>260.08</v>
      </c>
      <c r="L27" s="51">
        <v>29.31</v>
      </c>
      <c r="M27" s="51">
        <v>22.63</v>
      </c>
      <c r="N27" s="51">
        <v>67.8</v>
      </c>
      <c r="O27" s="51">
        <v>0</v>
      </c>
      <c r="P27" s="51">
        <v>1.88</v>
      </c>
      <c r="Q27" s="51">
        <v>9.33</v>
      </c>
      <c r="R27" s="43"/>
      <c r="S27" s="43"/>
      <c r="T27" s="43"/>
      <c r="U27" s="43"/>
    </row>
    <row r="28" spans="1:21" s="11" customFormat="1" x14ac:dyDescent="0.25">
      <c r="A28" s="50" t="s">
        <v>367</v>
      </c>
      <c r="B28" s="51">
        <v>117.64</v>
      </c>
      <c r="C28" s="51">
        <v>133.51</v>
      </c>
      <c r="D28" s="51">
        <v>164.1</v>
      </c>
      <c r="E28" s="51">
        <v>9.84</v>
      </c>
      <c r="F28" s="51">
        <v>9.1</v>
      </c>
      <c r="G28" s="51">
        <v>84.7</v>
      </c>
      <c r="H28" s="51">
        <v>22.25</v>
      </c>
      <c r="I28" s="51">
        <v>4.07</v>
      </c>
      <c r="J28" s="51">
        <v>0.55000000000000004</v>
      </c>
      <c r="K28" s="51">
        <v>353.96</v>
      </c>
      <c r="L28" s="51">
        <v>25.89</v>
      </c>
      <c r="M28" s="51">
        <v>30.89</v>
      </c>
      <c r="N28" s="51">
        <v>66</v>
      </c>
      <c r="O28" s="51">
        <v>0</v>
      </c>
      <c r="P28" s="51">
        <v>2.35</v>
      </c>
      <c r="Q28" s="51">
        <v>9.52</v>
      </c>
      <c r="R28" s="43"/>
      <c r="S28" s="43"/>
      <c r="T28" s="43"/>
      <c r="U28" s="43"/>
    </row>
    <row r="29" spans="1:21" s="11" customFormat="1" x14ac:dyDescent="0.25">
      <c r="A29" s="50" t="s">
        <v>368</v>
      </c>
      <c r="B29" s="51">
        <v>130.94999999999999</v>
      </c>
      <c r="C29" s="51">
        <v>132.72</v>
      </c>
      <c r="D29" s="51">
        <v>174.11</v>
      </c>
      <c r="E29" s="51">
        <v>11.64</v>
      </c>
      <c r="F29" s="51">
        <v>9.68</v>
      </c>
      <c r="G29" s="51">
        <v>107.37</v>
      </c>
      <c r="H29" s="51">
        <v>14.46</v>
      </c>
      <c r="I29" s="51">
        <v>3.99</v>
      </c>
      <c r="J29" s="51">
        <v>0.6</v>
      </c>
      <c r="K29" s="51">
        <v>315.47000000000003</v>
      </c>
      <c r="L29" s="51">
        <v>24.17</v>
      </c>
      <c r="M29" s="51">
        <v>32.22</v>
      </c>
      <c r="N29" s="51">
        <v>65.7</v>
      </c>
      <c r="O29" s="51">
        <v>0</v>
      </c>
      <c r="P29" s="51">
        <v>2.2200000000000002</v>
      </c>
      <c r="Q29" s="51">
        <v>9.6</v>
      </c>
      <c r="R29" s="43"/>
      <c r="S29" s="43"/>
      <c r="T29" s="43"/>
      <c r="U29" s="43"/>
    </row>
    <row r="30" spans="1:21" s="11" customFormat="1" x14ac:dyDescent="0.25">
      <c r="A30" s="50" t="s">
        <v>369</v>
      </c>
      <c r="B30" s="51">
        <v>191.32</v>
      </c>
      <c r="C30" s="51">
        <v>132.29</v>
      </c>
      <c r="D30" s="51">
        <v>222.2</v>
      </c>
      <c r="E30" s="51">
        <v>10.38</v>
      </c>
      <c r="F30" s="51">
        <v>8.9</v>
      </c>
      <c r="G30" s="51">
        <v>122.86</v>
      </c>
      <c r="H30" s="51">
        <v>32.42</v>
      </c>
      <c r="I30" s="51">
        <v>4.07</v>
      </c>
      <c r="J30" s="51">
        <v>0.4</v>
      </c>
      <c r="K30" s="51">
        <v>319.37</v>
      </c>
      <c r="L30" s="51">
        <v>22.61</v>
      </c>
      <c r="M30" s="51">
        <v>39</v>
      </c>
      <c r="N30" s="51">
        <v>65.7</v>
      </c>
      <c r="O30" s="51">
        <v>0</v>
      </c>
      <c r="P30" s="51">
        <v>3.18</v>
      </c>
      <c r="Q30" s="51">
        <v>9.7100000000000009</v>
      </c>
      <c r="R30" s="43"/>
      <c r="S30" s="43"/>
      <c r="T30" s="43"/>
      <c r="U30" s="43"/>
    </row>
    <row r="31" spans="1:21" s="11" customFormat="1" x14ac:dyDescent="0.25">
      <c r="A31" s="50" t="s">
        <v>370</v>
      </c>
      <c r="B31" s="51">
        <v>136.78</v>
      </c>
      <c r="C31" s="51">
        <v>111.13</v>
      </c>
      <c r="D31" s="51">
        <v>164.78</v>
      </c>
      <c r="E31" s="51">
        <v>8.99</v>
      </c>
      <c r="F31" s="51">
        <v>8.82</v>
      </c>
      <c r="G31" s="51">
        <v>139.65</v>
      </c>
      <c r="H31" s="51">
        <v>94.94</v>
      </c>
      <c r="I31" s="51">
        <v>4.07</v>
      </c>
      <c r="J31" s="51">
        <v>0.63</v>
      </c>
      <c r="K31" s="51">
        <v>279.85000000000002</v>
      </c>
      <c r="L31" s="51">
        <v>22.55</v>
      </c>
      <c r="M31" s="51">
        <v>41.12</v>
      </c>
      <c r="N31" s="51">
        <v>65.5</v>
      </c>
      <c r="O31" s="51">
        <v>0</v>
      </c>
      <c r="P31" s="51">
        <v>2.2200000000000002</v>
      </c>
      <c r="Q31" s="51">
        <v>9.7799999999999994</v>
      </c>
      <c r="R31" s="43"/>
      <c r="S31" s="43"/>
      <c r="T31" s="43"/>
      <c r="U31" s="43"/>
    </row>
    <row r="32" spans="1:21" s="11" customFormat="1" x14ac:dyDescent="0.25">
      <c r="A32" s="50" t="s">
        <v>371</v>
      </c>
      <c r="B32" s="51">
        <v>159.15</v>
      </c>
      <c r="C32" s="51">
        <v>105.04</v>
      </c>
      <c r="D32" s="51">
        <v>182.51</v>
      </c>
      <c r="E32" s="51">
        <v>7.91</v>
      </c>
      <c r="F32" s="51">
        <v>9.86</v>
      </c>
      <c r="G32" s="51">
        <v>139.49</v>
      </c>
      <c r="H32" s="51">
        <v>48.41</v>
      </c>
      <c r="I32" s="51">
        <v>4.13</v>
      </c>
      <c r="J32" s="51">
        <v>0.79</v>
      </c>
      <c r="K32" s="51">
        <v>345.42</v>
      </c>
      <c r="L32" s="51">
        <v>22.08</v>
      </c>
      <c r="M32" s="51">
        <v>44.69</v>
      </c>
      <c r="N32" s="51">
        <v>66</v>
      </c>
      <c r="O32" s="51">
        <v>0</v>
      </c>
      <c r="P32" s="51">
        <v>2.6</v>
      </c>
      <c r="Q32" s="51">
        <v>9.8800000000000008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3.51</v>
      </c>
      <c r="C34" s="28">
        <f t="shared" si="0"/>
        <v>60.61</v>
      </c>
      <c r="D34" s="28">
        <f t="shared" si="0"/>
        <v>35.85</v>
      </c>
      <c r="E34" s="28">
        <f t="shared" si="0"/>
        <v>2.0099999999999998</v>
      </c>
      <c r="F34" s="28">
        <f t="shared" si="0"/>
        <v>7.75</v>
      </c>
      <c r="G34" s="28">
        <f t="shared" si="0"/>
        <v>37.78</v>
      </c>
      <c r="H34" s="28">
        <f t="shared" si="0"/>
        <v>14.46</v>
      </c>
      <c r="I34" s="28">
        <f t="shared" si="0"/>
        <v>3.97</v>
      </c>
      <c r="J34" s="28">
        <f t="shared" si="0"/>
        <v>0.4</v>
      </c>
      <c r="K34" s="28">
        <f t="shared" si="0"/>
        <v>237.17</v>
      </c>
      <c r="L34" s="28">
        <f t="shared" si="0"/>
        <v>19.12</v>
      </c>
      <c r="M34" s="28">
        <f t="shared" si="0"/>
        <v>14.03</v>
      </c>
      <c r="N34" s="28">
        <f t="shared" si="0"/>
        <v>65.5</v>
      </c>
      <c r="O34" s="28">
        <f t="shared" si="0"/>
        <v>0</v>
      </c>
      <c r="P34" s="28">
        <f t="shared" si="0"/>
        <v>0.56999999999999995</v>
      </c>
      <c r="Q34" s="28">
        <f t="shared" si="0"/>
        <v>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191.32</v>
      </c>
      <c r="C35" s="29">
        <f t="shared" si="1"/>
        <v>133.51</v>
      </c>
      <c r="D35" s="29">
        <f t="shared" si="1"/>
        <v>222.2</v>
      </c>
      <c r="E35" s="29">
        <f t="shared" si="1"/>
        <v>15.11</v>
      </c>
      <c r="F35" s="29">
        <f t="shared" si="1"/>
        <v>34.19</v>
      </c>
      <c r="G35" s="29">
        <f t="shared" si="1"/>
        <v>139.65</v>
      </c>
      <c r="H35" s="29">
        <f t="shared" si="1"/>
        <v>94.94</v>
      </c>
      <c r="I35" s="29">
        <f t="shared" si="1"/>
        <v>4.16</v>
      </c>
      <c r="J35" s="29">
        <f t="shared" si="1"/>
        <v>2.0099999999999998</v>
      </c>
      <c r="K35" s="29">
        <f t="shared" si="1"/>
        <v>358.64</v>
      </c>
      <c r="L35" s="29">
        <f t="shared" si="1"/>
        <v>35.51</v>
      </c>
      <c r="M35" s="29">
        <f t="shared" si="1"/>
        <v>49.13</v>
      </c>
      <c r="N35" s="29">
        <f t="shared" si="1"/>
        <v>725.1</v>
      </c>
      <c r="O35" s="29">
        <f t="shared" si="1"/>
        <v>0</v>
      </c>
      <c r="P35" s="29">
        <f t="shared" si="1"/>
        <v>3.18</v>
      </c>
      <c r="Q35" s="29">
        <f t="shared" si="1"/>
        <v>9.8800000000000008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57.730833333333329</v>
      </c>
      <c r="C36" s="28">
        <f t="shared" si="2"/>
        <v>86.143750000000011</v>
      </c>
      <c r="D36" s="28">
        <f t="shared" si="2"/>
        <v>90.647499999999994</v>
      </c>
      <c r="E36" s="28">
        <f t="shared" si="2"/>
        <v>6.5987499999999999</v>
      </c>
      <c r="F36" s="28">
        <f t="shared" si="2"/>
        <v>14.444166666666666</v>
      </c>
      <c r="G36" s="28">
        <f t="shared" si="2"/>
        <v>88.28166666666668</v>
      </c>
      <c r="H36" s="28">
        <f t="shared" si="2"/>
        <v>32.098750000000003</v>
      </c>
      <c r="I36" s="28">
        <f t="shared" si="2"/>
        <v>4.0770833333333334</v>
      </c>
      <c r="J36" s="28">
        <f t="shared" si="2"/>
        <v>0.91708333333333314</v>
      </c>
      <c r="K36" s="28">
        <f t="shared" si="2"/>
        <v>293.89291666666668</v>
      </c>
      <c r="L36" s="28">
        <f t="shared" si="2"/>
        <v>26.715833333333332</v>
      </c>
      <c r="M36" s="28">
        <f t="shared" si="2"/>
        <v>33.842083333333335</v>
      </c>
      <c r="N36" s="28">
        <f t="shared" si="2"/>
        <v>269.75833333333333</v>
      </c>
      <c r="O36" s="28">
        <f t="shared" si="2"/>
        <v>0</v>
      </c>
      <c r="P36" s="28">
        <f t="shared" si="2"/>
        <v>1.4275000000000002</v>
      </c>
      <c r="Q36" s="28">
        <f t="shared" si="2"/>
        <v>9.5762499999999999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55.995961338581232</v>
      </c>
      <c r="C37" s="28">
        <f t="shared" ref="C37:Q37" si="3">STDEV(C9:C32)</f>
        <v>24.903337093039614</v>
      </c>
      <c r="D37" s="28">
        <f t="shared" si="3"/>
        <v>55.961574025319401</v>
      </c>
      <c r="E37" s="28">
        <f t="shared" si="3"/>
        <v>3.247036525149074</v>
      </c>
      <c r="F37" s="28">
        <f t="shared" si="3"/>
        <v>6.2865425049598418</v>
      </c>
      <c r="G37" s="28">
        <f t="shared" si="3"/>
        <v>24.699376627702566</v>
      </c>
      <c r="H37" s="28">
        <f t="shared" si="3"/>
        <v>15.028370362779507</v>
      </c>
      <c r="I37" s="28">
        <f t="shared" si="3"/>
        <v>5.0517252039508097E-2</v>
      </c>
      <c r="J37" s="28">
        <f t="shared" si="3"/>
        <v>0.41431430168377059</v>
      </c>
      <c r="K37" s="28">
        <f t="shared" si="3"/>
        <v>36.55942696239682</v>
      </c>
      <c r="L37" s="28">
        <f t="shared" si="3"/>
        <v>6.0262598658715749</v>
      </c>
      <c r="M37" s="28">
        <f t="shared" si="3"/>
        <v>12.069920924479518</v>
      </c>
      <c r="N37" s="28">
        <f t="shared" si="3"/>
        <v>267.48922597834246</v>
      </c>
      <c r="O37" s="28">
        <f t="shared" si="3"/>
        <v>0</v>
      </c>
      <c r="P37" s="28">
        <f t="shared" si="3"/>
        <v>0.67474471823246474</v>
      </c>
      <c r="Q37" s="28">
        <f t="shared" si="3"/>
        <v>0.25713830655048708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372</v>
      </c>
      <c r="B9" s="51">
        <v>80.260000000000005</v>
      </c>
      <c r="C9" s="51">
        <v>91.95</v>
      </c>
      <c r="D9" s="51">
        <v>110.14</v>
      </c>
      <c r="E9" s="51">
        <v>8.1300000000000008</v>
      </c>
      <c r="F9" s="51">
        <v>16.13</v>
      </c>
      <c r="G9" s="51">
        <v>131.43</v>
      </c>
      <c r="H9" s="51">
        <v>42.32</v>
      </c>
      <c r="I9" s="51">
        <v>4.1900000000000004</v>
      </c>
      <c r="J9" s="51">
        <v>0.66</v>
      </c>
      <c r="K9" s="51">
        <v>326.88</v>
      </c>
      <c r="L9" s="51">
        <v>21.03</v>
      </c>
      <c r="M9" s="51">
        <v>40.46</v>
      </c>
      <c r="N9" s="51">
        <v>65.8</v>
      </c>
      <c r="O9" s="51">
        <v>0</v>
      </c>
      <c r="P9" s="51">
        <v>2.59</v>
      </c>
      <c r="Q9" s="51">
        <v>9.89</v>
      </c>
      <c r="R9" s="43"/>
      <c r="S9" s="43"/>
      <c r="T9" s="43"/>
      <c r="U9" s="43"/>
    </row>
    <row r="10" spans="1:21" s="11" customFormat="1" x14ac:dyDescent="0.25">
      <c r="A10" s="50" t="s">
        <v>373</v>
      </c>
      <c r="B10" s="51">
        <v>33.85</v>
      </c>
      <c r="C10" s="51">
        <v>76.599999999999994</v>
      </c>
      <c r="D10" s="51">
        <v>67.17</v>
      </c>
      <c r="E10" s="51">
        <v>11.62</v>
      </c>
      <c r="F10" s="51">
        <v>24.77</v>
      </c>
      <c r="G10" s="51">
        <v>128.08000000000001</v>
      </c>
      <c r="H10" s="51">
        <v>34.200000000000003</v>
      </c>
      <c r="I10" s="51">
        <v>4.0999999999999996</v>
      </c>
      <c r="J10" s="51">
        <v>0.47</v>
      </c>
      <c r="K10" s="51">
        <v>302.14999999999998</v>
      </c>
      <c r="L10" s="51">
        <v>22.1</v>
      </c>
      <c r="M10" s="51">
        <v>36.72</v>
      </c>
      <c r="N10" s="51">
        <v>65.8</v>
      </c>
      <c r="O10" s="51">
        <v>0</v>
      </c>
      <c r="P10" s="51">
        <v>2.37</v>
      </c>
      <c r="Q10" s="51">
        <v>9.83</v>
      </c>
      <c r="R10" s="43"/>
      <c r="S10" s="43"/>
      <c r="T10" s="43"/>
      <c r="U10" s="43"/>
    </row>
    <row r="11" spans="1:21" s="11" customFormat="1" x14ac:dyDescent="0.25">
      <c r="A11" s="50" t="s">
        <v>374</v>
      </c>
      <c r="B11" s="51">
        <v>43.21</v>
      </c>
      <c r="C11" s="51">
        <v>76.89</v>
      </c>
      <c r="D11" s="51">
        <v>72.099999999999994</v>
      </c>
      <c r="E11" s="51">
        <v>12.45</v>
      </c>
      <c r="F11" s="51">
        <v>20.97</v>
      </c>
      <c r="G11" s="51">
        <v>109.87</v>
      </c>
      <c r="H11" s="51">
        <v>36.96</v>
      </c>
      <c r="I11" s="51">
        <v>4.09</v>
      </c>
      <c r="J11" s="51">
        <v>0.44</v>
      </c>
      <c r="K11" s="51">
        <v>282.89</v>
      </c>
      <c r="L11" s="51">
        <v>21.57</v>
      </c>
      <c r="M11" s="51">
        <v>41.4</v>
      </c>
      <c r="N11" s="51">
        <v>65.900000000000006</v>
      </c>
      <c r="O11" s="51">
        <v>0</v>
      </c>
      <c r="P11" s="51">
        <v>2.4300000000000002</v>
      </c>
      <c r="Q11" s="51">
        <v>9.8000000000000007</v>
      </c>
      <c r="R11" s="43"/>
      <c r="S11" s="43"/>
      <c r="T11" s="43"/>
      <c r="U11" s="43"/>
    </row>
    <row r="12" spans="1:21" s="11" customFormat="1" x14ac:dyDescent="0.25">
      <c r="A12" s="50" t="s">
        <v>375</v>
      </c>
      <c r="B12" s="51">
        <v>44.96</v>
      </c>
      <c r="C12" s="51">
        <v>71.510000000000005</v>
      </c>
      <c r="D12" s="51">
        <v>73.41</v>
      </c>
      <c r="E12" s="51">
        <v>5.12</v>
      </c>
      <c r="F12" s="51">
        <v>11.8</v>
      </c>
      <c r="G12" s="51">
        <v>93.43</v>
      </c>
      <c r="H12" s="51">
        <v>36.96</v>
      </c>
      <c r="I12" s="51">
        <v>4.0599999999999996</v>
      </c>
      <c r="J12" s="51">
        <v>0.89</v>
      </c>
      <c r="K12" s="51">
        <v>270.27</v>
      </c>
      <c r="L12" s="51">
        <v>21.28</v>
      </c>
      <c r="M12" s="51">
        <v>44.59</v>
      </c>
      <c r="N12" s="51">
        <v>66.2</v>
      </c>
      <c r="O12" s="51">
        <v>0</v>
      </c>
      <c r="P12" s="51">
        <v>2.27</v>
      </c>
      <c r="Q12" s="51">
        <v>9.74</v>
      </c>
      <c r="R12" s="43"/>
      <c r="S12" s="43"/>
      <c r="T12" s="43"/>
      <c r="U12" s="43"/>
    </row>
    <row r="13" spans="1:21" s="11" customFormat="1" x14ac:dyDescent="0.25">
      <c r="A13" s="50" t="s">
        <v>376</v>
      </c>
      <c r="B13" s="51">
        <v>39.270000000000003</v>
      </c>
      <c r="C13" s="51">
        <v>68.38</v>
      </c>
      <c r="D13" s="51">
        <v>67.19</v>
      </c>
      <c r="E13" s="51">
        <v>3.95</v>
      </c>
      <c r="F13" s="51">
        <v>11.27</v>
      </c>
      <c r="G13" s="51">
        <v>95.29</v>
      </c>
      <c r="H13" s="51">
        <v>52.45</v>
      </c>
      <c r="I13" s="51">
        <v>4.07</v>
      </c>
      <c r="J13" s="51">
        <v>0.87</v>
      </c>
      <c r="K13" s="51">
        <v>291.24</v>
      </c>
      <c r="L13" s="51">
        <v>20.68</v>
      </c>
      <c r="M13" s="51">
        <v>43.23</v>
      </c>
      <c r="N13" s="51">
        <v>65.8</v>
      </c>
      <c r="O13" s="51">
        <v>0</v>
      </c>
      <c r="P13" s="51">
        <v>2.1800000000000002</v>
      </c>
      <c r="Q13" s="51">
        <v>9.69</v>
      </c>
      <c r="R13" s="43"/>
      <c r="S13" s="43"/>
      <c r="T13" s="43"/>
      <c r="U13" s="43"/>
    </row>
    <row r="14" spans="1:21" s="11" customFormat="1" x14ac:dyDescent="0.25">
      <c r="A14" s="50" t="s">
        <v>377</v>
      </c>
      <c r="B14" s="51">
        <v>31.83</v>
      </c>
      <c r="C14" s="51">
        <v>69.45</v>
      </c>
      <c r="D14" s="51">
        <v>61.81</v>
      </c>
      <c r="E14" s="51">
        <v>4.95</v>
      </c>
      <c r="F14" s="51">
        <v>16.850000000000001</v>
      </c>
      <c r="G14" s="51">
        <v>85.58</v>
      </c>
      <c r="H14" s="51">
        <v>38.340000000000003</v>
      </c>
      <c r="I14" s="51">
        <v>4</v>
      </c>
      <c r="J14" s="51">
        <v>0.65</v>
      </c>
      <c r="K14" s="51">
        <v>274.24</v>
      </c>
      <c r="L14" s="51">
        <v>19.95</v>
      </c>
      <c r="M14" s="51">
        <v>48.41</v>
      </c>
      <c r="N14" s="51">
        <v>66.2</v>
      </c>
      <c r="O14" s="51">
        <v>0</v>
      </c>
      <c r="P14" s="51">
        <v>1.98</v>
      </c>
      <c r="Q14" s="51">
        <v>9.65</v>
      </c>
      <c r="R14" s="43"/>
      <c r="S14" s="43"/>
      <c r="T14" s="43"/>
      <c r="U14" s="43"/>
    </row>
    <row r="15" spans="1:21" s="11" customFormat="1" x14ac:dyDescent="0.25">
      <c r="A15" s="50" t="s">
        <v>378</v>
      </c>
      <c r="B15" s="51">
        <v>20.18</v>
      </c>
      <c r="C15" s="51">
        <v>60.42</v>
      </c>
      <c r="D15" s="51">
        <v>47.06</v>
      </c>
      <c r="E15" s="51">
        <v>5.21</v>
      </c>
      <c r="F15" s="51">
        <v>16.7</v>
      </c>
      <c r="G15" s="51">
        <v>79.13</v>
      </c>
      <c r="H15" s="51">
        <v>31.46</v>
      </c>
      <c r="I15" s="51">
        <v>4.03</v>
      </c>
      <c r="J15" s="51">
        <v>0.76</v>
      </c>
      <c r="K15" s="51">
        <v>302.45999999999998</v>
      </c>
      <c r="L15" s="51">
        <v>20.170000000000002</v>
      </c>
      <c r="M15" s="51">
        <v>47.45</v>
      </c>
      <c r="N15" s="51">
        <v>130.80000000000001</v>
      </c>
      <c r="O15" s="51">
        <v>0</v>
      </c>
      <c r="P15" s="51">
        <v>1.7</v>
      </c>
      <c r="Q15" s="51">
        <v>9.66</v>
      </c>
      <c r="R15" s="43"/>
      <c r="S15" s="43"/>
      <c r="T15" s="43"/>
      <c r="U15" s="43"/>
    </row>
    <row r="16" spans="1:21" s="11" customFormat="1" x14ac:dyDescent="0.25">
      <c r="A16" s="50" t="s">
        <v>379</v>
      </c>
      <c r="B16" s="51">
        <v>23.71</v>
      </c>
      <c r="C16" s="51">
        <v>66.7</v>
      </c>
      <c r="D16" s="51">
        <v>51.87</v>
      </c>
      <c r="E16" s="51">
        <v>5.24</v>
      </c>
      <c r="F16" s="51">
        <v>12.14</v>
      </c>
      <c r="G16" s="51">
        <v>79.040000000000006</v>
      </c>
      <c r="H16" s="51">
        <v>27.11</v>
      </c>
      <c r="I16" s="51">
        <v>4.09</v>
      </c>
      <c r="J16" s="51">
        <v>0.63</v>
      </c>
      <c r="K16" s="51">
        <v>242.96</v>
      </c>
      <c r="L16" s="51">
        <v>23.42</v>
      </c>
      <c r="M16" s="51">
        <v>46.26</v>
      </c>
      <c r="N16" s="51">
        <v>289.2</v>
      </c>
      <c r="O16" s="51">
        <v>0</v>
      </c>
      <c r="P16" s="51">
        <v>1.78</v>
      </c>
      <c r="Q16" s="51">
        <v>9.64</v>
      </c>
      <c r="R16" s="43"/>
      <c r="S16" s="43"/>
      <c r="T16" s="43"/>
      <c r="U16" s="43"/>
    </row>
    <row r="17" spans="1:21" s="11" customFormat="1" x14ac:dyDescent="0.25">
      <c r="A17" s="50" t="s">
        <v>380</v>
      </c>
      <c r="B17" s="51">
        <v>17.38</v>
      </c>
      <c r="C17" s="51">
        <v>68.8</v>
      </c>
      <c r="D17" s="51">
        <v>49.28</v>
      </c>
      <c r="E17" s="51">
        <v>4.07</v>
      </c>
      <c r="F17" s="51">
        <v>8.89</v>
      </c>
      <c r="G17" s="51">
        <v>82.24</v>
      </c>
      <c r="H17" s="51">
        <v>31.64</v>
      </c>
      <c r="I17" s="51">
        <v>4.1100000000000003</v>
      </c>
      <c r="J17" s="51">
        <v>0.93</v>
      </c>
      <c r="K17" s="51">
        <v>262.35000000000002</v>
      </c>
      <c r="L17" s="51">
        <v>26.94</v>
      </c>
      <c r="M17" s="51">
        <v>39.39</v>
      </c>
      <c r="N17" s="51">
        <v>477.4</v>
      </c>
      <c r="O17" s="51">
        <v>0</v>
      </c>
      <c r="P17" s="51">
        <v>1.66</v>
      </c>
      <c r="Q17" s="51">
        <v>9.58</v>
      </c>
      <c r="R17" s="43"/>
      <c r="S17" s="43"/>
      <c r="T17" s="43"/>
      <c r="U17" s="43"/>
    </row>
    <row r="18" spans="1:21" s="11" customFormat="1" x14ac:dyDescent="0.25">
      <c r="A18" s="50" t="s">
        <v>381</v>
      </c>
      <c r="B18" s="51">
        <v>7.65</v>
      </c>
      <c r="C18" s="51">
        <v>69.12</v>
      </c>
      <c r="D18" s="51">
        <v>42.25</v>
      </c>
      <c r="E18" s="51">
        <v>4.38</v>
      </c>
      <c r="F18" s="51">
        <v>12.44</v>
      </c>
      <c r="G18" s="51">
        <v>69.88</v>
      </c>
      <c r="H18" s="51">
        <v>33.97</v>
      </c>
      <c r="I18" s="51">
        <v>4.1399999999999997</v>
      </c>
      <c r="J18" s="51">
        <v>0.94</v>
      </c>
      <c r="K18" s="51">
        <v>274.04000000000002</v>
      </c>
      <c r="L18" s="51">
        <v>30.37</v>
      </c>
      <c r="M18" s="51">
        <v>34.26</v>
      </c>
      <c r="N18" s="51">
        <v>630.70000000000005</v>
      </c>
      <c r="O18" s="51">
        <v>0</v>
      </c>
      <c r="P18" s="51">
        <v>1.47</v>
      </c>
      <c r="Q18" s="51">
        <v>9.5</v>
      </c>
      <c r="R18" s="43"/>
      <c r="S18" s="43"/>
      <c r="T18" s="43"/>
      <c r="U18" s="43"/>
    </row>
    <row r="19" spans="1:21" s="11" customFormat="1" x14ac:dyDescent="0.25">
      <c r="A19" s="50" t="s">
        <v>382</v>
      </c>
      <c r="B19" s="51">
        <v>3.36</v>
      </c>
      <c r="C19" s="51">
        <v>63.5</v>
      </c>
      <c r="D19" s="51">
        <v>35.869999999999997</v>
      </c>
      <c r="E19" s="51">
        <v>5.12</v>
      </c>
      <c r="F19" s="51">
        <v>14.33</v>
      </c>
      <c r="G19" s="51">
        <v>70.849999999999994</v>
      </c>
      <c r="H19" s="51">
        <v>34.29</v>
      </c>
      <c r="I19" s="51">
        <v>4.24</v>
      </c>
      <c r="J19" s="51">
        <v>1.58</v>
      </c>
      <c r="K19" s="51">
        <v>293.89999999999998</v>
      </c>
      <c r="L19" s="51">
        <v>34.380000000000003</v>
      </c>
      <c r="M19" s="51">
        <v>31.41</v>
      </c>
      <c r="N19" s="51">
        <v>714.1</v>
      </c>
      <c r="O19" s="51">
        <v>0</v>
      </c>
      <c r="P19" s="51">
        <v>1.1299999999999999</v>
      </c>
      <c r="Q19" s="51">
        <v>9.4</v>
      </c>
      <c r="R19" s="43"/>
      <c r="S19" s="43"/>
      <c r="T19" s="43"/>
      <c r="U19" s="43"/>
    </row>
    <row r="20" spans="1:21" s="11" customFormat="1" x14ac:dyDescent="0.25">
      <c r="A20" s="50" t="s">
        <v>383</v>
      </c>
      <c r="B20" s="51">
        <v>3.44</v>
      </c>
      <c r="C20" s="51">
        <v>58.29</v>
      </c>
      <c r="D20" s="51">
        <v>33.159999999999997</v>
      </c>
      <c r="E20" s="51">
        <v>6.98</v>
      </c>
      <c r="F20" s="51">
        <v>17.23</v>
      </c>
      <c r="G20" s="51">
        <v>65.55</v>
      </c>
      <c r="H20" s="51">
        <v>30.99</v>
      </c>
      <c r="I20" s="51">
        <v>4.04</v>
      </c>
      <c r="J20" s="51">
        <v>1.23</v>
      </c>
      <c r="K20" s="51">
        <v>297.45</v>
      </c>
      <c r="L20" s="51">
        <v>36.43</v>
      </c>
      <c r="M20" s="51">
        <v>20.309999999999999</v>
      </c>
      <c r="N20" s="51">
        <v>718.1</v>
      </c>
      <c r="O20" s="51">
        <v>0</v>
      </c>
      <c r="P20" s="51">
        <v>0.84</v>
      </c>
      <c r="Q20" s="51">
        <v>9.35</v>
      </c>
      <c r="R20" s="43"/>
      <c r="S20" s="43"/>
      <c r="T20" s="43"/>
      <c r="U20" s="43"/>
    </row>
    <row r="21" spans="1:21" s="11" customFormat="1" x14ac:dyDescent="0.25">
      <c r="A21" s="50" t="s">
        <v>384</v>
      </c>
      <c r="B21" s="51">
        <v>3.37</v>
      </c>
      <c r="C21" s="51">
        <v>58.31</v>
      </c>
      <c r="D21" s="51">
        <v>33.11</v>
      </c>
      <c r="E21" s="51">
        <v>5.65</v>
      </c>
      <c r="F21" s="51">
        <v>17.55</v>
      </c>
      <c r="G21" s="51">
        <v>61.46</v>
      </c>
      <c r="H21" s="51">
        <v>23.98</v>
      </c>
      <c r="I21" s="51">
        <v>4.09</v>
      </c>
      <c r="J21" s="51">
        <v>1.85</v>
      </c>
      <c r="K21" s="51">
        <v>318.55</v>
      </c>
      <c r="L21" s="51">
        <v>37.409999999999997</v>
      </c>
      <c r="M21" s="51">
        <v>18.16</v>
      </c>
      <c r="N21" s="51">
        <v>737</v>
      </c>
      <c r="O21" s="51">
        <v>0</v>
      </c>
      <c r="P21" s="51">
        <v>0.8</v>
      </c>
      <c r="Q21" s="51">
        <v>9.25</v>
      </c>
      <c r="R21" s="43"/>
      <c r="S21" s="43"/>
      <c r="T21" s="43"/>
      <c r="U21" s="43"/>
    </row>
    <row r="22" spans="1:21" s="11" customFormat="1" x14ac:dyDescent="0.25">
      <c r="A22" s="50" t="s">
        <v>385</v>
      </c>
      <c r="B22" s="51">
        <v>3.57</v>
      </c>
      <c r="C22" s="51">
        <v>51.25</v>
      </c>
      <c r="D22" s="51">
        <v>29.56</v>
      </c>
      <c r="E22" s="51">
        <v>6.21</v>
      </c>
      <c r="F22" s="51">
        <v>19.510000000000002</v>
      </c>
      <c r="G22" s="51">
        <v>54.43</v>
      </c>
      <c r="H22" s="51">
        <v>12.35</v>
      </c>
      <c r="I22" s="51">
        <v>4.1100000000000003</v>
      </c>
      <c r="J22" s="51">
        <v>2.02</v>
      </c>
      <c r="K22" s="51">
        <v>317.51</v>
      </c>
      <c r="L22" s="51">
        <v>38.15</v>
      </c>
      <c r="M22" s="51">
        <v>15.39</v>
      </c>
      <c r="N22" s="51">
        <v>724.5</v>
      </c>
      <c r="O22" s="51">
        <v>0</v>
      </c>
      <c r="P22" s="51">
        <v>0.77</v>
      </c>
      <c r="Q22" s="51">
        <v>9.15</v>
      </c>
      <c r="R22" s="43"/>
      <c r="S22" s="43"/>
      <c r="T22" s="43"/>
      <c r="U22" s="43"/>
    </row>
    <row r="23" spans="1:21" s="11" customFormat="1" x14ac:dyDescent="0.25">
      <c r="A23" s="50" t="s">
        <v>386</v>
      </c>
      <c r="B23" s="51">
        <v>3.7</v>
      </c>
      <c r="C23" s="51">
        <v>47.5</v>
      </c>
      <c r="D23" s="51">
        <v>27.66</v>
      </c>
      <c r="E23" s="51">
        <v>20.190000000000001</v>
      </c>
      <c r="F23" s="51">
        <v>39.39</v>
      </c>
      <c r="G23" s="51">
        <v>52.46</v>
      </c>
      <c r="H23" s="51">
        <v>19.62</v>
      </c>
      <c r="I23" s="51">
        <v>4.22</v>
      </c>
      <c r="J23" s="51">
        <v>1.63</v>
      </c>
      <c r="K23" s="51">
        <v>312.33999999999997</v>
      </c>
      <c r="L23" s="51">
        <v>36.880000000000003</v>
      </c>
      <c r="M23" s="51">
        <v>15.56</v>
      </c>
      <c r="N23" s="51">
        <v>617.79999999999995</v>
      </c>
      <c r="O23" s="51">
        <v>0</v>
      </c>
      <c r="P23" s="51">
        <v>0.69</v>
      </c>
      <c r="Q23" s="51">
        <v>9.09</v>
      </c>
      <c r="R23" s="43"/>
      <c r="S23" s="43"/>
      <c r="T23" s="43"/>
      <c r="U23" s="43"/>
    </row>
    <row r="24" spans="1:21" s="11" customFormat="1" x14ac:dyDescent="0.25">
      <c r="A24" s="50" t="s">
        <v>387</v>
      </c>
      <c r="B24" s="51">
        <v>3.61</v>
      </c>
      <c r="C24" s="51">
        <v>48.62</v>
      </c>
      <c r="D24" s="51">
        <v>28.23</v>
      </c>
      <c r="E24" s="51">
        <v>20.81</v>
      </c>
      <c r="F24" s="51">
        <v>35.5</v>
      </c>
      <c r="G24" s="51">
        <v>48.04</v>
      </c>
      <c r="H24" s="51">
        <v>24.1</v>
      </c>
      <c r="I24" s="51">
        <v>4.2</v>
      </c>
      <c r="J24" s="51">
        <v>0.75</v>
      </c>
      <c r="K24" s="51">
        <v>279.32</v>
      </c>
      <c r="L24" s="51">
        <v>34.799999999999997</v>
      </c>
      <c r="M24" s="51">
        <v>15.93</v>
      </c>
      <c r="N24" s="51">
        <v>228.2</v>
      </c>
      <c r="O24" s="51">
        <v>0</v>
      </c>
      <c r="P24" s="51">
        <v>0.69</v>
      </c>
      <c r="Q24" s="51">
        <v>9.02</v>
      </c>
      <c r="R24" s="43"/>
      <c r="S24" s="43"/>
      <c r="T24" s="43"/>
      <c r="U24" s="43"/>
    </row>
    <row r="25" spans="1:21" s="11" customFormat="1" x14ac:dyDescent="0.25">
      <c r="A25" s="50" t="s">
        <v>388</v>
      </c>
      <c r="B25" s="51">
        <v>3.47</v>
      </c>
      <c r="C25" s="51">
        <v>42.57</v>
      </c>
      <c r="D25" s="51">
        <v>24.99</v>
      </c>
      <c r="E25" s="51">
        <v>14.26</v>
      </c>
      <c r="F25" s="51">
        <v>45.6</v>
      </c>
      <c r="G25" s="51">
        <v>45.67</v>
      </c>
      <c r="H25" s="51">
        <v>16.5</v>
      </c>
      <c r="I25" s="51">
        <v>4.1100000000000003</v>
      </c>
      <c r="J25" s="51">
        <v>0.84</v>
      </c>
      <c r="K25" s="51">
        <v>278.43</v>
      </c>
      <c r="L25" s="51">
        <v>33.24</v>
      </c>
      <c r="M25" s="51">
        <v>16.21</v>
      </c>
      <c r="N25" s="51">
        <v>232</v>
      </c>
      <c r="O25" s="51">
        <v>0</v>
      </c>
      <c r="P25" s="51">
        <v>0.64</v>
      </c>
      <c r="Q25" s="51">
        <v>8.98</v>
      </c>
      <c r="R25" s="43"/>
      <c r="S25" s="43"/>
      <c r="T25" s="43"/>
      <c r="U25" s="43"/>
    </row>
    <row r="26" spans="1:21" s="11" customFormat="1" x14ac:dyDescent="0.25">
      <c r="A26" s="50" t="s">
        <v>389</v>
      </c>
      <c r="B26" s="51">
        <v>4.12</v>
      </c>
      <c r="C26" s="51">
        <v>42.86</v>
      </c>
      <c r="D26" s="51">
        <v>25.7</v>
      </c>
      <c r="E26" s="51">
        <v>7.35</v>
      </c>
      <c r="F26" s="51">
        <v>28.45</v>
      </c>
      <c r="G26" s="51">
        <v>44.15</v>
      </c>
      <c r="H26" s="51">
        <v>18.32</v>
      </c>
      <c r="I26" s="51">
        <v>4.0999999999999996</v>
      </c>
      <c r="J26" s="51">
        <v>0.71</v>
      </c>
      <c r="K26" s="51">
        <v>302.86</v>
      </c>
      <c r="L26" s="51">
        <v>31.94</v>
      </c>
      <c r="M26" s="51">
        <v>18.41</v>
      </c>
      <c r="N26" s="51">
        <v>107.7</v>
      </c>
      <c r="O26" s="51">
        <v>0</v>
      </c>
      <c r="P26" s="51">
        <v>0.6</v>
      </c>
      <c r="Q26" s="51">
        <v>8.93</v>
      </c>
      <c r="R26" s="43"/>
      <c r="S26" s="43"/>
      <c r="T26" s="43"/>
      <c r="U26" s="43"/>
    </row>
    <row r="27" spans="1:21" s="11" customFormat="1" x14ac:dyDescent="0.25">
      <c r="A27" s="50" t="s">
        <v>390</v>
      </c>
      <c r="B27" s="51">
        <v>5.18</v>
      </c>
      <c r="C27" s="51">
        <v>46.28</v>
      </c>
      <c r="D27" s="51">
        <v>28.34</v>
      </c>
      <c r="E27" s="51">
        <v>6.01</v>
      </c>
      <c r="F27" s="51">
        <v>36.03</v>
      </c>
      <c r="G27" s="51">
        <v>39.049999999999997</v>
      </c>
      <c r="H27" s="51">
        <v>20.61</v>
      </c>
      <c r="I27" s="51">
        <v>4.05</v>
      </c>
      <c r="J27" s="51">
        <v>0.86</v>
      </c>
      <c r="K27" s="51">
        <v>294.43</v>
      </c>
      <c r="L27" s="51">
        <v>29.2</v>
      </c>
      <c r="M27" s="51">
        <v>21.21</v>
      </c>
      <c r="N27" s="51">
        <v>67.099999999999994</v>
      </c>
      <c r="O27" s="51">
        <v>0</v>
      </c>
      <c r="P27" s="51">
        <v>0.72</v>
      </c>
      <c r="Q27" s="51">
        <v>8.8800000000000008</v>
      </c>
      <c r="R27" s="43"/>
      <c r="S27" s="43"/>
      <c r="T27" s="43"/>
      <c r="U27" s="43"/>
    </row>
    <row r="28" spans="1:21" s="11" customFormat="1" x14ac:dyDescent="0.25">
      <c r="A28" s="50" t="s">
        <v>391</v>
      </c>
      <c r="B28" s="51">
        <v>34.33</v>
      </c>
      <c r="C28" s="51">
        <v>115.15</v>
      </c>
      <c r="D28" s="51">
        <v>87.69</v>
      </c>
      <c r="E28" s="51">
        <v>8.6300000000000008</v>
      </c>
      <c r="F28" s="51">
        <v>33.74</v>
      </c>
      <c r="G28" s="51">
        <v>39.79</v>
      </c>
      <c r="H28" s="51">
        <v>13.17</v>
      </c>
      <c r="I28" s="51">
        <v>4.0999999999999996</v>
      </c>
      <c r="J28" s="51">
        <v>0.65</v>
      </c>
      <c r="K28" s="51">
        <v>297.55</v>
      </c>
      <c r="L28" s="51">
        <v>26.79</v>
      </c>
      <c r="M28" s="51">
        <v>27.76</v>
      </c>
      <c r="N28" s="51">
        <v>65.099999999999994</v>
      </c>
      <c r="O28" s="51">
        <v>0</v>
      </c>
      <c r="P28" s="51">
        <v>1.1000000000000001</v>
      </c>
      <c r="Q28" s="51">
        <v>8.94</v>
      </c>
      <c r="R28" s="43"/>
      <c r="S28" s="43"/>
      <c r="T28" s="43"/>
      <c r="U28" s="43"/>
    </row>
    <row r="29" spans="1:21" s="11" customFormat="1" x14ac:dyDescent="0.25">
      <c r="A29" s="50" t="s">
        <v>392</v>
      </c>
      <c r="B29" s="51">
        <v>25.82</v>
      </c>
      <c r="C29" s="51">
        <v>90.65</v>
      </c>
      <c r="D29" s="51">
        <v>68.069999999999993</v>
      </c>
      <c r="E29" s="51">
        <v>8.39</v>
      </c>
      <c r="F29" s="51">
        <v>16.68</v>
      </c>
      <c r="G29" s="51">
        <v>45.95</v>
      </c>
      <c r="H29" s="51">
        <v>9.16</v>
      </c>
      <c r="I29" s="51">
        <v>4.0999999999999996</v>
      </c>
      <c r="J29" s="51">
        <v>0.8</v>
      </c>
      <c r="K29" s="51">
        <v>344.67</v>
      </c>
      <c r="L29" s="51">
        <v>24.93</v>
      </c>
      <c r="M29" s="51">
        <v>37.85</v>
      </c>
      <c r="N29" s="51">
        <v>65.599999999999994</v>
      </c>
      <c r="O29" s="51">
        <v>0</v>
      </c>
      <c r="P29" s="51">
        <v>1.55</v>
      </c>
      <c r="Q29" s="51">
        <v>9.16</v>
      </c>
      <c r="R29" s="43"/>
      <c r="S29" s="43"/>
      <c r="T29" s="43"/>
      <c r="U29" s="43"/>
    </row>
    <row r="30" spans="1:21" s="11" customFormat="1" x14ac:dyDescent="0.25">
      <c r="A30" s="50" t="s">
        <v>393</v>
      </c>
      <c r="B30" s="51">
        <v>39.29</v>
      </c>
      <c r="C30" s="51">
        <v>87.81</v>
      </c>
      <c r="D30" s="51">
        <v>75.900000000000006</v>
      </c>
      <c r="E30" s="51">
        <v>8.6</v>
      </c>
      <c r="F30" s="51">
        <v>11.03</v>
      </c>
      <c r="G30" s="51">
        <v>63.63</v>
      </c>
      <c r="H30" s="51">
        <v>23.13</v>
      </c>
      <c r="I30" s="51">
        <v>4.1399999999999997</v>
      </c>
      <c r="J30" s="51">
        <v>0.59</v>
      </c>
      <c r="K30" s="51">
        <v>320.54000000000002</v>
      </c>
      <c r="L30" s="51">
        <v>22.91</v>
      </c>
      <c r="M30" s="51">
        <v>43.47</v>
      </c>
      <c r="N30" s="51">
        <v>64.900000000000006</v>
      </c>
      <c r="O30" s="51">
        <v>0</v>
      </c>
      <c r="P30" s="51">
        <v>1.67</v>
      </c>
      <c r="Q30" s="51">
        <v>9.51</v>
      </c>
      <c r="R30" s="43"/>
      <c r="S30" s="43"/>
      <c r="T30" s="43"/>
      <c r="U30" s="43"/>
    </row>
    <row r="31" spans="1:21" s="11" customFormat="1" x14ac:dyDescent="0.25">
      <c r="A31" s="50" t="s">
        <v>394</v>
      </c>
      <c r="B31" s="51">
        <v>47.49</v>
      </c>
      <c r="C31" s="51">
        <v>99.02</v>
      </c>
      <c r="D31" s="51">
        <v>89.82</v>
      </c>
      <c r="E31" s="51">
        <v>8.07</v>
      </c>
      <c r="F31" s="51">
        <v>12.35</v>
      </c>
      <c r="G31" s="51">
        <v>71.069999999999993</v>
      </c>
      <c r="H31" s="51">
        <v>24.21</v>
      </c>
      <c r="I31" s="51">
        <v>4.1100000000000003</v>
      </c>
      <c r="J31" s="51">
        <v>0.36</v>
      </c>
      <c r="K31" s="51">
        <v>259.87</v>
      </c>
      <c r="L31" s="51">
        <v>22.61</v>
      </c>
      <c r="M31" s="51">
        <v>38.06</v>
      </c>
      <c r="N31" s="51">
        <v>65.099999999999994</v>
      </c>
      <c r="O31" s="51">
        <v>0</v>
      </c>
      <c r="P31" s="51">
        <v>1.66</v>
      </c>
      <c r="Q31" s="51">
        <v>9.56</v>
      </c>
      <c r="R31" s="43"/>
      <c r="S31" s="43"/>
      <c r="T31" s="43"/>
      <c r="U31" s="43"/>
    </row>
    <row r="32" spans="1:21" s="11" customFormat="1" x14ac:dyDescent="0.25">
      <c r="A32" s="50" t="s">
        <v>395</v>
      </c>
      <c r="B32" s="51">
        <v>25.93</v>
      </c>
      <c r="C32" s="51">
        <v>93.84</v>
      </c>
      <c r="D32" s="51">
        <v>69.819999999999993</v>
      </c>
      <c r="E32" s="51">
        <v>7.31</v>
      </c>
      <c r="F32" s="51">
        <v>16.239999999999998</v>
      </c>
      <c r="G32" s="51">
        <v>65.930000000000007</v>
      </c>
      <c r="H32" s="51">
        <v>21.39</v>
      </c>
      <c r="I32" s="51">
        <v>4.0999999999999996</v>
      </c>
      <c r="J32" s="51">
        <v>0.83</v>
      </c>
      <c r="K32" s="51">
        <v>349.2</v>
      </c>
      <c r="L32" s="51">
        <v>22.08</v>
      </c>
      <c r="M32" s="51">
        <v>41.49</v>
      </c>
      <c r="N32" s="51">
        <v>65.2</v>
      </c>
      <c r="O32" s="51">
        <v>0</v>
      </c>
      <c r="P32" s="51">
        <v>1.33</v>
      </c>
      <c r="Q32" s="51">
        <v>9.59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3.36</v>
      </c>
      <c r="C34" s="28">
        <f t="shared" si="0"/>
        <v>42.57</v>
      </c>
      <c r="D34" s="28">
        <f t="shared" si="0"/>
        <v>24.99</v>
      </c>
      <c r="E34" s="28">
        <f t="shared" si="0"/>
        <v>3.95</v>
      </c>
      <c r="F34" s="28">
        <f t="shared" si="0"/>
        <v>8.89</v>
      </c>
      <c r="G34" s="28">
        <f t="shared" si="0"/>
        <v>39.049999999999997</v>
      </c>
      <c r="H34" s="28">
        <f t="shared" si="0"/>
        <v>9.16</v>
      </c>
      <c r="I34" s="28">
        <f t="shared" si="0"/>
        <v>4</v>
      </c>
      <c r="J34" s="28">
        <f t="shared" si="0"/>
        <v>0.36</v>
      </c>
      <c r="K34" s="28">
        <f t="shared" si="0"/>
        <v>242.96</v>
      </c>
      <c r="L34" s="28">
        <f t="shared" si="0"/>
        <v>19.95</v>
      </c>
      <c r="M34" s="28">
        <f t="shared" si="0"/>
        <v>15.39</v>
      </c>
      <c r="N34" s="28">
        <f t="shared" si="0"/>
        <v>64.900000000000006</v>
      </c>
      <c r="O34" s="28">
        <f t="shared" si="0"/>
        <v>0</v>
      </c>
      <c r="P34" s="28">
        <f t="shared" si="0"/>
        <v>0.6</v>
      </c>
      <c r="Q34" s="28">
        <f t="shared" si="0"/>
        <v>8.8800000000000008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80.260000000000005</v>
      </c>
      <c r="C35" s="29">
        <f t="shared" si="1"/>
        <v>115.15</v>
      </c>
      <c r="D35" s="29">
        <f t="shared" si="1"/>
        <v>110.14</v>
      </c>
      <c r="E35" s="29">
        <f t="shared" si="1"/>
        <v>20.81</v>
      </c>
      <c r="F35" s="29">
        <f t="shared" si="1"/>
        <v>45.6</v>
      </c>
      <c r="G35" s="29">
        <f t="shared" si="1"/>
        <v>131.43</v>
      </c>
      <c r="H35" s="29">
        <f t="shared" si="1"/>
        <v>52.45</v>
      </c>
      <c r="I35" s="29">
        <f t="shared" si="1"/>
        <v>4.24</v>
      </c>
      <c r="J35" s="29">
        <f t="shared" si="1"/>
        <v>2.02</v>
      </c>
      <c r="K35" s="29">
        <f t="shared" si="1"/>
        <v>349.2</v>
      </c>
      <c r="L35" s="29">
        <f t="shared" si="1"/>
        <v>38.15</v>
      </c>
      <c r="M35" s="29">
        <f t="shared" si="1"/>
        <v>48.41</v>
      </c>
      <c r="N35" s="29">
        <f t="shared" si="1"/>
        <v>737</v>
      </c>
      <c r="O35" s="29">
        <f t="shared" si="1"/>
        <v>0</v>
      </c>
      <c r="P35" s="29">
        <f t="shared" si="1"/>
        <v>2.59</v>
      </c>
      <c r="Q35" s="29">
        <f t="shared" si="1"/>
        <v>9.89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22.874166666666667</v>
      </c>
      <c r="C36" s="28">
        <f t="shared" si="2"/>
        <v>69.394583333333316</v>
      </c>
      <c r="D36" s="28">
        <f t="shared" si="2"/>
        <v>54.17499999999999</v>
      </c>
      <c r="E36" s="28">
        <f t="shared" si="2"/>
        <v>8.279166666666665</v>
      </c>
      <c r="F36" s="28">
        <f t="shared" si="2"/>
        <v>20.649583333333332</v>
      </c>
      <c r="G36" s="28">
        <f t="shared" si="2"/>
        <v>71.750000000000014</v>
      </c>
      <c r="H36" s="28">
        <f t="shared" si="2"/>
        <v>27.384583333333342</v>
      </c>
      <c r="I36" s="28">
        <f t="shared" si="2"/>
        <v>4.1079166666666653</v>
      </c>
      <c r="J36" s="28">
        <f t="shared" si="2"/>
        <v>0.91416666666666657</v>
      </c>
      <c r="K36" s="28">
        <f t="shared" si="2"/>
        <v>295.67083333333335</v>
      </c>
      <c r="L36" s="28">
        <f t="shared" si="2"/>
        <v>27.469166666666666</v>
      </c>
      <c r="M36" s="28">
        <f t="shared" si="2"/>
        <v>32.641250000000007</v>
      </c>
      <c r="N36" s="28">
        <f t="shared" si="2"/>
        <v>266.50833333333338</v>
      </c>
      <c r="O36" s="28">
        <f t="shared" si="2"/>
        <v>0</v>
      </c>
      <c r="P36" s="28">
        <f t="shared" si="2"/>
        <v>1.4424999999999999</v>
      </c>
      <c r="Q36" s="28">
        <f t="shared" si="2"/>
        <v>9.4079166666666669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20.054476008388114</v>
      </c>
      <c r="C37" s="28">
        <f t="shared" ref="C37:Q37" si="3">STDEV(C9:C32)</f>
        <v>19.279796584522938</v>
      </c>
      <c r="D37" s="28">
        <f t="shared" si="3"/>
        <v>24.027360672149698</v>
      </c>
      <c r="E37" s="28">
        <f t="shared" si="3"/>
        <v>4.5907164512995058</v>
      </c>
      <c r="F37" s="28">
        <f t="shared" si="3"/>
        <v>10.287424353006962</v>
      </c>
      <c r="G37" s="28">
        <f t="shared" si="3"/>
        <v>25.793853329140564</v>
      </c>
      <c r="H37" s="28">
        <f t="shared" si="3"/>
        <v>10.412329221593019</v>
      </c>
      <c r="I37" s="28">
        <f t="shared" si="3"/>
        <v>5.8233351169289585E-2</v>
      </c>
      <c r="J37" s="28">
        <f t="shared" si="3"/>
        <v>0.43727333672943408</v>
      </c>
      <c r="K37" s="28">
        <f t="shared" si="3"/>
        <v>26.192046903869365</v>
      </c>
      <c r="L37" s="28">
        <f t="shared" si="3"/>
        <v>6.4075131964217409</v>
      </c>
      <c r="M37" s="28">
        <f t="shared" si="3"/>
        <v>11.835762796637169</v>
      </c>
      <c r="N37" s="28">
        <f t="shared" si="3"/>
        <v>269.17671731583232</v>
      </c>
      <c r="O37" s="28">
        <f t="shared" si="3"/>
        <v>0</v>
      </c>
      <c r="P37" s="28">
        <f t="shared" si="3"/>
        <v>0.64175879255845591</v>
      </c>
      <c r="Q37" s="28">
        <f t="shared" si="3"/>
        <v>0.31978225154907702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396</v>
      </c>
      <c r="B9" s="51">
        <v>17.04</v>
      </c>
      <c r="C9" s="51">
        <v>57.79</v>
      </c>
      <c r="D9" s="51">
        <v>43.86</v>
      </c>
      <c r="E9" s="51">
        <v>6.84</v>
      </c>
      <c r="F9" s="51">
        <v>16.940000000000001</v>
      </c>
      <c r="G9" s="51">
        <v>61.96</v>
      </c>
      <c r="H9" s="51">
        <v>17.78</v>
      </c>
      <c r="I9" s="51">
        <v>4.1500000000000004</v>
      </c>
      <c r="J9" s="51">
        <v>0.7</v>
      </c>
      <c r="K9" s="51">
        <v>347.21</v>
      </c>
      <c r="L9" s="51">
        <v>21.21</v>
      </c>
      <c r="M9" s="51">
        <v>48.31</v>
      </c>
      <c r="N9" s="51">
        <v>65.400000000000006</v>
      </c>
      <c r="O9" s="51">
        <v>0</v>
      </c>
      <c r="P9" s="51">
        <v>1.1499999999999999</v>
      </c>
      <c r="Q9" s="51">
        <v>9.6</v>
      </c>
      <c r="R9" s="43"/>
      <c r="S9" s="43"/>
      <c r="T9" s="43"/>
      <c r="U9" s="43"/>
    </row>
    <row r="10" spans="1:21" s="11" customFormat="1" x14ac:dyDescent="0.25">
      <c r="A10" s="50" t="s">
        <v>397</v>
      </c>
      <c r="B10" s="51">
        <v>16.739999999999998</v>
      </c>
      <c r="C10" s="51">
        <v>57.15</v>
      </c>
      <c r="D10" s="51">
        <v>43.29</v>
      </c>
      <c r="E10" s="51">
        <v>4.63</v>
      </c>
      <c r="F10" s="51">
        <v>13.96</v>
      </c>
      <c r="G10" s="51">
        <v>56.24</v>
      </c>
      <c r="H10" s="51">
        <v>20.37</v>
      </c>
      <c r="I10" s="51">
        <v>4.1500000000000004</v>
      </c>
      <c r="J10" s="51">
        <v>0.81</v>
      </c>
      <c r="K10" s="51">
        <v>321.42</v>
      </c>
      <c r="L10" s="51">
        <v>20.79</v>
      </c>
      <c r="M10" s="51">
        <v>47.14</v>
      </c>
      <c r="N10" s="51">
        <v>64.7</v>
      </c>
      <c r="O10" s="51">
        <v>0</v>
      </c>
      <c r="P10" s="51">
        <v>1.03</v>
      </c>
      <c r="Q10" s="51">
        <v>9.58</v>
      </c>
      <c r="R10" s="43"/>
      <c r="S10" s="43"/>
      <c r="T10" s="43"/>
      <c r="U10" s="43"/>
    </row>
    <row r="11" spans="1:21" s="11" customFormat="1" x14ac:dyDescent="0.25">
      <c r="A11" s="50" t="s">
        <v>398</v>
      </c>
      <c r="B11" s="51">
        <v>11.72</v>
      </c>
      <c r="C11" s="51">
        <v>56.69</v>
      </c>
      <c r="D11" s="51">
        <v>38.4</v>
      </c>
      <c r="E11" s="51">
        <v>3.97</v>
      </c>
      <c r="F11" s="51">
        <v>10.42</v>
      </c>
      <c r="G11" s="51">
        <v>48.99</v>
      </c>
      <c r="H11" s="51">
        <v>15.75</v>
      </c>
      <c r="I11" s="51">
        <v>4.04</v>
      </c>
      <c r="J11" s="51">
        <v>0.53</v>
      </c>
      <c r="K11" s="51">
        <v>319.45</v>
      </c>
      <c r="L11" s="51">
        <v>20.010000000000002</v>
      </c>
      <c r="M11" s="51">
        <v>49.43</v>
      </c>
      <c r="N11" s="51">
        <v>65.5</v>
      </c>
      <c r="O11" s="51">
        <v>0</v>
      </c>
      <c r="P11" s="51">
        <v>0.97</v>
      </c>
      <c r="Q11" s="51">
        <v>9.5299999999999994</v>
      </c>
      <c r="R11" s="43"/>
      <c r="S11" s="43"/>
      <c r="T11" s="43"/>
      <c r="U11" s="43"/>
    </row>
    <row r="12" spans="1:21" s="11" customFormat="1" x14ac:dyDescent="0.25">
      <c r="A12" s="50" t="s">
        <v>399</v>
      </c>
      <c r="B12" s="51">
        <v>9.44</v>
      </c>
      <c r="C12" s="51">
        <v>56.05</v>
      </c>
      <c r="D12" s="51">
        <v>36.4</v>
      </c>
      <c r="E12" s="51">
        <v>4.7300000000000004</v>
      </c>
      <c r="F12" s="51">
        <v>14.91</v>
      </c>
      <c r="G12" s="51">
        <v>47.07</v>
      </c>
      <c r="H12" s="51">
        <v>7.25</v>
      </c>
      <c r="I12" s="51">
        <v>4.12</v>
      </c>
      <c r="J12" s="51">
        <v>0.61</v>
      </c>
      <c r="K12" s="51">
        <v>344.64</v>
      </c>
      <c r="L12" s="51">
        <v>19.7</v>
      </c>
      <c r="M12" s="51">
        <v>51.6</v>
      </c>
      <c r="N12" s="51">
        <v>65.400000000000006</v>
      </c>
      <c r="O12" s="51">
        <v>0</v>
      </c>
      <c r="P12" s="51">
        <v>0.9</v>
      </c>
      <c r="Q12" s="51">
        <v>9.39</v>
      </c>
      <c r="R12" s="43"/>
      <c r="S12" s="43"/>
      <c r="T12" s="43"/>
      <c r="U12" s="43"/>
    </row>
    <row r="13" spans="1:21" s="11" customFormat="1" x14ac:dyDescent="0.25">
      <c r="A13" s="50" t="s">
        <v>400</v>
      </c>
      <c r="B13" s="51">
        <v>10.19</v>
      </c>
      <c r="C13" s="51">
        <v>55.78</v>
      </c>
      <c r="D13" s="51">
        <v>37.090000000000003</v>
      </c>
      <c r="E13" s="51">
        <v>4.41</v>
      </c>
      <c r="F13" s="51">
        <v>13.12</v>
      </c>
      <c r="G13" s="51">
        <v>38.51</v>
      </c>
      <c r="H13" s="51">
        <v>4.62</v>
      </c>
      <c r="I13" s="51">
        <v>4.05</v>
      </c>
      <c r="J13" s="51">
        <v>0.48</v>
      </c>
      <c r="K13" s="51">
        <v>345.46</v>
      </c>
      <c r="L13" s="51">
        <v>18.600000000000001</v>
      </c>
      <c r="M13" s="51">
        <v>59.6</v>
      </c>
      <c r="N13" s="51">
        <v>65.400000000000006</v>
      </c>
      <c r="O13" s="51">
        <v>0</v>
      </c>
      <c r="P13" s="51">
        <v>0.85</v>
      </c>
      <c r="Q13" s="51">
        <v>9.36</v>
      </c>
      <c r="R13" s="43"/>
      <c r="S13" s="43"/>
      <c r="T13" s="43"/>
      <c r="U13" s="43"/>
    </row>
    <row r="14" spans="1:21" s="11" customFormat="1" x14ac:dyDescent="0.25">
      <c r="A14" s="50" t="s">
        <v>401</v>
      </c>
      <c r="B14" s="51">
        <v>12.39</v>
      </c>
      <c r="C14" s="51">
        <v>59.69</v>
      </c>
      <c r="D14" s="51">
        <v>41.12</v>
      </c>
      <c r="E14" s="51">
        <v>3.64</v>
      </c>
      <c r="F14" s="51">
        <v>7.63</v>
      </c>
      <c r="G14" s="51">
        <v>39.76</v>
      </c>
      <c r="H14" s="51">
        <v>10.11</v>
      </c>
      <c r="I14" s="51">
        <v>4.1100000000000003</v>
      </c>
      <c r="J14" s="51">
        <v>0.57999999999999996</v>
      </c>
      <c r="K14" s="51">
        <v>282.45999999999998</v>
      </c>
      <c r="L14" s="51">
        <v>19.28</v>
      </c>
      <c r="M14" s="51">
        <v>57.71</v>
      </c>
      <c r="N14" s="51">
        <v>64.900000000000006</v>
      </c>
      <c r="O14" s="51">
        <v>0</v>
      </c>
      <c r="P14" s="51">
        <v>0.87</v>
      </c>
      <c r="Q14" s="51">
        <v>9.39</v>
      </c>
      <c r="R14" s="43"/>
      <c r="S14" s="43"/>
      <c r="T14" s="43"/>
      <c r="U14" s="43"/>
    </row>
    <row r="15" spans="1:21" s="11" customFormat="1" x14ac:dyDescent="0.25">
      <c r="A15" s="50" t="s">
        <v>402</v>
      </c>
      <c r="B15" s="51">
        <v>29.72</v>
      </c>
      <c r="C15" s="51">
        <v>66.959999999999994</v>
      </c>
      <c r="D15" s="51">
        <v>58.82</v>
      </c>
      <c r="E15" s="51">
        <v>3.05</v>
      </c>
      <c r="F15" s="51">
        <v>7.28</v>
      </c>
      <c r="G15" s="51">
        <v>43.46</v>
      </c>
      <c r="H15" s="51">
        <v>19.309999999999999</v>
      </c>
      <c r="I15" s="51">
        <v>4</v>
      </c>
      <c r="J15" s="51">
        <v>0.56000000000000005</v>
      </c>
      <c r="K15" s="51">
        <v>348.34</v>
      </c>
      <c r="L15" s="51">
        <v>19.38</v>
      </c>
      <c r="M15" s="51">
        <v>61.95</v>
      </c>
      <c r="N15" s="51">
        <v>131.4</v>
      </c>
      <c r="O15" s="51">
        <v>0</v>
      </c>
      <c r="P15" s="51">
        <v>1</v>
      </c>
      <c r="Q15" s="51">
        <v>9.5399999999999991</v>
      </c>
      <c r="R15" s="43"/>
      <c r="S15" s="43"/>
      <c r="T15" s="43"/>
      <c r="U15" s="43"/>
    </row>
    <row r="16" spans="1:21" s="11" customFormat="1" x14ac:dyDescent="0.25">
      <c r="A16" s="50" t="s">
        <v>403</v>
      </c>
      <c r="B16" s="51">
        <v>24.73</v>
      </c>
      <c r="C16" s="51">
        <v>71.83</v>
      </c>
      <c r="D16" s="51">
        <v>54.63</v>
      </c>
      <c r="E16" s="51">
        <v>6.25</v>
      </c>
      <c r="F16" s="51">
        <v>12.2</v>
      </c>
      <c r="G16" s="51">
        <v>50.24</v>
      </c>
      <c r="H16" s="51">
        <v>21.63</v>
      </c>
      <c r="I16" s="51">
        <v>4.1100000000000003</v>
      </c>
      <c r="J16" s="51">
        <v>0.67</v>
      </c>
      <c r="K16" s="51">
        <v>327.29000000000002</v>
      </c>
      <c r="L16" s="51">
        <v>25.01</v>
      </c>
      <c r="M16" s="51">
        <v>55.12</v>
      </c>
      <c r="N16" s="51">
        <v>292.7</v>
      </c>
      <c r="O16" s="51">
        <v>0</v>
      </c>
      <c r="P16" s="51">
        <v>1.04</v>
      </c>
      <c r="Q16" s="51">
        <v>9.58</v>
      </c>
      <c r="R16" s="43"/>
      <c r="S16" s="43"/>
      <c r="T16" s="43"/>
      <c r="U16" s="43"/>
    </row>
    <row r="17" spans="1:21" s="11" customFormat="1" x14ac:dyDescent="0.25">
      <c r="A17" s="50" t="s">
        <v>404</v>
      </c>
      <c r="B17" s="51">
        <v>17.87</v>
      </c>
      <c r="C17" s="51">
        <v>62.57</v>
      </c>
      <c r="D17" s="51">
        <v>47.02</v>
      </c>
      <c r="E17" s="51">
        <v>6.31</v>
      </c>
      <c r="F17" s="51">
        <v>16.600000000000001</v>
      </c>
      <c r="G17" s="51">
        <v>53.13</v>
      </c>
      <c r="H17" s="51">
        <v>21.11</v>
      </c>
      <c r="I17" s="51">
        <v>4.05</v>
      </c>
      <c r="J17" s="51">
        <v>1.07</v>
      </c>
      <c r="K17" s="51">
        <v>206.08</v>
      </c>
      <c r="L17" s="51">
        <v>26.21</v>
      </c>
      <c r="M17" s="51">
        <v>40.21</v>
      </c>
      <c r="N17" s="51">
        <v>456.7</v>
      </c>
      <c r="O17" s="51">
        <v>0</v>
      </c>
      <c r="P17" s="51">
        <v>0.95</v>
      </c>
      <c r="Q17" s="51">
        <v>9.61</v>
      </c>
      <c r="R17" s="43"/>
      <c r="S17" s="43"/>
      <c r="T17" s="43"/>
      <c r="U17" s="43"/>
    </row>
    <row r="18" spans="1:21" s="11" customFormat="1" x14ac:dyDescent="0.25">
      <c r="A18" s="50" t="s">
        <v>405</v>
      </c>
      <c r="B18" s="51">
        <v>11.56</v>
      </c>
      <c r="C18" s="51">
        <v>69.08</v>
      </c>
      <c r="D18" s="51">
        <v>42.31</v>
      </c>
      <c r="E18" s="51">
        <v>7.45</v>
      </c>
      <c r="F18" s="51">
        <v>15.53</v>
      </c>
      <c r="G18" s="51">
        <v>54.44</v>
      </c>
      <c r="H18" s="51">
        <v>16.72</v>
      </c>
      <c r="I18" s="51">
        <v>4.08</v>
      </c>
      <c r="J18" s="51">
        <v>0.78</v>
      </c>
      <c r="K18" s="51">
        <v>251.43</v>
      </c>
      <c r="L18" s="51">
        <v>29.15</v>
      </c>
      <c r="M18" s="51">
        <v>32.96</v>
      </c>
      <c r="N18" s="51">
        <v>573.5</v>
      </c>
      <c r="O18" s="51">
        <v>0</v>
      </c>
      <c r="P18" s="51">
        <v>1.06</v>
      </c>
      <c r="Q18" s="51">
        <v>9.58</v>
      </c>
      <c r="R18" s="43"/>
      <c r="S18" s="43"/>
      <c r="T18" s="43"/>
      <c r="U18" s="43"/>
    </row>
    <row r="19" spans="1:21" s="11" customFormat="1" x14ac:dyDescent="0.25">
      <c r="A19" s="50" t="s">
        <v>406</v>
      </c>
      <c r="B19" s="51">
        <v>5.76</v>
      </c>
      <c r="C19" s="51">
        <v>70.36</v>
      </c>
      <c r="D19" s="51">
        <v>41.38</v>
      </c>
      <c r="E19" s="51">
        <v>7.45</v>
      </c>
      <c r="F19" s="51">
        <v>14.74</v>
      </c>
      <c r="G19" s="51">
        <v>63.05</v>
      </c>
      <c r="H19" s="51">
        <v>29.04</v>
      </c>
      <c r="I19" s="51">
        <v>4.1399999999999997</v>
      </c>
      <c r="J19" s="51">
        <v>0.96</v>
      </c>
      <c r="K19" s="51">
        <v>298.97000000000003</v>
      </c>
      <c r="L19" s="51">
        <v>34.06</v>
      </c>
      <c r="M19" s="51">
        <v>29.86</v>
      </c>
      <c r="N19" s="51">
        <v>675.4</v>
      </c>
      <c r="O19" s="51">
        <v>0</v>
      </c>
      <c r="P19" s="51">
        <v>1.1100000000000001</v>
      </c>
      <c r="Q19" s="51">
        <v>9.3000000000000007</v>
      </c>
      <c r="R19" s="43"/>
      <c r="S19" s="43"/>
      <c r="T19" s="43"/>
      <c r="U19" s="43"/>
    </row>
    <row r="20" spans="1:21" s="11" customFormat="1" x14ac:dyDescent="0.25">
      <c r="A20" s="50" t="s">
        <v>407</v>
      </c>
      <c r="B20" s="51">
        <v>3.26</v>
      </c>
      <c r="C20" s="51">
        <v>63.8</v>
      </c>
      <c r="D20" s="51">
        <v>35.950000000000003</v>
      </c>
      <c r="E20" s="51">
        <v>5.77</v>
      </c>
      <c r="F20" s="51">
        <v>15.39</v>
      </c>
      <c r="G20" s="51">
        <v>65.36</v>
      </c>
      <c r="H20" s="51">
        <v>15.97</v>
      </c>
      <c r="I20" s="51">
        <v>4.24</v>
      </c>
      <c r="J20" s="51">
        <v>1.53</v>
      </c>
      <c r="K20" s="51">
        <v>296.27999999999997</v>
      </c>
      <c r="L20" s="51">
        <v>32.950000000000003</v>
      </c>
      <c r="M20" s="51">
        <v>34.659999999999997</v>
      </c>
      <c r="N20" s="51">
        <v>697</v>
      </c>
      <c r="O20" s="51">
        <v>0</v>
      </c>
      <c r="P20" s="51">
        <v>0.96</v>
      </c>
      <c r="Q20" s="51">
        <v>9.2200000000000006</v>
      </c>
      <c r="R20" s="43"/>
      <c r="S20" s="43"/>
      <c r="T20" s="43"/>
      <c r="U20" s="43"/>
    </row>
    <row r="21" spans="1:21" s="11" customFormat="1" x14ac:dyDescent="0.25">
      <c r="A21" s="50" t="s">
        <v>408</v>
      </c>
      <c r="B21" s="51">
        <v>3.28</v>
      </c>
      <c r="C21" s="51">
        <v>57.67</v>
      </c>
      <c r="D21" s="51">
        <v>32.69</v>
      </c>
      <c r="E21" s="51">
        <v>5.51</v>
      </c>
      <c r="F21" s="51">
        <v>17.11</v>
      </c>
      <c r="G21" s="51">
        <v>65.959999999999994</v>
      </c>
      <c r="H21" s="51">
        <v>13.82</v>
      </c>
      <c r="I21" s="51">
        <v>4.04</v>
      </c>
      <c r="J21" s="51">
        <v>1.49</v>
      </c>
      <c r="K21" s="51">
        <v>304.51</v>
      </c>
      <c r="L21" s="51">
        <v>32.92</v>
      </c>
      <c r="M21" s="51">
        <v>34.590000000000003</v>
      </c>
      <c r="N21" s="51">
        <v>697</v>
      </c>
      <c r="O21" s="51">
        <v>0</v>
      </c>
      <c r="P21" s="51">
        <v>0.83</v>
      </c>
      <c r="Q21" s="51">
        <v>9.18</v>
      </c>
      <c r="R21" s="43"/>
      <c r="S21" s="43"/>
      <c r="T21" s="43"/>
      <c r="U21" s="43"/>
    </row>
    <row r="22" spans="1:21" s="11" customFormat="1" x14ac:dyDescent="0.25">
      <c r="A22" s="50" t="s">
        <v>409</v>
      </c>
      <c r="B22" s="51">
        <v>3.72</v>
      </c>
      <c r="C22" s="51">
        <v>53.88</v>
      </c>
      <c r="D22" s="51">
        <v>30.68</v>
      </c>
      <c r="E22" s="51">
        <v>7.49</v>
      </c>
      <c r="F22" s="51">
        <v>29.54</v>
      </c>
      <c r="G22" s="51">
        <v>59.83</v>
      </c>
      <c r="H22" s="51">
        <v>18.649999999999999</v>
      </c>
      <c r="I22" s="51">
        <v>4.1100000000000003</v>
      </c>
      <c r="J22" s="51">
        <v>1.01</v>
      </c>
      <c r="K22" s="51">
        <v>311.99</v>
      </c>
      <c r="L22" s="51">
        <v>33.17</v>
      </c>
      <c r="M22" s="51">
        <v>33.65</v>
      </c>
      <c r="N22" s="51">
        <v>682.3</v>
      </c>
      <c r="O22" s="51">
        <v>0</v>
      </c>
      <c r="P22" s="51">
        <v>0.69</v>
      </c>
      <c r="Q22" s="51">
        <v>9.18</v>
      </c>
      <c r="R22" s="43"/>
      <c r="S22" s="43"/>
      <c r="T22" s="43"/>
      <c r="U22" s="43"/>
    </row>
    <row r="23" spans="1:21" s="11" customFormat="1" x14ac:dyDescent="0.25">
      <c r="A23" s="50" t="s">
        <v>410</v>
      </c>
      <c r="B23" s="51">
        <v>4.66</v>
      </c>
      <c r="C23" s="51">
        <v>51.82</v>
      </c>
      <c r="D23" s="51">
        <v>29.85</v>
      </c>
      <c r="E23" s="51">
        <v>8.2200000000000006</v>
      </c>
      <c r="F23" s="51">
        <v>31.01</v>
      </c>
      <c r="G23" s="51">
        <v>59.56</v>
      </c>
      <c r="H23" s="51">
        <v>24.08</v>
      </c>
      <c r="I23" s="51">
        <v>4.01</v>
      </c>
      <c r="J23" s="51">
        <v>1.45</v>
      </c>
      <c r="K23" s="51">
        <v>322.91000000000003</v>
      </c>
      <c r="L23" s="51">
        <v>36.18</v>
      </c>
      <c r="M23" s="51">
        <v>31.66</v>
      </c>
      <c r="N23" s="51">
        <v>594.1</v>
      </c>
      <c r="O23" s="51">
        <v>0</v>
      </c>
      <c r="P23" s="51">
        <v>0.67</v>
      </c>
      <c r="Q23" s="51">
        <v>9.14</v>
      </c>
      <c r="R23" s="43"/>
      <c r="S23" s="43"/>
      <c r="T23" s="43"/>
      <c r="U23" s="43"/>
    </row>
    <row r="24" spans="1:21" s="11" customFormat="1" x14ac:dyDescent="0.25">
      <c r="A24" s="50" t="s">
        <v>411</v>
      </c>
      <c r="B24" s="51">
        <v>4.71</v>
      </c>
      <c r="C24" s="51">
        <v>54.68</v>
      </c>
      <c r="D24" s="51">
        <v>32.21</v>
      </c>
      <c r="E24" s="51">
        <v>8.91</v>
      </c>
      <c r="F24" s="51">
        <v>25.34</v>
      </c>
      <c r="G24" s="51">
        <v>51.73</v>
      </c>
      <c r="H24" s="51">
        <v>26.21</v>
      </c>
      <c r="I24" s="51">
        <v>4.1100000000000003</v>
      </c>
      <c r="J24" s="51">
        <v>1.39</v>
      </c>
      <c r="K24" s="51">
        <v>317.61</v>
      </c>
      <c r="L24" s="51">
        <v>35.49</v>
      </c>
      <c r="M24" s="51">
        <v>30.31</v>
      </c>
      <c r="N24" s="51">
        <v>249.7</v>
      </c>
      <c r="O24" s="51">
        <v>0</v>
      </c>
      <c r="P24" s="51">
        <v>0.62</v>
      </c>
      <c r="Q24" s="51">
        <v>9.09</v>
      </c>
      <c r="R24" s="43"/>
      <c r="S24" s="43"/>
      <c r="T24" s="43"/>
      <c r="U24" s="43"/>
    </row>
    <row r="25" spans="1:21" s="11" customFormat="1" x14ac:dyDescent="0.25">
      <c r="A25" s="50" t="s">
        <v>412</v>
      </c>
      <c r="B25" s="51">
        <v>6.4</v>
      </c>
      <c r="C25" s="51">
        <v>53.2</v>
      </c>
      <c r="D25" s="51">
        <v>32.93</v>
      </c>
      <c r="E25" s="51">
        <v>12.84</v>
      </c>
      <c r="F25" s="51">
        <v>40.83</v>
      </c>
      <c r="G25" s="51">
        <v>45.68</v>
      </c>
      <c r="H25" s="51">
        <v>22.69</v>
      </c>
      <c r="I25" s="51">
        <v>4.12</v>
      </c>
      <c r="J25" s="51">
        <v>0.75</v>
      </c>
      <c r="K25" s="51">
        <v>285.12</v>
      </c>
      <c r="L25" s="51">
        <v>33.520000000000003</v>
      </c>
      <c r="M25" s="51">
        <v>18.739999999999998</v>
      </c>
      <c r="N25" s="51">
        <v>219.6</v>
      </c>
      <c r="O25" s="51">
        <v>0</v>
      </c>
      <c r="P25" s="51">
        <v>0.57999999999999996</v>
      </c>
      <c r="Q25" s="51">
        <v>9.02</v>
      </c>
      <c r="R25" s="43"/>
      <c r="S25" s="43"/>
      <c r="T25" s="43"/>
      <c r="U25" s="43"/>
    </row>
    <row r="26" spans="1:21" s="11" customFormat="1" x14ac:dyDescent="0.25">
      <c r="A26" s="50" t="s">
        <v>413</v>
      </c>
      <c r="B26" s="51">
        <v>15.87</v>
      </c>
      <c r="C26" s="51">
        <v>95.23</v>
      </c>
      <c r="D26" s="51">
        <v>62.48</v>
      </c>
      <c r="E26" s="51">
        <v>18.29</v>
      </c>
      <c r="F26" s="51">
        <v>40.630000000000003</v>
      </c>
      <c r="G26" s="51">
        <v>44.35</v>
      </c>
      <c r="H26" s="51">
        <v>38.25</v>
      </c>
      <c r="I26" s="51">
        <v>4.1399999999999997</v>
      </c>
      <c r="J26" s="51">
        <v>0.68</v>
      </c>
      <c r="K26" s="51">
        <v>299.69</v>
      </c>
      <c r="L26" s="51">
        <v>32.33</v>
      </c>
      <c r="M26" s="51">
        <v>22.18</v>
      </c>
      <c r="N26" s="51">
        <v>104.9</v>
      </c>
      <c r="O26" s="51">
        <v>0</v>
      </c>
      <c r="P26" s="51">
        <v>1.37</v>
      </c>
      <c r="Q26" s="51">
        <v>9.02</v>
      </c>
      <c r="R26" s="43"/>
      <c r="S26" s="43"/>
      <c r="T26" s="43"/>
      <c r="U26" s="43"/>
    </row>
    <row r="27" spans="1:21" s="11" customFormat="1" x14ac:dyDescent="0.25">
      <c r="A27" s="50" t="s">
        <v>414</v>
      </c>
      <c r="B27" s="51">
        <v>20.85</v>
      </c>
      <c r="C27" s="51">
        <v>106.89</v>
      </c>
      <c r="D27" s="51">
        <v>72.569999999999993</v>
      </c>
      <c r="E27" s="51">
        <v>8.8800000000000008</v>
      </c>
      <c r="F27" s="51">
        <v>21.07</v>
      </c>
      <c r="G27" s="51">
        <v>46.58</v>
      </c>
      <c r="H27" s="51">
        <v>28.76</v>
      </c>
      <c r="I27" s="51">
        <v>4.0599999999999996</v>
      </c>
      <c r="J27" s="51">
        <v>0.73</v>
      </c>
      <c r="K27" s="51">
        <v>338.75</v>
      </c>
      <c r="L27" s="51">
        <v>29.05</v>
      </c>
      <c r="M27" s="51">
        <v>31.12</v>
      </c>
      <c r="N27" s="51">
        <v>65.900000000000006</v>
      </c>
      <c r="O27" s="51">
        <v>0</v>
      </c>
      <c r="P27" s="51">
        <v>2.04</v>
      </c>
      <c r="Q27" s="51">
        <v>9.18</v>
      </c>
      <c r="R27" s="43"/>
      <c r="S27" s="43"/>
      <c r="T27" s="43"/>
      <c r="U27" s="43"/>
    </row>
    <row r="28" spans="1:21" s="11" customFormat="1" x14ac:dyDescent="0.25">
      <c r="A28" s="50" t="s">
        <v>415</v>
      </c>
      <c r="B28" s="51">
        <v>107.61</v>
      </c>
      <c r="C28" s="51">
        <v>132.52000000000001</v>
      </c>
      <c r="D28" s="51">
        <v>155.53</v>
      </c>
      <c r="E28" s="51">
        <v>9.57</v>
      </c>
      <c r="F28" s="51">
        <v>17.32</v>
      </c>
      <c r="G28" s="51">
        <v>58.24</v>
      </c>
      <c r="H28" s="51">
        <v>56.08</v>
      </c>
      <c r="I28" s="51">
        <v>4.12</v>
      </c>
      <c r="J28" s="51">
        <v>0.7</v>
      </c>
      <c r="K28" s="51">
        <v>332.74</v>
      </c>
      <c r="L28" s="51">
        <v>26.82</v>
      </c>
      <c r="M28" s="51">
        <v>33.520000000000003</v>
      </c>
      <c r="N28" s="51">
        <v>63.5</v>
      </c>
      <c r="O28" s="51">
        <v>0</v>
      </c>
      <c r="P28" s="51">
        <v>2.31</v>
      </c>
      <c r="Q28" s="51">
        <v>9.5</v>
      </c>
      <c r="R28" s="43"/>
      <c r="S28" s="43"/>
      <c r="T28" s="43"/>
      <c r="U28" s="43"/>
    </row>
    <row r="29" spans="1:21" s="11" customFormat="1" x14ac:dyDescent="0.25">
      <c r="A29" s="50" t="s">
        <v>416</v>
      </c>
      <c r="B29" s="51">
        <v>130.41</v>
      </c>
      <c r="C29" s="51">
        <v>135.56</v>
      </c>
      <c r="D29" s="51">
        <v>175.4</v>
      </c>
      <c r="E29" s="51">
        <v>9.17</v>
      </c>
      <c r="F29" s="51">
        <v>8.73</v>
      </c>
      <c r="G29" s="51">
        <v>72.739999999999995</v>
      </c>
      <c r="H29" s="51">
        <v>56.08</v>
      </c>
      <c r="I29" s="51">
        <v>3.91</v>
      </c>
      <c r="J29" s="51">
        <v>0.68</v>
      </c>
      <c r="K29" s="51">
        <v>342.13</v>
      </c>
      <c r="L29" s="51">
        <v>25.88</v>
      </c>
      <c r="M29" s="51">
        <v>47.77</v>
      </c>
      <c r="N29" s="51">
        <v>63.9</v>
      </c>
      <c r="O29" s="51">
        <v>0</v>
      </c>
      <c r="P29" s="51">
        <v>3.22</v>
      </c>
      <c r="Q29" s="51">
        <v>9.5399999999999991</v>
      </c>
      <c r="R29" s="43"/>
      <c r="S29" s="43"/>
      <c r="T29" s="43"/>
      <c r="U29" s="43"/>
    </row>
    <row r="30" spans="1:21" s="11" customFormat="1" x14ac:dyDescent="0.25">
      <c r="A30" s="50" t="s">
        <v>417</v>
      </c>
      <c r="B30" s="51">
        <v>195.8</v>
      </c>
      <c r="C30" s="51">
        <v>135.56</v>
      </c>
      <c r="D30" s="51">
        <v>224.54</v>
      </c>
      <c r="E30" s="51">
        <v>10.59</v>
      </c>
      <c r="F30" s="51">
        <v>8.7200000000000006</v>
      </c>
      <c r="G30" s="51">
        <v>94.46</v>
      </c>
      <c r="H30" s="51">
        <v>19.78</v>
      </c>
      <c r="I30" s="51">
        <v>4.05</v>
      </c>
      <c r="J30" s="51">
        <v>0.77</v>
      </c>
      <c r="K30" s="51">
        <v>345.93</v>
      </c>
      <c r="L30" s="51">
        <v>24.18</v>
      </c>
      <c r="M30" s="51">
        <v>51.06</v>
      </c>
      <c r="N30" s="51">
        <v>63.5</v>
      </c>
      <c r="O30" s="51">
        <v>0</v>
      </c>
      <c r="P30" s="51">
        <v>3.61</v>
      </c>
      <c r="Q30" s="51">
        <v>9.64</v>
      </c>
      <c r="R30" s="43"/>
      <c r="S30" s="43"/>
      <c r="T30" s="43"/>
      <c r="U30" s="43"/>
    </row>
    <row r="31" spans="1:21" s="11" customFormat="1" x14ac:dyDescent="0.25">
      <c r="A31" s="50" t="s">
        <v>418</v>
      </c>
      <c r="B31" s="51">
        <v>212.87</v>
      </c>
      <c r="C31" s="51">
        <v>137.12</v>
      </c>
      <c r="D31" s="51">
        <v>242.35</v>
      </c>
      <c r="E31" s="51">
        <v>10.55</v>
      </c>
      <c r="F31" s="51">
        <v>10.88</v>
      </c>
      <c r="G31" s="51">
        <v>107.86</v>
      </c>
      <c r="H31" s="51">
        <v>14.8</v>
      </c>
      <c r="I31" s="51">
        <v>4.07</v>
      </c>
      <c r="J31" s="51">
        <v>0.69</v>
      </c>
      <c r="K31" s="51">
        <v>311.45</v>
      </c>
      <c r="L31" s="51">
        <v>24.13</v>
      </c>
      <c r="M31" s="51">
        <v>48.43</v>
      </c>
      <c r="N31" s="51">
        <v>63.3</v>
      </c>
      <c r="O31" s="51">
        <v>0</v>
      </c>
      <c r="P31" s="51">
        <v>2.4500000000000002</v>
      </c>
      <c r="Q31" s="51">
        <v>9.7200000000000006</v>
      </c>
      <c r="R31" s="43"/>
      <c r="S31" s="43"/>
      <c r="T31" s="43"/>
      <c r="U31" s="43"/>
    </row>
    <row r="32" spans="1:21" s="11" customFormat="1" x14ac:dyDescent="0.25">
      <c r="A32" s="50" t="s">
        <v>419</v>
      </c>
      <c r="B32" s="51">
        <v>63.86</v>
      </c>
      <c r="C32" s="51">
        <v>89.52</v>
      </c>
      <c r="D32" s="51">
        <v>96.06</v>
      </c>
      <c r="E32" s="51">
        <v>9.32</v>
      </c>
      <c r="F32" s="51">
        <v>14.78</v>
      </c>
      <c r="G32" s="51">
        <v>106.41</v>
      </c>
      <c r="H32" s="51">
        <v>50.94</v>
      </c>
      <c r="I32" s="51">
        <v>4.13</v>
      </c>
      <c r="J32" s="51">
        <v>0.81</v>
      </c>
      <c r="K32" s="51">
        <v>344.55</v>
      </c>
      <c r="L32" s="51">
        <v>24.08</v>
      </c>
      <c r="M32" s="51">
        <v>50.18</v>
      </c>
      <c r="N32" s="51">
        <v>63.8</v>
      </c>
      <c r="O32" s="51">
        <v>0</v>
      </c>
      <c r="P32" s="51">
        <v>1.67</v>
      </c>
      <c r="Q32" s="51">
        <v>9.76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3.26</v>
      </c>
      <c r="C34" s="28">
        <f t="shared" si="0"/>
        <v>51.82</v>
      </c>
      <c r="D34" s="28">
        <f t="shared" si="0"/>
        <v>29.85</v>
      </c>
      <c r="E34" s="28">
        <f t="shared" si="0"/>
        <v>3.05</v>
      </c>
      <c r="F34" s="28">
        <f t="shared" si="0"/>
        <v>7.28</v>
      </c>
      <c r="G34" s="28">
        <f t="shared" si="0"/>
        <v>38.51</v>
      </c>
      <c r="H34" s="28">
        <f t="shared" si="0"/>
        <v>4.62</v>
      </c>
      <c r="I34" s="28">
        <f t="shared" si="0"/>
        <v>3.91</v>
      </c>
      <c r="J34" s="28">
        <f t="shared" si="0"/>
        <v>0.48</v>
      </c>
      <c r="K34" s="28">
        <f t="shared" si="0"/>
        <v>206.08</v>
      </c>
      <c r="L34" s="28">
        <f t="shared" si="0"/>
        <v>18.600000000000001</v>
      </c>
      <c r="M34" s="28">
        <f t="shared" si="0"/>
        <v>18.739999999999998</v>
      </c>
      <c r="N34" s="28">
        <f t="shared" si="0"/>
        <v>63.3</v>
      </c>
      <c r="O34" s="28">
        <f t="shared" si="0"/>
        <v>0</v>
      </c>
      <c r="P34" s="28">
        <f t="shared" si="0"/>
        <v>0.57999999999999996</v>
      </c>
      <c r="Q34" s="28">
        <f t="shared" si="0"/>
        <v>9.02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212.87</v>
      </c>
      <c r="C35" s="29">
        <f t="shared" si="1"/>
        <v>137.12</v>
      </c>
      <c r="D35" s="29">
        <f t="shared" si="1"/>
        <v>242.35</v>
      </c>
      <c r="E35" s="29">
        <f t="shared" si="1"/>
        <v>18.29</v>
      </c>
      <c r="F35" s="29">
        <f t="shared" si="1"/>
        <v>40.83</v>
      </c>
      <c r="G35" s="29">
        <f t="shared" si="1"/>
        <v>107.86</v>
      </c>
      <c r="H35" s="29">
        <f t="shared" si="1"/>
        <v>56.08</v>
      </c>
      <c r="I35" s="29">
        <f t="shared" si="1"/>
        <v>4.24</v>
      </c>
      <c r="J35" s="29">
        <f t="shared" si="1"/>
        <v>1.53</v>
      </c>
      <c r="K35" s="29">
        <f t="shared" si="1"/>
        <v>348.34</v>
      </c>
      <c r="L35" s="29">
        <f t="shared" si="1"/>
        <v>36.18</v>
      </c>
      <c r="M35" s="29">
        <f t="shared" si="1"/>
        <v>61.95</v>
      </c>
      <c r="N35" s="29">
        <f t="shared" si="1"/>
        <v>697</v>
      </c>
      <c r="O35" s="29">
        <f t="shared" si="1"/>
        <v>0</v>
      </c>
      <c r="P35" s="29">
        <f t="shared" si="1"/>
        <v>3.61</v>
      </c>
      <c r="Q35" s="29">
        <f t="shared" si="1"/>
        <v>9.76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39.185833333333335</v>
      </c>
      <c r="C36" s="28">
        <f t="shared" si="2"/>
        <v>77.141666666666666</v>
      </c>
      <c r="D36" s="28">
        <f t="shared" si="2"/>
        <v>71.148333333333326</v>
      </c>
      <c r="E36" s="28">
        <f t="shared" si="2"/>
        <v>7.66</v>
      </c>
      <c r="F36" s="28">
        <f t="shared" si="2"/>
        <v>17.695</v>
      </c>
      <c r="G36" s="28">
        <f t="shared" si="2"/>
        <v>59.817083333333329</v>
      </c>
      <c r="H36" s="28">
        <f t="shared" si="2"/>
        <v>23.741666666666664</v>
      </c>
      <c r="I36" s="28">
        <f t="shared" si="2"/>
        <v>4.0879166666666675</v>
      </c>
      <c r="J36" s="28">
        <f t="shared" si="2"/>
        <v>0.85124999999999995</v>
      </c>
      <c r="K36" s="28">
        <f t="shared" si="2"/>
        <v>314.43374999999997</v>
      </c>
      <c r="L36" s="28">
        <f t="shared" si="2"/>
        <v>26.837500000000002</v>
      </c>
      <c r="M36" s="28">
        <f t="shared" si="2"/>
        <v>41.739999999999981</v>
      </c>
      <c r="N36" s="28">
        <f t="shared" si="2"/>
        <v>256.22916666666669</v>
      </c>
      <c r="O36" s="28">
        <f t="shared" si="2"/>
        <v>0</v>
      </c>
      <c r="P36" s="28">
        <f t="shared" si="2"/>
        <v>1.3312499999999998</v>
      </c>
      <c r="Q36" s="28">
        <f t="shared" si="2"/>
        <v>9.4020833333333336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60.182844653436831</v>
      </c>
      <c r="C37" s="28">
        <f t="shared" ref="C37:Q37" si="3">STDEV(C9:C32)</f>
        <v>29.873257586687437</v>
      </c>
      <c r="D37" s="28">
        <f t="shared" si="3"/>
        <v>62.258442672925661</v>
      </c>
      <c r="E37" s="28">
        <f t="shared" si="3"/>
        <v>3.3684353224812145</v>
      </c>
      <c r="F37" s="28">
        <f t="shared" si="3"/>
        <v>9.3740019758627273</v>
      </c>
      <c r="G37" s="28">
        <f t="shared" si="3"/>
        <v>18.874428866491076</v>
      </c>
      <c r="H37" s="28">
        <f t="shared" si="3"/>
        <v>13.827033278160666</v>
      </c>
      <c r="I37" s="28">
        <f t="shared" si="3"/>
        <v>6.5473470675677853E-2</v>
      </c>
      <c r="J37" s="28">
        <f t="shared" si="3"/>
        <v>0.31369207416079892</v>
      </c>
      <c r="K37" s="28">
        <f t="shared" si="3"/>
        <v>33.946043223673669</v>
      </c>
      <c r="L37" s="28">
        <f t="shared" si="3"/>
        <v>5.8490885577602398</v>
      </c>
      <c r="M37" s="28">
        <f t="shared" si="3"/>
        <v>12.052134936256772</v>
      </c>
      <c r="N37" s="28">
        <f t="shared" si="3"/>
        <v>253.89764538039762</v>
      </c>
      <c r="O37" s="28">
        <f t="shared" si="3"/>
        <v>0</v>
      </c>
      <c r="P37" s="28">
        <f t="shared" si="3"/>
        <v>0.8140842414479682</v>
      </c>
      <c r="Q37" s="28">
        <f t="shared" si="3"/>
        <v>0.22638902966712673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420</v>
      </c>
      <c r="B9" s="51">
        <v>55.68</v>
      </c>
      <c r="C9" s="51">
        <v>80.63</v>
      </c>
      <c r="D9" s="51">
        <v>86.78</v>
      </c>
      <c r="E9" s="51">
        <v>6.51</v>
      </c>
      <c r="F9" s="51">
        <v>16.510000000000002</v>
      </c>
      <c r="G9" s="51">
        <v>93.73</v>
      </c>
      <c r="H9" s="51">
        <v>22.16</v>
      </c>
      <c r="I9" s="51">
        <v>4.16</v>
      </c>
      <c r="J9" s="51">
        <v>0.63</v>
      </c>
      <c r="K9" s="51">
        <v>320.08</v>
      </c>
      <c r="L9" s="51">
        <v>22.41</v>
      </c>
      <c r="M9" s="51">
        <v>51.74</v>
      </c>
      <c r="N9" s="51">
        <v>63.3</v>
      </c>
      <c r="O9" s="51">
        <v>0</v>
      </c>
      <c r="P9" s="51">
        <v>1.61</v>
      </c>
      <c r="Q9" s="51">
        <v>9.73</v>
      </c>
      <c r="R9" s="43"/>
      <c r="S9" s="43"/>
      <c r="T9" s="43"/>
      <c r="U9" s="43"/>
    </row>
    <row r="10" spans="1:21" s="11" customFormat="1" x14ac:dyDescent="0.25">
      <c r="A10" s="50" t="s">
        <v>421</v>
      </c>
      <c r="B10" s="51">
        <v>37.85</v>
      </c>
      <c r="C10" s="51">
        <v>62.17</v>
      </c>
      <c r="D10" s="51">
        <v>62.84</v>
      </c>
      <c r="E10" s="51">
        <v>7.94</v>
      </c>
      <c r="F10" s="51">
        <v>26.65</v>
      </c>
      <c r="G10" s="51">
        <v>77.430000000000007</v>
      </c>
      <c r="H10" s="51">
        <v>38.630000000000003</v>
      </c>
      <c r="I10" s="51">
        <v>4.07</v>
      </c>
      <c r="J10" s="51">
        <v>0.67</v>
      </c>
      <c r="K10" s="51">
        <v>320.56</v>
      </c>
      <c r="L10" s="51">
        <v>22.58</v>
      </c>
      <c r="M10" s="51">
        <v>47.97</v>
      </c>
      <c r="N10" s="51">
        <v>63.6</v>
      </c>
      <c r="O10" s="51">
        <v>0</v>
      </c>
      <c r="P10" s="51">
        <v>1.31</v>
      </c>
      <c r="Q10" s="51">
        <v>9.7100000000000009</v>
      </c>
      <c r="R10" s="43"/>
      <c r="S10" s="43"/>
      <c r="T10" s="43"/>
      <c r="U10" s="43"/>
    </row>
    <row r="11" spans="1:21" s="11" customFormat="1" x14ac:dyDescent="0.25">
      <c r="A11" s="50" t="s">
        <v>422</v>
      </c>
      <c r="B11" s="51">
        <v>36.130000000000003</v>
      </c>
      <c r="C11" s="51">
        <v>65.849999999999994</v>
      </c>
      <c r="D11" s="51">
        <v>60.74</v>
      </c>
      <c r="E11" s="51">
        <v>7.39</v>
      </c>
      <c r="F11" s="51">
        <v>23.38</v>
      </c>
      <c r="G11" s="51">
        <v>77.39</v>
      </c>
      <c r="H11" s="51">
        <v>21.76</v>
      </c>
      <c r="I11" s="51">
        <v>4.1399999999999997</v>
      </c>
      <c r="J11" s="51">
        <v>0.79</v>
      </c>
      <c r="K11" s="51">
        <v>345.45</v>
      </c>
      <c r="L11" s="51">
        <v>21.14</v>
      </c>
      <c r="M11" s="51">
        <v>56.99</v>
      </c>
      <c r="N11" s="51">
        <v>63.8</v>
      </c>
      <c r="O11" s="51">
        <v>0</v>
      </c>
      <c r="P11" s="51">
        <v>1.1499999999999999</v>
      </c>
      <c r="Q11" s="51">
        <v>9.67</v>
      </c>
      <c r="R11" s="43"/>
      <c r="S11" s="43"/>
      <c r="T11" s="43"/>
      <c r="U11" s="43"/>
    </row>
    <row r="12" spans="1:21" s="11" customFormat="1" x14ac:dyDescent="0.25">
      <c r="A12" s="50" t="s">
        <v>423</v>
      </c>
      <c r="B12" s="51">
        <v>29.66</v>
      </c>
      <c r="C12" s="51">
        <v>64.23</v>
      </c>
      <c r="D12" s="51">
        <v>57.34</v>
      </c>
      <c r="E12" s="51">
        <v>6</v>
      </c>
      <c r="F12" s="51">
        <v>14.96</v>
      </c>
      <c r="G12" s="51">
        <v>70.84</v>
      </c>
      <c r="H12" s="51">
        <v>44.76</v>
      </c>
      <c r="I12" s="51">
        <v>4.01</v>
      </c>
      <c r="J12" s="51">
        <v>0.73</v>
      </c>
      <c r="K12" s="51">
        <v>353.08</v>
      </c>
      <c r="L12" s="51">
        <v>20.68</v>
      </c>
      <c r="M12" s="51">
        <v>63.88</v>
      </c>
      <c r="N12" s="51">
        <v>63.7</v>
      </c>
      <c r="O12" s="51">
        <v>0</v>
      </c>
      <c r="P12" s="51">
        <v>1.33</v>
      </c>
      <c r="Q12" s="51">
        <v>9.6300000000000008</v>
      </c>
      <c r="R12" s="43"/>
      <c r="S12" s="43"/>
      <c r="T12" s="43"/>
      <c r="U12" s="43"/>
    </row>
    <row r="13" spans="1:21" s="11" customFormat="1" x14ac:dyDescent="0.25">
      <c r="A13" s="50" t="s">
        <v>424</v>
      </c>
      <c r="B13" s="51">
        <v>33.69</v>
      </c>
      <c r="C13" s="51">
        <v>76.27</v>
      </c>
      <c r="D13" s="51">
        <v>66.459999999999994</v>
      </c>
      <c r="E13" s="51">
        <v>3.86</v>
      </c>
      <c r="F13" s="51">
        <v>7.8</v>
      </c>
      <c r="G13" s="51">
        <v>73.58</v>
      </c>
      <c r="H13" s="51">
        <v>30.36</v>
      </c>
      <c r="I13" s="51">
        <v>4.0999999999999996</v>
      </c>
      <c r="J13" s="51">
        <v>0.57999999999999996</v>
      </c>
      <c r="K13" s="51">
        <v>330.11</v>
      </c>
      <c r="L13" s="51">
        <v>19.8</v>
      </c>
      <c r="M13" s="51">
        <v>73.41</v>
      </c>
      <c r="N13" s="51">
        <v>63.4</v>
      </c>
      <c r="O13" s="51">
        <v>0</v>
      </c>
      <c r="P13" s="51">
        <v>1.31</v>
      </c>
      <c r="Q13" s="51">
        <v>9.6199999999999992</v>
      </c>
      <c r="R13" s="43"/>
      <c r="S13" s="43"/>
      <c r="T13" s="43"/>
      <c r="U13" s="43"/>
    </row>
    <row r="14" spans="1:21" s="11" customFormat="1" x14ac:dyDescent="0.25">
      <c r="A14" s="50" t="s">
        <v>425</v>
      </c>
      <c r="B14" s="51">
        <v>84.58</v>
      </c>
      <c r="C14" s="51">
        <v>80.02</v>
      </c>
      <c r="D14" s="51">
        <v>109.53</v>
      </c>
      <c r="E14" s="51">
        <v>4.5999999999999996</v>
      </c>
      <c r="F14" s="51">
        <v>8.3699999999999992</v>
      </c>
      <c r="G14" s="51">
        <v>81.8</v>
      </c>
      <c r="H14" s="51">
        <v>32.68</v>
      </c>
      <c r="I14" s="51">
        <v>4.08</v>
      </c>
      <c r="J14" s="51">
        <v>0.83</v>
      </c>
      <c r="K14" s="51">
        <v>347.79</v>
      </c>
      <c r="L14" s="51">
        <v>20.22</v>
      </c>
      <c r="M14" s="51">
        <v>68.209999999999994</v>
      </c>
      <c r="N14" s="51">
        <v>63.8</v>
      </c>
      <c r="O14" s="51">
        <v>0</v>
      </c>
      <c r="P14" s="51">
        <v>1.39</v>
      </c>
      <c r="Q14" s="51">
        <v>9.6199999999999992</v>
      </c>
      <c r="R14" s="43"/>
      <c r="S14" s="43"/>
      <c r="T14" s="43"/>
      <c r="U14" s="43"/>
    </row>
    <row r="15" spans="1:21" s="11" customFormat="1" x14ac:dyDescent="0.25">
      <c r="A15" s="50" t="s">
        <v>426</v>
      </c>
      <c r="B15" s="51">
        <v>144.61000000000001</v>
      </c>
      <c r="C15" s="51">
        <v>94.41</v>
      </c>
      <c r="D15" s="51">
        <v>164.73</v>
      </c>
      <c r="E15" s="51">
        <v>5.44</v>
      </c>
      <c r="F15" s="51">
        <v>8.9700000000000006</v>
      </c>
      <c r="G15" s="51">
        <v>96.39</v>
      </c>
      <c r="H15" s="51">
        <v>36.880000000000003</v>
      </c>
      <c r="I15" s="51">
        <v>4.16</v>
      </c>
      <c r="J15" s="51">
        <v>0.37</v>
      </c>
      <c r="K15" s="51">
        <v>339.95</v>
      </c>
      <c r="L15" s="51">
        <v>20.56</v>
      </c>
      <c r="M15" s="51">
        <v>70.25</v>
      </c>
      <c r="N15" s="51">
        <v>120</v>
      </c>
      <c r="O15" s="51">
        <v>0</v>
      </c>
      <c r="P15" s="51">
        <v>1.7</v>
      </c>
      <c r="Q15" s="51">
        <v>9.69</v>
      </c>
      <c r="R15" s="43"/>
      <c r="S15" s="43"/>
      <c r="T15" s="43"/>
      <c r="U15" s="43"/>
    </row>
    <row r="16" spans="1:21" s="11" customFormat="1" x14ac:dyDescent="0.25">
      <c r="A16" s="50" t="s">
        <v>427</v>
      </c>
      <c r="B16" s="51">
        <v>121.67</v>
      </c>
      <c r="C16" s="51">
        <v>96.5</v>
      </c>
      <c r="D16" s="51">
        <v>147.99</v>
      </c>
      <c r="E16" s="51">
        <v>6.46</v>
      </c>
      <c r="F16" s="51">
        <v>11.09</v>
      </c>
      <c r="G16" s="51">
        <v>106.27</v>
      </c>
      <c r="H16" s="51">
        <v>40.19</v>
      </c>
      <c r="I16" s="51">
        <v>3.94</v>
      </c>
      <c r="J16" s="51">
        <v>0.72</v>
      </c>
      <c r="K16" s="51">
        <v>216.2</v>
      </c>
      <c r="L16" s="51">
        <v>24.8</v>
      </c>
      <c r="M16" s="51">
        <v>64.84</v>
      </c>
      <c r="N16" s="51">
        <v>253.1</v>
      </c>
      <c r="O16" s="51">
        <v>0</v>
      </c>
      <c r="P16" s="51">
        <v>1.54</v>
      </c>
      <c r="Q16" s="51">
        <v>9.69</v>
      </c>
      <c r="R16" s="43"/>
      <c r="S16" s="43"/>
      <c r="T16" s="43"/>
      <c r="U16" s="43"/>
    </row>
    <row r="17" spans="1:21" s="11" customFormat="1" x14ac:dyDescent="0.25">
      <c r="A17" s="50" t="s">
        <v>428</v>
      </c>
      <c r="B17" s="51">
        <v>59.03</v>
      </c>
      <c r="C17" s="51">
        <v>74.77</v>
      </c>
      <c r="D17" s="51">
        <v>85.71</v>
      </c>
      <c r="E17" s="51">
        <v>5.82</v>
      </c>
      <c r="F17" s="51">
        <v>9.5500000000000007</v>
      </c>
      <c r="G17" s="51">
        <v>104.8</v>
      </c>
      <c r="H17" s="51">
        <v>32.72</v>
      </c>
      <c r="I17" s="51">
        <v>4.07</v>
      </c>
      <c r="J17" s="51">
        <v>1.03</v>
      </c>
      <c r="K17" s="51">
        <v>293.87</v>
      </c>
      <c r="L17" s="51">
        <v>27.63</v>
      </c>
      <c r="M17" s="51">
        <v>43.78</v>
      </c>
      <c r="N17" s="51">
        <v>385.5</v>
      </c>
      <c r="O17" s="51">
        <v>0</v>
      </c>
      <c r="P17" s="51">
        <v>1.3</v>
      </c>
      <c r="Q17" s="51">
        <v>9.6999999999999993</v>
      </c>
      <c r="R17" s="43"/>
      <c r="S17" s="43"/>
      <c r="T17" s="43"/>
      <c r="U17" s="43"/>
    </row>
    <row r="18" spans="1:21" s="11" customFormat="1" x14ac:dyDescent="0.25">
      <c r="A18" s="50" t="s">
        <v>429</v>
      </c>
      <c r="B18" s="51">
        <v>42.01</v>
      </c>
      <c r="C18" s="51">
        <v>81.58</v>
      </c>
      <c r="D18" s="51">
        <v>74.489999999999995</v>
      </c>
      <c r="E18" s="51">
        <v>4.0199999999999996</v>
      </c>
      <c r="F18" s="51">
        <v>8.42</v>
      </c>
      <c r="G18" s="51">
        <v>94.44</v>
      </c>
      <c r="H18" s="51">
        <v>38.97</v>
      </c>
      <c r="I18" s="51">
        <v>4.16</v>
      </c>
      <c r="J18" s="51">
        <v>1.1399999999999999</v>
      </c>
      <c r="K18" s="51">
        <v>283.08</v>
      </c>
      <c r="L18" s="51">
        <v>29.44</v>
      </c>
      <c r="M18" s="51">
        <v>44.29</v>
      </c>
      <c r="N18" s="51">
        <v>551.6</v>
      </c>
      <c r="O18" s="51">
        <v>0</v>
      </c>
      <c r="P18" s="51">
        <v>1.23</v>
      </c>
      <c r="Q18" s="51">
        <v>9.6300000000000008</v>
      </c>
      <c r="R18" s="43"/>
      <c r="S18" s="43"/>
      <c r="T18" s="43"/>
      <c r="U18" s="43"/>
    </row>
    <row r="19" spans="1:21" s="11" customFormat="1" x14ac:dyDescent="0.25">
      <c r="A19" s="50" t="s">
        <v>430</v>
      </c>
      <c r="B19" s="51">
        <v>15.15</v>
      </c>
      <c r="C19" s="51">
        <v>84.33</v>
      </c>
      <c r="D19" s="51">
        <v>55.81</v>
      </c>
      <c r="E19" s="51">
        <v>3.58</v>
      </c>
      <c r="F19" s="51">
        <v>12.32</v>
      </c>
      <c r="G19" s="51">
        <v>84.16</v>
      </c>
      <c r="H19" s="51">
        <v>29.8</v>
      </c>
      <c r="I19" s="51">
        <v>4.03</v>
      </c>
      <c r="J19" s="51">
        <v>1.22</v>
      </c>
      <c r="K19" s="51">
        <v>288.74</v>
      </c>
      <c r="L19" s="51">
        <v>30.74</v>
      </c>
      <c r="M19" s="51">
        <v>33.69</v>
      </c>
      <c r="N19" s="51">
        <v>652.70000000000005</v>
      </c>
      <c r="O19" s="51">
        <v>0</v>
      </c>
      <c r="P19" s="51">
        <v>0.98</v>
      </c>
      <c r="Q19" s="51">
        <v>9.52</v>
      </c>
      <c r="R19" s="43"/>
      <c r="S19" s="43"/>
      <c r="T19" s="43"/>
      <c r="U19" s="43"/>
    </row>
    <row r="20" spans="1:21" s="11" customFormat="1" x14ac:dyDescent="0.25">
      <c r="A20" s="50" t="s">
        <v>431</v>
      </c>
      <c r="B20" s="51">
        <v>3.21</v>
      </c>
      <c r="C20" s="51">
        <v>72.150000000000006</v>
      </c>
      <c r="D20" s="51">
        <v>40.270000000000003</v>
      </c>
      <c r="E20" s="51">
        <v>4.7300000000000004</v>
      </c>
      <c r="F20" s="51">
        <v>16.78</v>
      </c>
      <c r="G20" s="51">
        <v>88.15</v>
      </c>
      <c r="H20" s="51">
        <v>31.64</v>
      </c>
      <c r="I20" s="51">
        <v>4.03</v>
      </c>
      <c r="J20" s="51">
        <v>1.51</v>
      </c>
      <c r="K20" s="51">
        <v>276.36</v>
      </c>
      <c r="L20" s="51">
        <v>32.25</v>
      </c>
      <c r="M20" s="51">
        <v>25.41</v>
      </c>
      <c r="N20" s="51">
        <v>664</v>
      </c>
      <c r="O20" s="51">
        <v>0</v>
      </c>
      <c r="P20" s="51">
        <v>0.65</v>
      </c>
      <c r="Q20" s="51">
        <v>9.1999999999999993</v>
      </c>
      <c r="R20" s="43"/>
      <c r="S20" s="43"/>
      <c r="T20" s="43"/>
      <c r="U20" s="43"/>
    </row>
    <row r="21" spans="1:21" s="11" customFormat="1" x14ac:dyDescent="0.25">
      <c r="A21" s="50" t="s">
        <v>432</v>
      </c>
      <c r="B21" s="51">
        <v>2.98</v>
      </c>
      <c r="C21" s="51">
        <v>61.38</v>
      </c>
      <c r="D21" s="51">
        <v>34.46</v>
      </c>
      <c r="E21" s="51">
        <v>4.88</v>
      </c>
      <c r="F21" s="51">
        <v>17.079999999999998</v>
      </c>
      <c r="G21" s="51">
        <v>90.73</v>
      </c>
      <c r="H21" s="51">
        <v>41.91</v>
      </c>
      <c r="I21" s="51">
        <v>4.13</v>
      </c>
      <c r="J21" s="51">
        <v>1.94</v>
      </c>
      <c r="K21" s="51">
        <v>291.16000000000003</v>
      </c>
      <c r="L21" s="51">
        <v>33.35</v>
      </c>
      <c r="M21" s="51">
        <v>22.28</v>
      </c>
      <c r="N21" s="51">
        <v>682.9</v>
      </c>
      <c r="O21" s="51">
        <v>0</v>
      </c>
      <c r="P21" s="51">
        <v>0.48</v>
      </c>
      <c r="Q21" s="51">
        <v>9.01</v>
      </c>
      <c r="R21" s="43"/>
      <c r="S21" s="43"/>
      <c r="T21" s="43"/>
      <c r="U21" s="43"/>
    </row>
    <row r="22" spans="1:21" s="11" customFormat="1" x14ac:dyDescent="0.25">
      <c r="A22" s="50" t="s">
        <v>433</v>
      </c>
      <c r="B22" s="51">
        <v>3.09</v>
      </c>
      <c r="C22" s="51">
        <v>53.2</v>
      </c>
      <c r="D22" s="51">
        <v>30.25</v>
      </c>
      <c r="E22" s="51">
        <v>4.88</v>
      </c>
      <c r="F22" s="51">
        <v>17.3</v>
      </c>
      <c r="G22" s="51">
        <v>93.64</v>
      </c>
      <c r="H22" s="51">
        <v>21.58</v>
      </c>
      <c r="I22" s="51">
        <v>4.1100000000000003</v>
      </c>
      <c r="J22" s="51">
        <v>1.58</v>
      </c>
      <c r="K22" s="51">
        <v>287.13</v>
      </c>
      <c r="L22" s="51">
        <v>34.04</v>
      </c>
      <c r="M22" s="51">
        <v>21.04</v>
      </c>
      <c r="N22" s="51">
        <v>676.3</v>
      </c>
      <c r="O22" s="51">
        <v>0</v>
      </c>
      <c r="P22" s="51">
        <v>0.48</v>
      </c>
      <c r="Q22" s="51">
        <v>8.8800000000000008</v>
      </c>
      <c r="R22" s="43"/>
      <c r="S22" s="43"/>
      <c r="T22" s="43"/>
      <c r="U22" s="43"/>
    </row>
    <row r="23" spans="1:21" s="11" customFormat="1" x14ac:dyDescent="0.25">
      <c r="A23" s="50" t="s">
        <v>434</v>
      </c>
      <c r="B23" s="51">
        <v>3.95</v>
      </c>
      <c r="C23" s="51">
        <v>52.21</v>
      </c>
      <c r="D23" s="51">
        <v>30.08</v>
      </c>
      <c r="E23" s="51">
        <v>4.74</v>
      </c>
      <c r="F23" s="51">
        <v>17.329999999999998</v>
      </c>
      <c r="G23" s="51">
        <v>83.88</v>
      </c>
      <c r="H23" s="51">
        <v>44.06</v>
      </c>
      <c r="I23" s="51">
        <v>4.1500000000000004</v>
      </c>
      <c r="J23" s="51">
        <v>1.08</v>
      </c>
      <c r="K23" s="51">
        <v>294.95</v>
      </c>
      <c r="L23" s="51">
        <v>34.340000000000003</v>
      </c>
      <c r="M23" s="51">
        <v>22.4</v>
      </c>
      <c r="N23" s="51">
        <v>595.5</v>
      </c>
      <c r="O23" s="51">
        <v>0</v>
      </c>
      <c r="P23" s="51">
        <v>0.49</v>
      </c>
      <c r="Q23" s="51">
        <v>8.8000000000000007</v>
      </c>
      <c r="R23" s="43"/>
      <c r="S23" s="43"/>
      <c r="T23" s="43"/>
      <c r="U23" s="43"/>
    </row>
    <row r="24" spans="1:21" s="11" customFormat="1" x14ac:dyDescent="0.25">
      <c r="A24" s="50" t="s">
        <v>435</v>
      </c>
      <c r="B24" s="51">
        <v>4.92</v>
      </c>
      <c r="C24" s="51">
        <v>57.59</v>
      </c>
      <c r="D24" s="51">
        <v>34.03</v>
      </c>
      <c r="E24" s="51">
        <v>5.3</v>
      </c>
      <c r="F24" s="51">
        <v>23.02</v>
      </c>
      <c r="G24" s="51">
        <v>69.47</v>
      </c>
      <c r="H24" s="51">
        <v>15.86</v>
      </c>
      <c r="I24" s="51">
        <v>4.16</v>
      </c>
      <c r="J24" s="51">
        <v>1.43</v>
      </c>
      <c r="K24" s="51">
        <v>294.12</v>
      </c>
      <c r="L24" s="51">
        <v>33.74</v>
      </c>
      <c r="M24" s="51">
        <v>21.12</v>
      </c>
      <c r="N24" s="51">
        <v>247.1</v>
      </c>
      <c r="O24" s="51">
        <v>0</v>
      </c>
      <c r="P24" s="51">
        <v>0.48</v>
      </c>
      <c r="Q24" s="51">
        <v>8.81</v>
      </c>
      <c r="R24" s="43"/>
      <c r="S24" s="43"/>
      <c r="T24" s="43"/>
      <c r="U24" s="43"/>
    </row>
    <row r="25" spans="1:21" s="11" customFormat="1" x14ac:dyDescent="0.25">
      <c r="A25" s="50" t="s">
        <v>436</v>
      </c>
      <c r="B25" s="51">
        <v>3.78</v>
      </c>
      <c r="C25" s="51">
        <v>56.92</v>
      </c>
      <c r="D25" s="51">
        <v>32.6</v>
      </c>
      <c r="E25" s="51">
        <v>6.02</v>
      </c>
      <c r="F25" s="51">
        <v>18.73</v>
      </c>
      <c r="G25" s="51">
        <v>55.47</v>
      </c>
      <c r="H25" s="51">
        <v>6.03</v>
      </c>
      <c r="I25" s="51">
        <v>4.13</v>
      </c>
      <c r="J25" s="51">
        <v>1</v>
      </c>
      <c r="K25" s="51">
        <v>295.91000000000003</v>
      </c>
      <c r="L25" s="51">
        <v>32.9</v>
      </c>
      <c r="M25" s="51">
        <v>23.37</v>
      </c>
      <c r="N25" s="51">
        <v>211.5</v>
      </c>
      <c r="O25" s="51">
        <v>0</v>
      </c>
      <c r="P25" s="51">
        <v>0.59</v>
      </c>
      <c r="Q25" s="51">
        <v>8.83</v>
      </c>
      <c r="R25" s="43"/>
      <c r="S25" s="43"/>
      <c r="T25" s="43"/>
      <c r="U25" s="43"/>
    </row>
    <row r="26" spans="1:21" s="11" customFormat="1" x14ac:dyDescent="0.25">
      <c r="A26" s="50" t="s">
        <v>437</v>
      </c>
      <c r="B26" s="51">
        <v>7.36</v>
      </c>
      <c r="C26" s="51">
        <v>74.59</v>
      </c>
      <c r="D26" s="51">
        <v>44.62</v>
      </c>
      <c r="E26" s="51">
        <v>9.7200000000000006</v>
      </c>
      <c r="F26" s="51">
        <v>28.14</v>
      </c>
      <c r="G26" s="51">
        <v>51.98</v>
      </c>
      <c r="H26" s="51">
        <v>2.41</v>
      </c>
      <c r="I26" s="51">
        <v>4.05</v>
      </c>
      <c r="J26" s="51">
        <v>0.91</v>
      </c>
      <c r="K26" s="51">
        <v>297.37</v>
      </c>
      <c r="L26" s="51">
        <v>31.47</v>
      </c>
      <c r="M26" s="51">
        <v>26.93</v>
      </c>
      <c r="N26" s="51">
        <v>106.4</v>
      </c>
      <c r="O26" s="51">
        <v>0</v>
      </c>
      <c r="P26" s="51">
        <v>0.87</v>
      </c>
      <c r="Q26" s="51">
        <v>8.8699999999999992</v>
      </c>
      <c r="R26" s="43"/>
      <c r="S26" s="43"/>
      <c r="T26" s="43"/>
      <c r="U26" s="43"/>
    </row>
    <row r="27" spans="1:21" s="11" customFormat="1" x14ac:dyDescent="0.25">
      <c r="A27" s="50" t="s">
        <v>438</v>
      </c>
      <c r="B27" s="51">
        <v>80.599999999999994</v>
      </c>
      <c r="C27" s="51">
        <v>146.08000000000001</v>
      </c>
      <c r="D27" s="51">
        <v>140.96</v>
      </c>
      <c r="E27" s="51">
        <v>13.43</v>
      </c>
      <c r="F27" s="51">
        <v>24.69</v>
      </c>
      <c r="G27" s="51">
        <v>56.07</v>
      </c>
      <c r="H27" s="51">
        <v>1.01</v>
      </c>
      <c r="I27" s="51">
        <v>4.09</v>
      </c>
      <c r="J27" s="51">
        <v>0.84</v>
      </c>
      <c r="K27" s="51">
        <v>358.92</v>
      </c>
      <c r="L27" s="51">
        <v>29.18</v>
      </c>
      <c r="M27" s="51">
        <v>34.32</v>
      </c>
      <c r="N27" s="51">
        <v>64.7</v>
      </c>
      <c r="O27" s="51">
        <v>0</v>
      </c>
      <c r="P27" s="51">
        <v>2.67</v>
      </c>
      <c r="Q27" s="51">
        <v>9.0500000000000007</v>
      </c>
      <c r="R27" s="43"/>
      <c r="S27" s="43"/>
      <c r="T27" s="43"/>
      <c r="U27" s="43"/>
    </row>
    <row r="28" spans="1:21" s="11" customFormat="1" x14ac:dyDescent="0.25">
      <c r="A28" s="50" t="s">
        <v>439</v>
      </c>
      <c r="B28" s="51">
        <v>52.12</v>
      </c>
      <c r="C28" s="51">
        <v>123.61</v>
      </c>
      <c r="D28" s="51">
        <v>106.38</v>
      </c>
      <c r="E28" s="51">
        <v>11.35</v>
      </c>
      <c r="F28" s="51">
        <v>23.75</v>
      </c>
      <c r="G28" s="51">
        <v>66.73</v>
      </c>
      <c r="H28" s="51">
        <v>2.89</v>
      </c>
      <c r="I28" s="51">
        <v>4.05</v>
      </c>
      <c r="J28" s="51">
        <v>0.95</v>
      </c>
      <c r="K28" s="51">
        <v>351.33</v>
      </c>
      <c r="L28" s="51">
        <v>26.78</v>
      </c>
      <c r="M28" s="51">
        <v>36.49</v>
      </c>
      <c r="N28" s="51">
        <v>62.4</v>
      </c>
      <c r="O28" s="51">
        <v>0</v>
      </c>
      <c r="P28" s="51">
        <v>2.2999999999999998</v>
      </c>
      <c r="Q28" s="51">
        <v>9.41</v>
      </c>
      <c r="R28" s="43"/>
      <c r="S28" s="43"/>
      <c r="T28" s="43"/>
      <c r="U28" s="43"/>
    </row>
    <row r="29" spans="1:21" s="11" customFormat="1" x14ac:dyDescent="0.25">
      <c r="A29" s="50" t="s">
        <v>440</v>
      </c>
      <c r="B29" s="51">
        <v>44.13</v>
      </c>
      <c r="C29" s="51">
        <v>133.71</v>
      </c>
      <c r="D29" s="51">
        <v>105.25</v>
      </c>
      <c r="E29" s="51">
        <v>12.05</v>
      </c>
      <c r="F29" s="51">
        <v>22.49</v>
      </c>
      <c r="G29" s="51">
        <v>70.540000000000006</v>
      </c>
      <c r="H29" s="51">
        <v>13.05</v>
      </c>
      <c r="I29" s="51">
        <v>4.1100000000000003</v>
      </c>
      <c r="J29" s="51">
        <v>0.72</v>
      </c>
      <c r="K29" s="51">
        <v>328.14</v>
      </c>
      <c r="L29" s="51">
        <v>25.97</v>
      </c>
      <c r="M29" s="51">
        <v>40.03</v>
      </c>
      <c r="N29" s="51">
        <v>62.9</v>
      </c>
      <c r="O29" s="51">
        <v>0</v>
      </c>
      <c r="P29" s="51">
        <v>1.82</v>
      </c>
      <c r="Q29" s="51">
        <v>9.44</v>
      </c>
      <c r="R29" s="43"/>
      <c r="S29" s="43"/>
      <c r="T29" s="43"/>
      <c r="U29" s="43"/>
    </row>
    <row r="30" spans="1:21" s="11" customFormat="1" x14ac:dyDescent="0.25">
      <c r="A30" s="50" t="s">
        <v>441</v>
      </c>
      <c r="B30" s="51">
        <v>125.31</v>
      </c>
      <c r="C30" s="51">
        <v>151.19</v>
      </c>
      <c r="D30" s="51">
        <v>179.49</v>
      </c>
      <c r="E30" s="51">
        <v>11.08</v>
      </c>
      <c r="F30" s="51">
        <v>8.92</v>
      </c>
      <c r="G30" s="51">
        <v>75.67</v>
      </c>
      <c r="H30" s="51">
        <v>22.53</v>
      </c>
      <c r="I30" s="51">
        <v>4.08</v>
      </c>
      <c r="J30" s="51">
        <v>0.69</v>
      </c>
      <c r="K30" s="51">
        <v>317.69</v>
      </c>
      <c r="L30" s="51">
        <v>24.7</v>
      </c>
      <c r="M30" s="51">
        <v>50.4</v>
      </c>
      <c r="N30" s="51">
        <v>62.8</v>
      </c>
      <c r="O30" s="51">
        <v>0</v>
      </c>
      <c r="P30" s="51">
        <v>2.2200000000000002</v>
      </c>
      <c r="Q30" s="51">
        <v>9.4499999999999993</v>
      </c>
      <c r="R30" s="43"/>
      <c r="S30" s="43"/>
      <c r="T30" s="43"/>
      <c r="U30" s="43"/>
    </row>
    <row r="31" spans="1:21" s="11" customFormat="1" x14ac:dyDescent="0.25">
      <c r="A31" s="50" t="s">
        <v>442</v>
      </c>
      <c r="B31" s="51">
        <v>52.48</v>
      </c>
      <c r="C31" s="51">
        <v>103.99</v>
      </c>
      <c r="D31" s="51">
        <v>96.42</v>
      </c>
      <c r="E31" s="51">
        <v>7.49</v>
      </c>
      <c r="F31" s="51">
        <v>16.57</v>
      </c>
      <c r="G31" s="51">
        <v>88.59</v>
      </c>
      <c r="H31" s="51">
        <v>18.260000000000002</v>
      </c>
      <c r="I31" s="51">
        <v>3.93</v>
      </c>
      <c r="J31" s="51">
        <v>0.91</v>
      </c>
      <c r="K31" s="51">
        <v>275.82</v>
      </c>
      <c r="L31" s="51">
        <v>24.12</v>
      </c>
      <c r="M31" s="51">
        <v>46.95</v>
      </c>
      <c r="N31" s="51">
        <v>62.6</v>
      </c>
      <c r="O31" s="51">
        <v>0</v>
      </c>
      <c r="P31" s="51">
        <v>1.69</v>
      </c>
      <c r="Q31" s="51">
        <v>9.59</v>
      </c>
      <c r="R31" s="43"/>
      <c r="S31" s="43"/>
      <c r="T31" s="43"/>
      <c r="U31" s="43"/>
    </row>
    <row r="32" spans="1:21" s="11" customFormat="1" x14ac:dyDescent="0.25">
      <c r="A32" s="50" t="s">
        <v>443</v>
      </c>
      <c r="B32" s="51">
        <v>29.14</v>
      </c>
      <c r="C32" s="51">
        <v>69.3</v>
      </c>
      <c r="D32" s="51">
        <v>59.57</v>
      </c>
      <c r="E32" s="51">
        <v>7.18</v>
      </c>
      <c r="F32" s="51">
        <v>24</v>
      </c>
      <c r="G32" s="51">
        <v>83.43</v>
      </c>
      <c r="H32" s="51">
        <v>37.49</v>
      </c>
      <c r="I32" s="51">
        <v>4.08</v>
      </c>
      <c r="J32" s="51">
        <v>0.82</v>
      </c>
      <c r="K32" s="51">
        <v>245.43</v>
      </c>
      <c r="L32" s="51">
        <v>23.59</v>
      </c>
      <c r="M32" s="51">
        <v>49.25</v>
      </c>
      <c r="N32" s="51">
        <v>62.7</v>
      </c>
      <c r="O32" s="51">
        <v>0</v>
      </c>
      <c r="P32" s="51">
        <v>1.29</v>
      </c>
      <c r="Q32" s="51">
        <v>9.59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2.98</v>
      </c>
      <c r="C34" s="28">
        <f t="shared" si="0"/>
        <v>52.21</v>
      </c>
      <c r="D34" s="28">
        <f t="shared" si="0"/>
        <v>30.08</v>
      </c>
      <c r="E34" s="28">
        <f t="shared" si="0"/>
        <v>3.58</v>
      </c>
      <c r="F34" s="28">
        <f t="shared" si="0"/>
        <v>7.8</v>
      </c>
      <c r="G34" s="28">
        <f t="shared" si="0"/>
        <v>51.98</v>
      </c>
      <c r="H34" s="28">
        <f t="shared" si="0"/>
        <v>1.01</v>
      </c>
      <c r="I34" s="28">
        <f t="shared" si="0"/>
        <v>3.93</v>
      </c>
      <c r="J34" s="28">
        <f t="shared" si="0"/>
        <v>0.37</v>
      </c>
      <c r="K34" s="28">
        <f t="shared" si="0"/>
        <v>216.2</v>
      </c>
      <c r="L34" s="28">
        <f t="shared" si="0"/>
        <v>19.8</v>
      </c>
      <c r="M34" s="28">
        <f t="shared" si="0"/>
        <v>21.04</v>
      </c>
      <c r="N34" s="28">
        <f t="shared" si="0"/>
        <v>62.4</v>
      </c>
      <c r="O34" s="28">
        <f t="shared" si="0"/>
        <v>0</v>
      </c>
      <c r="P34" s="28">
        <f t="shared" si="0"/>
        <v>0.48</v>
      </c>
      <c r="Q34" s="28">
        <f t="shared" si="0"/>
        <v>8.8000000000000007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144.61000000000001</v>
      </c>
      <c r="C35" s="29">
        <f t="shared" si="1"/>
        <v>151.19</v>
      </c>
      <c r="D35" s="29">
        <f t="shared" si="1"/>
        <v>179.49</v>
      </c>
      <c r="E35" s="29">
        <f t="shared" si="1"/>
        <v>13.43</v>
      </c>
      <c r="F35" s="29">
        <f t="shared" si="1"/>
        <v>28.14</v>
      </c>
      <c r="G35" s="29">
        <f t="shared" si="1"/>
        <v>106.27</v>
      </c>
      <c r="H35" s="29">
        <f t="shared" si="1"/>
        <v>44.76</v>
      </c>
      <c r="I35" s="29">
        <f t="shared" si="1"/>
        <v>4.16</v>
      </c>
      <c r="J35" s="29">
        <f t="shared" si="1"/>
        <v>1.94</v>
      </c>
      <c r="K35" s="29">
        <f t="shared" si="1"/>
        <v>358.92</v>
      </c>
      <c r="L35" s="29">
        <f t="shared" si="1"/>
        <v>34.340000000000003</v>
      </c>
      <c r="M35" s="29">
        <f t="shared" si="1"/>
        <v>73.41</v>
      </c>
      <c r="N35" s="29">
        <f t="shared" si="1"/>
        <v>682.9</v>
      </c>
      <c r="O35" s="29">
        <f t="shared" si="1"/>
        <v>0</v>
      </c>
      <c r="P35" s="29">
        <f t="shared" si="1"/>
        <v>2.67</v>
      </c>
      <c r="Q35" s="29">
        <f t="shared" si="1"/>
        <v>9.73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44.713750000000005</v>
      </c>
      <c r="C36" s="28">
        <f t="shared" si="2"/>
        <v>84.028333333333322</v>
      </c>
      <c r="D36" s="28">
        <f t="shared" si="2"/>
        <v>79.449999999999989</v>
      </c>
      <c r="E36" s="28">
        <f t="shared" si="2"/>
        <v>6.8529166666666663</v>
      </c>
      <c r="F36" s="28">
        <f t="shared" si="2"/>
        <v>16.950833333333332</v>
      </c>
      <c r="G36" s="28">
        <f t="shared" si="2"/>
        <v>80.632500000000007</v>
      </c>
      <c r="H36" s="28">
        <f t="shared" si="2"/>
        <v>26.151249999999994</v>
      </c>
      <c r="I36" s="28">
        <f t="shared" si="2"/>
        <v>4.0841666666666665</v>
      </c>
      <c r="J36" s="28">
        <f t="shared" si="2"/>
        <v>0.96208333333333329</v>
      </c>
      <c r="K36" s="28">
        <f t="shared" si="2"/>
        <v>306.38499999999993</v>
      </c>
      <c r="L36" s="28">
        <f t="shared" si="2"/>
        <v>26.934583333333336</v>
      </c>
      <c r="M36" s="28">
        <f t="shared" si="2"/>
        <v>43.293333333333329</v>
      </c>
      <c r="N36" s="28">
        <f t="shared" si="2"/>
        <v>246.0958333333333</v>
      </c>
      <c r="O36" s="28">
        <f t="shared" si="2"/>
        <v>0</v>
      </c>
      <c r="P36" s="28">
        <f t="shared" si="2"/>
        <v>1.2866666666666668</v>
      </c>
      <c r="Q36" s="28">
        <f t="shared" si="2"/>
        <v>9.3808333333333351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41.083607628357917</v>
      </c>
      <c r="C37" s="28">
        <f t="shared" ref="C37:Q37" si="3">STDEV(C9:C32)</f>
        <v>28.585777805643559</v>
      </c>
      <c r="D37" s="28">
        <f t="shared" si="3"/>
        <v>44.030084379146778</v>
      </c>
      <c r="E37" s="28">
        <f t="shared" si="3"/>
        <v>2.7604150273443322</v>
      </c>
      <c r="F37" s="28">
        <f t="shared" si="3"/>
        <v>6.4626498244623427</v>
      </c>
      <c r="G37" s="28">
        <f t="shared" si="3"/>
        <v>14.660220726139418</v>
      </c>
      <c r="H37" s="28">
        <f t="shared" si="3"/>
        <v>13.79004061301837</v>
      </c>
      <c r="I37" s="28">
        <f t="shared" si="3"/>
        <v>6.4262820860335246E-2</v>
      </c>
      <c r="J37" s="28">
        <f t="shared" si="3"/>
        <v>0.36118138483817652</v>
      </c>
      <c r="K37" s="28">
        <f t="shared" si="3"/>
        <v>35.293984830526512</v>
      </c>
      <c r="L37" s="28">
        <f t="shared" si="3"/>
        <v>5.0297324495933475</v>
      </c>
      <c r="M37" s="28">
        <f t="shared" si="3"/>
        <v>16.943819616261447</v>
      </c>
      <c r="N37" s="28">
        <f t="shared" si="3"/>
        <v>245.68413705258905</v>
      </c>
      <c r="O37" s="28">
        <f t="shared" si="3"/>
        <v>0</v>
      </c>
      <c r="P37" s="28">
        <f t="shared" si="3"/>
        <v>0.60358110053872294</v>
      </c>
      <c r="Q37" s="28">
        <f t="shared" si="3"/>
        <v>0.34386444076581735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444</v>
      </c>
      <c r="B9" s="51">
        <v>16.829999999999998</v>
      </c>
      <c r="C9" s="51">
        <v>59.14</v>
      </c>
      <c r="D9" s="51">
        <v>41.64</v>
      </c>
      <c r="E9" s="51">
        <v>7.98</v>
      </c>
      <c r="F9" s="51">
        <v>27.09</v>
      </c>
      <c r="G9" s="51">
        <v>77.09</v>
      </c>
      <c r="H9" s="51">
        <v>29.9</v>
      </c>
      <c r="I9" s="51">
        <v>4.07</v>
      </c>
      <c r="J9" s="51">
        <v>0.56000000000000005</v>
      </c>
      <c r="K9" s="51">
        <v>287.57</v>
      </c>
      <c r="L9" s="51">
        <v>22.64</v>
      </c>
      <c r="M9" s="51">
        <v>48.73</v>
      </c>
      <c r="N9" s="51">
        <v>62.6</v>
      </c>
      <c r="O9" s="51">
        <v>0</v>
      </c>
      <c r="P9" s="51">
        <v>1.01</v>
      </c>
      <c r="Q9" s="51">
        <v>9.59</v>
      </c>
      <c r="R9" s="43"/>
      <c r="S9" s="43"/>
      <c r="T9" s="43"/>
      <c r="U9" s="43"/>
    </row>
    <row r="10" spans="1:21" s="11" customFormat="1" x14ac:dyDescent="0.25">
      <c r="A10" s="50" t="s">
        <v>445</v>
      </c>
      <c r="B10" s="51">
        <v>20.34</v>
      </c>
      <c r="C10" s="51">
        <v>67.63</v>
      </c>
      <c r="D10" s="51">
        <v>50.89</v>
      </c>
      <c r="E10" s="51">
        <v>10.67</v>
      </c>
      <c r="F10" s="51">
        <v>18.3</v>
      </c>
      <c r="G10" s="51">
        <v>69.2</v>
      </c>
      <c r="H10" s="51">
        <v>27.35</v>
      </c>
      <c r="I10" s="51">
        <v>4.04</v>
      </c>
      <c r="J10" s="51">
        <v>1.9</v>
      </c>
      <c r="K10" s="51">
        <v>348.89</v>
      </c>
      <c r="L10" s="51">
        <v>22.66</v>
      </c>
      <c r="M10" s="51">
        <v>48.32</v>
      </c>
      <c r="N10" s="51">
        <v>62.6</v>
      </c>
      <c r="O10" s="51">
        <v>0</v>
      </c>
      <c r="P10" s="51">
        <v>1.22</v>
      </c>
      <c r="Q10" s="51">
        <v>9.5399999999999991</v>
      </c>
      <c r="R10" s="43"/>
      <c r="S10" s="43"/>
      <c r="T10" s="43"/>
      <c r="U10" s="43"/>
    </row>
    <row r="11" spans="1:21" s="11" customFormat="1" x14ac:dyDescent="0.25">
      <c r="A11" s="50" t="s">
        <v>446</v>
      </c>
      <c r="B11" s="51">
        <v>13.09</v>
      </c>
      <c r="C11" s="51">
        <v>63.66</v>
      </c>
      <c r="D11" s="51">
        <v>43.76</v>
      </c>
      <c r="E11" s="51">
        <v>11.4</v>
      </c>
      <c r="F11" s="51">
        <v>15.83</v>
      </c>
      <c r="G11" s="51">
        <v>70.67</v>
      </c>
      <c r="H11" s="51">
        <v>32.44</v>
      </c>
      <c r="I11" s="51">
        <v>4.2300000000000004</v>
      </c>
      <c r="J11" s="51">
        <v>0.61</v>
      </c>
      <c r="K11" s="51">
        <v>339.43</v>
      </c>
      <c r="L11" s="51">
        <v>22.61</v>
      </c>
      <c r="M11" s="51">
        <v>49.9</v>
      </c>
      <c r="N11" s="51">
        <v>63</v>
      </c>
      <c r="O11" s="51">
        <v>0</v>
      </c>
      <c r="P11" s="51">
        <v>1.0900000000000001</v>
      </c>
      <c r="Q11" s="51">
        <v>9.5</v>
      </c>
      <c r="R11" s="43"/>
      <c r="S11" s="43"/>
      <c r="T11" s="43"/>
      <c r="U11" s="43"/>
    </row>
    <row r="12" spans="1:21" s="11" customFormat="1" x14ac:dyDescent="0.25">
      <c r="A12" s="50" t="s">
        <v>447</v>
      </c>
      <c r="B12" s="51">
        <v>9.9499999999999993</v>
      </c>
      <c r="C12" s="51">
        <v>61.8</v>
      </c>
      <c r="D12" s="51">
        <v>40.270000000000003</v>
      </c>
      <c r="E12" s="51">
        <v>7.62</v>
      </c>
      <c r="F12" s="51">
        <v>15.36</v>
      </c>
      <c r="G12" s="51">
        <v>79.98</v>
      </c>
      <c r="H12" s="51">
        <v>34.56</v>
      </c>
      <c r="I12" s="51">
        <v>4.0999999999999996</v>
      </c>
      <c r="J12" s="51">
        <v>0.91</v>
      </c>
      <c r="K12" s="51">
        <v>290.38</v>
      </c>
      <c r="L12" s="51">
        <v>22.59</v>
      </c>
      <c r="M12" s="51">
        <v>44.41</v>
      </c>
      <c r="N12" s="51">
        <v>62.3</v>
      </c>
      <c r="O12" s="51">
        <v>0</v>
      </c>
      <c r="P12" s="51">
        <v>1.05</v>
      </c>
      <c r="Q12" s="51">
        <v>9.44</v>
      </c>
      <c r="R12" s="43"/>
      <c r="S12" s="43"/>
      <c r="T12" s="43"/>
      <c r="U12" s="43"/>
    </row>
    <row r="13" spans="1:21" s="11" customFormat="1" x14ac:dyDescent="0.25">
      <c r="A13" s="50" t="s">
        <v>448</v>
      </c>
      <c r="B13" s="51">
        <v>12.5</v>
      </c>
      <c r="C13" s="51">
        <v>68.45</v>
      </c>
      <c r="D13" s="51">
        <v>44.15</v>
      </c>
      <c r="E13" s="51">
        <v>13.19</v>
      </c>
      <c r="F13" s="51">
        <v>20.02</v>
      </c>
      <c r="G13" s="51">
        <v>77.89</v>
      </c>
      <c r="H13" s="51">
        <v>32.89</v>
      </c>
      <c r="I13" s="51">
        <v>4.04</v>
      </c>
      <c r="J13" s="51">
        <v>0.75</v>
      </c>
      <c r="K13" s="51">
        <v>303.45</v>
      </c>
      <c r="L13" s="51">
        <v>22.14</v>
      </c>
      <c r="M13" s="51">
        <v>42.08</v>
      </c>
      <c r="N13" s="51">
        <v>62.9</v>
      </c>
      <c r="O13" s="51">
        <v>0</v>
      </c>
      <c r="P13" s="51">
        <v>0.91</v>
      </c>
      <c r="Q13" s="51">
        <v>9.27</v>
      </c>
      <c r="R13" s="43"/>
      <c r="S13" s="43"/>
      <c r="T13" s="43"/>
      <c r="U13" s="43"/>
    </row>
    <row r="14" spans="1:21" s="11" customFormat="1" x14ac:dyDescent="0.25">
      <c r="A14" s="50" t="s">
        <v>449</v>
      </c>
      <c r="B14" s="51">
        <v>53.92</v>
      </c>
      <c r="C14" s="51">
        <v>90.21</v>
      </c>
      <c r="D14" s="51">
        <v>90.37</v>
      </c>
      <c r="E14" s="51">
        <v>12.21</v>
      </c>
      <c r="F14" s="51">
        <v>15.91</v>
      </c>
      <c r="G14" s="51">
        <v>73.95</v>
      </c>
      <c r="H14" s="51">
        <v>35.21</v>
      </c>
      <c r="I14" s="51">
        <v>4.07</v>
      </c>
      <c r="J14" s="51">
        <v>0.56999999999999995</v>
      </c>
      <c r="K14" s="51">
        <v>354.52</v>
      </c>
      <c r="L14" s="51">
        <v>20.95</v>
      </c>
      <c r="M14" s="51">
        <v>52.43</v>
      </c>
      <c r="N14" s="51">
        <v>63</v>
      </c>
      <c r="O14" s="51">
        <v>0</v>
      </c>
      <c r="P14" s="51">
        <v>1.1200000000000001</v>
      </c>
      <c r="Q14" s="51">
        <v>9.44</v>
      </c>
      <c r="R14" s="43"/>
      <c r="S14" s="43"/>
      <c r="T14" s="43"/>
      <c r="U14" s="43"/>
    </row>
    <row r="15" spans="1:21" s="11" customFormat="1" x14ac:dyDescent="0.25">
      <c r="A15" s="50" t="s">
        <v>450</v>
      </c>
      <c r="B15" s="51">
        <v>48.68</v>
      </c>
      <c r="C15" s="51">
        <v>82.46</v>
      </c>
      <c r="D15" s="51">
        <v>82.12</v>
      </c>
      <c r="E15" s="51">
        <v>6.04</v>
      </c>
      <c r="F15" s="51">
        <v>9.1</v>
      </c>
      <c r="G15" s="51">
        <v>78.42</v>
      </c>
      <c r="H15" s="51">
        <v>35.85</v>
      </c>
      <c r="I15" s="51">
        <v>4.1100000000000003</v>
      </c>
      <c r="J15" s="51">
        <v>0.69</v>
      </c>
      <c r="K15" s="51">
        <v>261.14999999999998</v>
      </c>
      <c r="L15" s="51">
        <v>21.85</v>
      </c>
      <c r="M15" s="51">
        <v>49.4</v>
      </c>
      <c r="N15" s="51">
        <v>125.3</v>
      </c>
      <c r="O15" s="51">
        <v>0</v>
      </c>
      <c r="P15" s="51">
        <v>1.1599999999999999</v>
      </c>
      <c r="Q15" s="51">
        <v>9.5</v>
      </c>
      <c r="R15" s="43"/>
      <c r="S15" s="43"/>
      <c r="T15" s="43"/>
      <c r="U15" s="43"/>
    </row>
    <row r="16" spans="1:21" s="11" customFormat="1" x14ac:dyDescent="0.25">
      <c r="A16" s="50" t="s">
        <v>451</v>
      </c>
      <c r="B16" s="51">
        <v>36.369999999999997</v>
      </c>
      <c r="C16" s="51">
        <v>73.23</v>
      </c>
      <c r="D16" s="51">
        <v>67.430000000000007</v>
      </c>
      <c r="E16" s="51">
        <v>5.54</v>
      </c>
      <c r="F16" s="51">
        <v>9.65</v>
      </c>
      <c r="G16" s="51">
        <v>81.81</v>
      </c>
      <c r="H16" s="51">
        <v>36.29</v>
      </c>
      <c r="I16" s="51">
        <v>4.07</v>
      </c>
      <c r="J16" s="51">
        <v>0.61</v>
      </c>
      <c r="K16" s="51">
        <v>299.64</v>
      </c>
      <c r="L16" s="51">
        <v>25.76</v>
      </c>
      <c r="M16" s="51">
        <v>40.340000000000003</v>
      </c>
      <c r="N16" s="51">
        <v>295.5</v>
      </c>
      <c r="O16" s="51">
        <v>0</v>
      </c>
      <c r="P16" s="51">
        <v>1.1599999999999999</v>
      </c>
      <c r="Q16" s="51">
        <v>9.5500000000000007</v>
      </c>
      <c r="R16" s="43"/>
      <c r="S16" s="43"/>
      <c r="T16" s="43"/>
      <c r="U16" s="43"/>
    </row>
    <row r="17" spans="1:21" s="11" customFormat="1" x14ac:dyDescent="0.25">
      <c r="A17" s="50" t="s">
        <v>452</v>
      </c>
      <c r="B17" s="51">
        <v>26.84</v>
      </c>
      <c r="C17" s="51">
        <v>69.63</v>
      </c>
      <c r="D17" s="51">
        <v>56.64</v>
      </c>
      <c r="E17" s="51">
        <v>6.19</v>
      </c>
      <c r="F17" s="51">
        <v>12.92</v>
      </c>
      <c r="G17" s="51">
        <v>80.900000000000006</v>
      </c>
      <c r="H17" s="51">
        <v>35.47</v>
      </c>
      <c r="I17" s="51">
        <v>4.09</v>
      </c>
      <c r="J17" s="51">
        <v>1.31</v>
      </c>
      <c r="K17" s="51">
        <v>280.5</v>
      </c>
      <c r="L17" s="51">
        <v>26.87</v>
      </c>
      <c r="M17" s="51">
        <v>36.69</v>
      </c>
      <c r="N17" s="51">
        <v>461.6</v>
      </c>
      <c r="O17" s="51">
        <v>0</v>
      </c>
      <c r="P17" s="51">
        <v>1.1499999999999999</v>
      </c>
      <c r="Q17" s="51">
        <v>9.5500000000000007</v>
      </c>
      <c r="R17" s="43"/>
      <c r="S17" s="43"/>
      <c r="T17" s="43"/>
      <c r="U17" s="43"/>
    </row>
    <row r="18" spans="1:21" s="11" customFormat="1" x14ac:dyDescent="0.25">
      <c r="A18" s="50" t="s">
        <v>453</v>
      </c>
      <c r="B18" s="51">
        <v>17.399999999999999</v>
      </c>
      <c r="C18" s="51">
        <v>78.17</v>
      </c>
      <c r="D18" s="51">
        <v>52.07</v>
      </c>
      <c r="E18" s="51">
        <v>4.4000000000000004</v>
      </c>
      <c r="F18" s="51">
        <v>10.36</v>
      </c>
      <c r="G18" s="51">
        <v>76.64</v>
      </c>
      <c r="H18" s="51">
        <v>35.619999999999997</v>
      </c>
      <c r="I18" s="51">
        <v>4.1399999999999997</v>
      </c>
      <c r="J18" s="51">
        <v>1</v>
      </c>
      <c r="K18" s="51">
        <v>290.35000000000002</v>
      </c>
      <c r="L18" s="51">
        <v>29.56</v>
      </c>
      <c r="M18" s="51">
        <v>34.880000000000003</v>
      </c>
      <c r="N18" s="51">
        <v>575.20000000000005</v>
      </c>
      <c r="O18" s="51">
        <v>0</v>
      </c>
      <c r="P18" s="51">
        <v>1.1100000000000001</v>
      </c>
      <c r="Q18" s="51">
        <v>9.5500000000000007</v>
      </c>
      <c r="R18" s="43"/>
      <c r="S18" s="43"/>
      <c r="T18" s="43"/>
      <c r="U18" s="43"/>
    </row>
    <row r="19" spans="1:21" s="11" customFormat="1" x14ac:dyDescent="0.25">
      <c r="A19" s="50" t="s">
        <v>454</v>
      </c>
      <c r="B19" s="51">
        <v>9.36</v>
      </c>
      <c r="C19" s="51">
        <v>80.97</v>
      </c>
      <c r="D19" s="51">
        <v>49.81</v>
      </c>
      <c r="E19" s="51">
        <v>4.54</v>
      </c>
      <c r="F19" s="51">
        <v>11.82</v>
      </c>
      <c r="G19" s="51">
        <v>72.72</v>
      </c>
      <c r="H19" s="51">
        <v>34.43</v>
      </c>
      <c r="I19" s="51">
        <v>4.0999999999999996</v>
      </c>
      <c r="J19" s="51">
        <v>1.23</v>
      </c>
      <c r="K19" s="51">
        <v>282.43</v>
      </c>
      <c r="L19" s="51">
        <v>30.73</v>
      </c>
      <c r="M19" s="51">
        <v>30.67</v>
      </c>
      <c r="N19" s="51">
        <v>637.20000000000005</v>
      </c>
      <c r="O19" s="51">
        <v>0</v>
      </c>
      <c r="P19" s="51">
        <v>1.02</v>
      </c>
      <c r="Q19" s="51">
        <v>9.4600000000000009</v>
      </c>
      <c r="R19" s="43"/>
      <c r="S19" s="43"/>
      <c r="T19" s="43"/>
      <c r="U19" s="43"/>
    </row>
    <row r="20" spans="1:21" s="11" customFormat="1" x14ac:dyDescent="0.25">
      <c r="A20" s="50" t="s">
        <v>455</v>
      </c>
      <c r="B20" s="51">
        <v>3.39</v>
      </c>
      <c r="C20" s="51">
        <v>73.47</v>
      </c>
      <c r="D20" s="51">
        <v>40.96</v>
      </c>
      <c r="E20" s="51">
        <v>5.17</v>
      </c>
      <c r="F20" s="51">
        <v>14.03</v>
      </c>
      <c r="G20" s="51">
        <v>67.87</v>
      </c>
      <c r="H20" s="51">
        <v>32.61</v>
      </c>
      <c r="I20" s="51">
        <v>4.12</v>
      </c>
      <c r="J20" s="51">
        <v>1.63</v>
      </c>
      <c r="K20" s="51">
        <v>302.44</v>
      </c>
      <c r="L20" s="51">
        <v>34.090000000000003</v>
      </c>
      <c r="M20" s="51">
        <v>26.76</v>
      </c>
      <c r="N20" s="51">
        <v>647.20000000000005</v>
      </c>
      <c r="O20" s="51">
        <v>0</v>
      </c>
      <c r="P20" s="51">
        <v>1.06</v>
      </c>
      <c r="Q20" s="51">
        <v>9.25</v>
      </c>
      <c r="R20" s="43"/>
      <c r="S20" s="43"/>
      <c r="T20" s="43"/>
      <c r="U20" s="43"/>
    </row>
    <row r="21" spans="1:21" s="11" customFormat="1" x14ac:dyDescent="0.25">
      <c r="A21" s="50" t="s">
        <v>456</v>
      </c>
      <c r="B21" s="51">
        <v>4.47</v>
      </c>
      <c r="C21" s="51">
        <v>71.650000000000006</v>
      </c>
      <c r="D21" s="51">
        <v>40.99</v>
      </c>
      <c r="E21" s="51">
        <v>5.14</v>
      </c>
      <c r="F21" s="51">
        <v>16.8</v>
      </c>
      <c r="G21" s="51">
        <v>69.38</v>
      </c>
      <c r="H21" s="51">
        <v>28.71</v>
      </c>
      <c r="I21" s="51">
        <v>4.07</v>
      </c>
      <c r="J21" s="51">
        <v>1.47</v>
      </c>
      <c r="K21" s="51">
        <v>309.19</v>
      </c>
      <c r="L21" s="51">
        <v>36.04</v>
      </c>
      <c r="M21" s="51">
        <v>21.24</v>
      </c>
      <c r="N21" s="51">
        <v>712.3</v>
      </c>
      <c r="O21" s="51">
        <v>0</v>
      </c>
      <c r="P21" s="51">
        <v>0.99</v>
      </c>
      <c r="Q21" s="51">
        <v>9.2100000000000009</v>
      </c>
      <c r="R21" s="43"/>
      <c r="S21" s="43"/>
      <c r="T21" s="43"/>
      <c r="U21" s="43"/>
    </row>
    <row r="22" spans="1:21" s="11" customFormat="1" x14ac:dyDescent="0.25">
      <c r="A22" s="50" t="s">
        <v>457</v>
      </c>
      <c r="B22" s="51">
        <v>5.86</v>
      </c>
      <c r="C22" s="51">
        <v>68.819999999999993</v>
      </c>
      <c r="D22" s="51">
        <v>40.14</v>
      </c>
      <c r="E22" s="51">
        <v>4.45</v>
      </c>
      <c r="F22" s="51">
        <v>17.21</v>
      </c>
      <c r="G22" s="51">
        <v>56.02</v>
      </c>
      <c r="H22" s="51">
        <v>28.78</v>
      </c>
      <c r="I22" s="51">
        <v>4.01</v>
      </c>
      <c r="J22" s="51">
        <v>1.51</v>
      </c>
      <c r="K22" s="51">
        <v>311.95</v>
      </c>
      <c r="L22" s="51">
        <v>36.6</v>
      </c>
      <c r="M22" s="51">
        <v>19.61</v>
      </c>
      <c r="N22" s="51">
        <v>718</v>
      </c>
      <c r="O22" s="51">
        <v>0</v>
      </c>
      <c r="P22" s="51">
        <v>0.81</v>
      </c>
      <c r="Q22" s="51">
        <v>9.19</v>
      </c>
      <c r="R22" s="43"/>
      <c r="S22" s="43"/>
      <c r="T22" s="43"/>
      <c r="U22" s="43"/>
    </row>
    <row r="23" spans="1:21" s="11" customFormat="1" x14ac:dyDescent="0.25">
      <c r="A23" s="50" t="s">
        <v>458</v>
      </c>
      <c r="B23" s="51">
        <v>6.82</v>
      </c>
      <c r="C23" s="51">
        <v>65.16</v>
      </c>
      <c r="D23" s="51">
        <v>37.909999999999997</v>
      </c>
      <c r="E23" s="51">
        <v>11.4</v>
      </c>
      <c r="F23" s="51">
        <v>29.76</v>
      </c>
      <c r="G23" s="51">
        <v>53.08</v>
      </c>
      <c r="H23" s="51">
        <v>25.28</v>
      </c>
      <c r="I23" s="51">
        <v>4.0599999999999996</v>
      </c>
      <c r="J23" s="51">
        <v>0.86</v>
      </c>
      <c r="K23" s="51">
        <v>307.01</v>
      </c>
      <c r="L23" s="51">
        <v>35.520000000000003</v>
      </c>
      <c r="M23" s="51">
        <v>19.82</v>
      </c>
      <c r="N23" s="51">
        <v>589.29999999999995</v>
      </c>
      <c r="O23" s="51">
        <v>0</v>
      </c>
      <c r="P23" s="51">
        <v>0.74</v>
      </c>
      <c r="Q23" s="51">
        <v>9.17</v>
      </c>
      <c r="R23" s="43"/>
      <c r="S23" s="43"/>
      <c r="T23" s="43"/>
      <c r="U23" s="43"/>
    </row>
    <row r="24" spans="1:21" s="11" customFormat="1" x14ac:dyDescent="0.25">
      <c r="A24" s="50" t="s">
        <v>459</v>
      </c>
      <c r="B24" s="51">
        <v>4.71</v>
      </c>
      <c r="C24" s="51">
        <v>62.96</v>
      </c>
      <c r="D24" s="51">
        <v>36.67</v>
      </c>
      <c r="E24" s="51">
        <v>7.55</v>
      </c>
      <c r="F24" s="51">
        <v>22.59</v>
      </c>
      <c r="G24" s="51">
        <v>49.46</v>
      </c>
      <c r="H24" s="51">
        <v>20.7</v>
      </c>
      <c r="I24" s="51">
        <v>4.1100000000000003</v>
      </c>
      <c r="J24" s="51">
        <v>1.42</v>
      </c>
      <c r="K24" s="51">
        <v>306.68</v>
      </c>
      <c r="L24" s="51">
        <v>34.11</v>
      </c>
      <c r="M24" s="51">
        <v>20.87</v>
      </c>
      <c r="N24" s="51">
        <v>255.2</v>
      </c>
      <c r="O24" s="51">
        <v>0</v>
      </c>
      <c r="P24" s="51">
        <v>0.74</v>
      </c>
      <c r="Q24" s="51">
        <v>9.1300000000000008</v>
      </c>
      <c r="R24" s="43"/>
      <c r="S24" s="43"/>
      <c r="T24" s="43"/>
      <c r="U24" s="43"/>
    </row>
    <row r="25" spans="1:21" s="11" customFormat="1" x14ac:dyDescent="0.25">
      <c r="A25" s="50" t="s">
        <v>460</v>
      </c>
      <c r="B25" s="51">
        <v>5.15</v>
      </c>
      <c r="C25" s="51">
        <v>61.42</v>
      </c>
      <c r="D25" s="51">
        <v>34.869999999999997</v>
      </c>
      <c r="E25" s="51">
        <v>4.67</v>
      </c>
      <c r="F25" s="51">
        <v>17.079999999999998</v>
      </c>
      <c r="G25" s="51">
        <v>47.8</v>
      </c>
      <c r="H25" s="51">
        <v>16.04</v>
      </c>
      <c r="I25" s="51">
        <v>4.1100000000000003</v>
      </c>
      <c r="J25" s="51">
        <v>1.7</v>
      </c>
      <c r="K25" s="51">
        <v>297.33</v>
      </c>
      <c r="L25" s="51">
        <v>32.54</v>
      </c>
      <c r="M25" s="51">
        <v>22.23</v>
      </c>
      <c r="N25" s="51">
        <v>224</v>
      </c>
      <c r="O25" s="51">
        <v>0</v>
      </c>
      <c r="P25" s="51">
        <v>0.66</v>
      </c>
      <c r="Q25" s="51">
        <v>9.06</v>
      </c>
      <c r="R25" s="43"/>
      <c r="S25" s="43"/>
      <c r="T25" s="43"/>
      <c r="U25" s="43"/>
    </row>
    <row r="26" spans="1:21" s="11" customFormat="1" x14ac:dyDescent="0.25">
      <c r="A26" s="50" t="s">
        <v>461</v>
      </c>
      <c r="B26" s="51">
        <v>10.41</v>
      </c>
      <c r="C26" s="51">
        <v>68.73</v>
      </c>
      <c r="D26" s="51">
        <v>44.26</v>
      </c>
      <c r="E26" s="51">
        <v>7.49</v>
      </c>
      <c r="F26" s="51">
        <v>27.04</v>
      </c>
      <c r="G26" s="51">
        <v>46.92</v>
      </c>
      <c r="H26" s="51">
        <v>20.76</v>
      </c>
      <c r="I26" s="51">
        <v>3.99</v>
      </c>
      <c r="J26" s="51">
        <v>1.21</v>
      </c>
      <c r="K26" s="51">
        <v>296.52</v>
      </c>
      <c r="L26" s="51">
        <v>30.55</v>
      </c>
      <c r="M26" s="51">
        <v>22.91</v>
      </c>
      <c r="N26" s="51">
        <v>109.7</v>
      </c>
      <c r="O26" s="51">
        <v>0</v>
      </c>
      <c r="P26" s="51">
        <v>0.71</v>
      </c>
      <c r="Q26" s="51">
        <v>9.09</v>
      </c>
      <c r="R26" s="43"/>
      <c r="S26" s="43"/>
      <c r="T26" s="43"/>
      <c r="U26" s="43"/>
    </row>
    <row r="27" spans="1:21" s="11" customFormat="1" x14ac:dyDescent="0.25">
      <c r="A27" s="50" t="s">
        <v>462</v>
      </c>
      <c r="B27" s="51">
        <v>27.75</v>
      </c>
      <c r="C27" s="51">
        <v>83.95</v>
      </c>
      <c r="D27" s="51">
        <v>66.11</v>
      </c>
      <c r="E27" s="51">
        <v>6.93</v>
      </c>
      <c r="F27" s="51">
        <v>26.61</v>
      </c>
      <c r="G27" s="51">
        <v>49.35</v>
      </c>
      <c r="H27" s="51">
        <v>16.7</v>
      </c>
      <c r="I27" s="51">
        <v>4.03</v>
      </c>
      <c r="J27" s="51">
        <v>1.32</v>
      </c>
      <c r="K27" s="51">
        <v>323.54000000000002</v>
      </c>
      <c r="L27" s="51">
        <v>28.83</v>
      </c>
      <c r="M27" s="51">
        <v>27.01</v>
      </c>
      <c r="N27" s="51">
        <v>65.599999999999994</v>
      </c>
      <c r="O27" s="51">
        <v>0</v>
      </c>
      <c r="P27" s="51">
        <v>0.92</v>
      </c>
      <c r="Q27" s="51">
        <v>9.18</v>
      </c>
      <c r="R27" s="43"/>
      <c r="S27" s="43"/>
      <c r="T27" s="43"/>
      <c r="U27" s="43"/>
    </row>
    <row r="28" spans="1:21" s="11" customFormat="1" x14ac:dyDescent="0.25">
      <c r="A28" s="50" t="s">
        <v>463</v>
      </c>
      <c r="B28" s="51">
        <v>31.78</v>
      </c>
      <c r="C28" s="51">
        <v>90.91</v>
      </c>
      <c r="D28" s="51">
        <v>71.09</v>
      </c>
      <c r="E28" s="51">
        <v>12.25</v>
      </c>
      <c r="F28" s="51">
        <v>15.79</v>
      </c>
      <c r="G28" s="51">
        <v>48.95</v>
      </c>
      <c r="H28" s="51">
        <v>15.94</v>
      </c>
      <c r="I28" s="51">
        <v>4.1399999999999997</v>
      </c>
      <c r="J28" s="51">
        <v>1.26</v>
      </c>
      <c r="K28" s="51">
        <v>329.69</v>
      </c>
      <c r="L28" s="51">
        <v>26.6</v>
      </c>
      <c r="M28" s="51">
        <v>30.46</v>
      </c>
      <c r="N28" s="51">
        <v>63</v>
      </c>
      <c r="O28" s="51">
        <v>0</v>
      </c>
      <c r="P28" s="51">
        <v>1.1599999999999999</v>
      </c>
      <c r="Q28" s="51">
        <v>9.51</v>
      </c>
      <c r="R28" s="43"/>
      <c r="S28" s="43"/>
      <c r="T28" s="43"/>
      <c r="U28" s="43"/>
    </row>
    <row r="29" spans="1:21" s="11" customFormat="1" x14ac:dyDescent="0.25">
      <c r="A29" s="50" t="s">
        <v>464</v>
      </c>
      <c r="B29" s="51">
        <v>14.72</v>
      </c>
      <c r="C29" s="51">
        <v>83.25</v>
      </c>
      <c r="D29" s="51">
        <v>54.77</v>
      </c>
      <c r="E29" s="51">
        <v>6.33</v>
      </c>
      <c r="F29" s="51">
        <v>14.38</v>
      </c>
      <c r="G29" s="51">
        <v>52.1</v>
      </c>
      <c r="H29" s="51">
        <v>17.09</v>
      </c>
      <c r="I29" s="51">
        <v>4.1399999999999997</v>
      </c>
      <c r="J29" s="51">
        <v>1.66</v>
      </c>
      <c r="K29" s="51">
        <v>318.75</v>
      </c>
      <c r="L29" s="51">
        <v>25.9</v>
      </c>
      <c r="M29" s="51">
        <v>30.32</v>
      </c>
      <c r="N29" s="51">
        <v>62.2</v>
      </c>
      <c r="O29" s="51">
        <v>0</v>
      </c>
      <c r="P29" s="51">
        <v>1.03</v>
      </c>
      <c r="Q29" s="51">
        <v>9.59</v>
      </c>
      <c r="R29" s="43"/>
      <c r="S29" s="43"/>
      <c r="T29" s="43"/>
      <c r="U29" s="43"/>
    </row>
    <row r="30" spans="1:21" s="11" customFormat="1" x14ac:dyDescent="0.25">
      <c r="A30" s="50" t="s">
        <v>465</v>
      </c>
      <c r="B30" s="51">
        <v>16.850000000000001</v>
      </c>
      <c r="C30" s="51">
        <v>78.86</v>
      </c>
      <c r="D30" s="51">
        <v>51.52</v>
      </c>
      <c r="E30" s="51">
        <v>9.61</v>
      </c>
      <c r="F30" s="51">
        <v>21.65</v>
      </c>
      <c r="G30" s="51">
        <v>53.81</v>
      </c>
      <c r="H30" s="51">
        <v>16.489999999999998</v>
      </c>
      <c r="I30" s="51">
        <v>4.21</v>
      </c>
      <c r="J30" s="51">
        <v>1.69</v>
      </c>
      <c r="K30" s="51">
        <v>343.62</v>
      </c>
      <c r="L30" s="51">
        <v>25.54</v>
      </c>
      <c r="M30" s="51">
        <v>30.21</v>
      </c>
      <c r="N30" s="51">
        <v>62.9</v>
      </c>
      <c r="O30" s="51">
        <v>0</v>
      </c>
      <c r="P30" s="51">
        <v>0.95</v>
      </c>
      <c r="Q30" s="51">
        <v>9.61</v>
      </c>
      <c r="R30" s="43"/>
      <c r="S30" s="43"/>
      <c r="T30" s="43"/>
      <c r="U30" s="43"/>
    </row>
    <row r="31" spans="1:21" s="11" customFormat="1" x14ac:dyDescent="0.25">
      <c r="A31" s="50" t="s">
        <v>466</v>
      </c>
      <c r="B31" s="51">
        <v>14.95</v>
      </c>
      <c r="C31" s="51">
        <v>72.56</v>
      </c>
      <c r="D31" s="51">
        <v>49.76</v>
      </c>
      <c r="E31" s="51">
        <v>26.11</v>
      </c>
      <c r="F31" s="51">
        <v>18.03</v>
      </c>
      <c r="G31" s="51">
        <v>56.84</v>
      </c>
      <c r="H31" s="51">
        <v>19.07</v>
      </c>
      <c r="I31" s="51">
        <v>4.16</v>
      </c>
      <c r="J31" s="51">
        <v>2.04</v>
      </c>
      <c r="K31" s="51">
        <v>348.35</v>
      </c>
      <c r="L31" s="51">
        <v>24.88</v>
      </c>
      <c r="M31" s="51">
        <v>32.29</v>
      </c>
      <c r="N31" s="51">
        <v>62.7</v>
      </c>
      <c r="O31" s="51">
        <v>0</v>
      </c>
      <c r="P31" s="51">
        <v>0.91</v>
      </c>
      <c r="Q31" s="51">
        <v>9.6300000000000008</v>
      </c>
      <c r="R31" s="43"/>
      <c r="S31" s="43"/>
      <c r="T31" s="43"/>
      <c r="U31" s="43"/>
    </row>
    <row r="32" spans="1:21" s="11" customFormat="1" x14ac:dyDescent="0.25">
      <c r="A32" s="50" t="s">
        <v>467</v>
      </c>
      <c r="B32" s="51">
        <v>12.88</v>
      </c>
      <c r="C32" s="51">
        <v>72.28</v>
      </c>
      <c r="D32" s="51">
        <v>47.93</v>
      </c>
      <c r="E32" s="51">
        <v>26.46</v>
      </c>
      <c r="F32" s="51">
        <v>10.49</v>
      </c>
      <c r="G32" s="51">
        <v>70.8</v>
      </c>
      <c r="H32" s="51">
        <v>20.45</v>
      </c>
      <c r="I32" s="51">
        <v>4.08</v>
      </c>
      <c r="J32" s="51">
        <v>1.49</v>
      </c>
      <c r="K32" s="51">
        <v>332.9</v>
      </c>
      <c r="L32" s="51">
        <v>23.81</v>
      </c>
      <c r="M32" s="51">
        <v>34.1</v>
      </c>
      <c r="N32" s="51">
        <v>62.5</v>
      </c>
      <c r="O32" s="51">
        <v>0</v>
      </c>
      <c r="P32" s="51">
        <v>0.89</v>
      </c>
      <c r="Q32" s="51">
        <v>9.64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3.39</v>
      </c>
      <c r="C34" s="28">
        <f t="shared" si="0"/>
        <v>59.14</v>
      </c>
      <c r="D34" s="28">
        <f t="shared" si="0"/>
        <v>34.869999999999997</v>
      </c>
      <c r="E34" s="28">
        <f t="shared" si="0"/>
        <v>4.4000000000000004</v>
      </c>
      <c r="F34" s="28">
        <f t="shared" si="0"/>
        <v>9.1</v>
      </c>
      <c r="G34" s="28">
        <f t="shared" si="0"/>
        <v>46.92</v>
      </c>
      <c r="H34" s="28">
        <f t="shared" si="0"/>
        <v>15.94</v>
      </c>
      <c r="I34" s="28">
        <f t="shared" si="0"/>
        <v>3.99</v>
      </c>
      <c r="J34" s="28">
        <f t="shared" si="0"/>
        <v>0.56000000000000005</v>
      </c>
      <c r="K34" s="28">
        <f t="shared" si="0"/>
        <v>261.14999999999998</v>
      </c>
      <c r="L34" s="28">
        <f t="shared" si="0"/>
        <v>20.95</v>
      </c>
      <c r="M34" s="28">
        <f t="shared" si="0"/>
        <v>19.61</v>
      </c>
      <c r="N34" s="28">
        <f t="shared" si="0"/>
        <v>62.2</v>
      </c>
      <c r="O34" s="28">
        <f t="shared" si="0"/>
        <v>0</v>
      </c>
      <c r="P34" s="28">
        <f t="shared" si="0"/>
        <v>0.66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53.92</v>
      </c>
      <c r="C35" s="29">
        <f t="shared" si="1"/>
        <v>90.91</v>
      </c>
      <c r="D35" s="29">
        <f t="shared" si="1"/>
        <v>90.37</v>
      </c>
      <c r="E35" s="29">
        <f t="shared" si="1"/>
        <v>26.46</v>
      </c>
      <c r="F35" s="29">
        <f t="shared" si="1"/>
        <v>29.76</v>
      </c>
      <c r="G35" s="29">
        <f t="shared" si="1"/>
        <v>81.81</v>
      </c>
      <c r="H35" s="29">
        <f t="shared" si="1"/>
        <v>36.29</v>
      </c>
      <c r="I35" s="29">
        <f t="shared" si="1"/>
        <v>4.2300000000000004</v>
      </c>
      <c r="J35" s="29">
        <f t="shared" si="1"/>
        <v>2.04</v>
      </c>
      <c r="K35" s="29">
        <f t="shared" si="1"/>
        <v>354.52</v>
      </c>
      <c r="L35" s="29">
        <f t="shared" si="1"/>
        <v>36.6</v>
      </c>
      <c r="M35" s="29">
        <f t="shared" si="1"/>
        <v>52.43</v>
      </c>
      <c r="N35" s="29">
        <f t="shared" si="1"/>
        <v>718</v>
      </c>
      <c r="O35" s="29">
        <f t="shared" si="1"/>
        <v>0</v>
      </c>
      <c r="P35" s="29">
        <f t="shared" si="1"/>
        <v>1.22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17.709166666666668</v>
      </c>
      <c r="C36" s="28">
        <f t="shared" si="2"/>
        <v>72.890416666666667</v>
      </c>
      <c r="D36" s="28">
        <f t="shared" si="2"/>
        <v>51.505416666666669</v>
      </c>
      <c r="E36" s="28">
        <f t="shared" si="2"/>
        <v>9.3058333333333358</v>
      </c>
      <c r="F36" s="28">
        <f t="shared" si="2"/>
        <v>17.409166666666664</v>
      </c>
      <c r="G36" s="28">
        <f t="shared" si="2"/>
        <v>65.06874999999998</v>
      </c>
      <c r="H36" s="28">
        <f t="shared" si="2"/>
        <v>27.026250000000008</v>
      </c>
      <c r="I36" s="28">
        <f t="shared" si="2"/>
        <v>4.095416666666666</v>
      </c>
      <c r="J36" s="28">
        <f t="shared" si="2"/>
        <v>1.2250000000000001</v>
      </c>
      <c r="K36" s="28">
        <f t="shared" si="2"/>
        <v>311.09499999999997</v>
      </c>
      <c r="L36" s="28">
        <f t="shared" si="2"/>
        <v>27.640416666666667</v>
      </c>
      <c r="M36" s="28">
        <f t="shared" si="2"/>
        <v>33.986666666666672</v>
      </c>
      <c r="N36" s="28">
        <f t="shared" si="2"/>
        <v>254.40833333333333</v>
      </c>
      <c r="O36" s="28">
        <f t="shared" si="2"/>
        <v>0</v>
      </c>
      <c r="P36" s="28">
        <f t="shared" si="2"/>
        <v>0.98208333333333353</v>
      </c>
      <c r="Q36" s="28">
        <f t="shared" si="2"/>
        <v>9.4020833333333318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13.588493187305543</v>
      </c>
      <c r="C37" s="28">
        <f t="shared" ref="C37:Q37" si="3">STDEV(C9:C32)</f>
        <v>8.9837018994866291</v>
      </c>
      <c r="D37" s="28">
        <f t="shared" si="3"/>
        <v>14.412162128221558</v>
      </c>
      <c r="E37" s="28">
        <f t="shared" si="3"/>
        <v>5.9194028170200488</v>
      </c>
      <c r="F37" s="28">
        <f t="shared" si="3"/>
        <v>5.8509411481265641</v>
      </c>
      <c r="G37" s="28">
        <f t="shared" si="3"/>
        <v>12.486186911421679</v>
      </c>
      <c r="H37" s="28">
        <f t="shared" si="3"/>
        <v>7.6481812629169701</v>
      </c>
      <c r="I37" s="28">
        <f t="shared" si="3"/>
        <v>5.7330405216768174E-2</v>
      </c>
      <c r="J37" s="28">
        <f t="shared" si="3"/>
        <v>0.44744686349573792</v>
      </c>
      <c r="K37" s="28">
        <f t="shared" si="3"/>
        <v>24.645074646830068</v>
      </c>
      <c r="L37" s="28">
        <f t="shared" si="3"/>
        <v>5.054464646460481</v>
      </c>
      <c r="M37" s="28">
        <f t="shared" si="3"/>
        <v>10.701778262093363</v>
      </c>
      <c r="N37" s="28">
        <f t="shared" si="3"/>
        <v>252.25336627506368</v>
      </c>
      <c r="O37" s="28">
        <f t="shared" si="3"/>
        <v>0</v>
      </c>
      <c r="P37" s="28">
        <f t="shared" si="3"/>
        <v>0.16021667846379417</v>
      </c>
      <c r="Q37" s="28">
        <f t="shared" si="3"/>
        <v>0.19316537556933072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468</v>
      </c>
      <c r="B9" s="51">
        <v>11.52</v>
      </c>
      <c r="C9" s="51">
        <v>75.03</v>
      </c>
      <c r="D9" s="51">
        <v>48.44</v>
      </c>
      <c r="E9" s="51">
        <v>24.65</v>
      </c>
      <c r="F9" s="51">
        <v>12.1</v>
      </c>
      <c r="G9" s="51">
        <v>87.11</v>
      </c>
      <c r="H9" s="51">
        <v>21.44</v>
      </c>
      <c r="I9" s="51">
        <v>4.04</v>
      </c>
      <c r="J9" s="51">
        <v>0.63</v>
      </c>
      <c r="K9" s="51">
        <v>298.27999999999997</v>
      </c>
      <c r="L9" s="51">
        <v>22.48</v>
      </c>
      <c r="M9" s="51">
        <v>38.270000000000003</v>
      </c>
      <c r="N9" s="51">
        <v>63.3</v>
      </c>
      <c r="O9" s="51">
        <v>0</v>
      </c>
      <c r="P9" s="51">
        <v>0.86</v>
      </c>
      <c r="Q9" s="51">
        <v>9.64</v>
      </c>
      <c r="R9" s="43"/>
      <c r="S9" s="43"/>
      <c r="T9" s="43"/>
      <c r="U9" s="43"/>
    </row>
    <row r="10" spans="1:21" s="11" customFormat="1" x14ac:dyDescent="0.25">
      <c r="A10" s="50" t="s">
        <v>469</v>
      </c>
      <c r="B10" s="51">
        <v>7.36</v>
      </c>
      <c r="C10" s="51">
        <v>66.099999999999994</v>
      </c>
      <c r="D10" s="51">
        <v>40.369999999999997</v>
      </c>
      <c r="E10" s="51">
        <v>16.2</v>
      </c>
      <c r="F10" s="51">
        <v>11.43</v>
      </c>
      <c r="G10" s="51">
        <v>96.93</v>
      </c>
      <c r="H10" s="51">
        <v>24.42</v>
      </c>
      <c r="I10" s="51">
        <v>4.08</v>
      </c>
      <c r="J10" s="51">
        <v>0.87</v>
      </c>
      <c r="K10" s="51">
        <v>234.63</v>
      </c>
      <c r="L10" s="51">
        <v>21.85</v>
      </c>
      <c r="M10" s="51">
        <v>47.86</v>
      </c>
      <c r="N10" s="51">
        <v>63.4</v>
      </c>
      <c r="O10" s="51">
        <v>0</v>
      </c>
      <c r="P10" s="51">
        <v>0.75</v>
      </c>
      <c r="Q10" s="51">
        <v>9.57</v>
      </c>
      <c r="R10" s="43"/>
      <c r="S10" s="43"/>
      <c r="T10" s="43"/>
      <c r="U10" s="43"/>
    </row>
    <row r="11" spans="1:21" s="11" customFormat="1" x14ac:dyDescent="0.25">
      <c r="A11" s="50" t="s">
        <v>470</v>
      </c>
      <c r="B11" s="51">
        <v>11.88</v>
      </c>
      <c r="C11" s="51">
        <v>64.989999999999995</v>
      </c>
      <c r="D11" s="51">
        <v>43.41</v>
      </c>
      <c r="E11" s="51">
        <v>12.72</v>
      </c>
      <c r="F11" s="51">
        <v>15.67</v>
      </c>
      <c r="G11" s="51">
        <v>93.89</v>
      </c>
      <c r="H11" s="51">
        <v>24.36</v>
      </c>
      <c r="I11" s="51">
        <v>4.0599999999999996</v>
      </c>
      <c r="J11" s="51">
        <v>1</v>
      </c>
      <c r="K11" s="51">
        <v>275.33999999999997</v>
      </c>
      <c r="L11" s="51">
        <v>21.22</v>
      </c>
      <c r="M11" s="51">
        <v>44.5</v>
      </c>
      <c r="N11" s="51">
        <v>63</v>
      </c>
      <c r="O11" s="51">
        <v>0</v>
      </c>
      <c r="P11" s="51">
        <v>0.67</v>
      </c>
      <c r="Q11" s="51">
        <v>9.57</v>
      </c>
      <c r="R11" s="43"/>
      <c r="S11" s="43"/>
      <c r="T11" s="43"/>
      <c r="U11" s="43"/>
    </row>
    <row r="12" spans="1:21" s="11" customFormat="1" x14ac:dyDescent="0.25">
      <c r="A12" s="50" t="s">
        <v>471</v>
      </c>
      <c r="B12" s="51">
        <v>11.22</v>
      </c>
      <c r="C12" s="51">
        <v>58.59</v>
      </c>
      <c r="D12" s="51">
        <v>39.61</v>
      </c>
      <c r="E12" s="51">
        <v>6.99</v>
      </c>
      <c r="F12" s="51">
        <v>11.82</v>
      </c>
      <c r="G12" s="51">
        <v>89.55</v>
      </c>
      <c r="H12" s="51">
        <v>35.21</v>
      </c>
      <c r="I12" s="51">
        <v>4.07</v>
      </c>
      <c r="J12" s="51">
        <v>0.9</v>
      </c>
      <c r="K12" s="51">
        <v>334.65</v>
      </c>
      <c r="L12" s="51">
        <v>20.260000000000002</v>
      </c>
      <c r="M12" s="51">
        <v>56.17</v>
      </c>
      <c r="N12" s="51">
        <v>63.3</v>
      </c>
      <c r="O12" s="51">
        <v>0</v>
      </c>
      <c r="P12" s="51">
        <v>0.72</v>
      </c>
      <c r="Q12" s="51">
        <v>9.6</v>
      </c>
      <c r="R12" s="43"/>
      <c r="S12" s="43"/>
      <c r="T12" s="43"/>
      <c r="U12" s="43"/>
    </row>
    <row r="13" spans="1:21" s="11" customFormat="1" x14ac:dyDescent="0.25">
      <c r="A13" s="50" t="s">
        <v>472</v>
      </c>
      <c r="B13" s="51">
        <v>14.06</v>
      </c>
      <c r="C13" s="51">
        <v>60.44</v>
      </c>
      <c r="D13" s="51">
        <v>41.99</v>
      </c>
      <c r="E13" s="51">
        <v>4.79</v>
      </c>
      <c r="F13" s="51">
        <v>9.8000000000000007</v>
      </c>
      <c r="G13" s="51">
        <v>79.95</v>
      </c>
      <c r="H13" s="51">
        <v>23.75</v>
      </c>
      <c r="I13" s="51">
        <v>4.09</v>
      </c>
      <c r="J13" s="51">
        <v>1.44</v>
      </c>
      <c r="K13" s="51">
        <v>15.36</v>
      </c>
      <c r="L13" s="51">
        <v>20.76</v>
      </c>
      <c r="M13" s="51">
        <v>50.17</v>
      </c>
      <c r="N13" s="51">
        <v>62.3</v>
      </c>
      <c r="O13" s="51">
        <v>0</v>
      </c>
      <c r="P13" s="51">
        <v>0.7</v>
      </c>
      <c r="Q13" s="51">
        <v>9.65</v>
      </c>
      <c r="R13" s="43"/>
      <c r="S13" s="43"/>
      <c r="T13" s="43"/>
      <c r="U13" s="43"/>
    </row>
    <row r="14" spans="1:21" s="11" customFormat="1" x14ac:dyDescent="0.25">
      <c r="A14" s="50" t="s">
        <v>473</v>
      </c>
      <c r="B14" s="51">
        <v>11.39</v>
      </c>
      <c r="C14" s="51">
        <v>62.8</v>
      </c>
      <c r="D14" s="51">
        <v>40.909999999999997</v>
      </c>
      <c r="E14" s="51">
        <v>4.34</v>
      </c>
      <c r="F14" s="51">
        <v>9.33</v>
      </c>
      <c r="G14" s="51">
        <v>69.650000000000006</v>
      </c>
      <c r="H14" s="51">
        <v>23.05</v>
      </c>
      <c r="I14" s="51">
        <v>4.01</v>
      </c>
      <c r="J14" s="51">
        <v>1.66</v>
      </c>
      <c r="K14" s="51">
        <v>6.35</v>
      </c>
      <c r="L14" s="51">
        <v>20.52</v>
      </c>
      <c r="M14" s="51">
        <v>44.38</v>
      </c>
      <c r="N14" s="51">
        <v>63.4</v>
      </c>
      <c r="O14" s="51">
        <v>0</v>
      </c>
      <c r="P14" s="51">
        <v>0.68</v>
      </c>
      <c r="Q14" s="51">
        <v>9.59</v>
      </c>
      <c r="R14" s="43"/>
      <c r="S14" s="43"/>
      <c r="T14" s="43"/>
      <c r="U14" s="43"/>
    </row>
    <row r="15" spans="1:21" s="11" customFormat="1" x14ac:dyDescent="0.25">
      <c r="A15" s="50" t="s">
        <v>474</v>
      </c>
      <c r="B15" s="51">
        <v>16.05</v>
      </c>
      <c r="C15" s="51">
        <v>68.13</v>
      </c>
      <c r="D15" s="51">
        <v>48.46</v>
      </c>
      <c r="E15" s="51">
        <v>8.73</v>
      </c>
      <c r="F15" s="51">
        <v>11.91</v>
      </c>
      <c r="G15" s="51">
        <v>73.83</v>
      </c>
      <c r="H15" s="51">
        <v>25.95</v>
      </c>
      <c r="I15" s="51">
        <v>4.0999999999999996</v>
      </c>
      <c r="J15" s="51">
        <v>1.34</v>
      </c>
      <c r="K15" s="51">
        <v>26.72</v>
      </c>
      <c r="L15" s="51">
        <v>20.8</v>
      </c>
      <c r="M15" s="51">
        <v>45.93</v>
      </c>
      <c r="N15" s="51">
        <v>137.30000000000001</v>
      </c>
      <c r="O15" s="51">
        <v>0</v>
      </c>
      <c r="P15" s="51">
        <v>0.74</v>
      </c>
      <c r="Q15" s="51">
        <v>9.6199999999999992</v>
      </c>
      <c r="R15" s="43"/>
      <c r="S15" s="43"/>
      <c r="T15" s="43"/>
      <c r="U15" s="43"/>
    </row>
    <row r="16" spans="1:21" s="11" customFormat="1" x14ac:dyDescent="0.25">
      <c r="A16" s="50" t="s">
        <v>475</v>
      </c>
      <c r="B16" s="51">
        <v>21.54</v>
      </c>
      <c r="C16" s="51">
        <v>68.17</v>
      </c>
      <c r="D16" s="51">
        <v>52.89</v>
      </c>
      <c r="E16" s="51">
        <v>9.26</v>
      </c>
      <c r="F16" s="51">
        <v>10.55</v>
      </c>
      <c r="G16" s="51">
        <v>78.16</v>
      </c>
      <c r="H16" s="51">
        <v>18.84</v>
      </c>
      <c r="I16" s="51">
        <v>4.1100000000000003</v>
      </c>
      <c r="J16" s="51">
        <v>0.95</v>
      </c>
      <c r="K16" s="51">
        <v>56.01</v>
      </c>
      <c r="L16" s="51">
        <v>23.94</v>
      </c>
      <c r="M16" s="51">
        <v>41.76</v>
      </c>
      <c r="N16" s="51">
        <v>341.9</v>
      </c>
      <c r="O16" s="51">
        <v>0</v>
      </c>
      <c r="P16" s="51">
        <v>0.8</v>
      </c>
      <c r="Q16" s="51">
        <v>9.6999999999999993</v>
      </c>
      <c r="R16" s="43"/>
      <c r="S16" s="43"/>
      <c r="T16" s="43"/>
      <c r="U16" s="43"/>
    </row>
    <row r="17" spans="1:21" s="11" customFormat="1" x14ac:dyDescent="0.25">
      <c r="A17" s="50" t="s">
        <v>476</v>
      </c>
      <c r="B17" s="18" t="s">
        <v>12</v>
      </c>
      <c r="C17" s="18" t="s">
        <v>12</v>
      </c>
      <c r="D17" s="18" t="s">
        <v>12</v>
      </c>
      <c r="E17" s="51">
        <v>6.37</v>
      </c>
      <c r="F17" s="51">
        <v>8.07</v>
      </c>
      <c r="G17" s="51">
        <v>79.239999999999995</v>
      </c>
      <c r="H17" s="51">
        <v>20.18</v>
      </c>
      <c r="I17" s="51">
        <v>4.0599999999999996</v>
      </c>
      <c r="J17" s="51">
        <v>1.38</v>
      </c>
      <c r="K17" s="51">
        <v>76.03</v>
      </c>
      <c r="L17" s="51">
        <v>25.78</v>
      </c>
      <c r="M17" s="51">
        <v>35</v>
      </c>
      <c r="N17" s="51">
        <v>540</v>
      </c>
      <c r="O17" s="51">
        <v>0</v>
      </c>
      <c r="P17" s="51">
        <v>0.74</v>
      </c>
      <c r="Q17" s="51">
        <v>9.6999999999999993</v>
      </c>
      <c r="R17" s="43"/>
      <c r="S17" s="43"/>
      <c r="T17" s="43"/>
      <c r="U17" s="43"/>
    </row>
    <row r="18" spans="1:21" s="11" customFormat="1" x14ac:dyDescent="0.25">
      <c r="A18" s="50" t="s">
        <v>477</v>
      </c>
      <c r="B18" s="51">
        <v>20.34</v>
      </c>
      <c r="C18" s="51">
        <v>80.73</v>
      </c>
      <c r="D18" s="51">
        <v>58.49</v>
      </c>
      <c r="E18" s="51">
        <v>7.77</v>
      </c>
      <c r="F18" s="51">
        <v>9.66</v>
      </c>
      <c r="G18" s="51">
        <v>76.040000000000006</v>
      </c>
      <c r="H18" s="51">
        <v>19.03</v>
      </c>
      <c r="I18" s="51">
        <v>4.18</v>
      </c>
      <c r="J18" s="51">
        <v>1.21</v>
      </c>
      <c r="K18" s="51">
        <v>71.41</v>
      </c>
      <c r="L18" s="51">
        <v>28.42</v>
      </c>
      <c r="M18" s="51">
        <v>28.91</v>
      </c>
      <c r="N18" s="51">
        <v>676.8</v>
      </c>
      <c r="O18" s="51">
        <v>0</v>
      </c>
      <c r="P18" s="51">
        <v>0.67</v>
      </c>
      <c r="Q18" s="51">
        <v>9.69</v>
      </c>
      <c r="R18" s="43"/>
      <c r="S18" s="43"/>
      <c r="T18" s="43"/>
      <c r="U18" s="43"/>
    </row>
    <row r="19" spans="1:21" s="11" customFormat="1" x14ac:dyDescent="0.25">
      <c r="A19" s="50" t="s">
        <v>478</v>
      </c>
      <c r="B19" s="51">
        <v>16.68</v>
      </c>
      <c r="C19" s="51">
        <v>83.59</v>
      </c>
      <c r="D19" s="51">
        <v>60.49</v>
      </c>
      <c r="E19" s="51">
        <v>33.89</v>
      </c>
      <c r="F19" s="51">
        <v>19.079999999999998</v>
      </c>
      <c r="G19" s="51">
        <v>65.31</v>
      </c>
      <c r="H19" s="51">
        <v>19.91</v>
      </c>
      <c r="I19" s="51">
        <v>4.0199999999999996</v>
      </c>
      <c r="J19" s="51">
        <v>1.89</v>
      </c>
      <c r="K19" s="51">
        <v>105.44</v>
      </c>
      <c r="L19" s="51">
        <v>29.8</v>
      </c>
      <c r="M19" s="51">
        <v>25.06</v>
      </c>
      <c r="N19" s="51">
        <v>759.6</v>
      </c>
      <c r="O19" s="51">
        <v>0</v>
      </c>
      <c r="P19" s="51">
        <v>0.59</v>
      </c>
      <c r="Q19" s="51">
        <v>9.68</v>
      </c>
      <c r="R19" s="43"/>
      <c r="S19" s="43"/>
      <c r="T19" s="43"/>
      <c r="U19" s="43"/>
    </row>
    <row r="20" spans="1:21" s="11" customFormat="1" x14ac:dyDescent="0.25">
      <c r="A20" s="50" t="s">
        <v>479</v>
      </c>
      <c r="B20" s="51">
        <v>5.62</v>
      </c>
      <c r="C20" s="51">
        <v>58.54</v>
      </c>
      <c r="D20" s="51">
        <v>64.16</v>
      </c>
      <c r="E20" s="51">
        <v>27.41</v>
      </c>
      <c r="F20" s="51">
        <v>32.78</v>
      </c>
      <c r="G20" s="52" t="s">
        <v>12</v>
      </c>
      <c r="H20" s="52" t="s">
        <v>12</v>
      </c>
      <c r="I20" s="51">
        <v>3.94</v>
      </c>
      <c r="J20" s="51">
        <v>1.07</v>
      </c>
      <c r="K20" s="51">
        <v>105.93</v>
      </c>
      <c r="L20" s="51">
        <v>31.49</v>
      </c>
      <c r="M20" s="51">
        <v>24.31</v>
      </c>
      <c r="N20" s="51">
        <v>750.4</v>
      </c>
      <c r="O20" s="51">
        <v>0</v>
      </c>
      <c r="P20" s="51">
        <v>0.39</v>
      </c>
      <c r="Q20" s="51">
        <v>9.6999999999999993</v>
      </c>
      <c r="R20" s="43"/>
      <c r="S20" s="43"/>
      <c r="T20" s="43"/>
      <c r="U20" s="43"/>
    </row>
    <row r="21" spans="1:21" s="11" customFormat="1" x14ac:dyDescent="0.25">
      <c r="A21" s="50" t="s">
        <v>480</v>
      </c>
      <c r="B21" s="51">
        <v>5.55</v>
      </c>
      <c r="C21" s="51">
        <v>57.71</v>
      </c>
      <c r="D21" s="51">
        <v>60.93</v>
      </c>
      <c r="E21" s="18" t="s">
        <v>12</v>
      </c>
      <c r="F21" s="51">
        <v>37.340000000000003</v>
      </c>
      <c r="G21" s="52" t="s">
        <v>12</v>
      </c>
      <c r="H21" s="52" t="s">
        <v>12</v>
      </c>
      <c r="I21" s="51">
        <v>4.07</v>
      </c>
      <c r="J21" s="51">
        <v>0.94</v>
      </c>
      <c r="K21" s="51">
        <v>284.45999999999998</v>
      </c>
      <c r="L21" s="51">
        <v>34.11</v>
      </c>
      <c r="M21" s="51">
        <v>19.72</v>
      </c>
      <c r="N21" s="51">
        <v>767.6</v>
      </c>
      <c r="O21" s="51">
        <v>0</v>
      </c>
      <c r="P21" s="51">
        <v>0.5</v>
      </c>
      <c r="Q21" s="51">
        <v>9.67</v>
      </c>
      <c r="R21" s="43"/>
      <c r="S21" s="43"/>
      <c r="T21" s="43"/>
      <c r="U21" s="43"/>
    </row>
    <row r="22" spans="1:21" s="11" customFormat="1" x14ac:dyDescent="0.25">
      <c r="A22" s="50" t="s">
        <v>481</v>
      </c>
      <c r="B22" s="51">
        <v>5.43</v>
      </c>
      <c r="C22" s="51">
        <v>64.680000000000007</v>
      </c>
      <c r="D22" s="51">
        <v>69.59</v>
      </c>
      <c r="E22" s="51">
        <v>74.319999999999993</v>
      </c>
      <c r="F22" s="51">
        <v>29.07</v>
      </c>
      <c r="G22" s="52" t="s">
        <v>12</v>
      </c>
      <c r="H22" s="52" t="s">
        <v>12</v>
      </c>
      <c r="I22" s="51">
        <v>4.09</v>
      </c>
      <c r="J22" s="51">
        <v>1.0900000000000001</v>
      </c>
      <c r="K22" s="51">
        <v>331.9</v>
      </c>
      <c r="L22" s="51">
        <v>35.58</v>
      </c>
      <c r="M22" s="51">
        <v>19.41</v>
      </c>
      <c r="N22" s="51">
        <v>752.3</v>
      </c>
      <c r="O22" s="51">
        <v>0</v>
      </c>
      <c r="P22" s="51">
        <v>0.45</v>
      </c>
      <c r="Q22" s="51">
        <v>9.49</v>
      </c>
      <c r="R22" s="43"/>
      <c r="S22" s="43"/>
      <c r="T22" s="43"/>
      <c r="U22" s="43"/>
    </row>
    <row r="23" spans="1:21" s="11" customFormat="1" x14ac:dyDescent="0.25">
      <c r="A23" s="50" t="s">
        <v>482</v>
      </c>
      <c r="B23" s="51">
        <v>7.2</v>
      </c>
      <c r="C23" s="51">
        <v>78.540000000000006</v>
      </c>
      <c r="D23" s="51">
        <v>83.74</v>
      </c>
      <c r="E23" s="51">
        <v>18.87</v>
      </c>
      <c r="F23" s="51">
        <v>24.81</v>
      </c>
      <c r="G23" s="51">
        <v>55.87</v>
      </c>
      <c r="H23" s="51">
        <v>2.42</v>
      </c>
      <c r="I23" s="51">
        <v>4.0999999999999996</v>
      </c>
      <c r="J23" s="51">
        <v>1.63</v>
      </c>
      <c r="K23" s="51">
        <v>333.63</v>
      </c>
      <c r="L23" s="51">
        <v>36.119999999999997</v>
      </c>
      <c r="M23" s="51">
        <v>16.350000000000001</v>
      </c>
      <c r="N23" s="51">
        <v>601.79999999999995</v>
      </c>
      <c r="O23" s="51">
        <v>0</v>
      </c>
      <c r="P23" s="51">
        <v>0.56000000000000005</v>
      </c>
      <c r="Q23" s="51">
        <v>9.42</v>
      </c>
      <c r="R23" s="43"/>
      <c r="S23" s="43"/>
      <c r="T23" s="43"/>
      <c r="U23" s="43"/>
    </row>
    <row r="24" spans="1:21" s="11" customFormat="1" x14ac:dyDescent="0.25">
      <c r="A24" s="50" t="s">
        <v>483</v>
      </c>
      <c r="B24" s="51">
        <v>8.7200000000000006</v>
      </c>
      <c r="C24" s="51">
        <v>63.83</v>
      </c>
      <c r="D24" s="51">
        <v>72.55</v>
      </c>
      <c r="E24" s="51">
        <v>11.51</v>
      </c>
      <c r="F24" s="51">
        <v>35.85</v>
      </c>
      <c r="G24" s="51">
        <v>55.87</v>
      </c>
      <c r="H24" s="51">
        <v>6.37</v>
      </c>
      <c r="I24" s="51">
        <v>4.09</v>
      </c>
      <c r="J24" s="51">
        <v>1.45</v>
      </c>
      <c r="K24" s="51">
        <v>339.97</v>
      </c>
      <c r="L24" s="51">
        <v>34.950000000000003</v>
      </c>
      <c r="M24" s="51">
        <v>18.57</v>
      </c>
      <c r="N24" s="51">
        <v>281.3</v>
      </c>
      <c r="O24" s="51">
        <v>0</v>
      </c>
      <c r="P24" s="51">
        <v>0.54</v>
      </c>
      <c r="Q24" s="51">
        <v>9.64</v>
      </c>
      <c r="R24" s="43"/>
      <c r="S24" s="43"/>
      <c r="T24" s="43"/>
      <c r="U24" s="43"/>
    </row>
    <row r="25" spans="1:21" s="11" customFormat="1" x14ac:dyDescent="0.25">
      <c r="A25" s="50" t="s">
        <v>484</v>
      </c>
      <c r="B25" s="51">
        <v>9.42</v>
      </c>
      <c r="C25" s="51">
        <v>70.88</v>
      </c>
      <c r="D25" s="51">
        <v>79.959999999999994</v>
      </c>
      <c r="E25" s="51">
        <v>14.59</v>
      </c>
      <c r="F25" s="51">
        <v>40.5</v>
      </c>
      <c r="G25" s="51">
        <v>65</v>
      </c>
      <c r="H25" s="51">
        <v>10.01</v>
      </c>
      <c r="I25" s="51">
        <v>4.2699999999999996</v>
      </c>
      <c r="J25" s="51">
        <v>0.82</v>
      </c>
      <c r="K25" s="51">
        <v>354.04</v>
      </c>
      <c r="L25" s="51">
        <v>32.979999999999997</v>
      </c>
      <c r="M25" s="51">
        <v>20.53</v>
      </c>
      <c r="N25" s="51">
        <v>243.2</v>
      </c>
      <c r="O25" s="51">
        <v>0</v>
      </c>
      <c r="P25" s="51">
        <v>0.61</v>
      </c>
      <c r="Q25" s="51">
        <v>9.65</v>
      </c>
      <c r="R25" s="43"/>
      <c r="S25" s="43"/>
      <c r="T25" s="43"/>
      <c r="U25" s="43"/>
    </row>
    <row r="26" spans="1:21" s="11" customFormat="1" x14ac:dyDescent="0.25">
      <c r="A26" s="50" t="s">
        <v>485</v>
      </c>
      <c r="B26" s="51">
        <v>9.6300000000000008</v>
      </c>
      <c r="C26" s="51">
        <v>70.88</v>
      </c>
      <c r="D26" s="51">
        <v>79.959999999999994</v>
      </c>
      <c r="E26" s="51">
        <v>15.43</v>
      </c>
      <c r="F26" s="51">
        <v>44</v>
      </c>
      <c r="G26" s="51">
        <v>65</v>
      </c>
      <c r="H26" s="51">
        <v>13.64</v>
      </c>
      <c r="I26" s="51">
        <v>4.0199999999999996</v>
      </c>
      <c r="J26" s="51">
        <v>0.9</v>
      </c>
      <c r="K26" s="51">
        <v>255.38</v>
      </c>
      <c r="L26" s="51">
        <v>30.69</v>
      </c>
      <c r="M26" s="51">
        <v>23.03</v>
      </c>
      <c r="N26" s="51">
        <v>106.6</v>
      </c>
      <c r="O26" s="51">
        <v>0</v>
      </c>
      <c r="P26" s="51">
        <v>0.71</v>
      </c>
      <c r="Q26" s="51">
        <v>9.5299999999999994</v>
      </c>
      <c r="R26" s="43"/>
      <c r="S26" s="43"/>
      <c r="T26" s="43"/>
      <c r="U26" s="43"/>
    </row>
    <row r="27" spans="1:21" s="11" customFormat="1" x14ac:dyDescent="0.25">
      <c r="A27" s="50" t="s">
        <v>486</v>
      </c>
      <c r="B27" s="51">
        <v>5.63</v>
      </c>
      <c r="C27" s="51">
        <v>70.88</v>
      </c>
      <c r="D27" s="51">
        <v>78.959999999999994</v>
      </c>
      <c r="E27" s="51">
        <v>14.96</v>
      </c>
      <c r="F27" s="51">
        <v>11.41</v>
      </c>
      <c r="G27" s="51">
        <v>80.209999999999994</v>
      </c>
      <c r="H27" s="51">
        <v>17.53</v>
      </c>
      <c r="I27" s="51">
        <v>4.07</v>
      </c>
      <c r="J27" s="51">
        <v>0.67</v>
      </c>
      <c r="K27" s="51">
        <v>337.55</v>
      </c>
      <c r="L27" s="51">
        <v>28.41</v>
      </c>
      <c r="M27" s="51">
        <v>31.91</v>
      </c>
      <c r="N27" s="51">
        <v>69.099999999999994</v>
      </c>
      <c r="O27" s="51">
        <v>0</v>
      </c>
      <c r="P27" s="51">
        <v>0.71</v>
      </c>
      <c r="Q27" s="51">
        <v>9.57</v>
      </c>
      <c r="R27" s="43"/>
      <c r="S27" s="43"/>
      <c r="T27" s="43"/>
      <c r="U27" s="43"/>
    </row>
    <row r="28" spans="1:21" s="11" customFormat="1" x14ac:dyDescent="0.25">
      <c r="A28" s="50" t="s">
        <v>487</v>
      </c>
      <c r="B28" s="51">
        <v>9.6300000000000008</v>
      </c>
      <c r="C28" s="51">
        <v>50.88</v>
      </c>
      <c r="D28" s="51">
        <v>49.96</v>
      </c>
      <c r="E28" s="51">
        <v>16.03</v>
      </c>
      <c r="F28" s="51">
        <v>9.68</v>
      </c>
      <c r="G28" s="51">
        <v>106.3</v>
      </c>
      <c r="H28" s="51">
        <v>25.69</v>
      </c>
      <c r="I28" s="51">
        <v>4.08</v>
      </c>
      <c r="J28" s="51">
        <v>0.77</v>
      </c>
      <c r="K28" s="51">
        <v>354.54</v>
      </c>
      <c r="L28" s="51">
        <v>25.59</v>
      </c>
      <c r="M28" s="51">
        <v>42.53</v>
      </c>
      <c r="N28" s="51">
        <v>66.099999999999994</v>
      </c>
      <c r="O28" s="51">
        <v>0</v>
      </c>
      <c r="P28" s="51">
        <v>0.71</v>
      </c>
      <c r="Q28" s="51">
        <v>9.73</v>
      </c>
      <c r="R28" s="43"/>
      <c r="S28" s="43"/>
      <c r="T28" s="43"/>
      <c r="U28" s="43"/>
    </row>
    <row r="29" spans="1:21" s="11" customFormat="1" x14ac:dyDescent="0.25">
      <c r="A29" s="50" t="s">
        <v>488</v>
      </c>
      <c r="B29" s="51">
        <v>9.6300000000000008</v>
      </c>
      <c r="C29" s="51">
        <v>70.88</v>
      </c>
      <c r="D29" s="51">
        <v>79.959999999999994</v>
      </c>
      <c r="E29" s="51">
        <v>15.49</v>
      </c>
      <c r="F29" s="51">
        <v>10.57</v>
      </c>
      <c r="G29" s="51">
        <v>140.37</v>
      </c>
      <c r="H29" s="51">
        <v>32.92</v>
      </c>
      <c r="I29" s="51">
        <v>4.08</v>
      </c>
      <c r="J29" s="51">
        <v>0.87</v>
      </c>
      <c r="K29" s="51">
        <v>351.1</v>
      </c>
      <c r="L29" s="51">
        <v>25.12</v>
      </c>
      <c r="M29" s="51">
        <v>44.52</v>
      </c>
      <c r="N29" s="51">
        <v>66.5</v>
      </c>
      <c r="O29" s="51">
        <v>0</v>
      </c>
      <c r="P29" s="51">
        <v>0.71</v>
      </c>
      <c r="Q29" s="51">
        <v>9.81</v>
      </c>
      <c r="R29" s="43"/>
      <c r="S29" s="43"/>
      <c r="T29" s="43"/>
      <c r="U29" s="43"/>
    </row>
    <row r="30" spans="1:21" s="11" customFormat="1" x14ac:dyDescent="0.25">
      <c r="A30" s="50" t="s">
        <v>489</v>
      </c>
      <c r="B30" s="51">
        <v>9.6300000000000008</v>
      </c>
      <c r="C30" s="51">
        <v>70.88</v>
      </c>
      <c r="D30" s="51">
        <v>79.959999999999994</v>
      </c>
      <c r="E30" s="51">
        <v>12.27</v>
      </c>
      <c r="F30" s="51">
        <v>8.5299999999999994</v>
      </c>
      <c r="G30" s="51">
        <v>150.82</v>
      </c>
      <c r="H30" s="51">
        <v>35.4</v>
      </c>
      <c r="I30" s="51">
        <v>4.1399999999999997</v>
      </c>
      <c r="J30" s="51">
        <v>0.72</v>
      </c>
      <c r="K30" s="51">
        <v>332.58</v>
      </c>
      <c r="L30" s="51">
        <v>23.84</v>
      </c>
      <c r="M30" s="51">
        <v>44.68</v>
      </c>
      <c r="N30" s="51">
        <v>66.099999999999994</v>
      </c>
      <c r="O30" s="51">
        <v>0</v>
      </c>
      <c r="P30" s="51">
        <v>0.71</v>
      </c>
      <c r="Q30" s="51">
        <v>9.83</v>
      </c>
      <c r="R30" s="43"/>
      <c r="S30" s="43"/>
      <c r="T30" s="43"/>
      <c r="U30" s="43"/>
    </row>
    <row r="31" spans="1:21" s="11" customFormat="1" x14ac:dyDescent="0.25">
      <c r="A31" s="50" t="s">
        <v>490</v>
      </c>
      <c r="B31" s="51">
        <v>9.6300000000000008</v>
      </c>
      <c r="C31" s="51">
        <v>70.88</v>
      </c>
      <c r="D31" s="51">
        <v>79.959999999999994</v>
      </c>
      <c r="E31" s="51">
        <v>11.74</v>
      </c>
      <c r="F31" s="51">
        <v>8.9</v>
      </c>
      <c r="G31" s="51">
        <v>153.77000000000001</v>
      </c>
      <c r="H31" s="51">
        <v>41.48</v>
      </c>
      <c r="I31" s="51">
        <v>4.2300000000000004</v>
      </c>
      <c r="J31" s="51">
        <v>0.7</v>
      </c>
      <c r="K31" s="51">
        <v>359.54</v>
      </c>
      <c r="L31" s="51">
        <v>22.81</v>
      </c>
      <c r="M31" s="51">
        <v>55.56</v>
      </c>
      <c r="N31" s="51">
        <v>66.5</v>
      </c>
      <c r="O31" s="51">
        <v>0</v>
      </c>
      <c r="P31" s="51">
        <v>0.71</v>
      </c>
      <c r="Q31" s="51">
        <v>9.9</v>
      </c>
      <c r="R31" s="43"/>
      <c r="S31" s="43"/>
      <c r="T31" s="43"/>
      <c r="U31" s="43"/>
    </row>
    <row r="32" spans="1:21" s="11" customFormat="1" x14ac:dyDescent="0.25">
      <c r="A32" s="50" t="s">
        <v>491</v>
      </c>
      <c r="B32" s="51">
        <v>9.6300000000000008</v>
      </c>
      <c r="C32" s="51">
        <v>70.88</v>
      </c>
      <c r="D32" s="51">
        <v>79.959999999999994</v>
      </c>
      <c r="E32" s="51">
        <v>10.44</v>
      </c>
      <c r="F32" s="51">
        <v>8.49</v>
      </c>
      <c r="G32" s="51">
        <v>153.77000000000001</v>
      </c>
      <c r="H32" s="51">
        <v>41.48</v>
      </c>
      <c r="I32" s="51">
        <v>4.0999999999999996</v>
      </c>
      <c r="J32" s="51">
        <v>1.0900000000000001</v>
      </c>
      <c r="K32" s="51">
        <v>322.10000000000002</v>
      </c>
      <c r="L32" s="51">
        <v>23.29</v>
      </c>
      <c r="M32" s="51">
        <v>56.12</v>
      </c>
      <c r="N32" s="51">
        <v>66.099999999999994</v>
      </c>
      <c r="O32" s="51">
        <v>0</v>
      </c>
      <c r="P32" s="51">
        <v>0.71</v>
      </c>
      <c r="Q32" s="51">
        <v>10.029999999999999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5.43</v>
      </c>
      <c r="C34" s="28">
        <f t="shared" si="0"/>
        <v>50.88</v>
      </c>
      <c r="D34" s="28">
        <f t="shared" si="0"/>
        <v>39.61</v>
      </c>
      <c r="E34" s="28">
        <f t="shared" si="0"/>
        <v>4.34</v>
      </c>
      <c r="F34" s="28">
        <f t="shared" si="0"/>
        <v>8.07</v>
      </c>
      <c r="G34" s="28">
        <f t="shared" si="0"/>
        <v>55.87</v>
      </c>
      <c r="H34" s="28">
        <f t="shared" si="0"/>
        <v>2.42</v>
      </c>
      <c r="I34" s="28">
        <f t="shared" si="0"/>
        <v>3.94</v>
      </c>
      <c r="J34" s="28">
        <f t="shared" si="0"/>
        <v>0.63</v>
      </c>
      <c r="K34" s="28">
        <f t="shared" si="0"/>
        <v>6.35</v>
      </c>
      <c r="L34" s="28">
        <f t="shared" si="0"/>
        <v>20.260000000000002</v>
      </c>
      <c r="M34" s="28">
        <f t="shared" si="0"/>
        <v>16.350000000000001</v>
      </c>
      <c r="N34" s="28">
        <f t="shared" si="0"/>
        <v>62.3</v>
      </c>
      <c r="O34" s="28">
        <f t="shared" si="0"/>
        <v>0</v>
      </c>
      <c r="P34" s="28">
        <f t="shared" si="0"/>
        <v>0.39</v>
      </c>
      <c r="Q34" s="28">
        <f t="shared" si="0"/>
        <v>9.42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21.54</v>
      </c>
      <c r="C35" s="29">
        <f t="shared" si="1"/>
        <v>83.59</v>
      </c>
      <c r="D35" s="29">
        <f t="shared" si="1"/>
        <v>83.74</v>
      </c>
      <c r="E35" s="29">
        <f t="shared" si="1"/>
        <v>74.319999999999993</v>
      </c>
      <c r="F35" s="29">
        <f t="shared" si="1"/>
        <v>44</v>
      </c>
      <c r="G35" s="29">
        <f t="shared" si="1"/>
        <v>153.77000000000001</v>
      </c>
      <c r="H35" s="29">
        <f t="shared" si="1"/>
        <v>41.48</v>
      </c>
      <c r="I35" s="29">
        <f t="shared" si="1"/>
        <v>4.2699999999999996</v>
      </c>
      <c r="J35" s="29">
        <f t="shared" si="1"/>
        <v>1.89</v>
      </c>
      <c r="K35" s="29">
        <f t="shared" si="1"/>
        <v>359.54</v>
      </c>
      <c r="L35" s="29">
        <f t="shared" si="1"/>
        <v>36.119999999999997</v>
      </c>
      <c r="M35" s="29">
        <f t="shared" si="1"/>
        <v>56.17</v>
      </c>
      <c r="N35" s="29">
        <f t="shared" si="1"/>
        <v>767.6</v>
      </c>
      <c r="O35" s="29">
        <f t="shared" si="1"/>
        <v>0</v>
      </c>
      <c r="P35" s="29">
        <f t="shared" si="1"/>
        <v>0.86</v>
      </c>
      <c r="Q35" s="29">
        <f t="shared" si="1"/>
        <v>10.029999999999999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10.756086956521738</v>
      </c>
      <c r="C36" s="28">
        <f t="shared" si="2"/>
        <v>67.778695652173951</v>
      </c>
      <c r="D36" s="28">
        <f t="shared" si="2"/>
        <v>62.378695652173924</v>
      </c>
      <c r="E36" s="28">
        <f t="shared" si="2"/>
        <v>16.468260869565214</v>
      </c>
      <c r="F36" s="28">
        <f t="shared" si="2"/>
        <v>17.972916666666666</v>
      </c>
      <c r="G36" s="28">
        <f t="shared" si="2"/>
        <v>91.268571428571434</v>
      </c>
      <c r="H36" s="28">
        <f t="shared" si="2"/>
        <v>23.003809523809526</v>
      </c>
      <c r="I36" s="28">
        <f t="shared" si="2"/>
        <v>4.0874999999999995</v>
      </c>
      <c r="J36" s="28">
        <f t="shared" si="2"/>
        <v>1.0829166666666665</v>
      </c>
      <c r="K36" s="28">
        <f t="shared" si="2"/>
        <v>231.78916666666672</v>
      </c>
      <c r="L36" s="28">
        <f t="shared" si="2"/>
        <v>26.700416666666669</v>
      </c>
      <c r="M36" s="28">
        <f t="shared" si="2"/>
        <v>36.468749999999993</v>
      </c>
      <c r="N36" s="28">
        <f t="shared" si="2"/>
        <v>280.74583333333345</v>
      </c>
      <c r="O36" s="28">
        <f t="shared" si="2"/>
        <v>0</v>
      </c>
      <c r="P36" s="28">
        <f t="shared" si="2"/>
        <v>0.6641666666666669</v>
      </c>
      <c r="Q36" s="28">
        <f t="shared" si="2"/>
        <v>9.6658333333333335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4.4235277356944973</v>
      </c>
      <c r="C37" s="28">
        <f t="shared" ref="C37:Q37" si="3">STDEV(C9:C32)</f>
        <v>7.7602918785005945</v>
      </c>
      <c r="D37" s="28">
        <f t="shared" si="3"/>
        <v>16.006768257194317</v>
      </c>
      <c r="E37" s="28">
        <f t="shared" si="3"/>
        <v>14.504884961523675</v>
      </c>
      <c r="F37" s="28">
        <f t="shared" si="3"/>
        <v>11.830264975225948</v>
      </c>
      <c r="G37" s="28">
        <f t="shared" si="3"/>
        <v>31.769194715276399</v>
      </c>
      <c r="H37" s="28">
        <f t="shared" si="3"/>
        <v>10.353755587317318</v>
      </c>
      <c r="I37" s="28">
        <f t="shared" si="3"/>
        <v>6.8413703178593521E-2</v>
      </c>
      <c r="J37" s="28">
        <f t="shared" si="3"/>
        <v>0.3451714024965703</v>
      </c>
      <c r="K37" s="28">
        <f t="shared" si="3"/>
        <v>131.01699063120759</v>
      </c>
      <c r="L37" s="28">
        <f t="shared" si="3"/>
        <v>5.3267564803967806</v>
      </c>
      <c r="M37" s="28">
        <f t="shared" si="3"/>
        <v>13.125592429693802</v>
      </c>
      <c r="N37" s="28">
        <f t="shared" si="3"/>
        <v>283.7220026090551</v>
      </c>
      <c r="O37" s="28">
        <f t="shared" si="3"/>
        <v>0</v>
      </c>
      <c r="P37" s="28">
        <f t="shared" si="3"/>
        <v>0.10989784452792334</v>
      </c>
      <c r="Q37" s="28">
        <f t="shared" si="3"/>
        <v>0.13104651237555731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</f>
        <v>24</v>
      </c>
      <c r="C38" s="32">
        <f t="shared" ref="C38:E38" si="4">COUNT(C9:C32)+1</f>
        <v>24</v>
      </c>
      <c r="D38" s="32">
        <f t="shared" si="4"/>
        <v>24</v>
      </c>
      <c r="E38" s="32">
        <f t="shared" si="4"/>
        <v>24</v>
      </c>
      <c r="F38" s="32">
        <f t="shared" ref="F38:Q38" si="5">COUNT(F9:F32)</f>
        <v>24</v>
      </c>
      <c r="G38" s="32">
        <f>COUNT(G9:G32)+3</f>
        <v>24</v>
      </c>
      <c r="H38" s="32">
        <f>COUNT(H9:H32)+3</f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492</v>
      </c>
      <c r="B9" s="51">
        <v>60.51</v>
      </c>
      <c r="C9" s="51">
        <v>86.79</v>
      </c>
      <c r="D9" s="51">
        <v>145.25</v>
      </c>
      <c r="E9" s="51">
        <v>17.420000000000002</v>
      </c>
      <c r="F9" s="51">
        <v>18.66</v>
      </c>
      <c r="G9" s="51">
        <v>150.56</v>
      </c>
      <c r="H9" s="51">
        <v>38.35</v>
      </c>
      <c r="I9" s="51">
        <v>4.08</v>
      </c>
      <c r="J9" s="51">
        <v>0.96</v>
      </c>
      <c r="K9" s="51">
        <v>18.57</v>
      </c>
      <c r="L9" s="51">
        <v>23.44</v>
      </c>
      <c r="M9" s="51">
        <v>38.840000000000003</v>
      </c>
      <c r="N9" s="51">
        <v>66.400000000000006</v>
      </c>
      <c r="O9" s="51">
        <v>0</v>
      </c>
      <c r="P9" s="51">
        <v>2.14</v>
      </c>
      <c r="Q9" s="51">
        <v>10.039999999999999</v>
      </c>
      <c r="R9" s="43"/>
      <c r="S9" s="43"/>
      <c r="T9" s="43"/>
      <c r="U9" s="43"/>
    </row>
    <row r="10" spans="1:21" s="11" customFormat="1" x14ac:dyDescent="0.25">
      <c r="A10" s="50" t="s">
        <v>493</v>
      </c>
      <c r="B10" s="51">
        <v>54.01</v>
      </c>
      <c r="C10" s="51">
        <v>66.709999999999994</v>
      </c>
      <c r="D10" s="51">
        <v>120.72</v>
      </c>
      <c r="E10" s="51">
        <v>14.47</v>
      </c>
      <c r="F10" s="51">
        <v>23.37</v>
      </c>
      <c r="G10" s="51">
        <v>125.09</v>
      </c>
      <c r="H10" s="51">
        <v>38.35</v>
      </c>
      <c r="I10" s="51">
        <v>4.1100000000000003</v>
      </c>
      <c r="J10" s="51">
        <v>0.81</v>
      </c>
      <c r="K10" s="51">
        <v>47.19</v>
      </c>
      <c r="L10" s="51">
        <v>22.76</v>
      </c>
      <c r="M10" s="51">
        <v>38.6</v>
      </c>
      <c r="N10" s="51">
        <v>66.2</v>
      </c>
      <c r="O10" s="51">
        <v>0</v>
      </c>
      <c r="P10" s="51">
        <v>1.34</v>
      </c>
      <c r="Q10" s="51">
        <v>9.98</v>
      </c>
      <c r="R10" s="43"/>
      <c r="S10" s="43"/>
      <c r="T10" s="43"/>
      <c r="U10" s="43"/>
    </row>
    <row r="11" spans="1:21" s="11" customFormat="1" x14ac:dyDescent="0.25">
      <c r="A11" s="50" t="s">
        <v>494</v>
      </c>
      <c r="B11" s="51">
        <v>53.46</v>
      </c>
      <c r="C11" s="51">
        <v>63.62</v>
      </c>
      <c r="D11" s="51">
        <v>116.11</v>
      </c>
      <c r="E11" s="51">
        <v>7.8</v>
      </c>
      <c r="F11" s="51">
        <v>17.97</v>
      </c>
      <c r="G11" s="51">
        <v>96.92</v>
      </c>
      <c r="H11" s="51">
        <v>35.94</v>
      </c>
      <c r="I11" s="51">
        <v>4.17</v>
      </c>
      <c r="J11" s="51">
        <v>0.69</v>
      </c>
      <c r="K11" s="51">
        <v>42.39</v>
      </c>
      <c r="L11" s="51">
        <v>22.48</v>
      </c>
      <c r="M11" s="51">
        <v>38.799999999999997</v>
      </c>
      <c r="N11" s="51">
        <v>66.2</v>
      </c>
      <c r="O11" s="51">
        <v>0</v>
      </c>
      <c r="P11" s="51">
        <v>1.37</v>
      </c>
      <c r="Q11" s="51">
        <v>9.9</v>
      </c>
      <c r="R11" s="43"/>
      <c r="S11" s="43"/>
      <c r="T11" s="43"/>
      <c r="U11" s="43"/>
    </row>
    <row r="12" spans="1:21" s="11" customFormat="1" x14ac:dyDescent="0.25">
      <c r="A12" s="50" t="s">
        <v>495</v>
      </c>
      <c r="B12" s="51">
        <v>49.21</v>
      </c>
      <c r="C12" s="51">
        <v>67.349999999999994</v>
      </c>
      <c r="D12" s="51">
        <v>114</v>
      </c>
      <c r="E12" s="51">
        <v>5.98</v>
      </c>
      <c r="F12" s="51">
        <v>13.82</v>
      </c>
      <c r="G12" s="51">
        <v>74.81</v>
      </c>
      <c r="H12" s="51">
        <v>35.94</v>
      </c>
      <c r="I12" s="51">
        <v>4.18</v>
      </c>
      <c r="J12" s="51">
        <v>1.1200000000000001</v>
      </c>
      <c r="K12" s="51">
        <v>78.23</v>
      </c>
      <c r="L12" s="51">
        <v>23.09</v>
      </c>
      <c r="M12" s="51">
        <v>33.119999999999997</v>
      </c>
      <c r="N12" s="51">
        <v>66.3</v>
      </c>
      <c r="O12" s="51">
        <v>0</v>
      </c>
      <c r="P12" s="51">
        <v>1.42</v>
      </c>
      <c r="Q12" s="51">
        <v>9.7899999999999991</v>
      </c>
      <c r="R12" s="43"/>
      <c r="S12" s="43"/>
      <c r="T12" s="43"/>
      <c r="U12" s="43"/>
    </row>
    <row r="13" spans="1:21" s="11" customFormat="1" x14ac:dyDescent="0.25">
      <c r="A13" s="50" t="s">
        <v>496</v>
      </c>
      <c r="B13" s="51">
        <v>34.21</v>
      </c>
      <c r="C13" s="51">
        <v>73.47</v>
      </c>
      <c r="D13" s="51">
        <v>107.68</v>
      </c>
      <c r="E13" s="51">
        <v>10.54</v>
      </c>
      <c r="F13" s="51">
        <v>19.03</v>
      </c>
      <c r="G13" s="51">
        <v>59.37</v>
      </c>
      <c r="H13" s="51">
        <v>25.9</v>
      </c>
      <c r="I13" s="51">
        <v>4.07</v>
      </c>
      <c r="J13" s="51">
        <v>0.85</v>
      </c>
      <c r="K13" s="51">
        <v>28.4</v>
      </c>
      <c r="L13" s="51">
        <v>22.3</v>
      </c>
      <c r="M13" s="51">
        <v>36.79</v>
      </c>
      <c r="N13" s="51">
        <v>66.599999999999994</v>
      </c>
      <c r="O13" s="51">
        <v>0</v>
      </c>
      <c r="P13" s="51">
        <v>0.79</v>
      </c>
      <c r="Q13" s="51">
        <v>9.7100000000000009</v>
      </c>
      <c r="R13" s="43"/>
      <c r="S13" s="43"/>
      <c r="T13" s="43"/>
      <c r="U13" s="43"/>
    </row>
    <row r="14" spans="1:21" s="11" customFormat="1" x14ac:dyDescent="0.25">
      <c r="A14" s="50" t="s">
        <v>497</v>
      </c>
      <c r="B14" s="51">
        <v>23.98</v>
      </c>
      <c r="C14" s="51">
        <v>64.17</v>
      </c>
      <c r="D14" s="51">
        <v>88.09</v>
      </c>
      <c r="E14" s="51">
        <v>9.07</v>
      </c>
      <c r="F14" s="51">
        <v>15.85</v>
      </c>
      <c r="G14" s="51">
        <v>56.22</v>
      </c>
      <c r="H14" s="51">
        <v>25.55</v>
      </c>
      <c r="I14" s="51">
        <v>4.1399999999999997</v>
      </c>
      <c r="J14" s="51">
        <v>1.02</v>
      </c>
      <c r="K14" s="51">
        <v>341.19</v>
      </c>
      <c r="L14" s="51">
        <v>21.23</v>
      </c>
      <c r="M14" s="51">
        <v>42.2</v>
      </c>
      <c r="N14" s="51">
        <v>66.8</v>
      </c>
      <c r="O14" s="51">
        <v>0</v>
      </c>
      <c r="P14" s="51">
        <v>0.86</v>
      </c>
      <c r="Q14" s="51">
        <v>9.6999999999999993</v>
      </c>
      <c r="R14" s="43"/>
      <c r="S14" s="43"/>
      <c r="T14" s="43"/>
      <c r="U14" s="43"/>
    </row>
    <row r="15" spans="1:21" s="11" customFormat="1" x14ac:dyDescent="0.25">
      <c r="A15" s="50" t="s">
        <v>498</v>
      </c>
      <c r="B15" s="51">
        <v>26.91</v>
      </c>
      <c r="C15" s="51">
        <v>70.2</v>
      </c>
      <c r="D15" s="51">
        <v>94.63</v>
      </c>
      <c r="E15" s="51">
        <v>4.96</v>
      </c>
      <c r="F15" s="51">
        <v>8.7100000000000009</v>
      </c>
      <c r="G15" s="51">
        <v>64.05</v>
      </c>
      <c r="H15" s="51">
        <v>25.55</v>
      </c>
      <c r="I15" s="51">
        <v>4.1100000000000003</v>
      </c>
      <c r="J15" s="51">
        <v>0.9</v>
      </c>
      <c r="K15" s="51">
        <v>84.94</v>
      </c>
      <c r="L15" s="51">
        <v>21.43</v>
      </c>
      <c r="M15" s="51">
        <v>39.57</v>
      </c>
      <c r="N15" s="51">
        <v>123.5</v>
      </c>
      <c r="O15" s="51">
        <v>0</v>
      </c>
      <c r="P15" s="51">
        <v>0.96</v>
      </c>
      <c r="Q15" s="51">
        <v>9.67</v>
      </c>
      <c r="R15" s="43"/>
      <c r="S15" s="43"/>
      <c r="T15" s="43"/>
      <c r="U15" s="43"/>
    </row>
    <row r="16" spans="1:21" s="11" customFormat="1" x14ac:dyDescent="0.25">
      <c r="A16" s="50" t="s">
        <v>499</v>
      </c>
      <c r="B16" s="51">
        <v>30.27</v>
      </c>
      <c r="C16" s="51">
        <v>71.760000000000005</v>
      </c>
      <c r="D16" s="51">
        <v>102.03</v>
      </c>
      <c r="E16" s="51">
        <v>4.57</v>
      </c>
      <c r="F16" s="51">
        <v>9.86</v>
      </c>
      <c r="G16" s="51">
        <v>67.150000000000006</v>
      </c>
      <c r="H16" s="51">
        <v>23.37</v>
      </c>
      <c r="I16" s="51">
        <v>4</v>
      </c>
      <c r="J16" s="51">
        <v>1.2</v>
      </c>
      <c r="K16" s="51">
        <v>94.57</v>
      </c>
      <c r="L16" s="51">
        <v>23.38</v>
      </c>
      <c r="M16" s="51">
        <v>38.04</v>
      </c>
      <c r="N16" s="51">
        <v>272.8</v>
      </c>
      <c r="O16" s="51">
        <v>0</v>
      </c>
      <c r="P16" s="51">
        <v>1.08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500</v>
      </c>
      <c r="B17" s="51">
        <v>24.16</v>
      </c>
      <c r="C17" s="51">
        <v>71.75</v>
      </c>
      <c r="D17" s="51">
        <v>94.38</v>
      </c>
      <c r="E17" s="51">
        <v>15.34</v>
      </c>
      <c r="F17" s="51">
        <v>14.48</v>
      </c>
      <c r="G17" s="51">
        <v>70.3</v>
      </c>
      <c r="H17" s="51">
        <v>24.53</v>
      </c>
      <c r="I17" s="51">
        <v>4.13</v>
      </c>
      <c r="J17" s="51">
        <v>0.73</v>
      </c>
      <c r="K17" s="51">
        <v>73.33</v>
      </c>
      <c r="L17" s="51">
        <v>26.63</v>
      </c>
      <c r="M17" s="51">
        <v>33.409999999999997</v>
      </c>
      <c r="N17" s="51">
        <v>426.9</v>
      </c>
      <c r="O17" s="51">
        <v>0</v>
      </c>
      <c r="P17" s="51">
        <v>1.03</v>
      </c>
      <c r="Q17" s="51">
        <v>9.64</v>
      </c>
      <c r="R17" s="43"/>
      <c r="S17" s="43"/>
      <c r="T17" s="43"/>
      <c r="U17" s="43"/>
    </row>
    <row r="18" spans="1:21" s="11" customFormat="1" x14ac:dyDescent="0.25">
      <c r="A18" s="50" t="s">
        <v>501</v>
      </c>
      <c r="B18" s="51">
        <v>20.6</v>
      </c>
      <c r="C18" s="51">
        <v>77.03</v>
      </c>
      <c r="D18" s="51">
        <v>96.24</v>
      </c>
      <c r="E18" s="51">
        <v>16.600000000000001</v>
      </c>
      <c r="F18" s="51">
        <v>23.02</v>
      </c>
      <c r="G18" s="51">
        <v>75.42</v>
      </c>
      <c r="H18" s="51">
        <v>31.06</v>
      </c>
      <c r="I18" s="51">
        <v>4.05</v>
      </c>
      <c r="J18" s="51">
        <v>1.1399999999999999</v>
      </c>
      <c r="K18" s="51">
        <v>349.45</v>
      </c>
      <c r="L18" s="51">
        <v>32.270000000000003</v>
      </c>
      <c r="M18" s="51">
        <v>30.18</v>
      </c>
      <c r="N18" s="51">
        <v>538</v>
      </c>
      <c r="O18" s="51">
        <v>0</v>
      </c>
      <c r="P18" s="51">
        <v>1.02</v>
      </c>
      <c r="Q18" s="51">
        <v>9.6300000000000008</v>
      </c>
      <c r="R18" s="43"/>
      <c r="S18" s="43"/>
      <c r="T18" s="43"/>
      <c r="U18" s="43"/>
    </row>
    <row r="19" spans="1:21" s="11" customFormat="1" x14ac:dyDescent="0.25">
      <c r="A19" s="50" t="s">
        <v>502</v>
      </c>
      <c r="B19" s="51">
        <v>15.15</v>
      </c>
      <c r="C19" s="51">
        <v>82.43</v>
      </c>
      <c r="D19" s="51">
        <v>95.63</v>
      </c>
      <c r="E19" s="51">
        <v>16.100000000000001</v>
      </c>
      <c r="F19" s="51">
        <v>21.07</v>
      </c>
      <c r="G19" s="51">
        <v>75.42</v>
      </c>
      <c r="H19" s="51">
        <v>31.06</v>
      </c>
      <c r="I19" s="51">
        <v>4.03</v>
      </c>
      <c r="J19" s="51">
        <v>1.34</v>
      </c>
      <c r="K19" s="51">
        <v>348.58</v>
      </c>
      <c r="L19" s="51">
        <v>34.880000000000003</v>
      </c>
      <c r="M19" s="51">
        <v>23.05</v>
      </c>
      <c r="N19" s="51">
        <v>612.29999999999995</v>
      </c>
      <c r="O19" s="51">
        <v>0</v>
      </c>
      <c r="P19" s="51">
        <v>1.04</v>
      </c>
      <c r="Q19" s="51">
        <v>9.61</v>
      </c>
      <c r="R19" s="43"/>
      <c r="S19" s="43"/>
      <c r="T19" s="43"/>
      <c r="U19" s="43"/>
    </row>
    <row r="20" spans="1:21" s="11" customFormat="1" x14ac:dyDescent="0.25">
      <c r="A20" s="50" t="s">
        <v>503</v>
      </c>
      <c r="B20" s="51">
        <v>9.51</v>
      </c>
      <c r="C20" s="51">
        <v>79.459999999999994</v>
      </c>
      <c r="D20" s="51">
        <v>88.98</v>
      </c>
      <c r="E20" s="51">
        <v>7.74</v>
      </c>
      <c r="F20" s="51">
        <v>17.12</v>
      </c>
      <c r="G20" s="51">
        <v>73.760000000000005</v>
      </c>
      <c r="H20" s="51">
        <v>30.09</v>
      </c>
      <c r="I20" s="51">
        <v>4.18</v>
      </c>
      <c r="J20" s="51">
        <v>1.28</v>
      </c>
      <c r="K20" s="51">
        <v>332.44</v>
      </c>
      <c r="L20" s="51">
        <v>33.97</v>
      </c>
      <c r="M20" s="51">
        <v>27.03</v>
      </c>
      <c r="N20" s="51">
        <v>619.79999999999995</v>
      </c>
      <c r="O20" s="51">
        <v>0</v>
      </c>
      <c r="P20" s="51">
        <v>0.99</v>
      </c>
      <c r="Q20" s="51">
        <v>9.6</v>
      </c>
      <c r="R20" s="43"/>
      <c r="S20" s="43"/>
      <c r="T20" s="43"/>
      <c r="U20" s="43"/>
    </row>
    <row r="21" spans="1:21" s="11" customFormat="1" x14ac:dyDescent="0.25">
      <c r="A21" s="50" t="s">
        <v>504</v>
      </c>
      <c r="B21" s="51">
        <v>5.42</v>
      </c>
      <c r="C21" s="51">
        <v>76.87</v>
      </c>
      <c r="D21" s="51">
        <v>82.29</v>
      </c>
      <c r="E21" s="51">
        <v>22.9</v>
      </c>
      <c r="F21" s="51">
        <v>27.03</v>
      </c>
      <c r="G21" s="51">
        <v>73.63</v>
      </c>
      <c r="H21" s="51">
        <v>30.21</v>
      </c>
      <c r="I21" s="51">
        <v>4.17</v>
      </c>
      <c r="J21" s="51">
        <v>1.4</v>
      </c>
      <c r="K21" s="51">
        <v>332.59</v>
      </c>
      <c r="L21" s="51">
        <v>35.020000000000003</v>
      </c>
      <c r="M21" s="51">
        <v>24.2</v>
      </c>
      <c r="N21" s="51">
        <v>611.1</v>
      </c>
      <c r="O21" s="51">
        <v>0</v>
      </c>
      <c r="P21" s="51">
        <v>1.05</v>
      </c>
      <c r="Q21" s="51">
        <v>9.48</v>
      </c>
      <c r="R21" s="43"/>
      <c r="S21" s="43"/>
      <c r="T21" s="43"/>
      <c r="U21" s="43"/>
    </row>
    <row r="22" spans="1:21" s="11" customFormat="1" x14ac:dyDescent="0.25">
      <c r="A22" s="50" t="s">
        <v>505</v>
      </c>
      <c r="B22" s="51">
        <v>5.31</v>
      </c>
      <c r="C22" s="51">
        <v>79.67</v>
      </c>
      <c r="D22" s="51">
        <v>84.01</v>
      </c>
      <c r="E22" s="51">
        <v>17.149999999999999</v>
      </c>
      <c r="F22" s="51">
        <v>31.41</v>
      </c>
      <c r="G22" s="51">
        <v>73.63</v>
      </c>
      <c r="H22" s="51">
        <v>31.41</v>
      </c>
      <c r="I22" s="51">
        <v>4.21</v>
      </c>
      <c r="J22" s="51">
        <v>1.29</v>
      </c>
      <c r="K22" s="51">
        <v>321.45999999999998</v>
      </c>
      <c r="L22" s="51">
        <v>35.19</v>
      </c>
      <c r="M22" s="51">
        <v>24.03</v>
      </c>
      <c r="N22" s="51">
        <v>578.4</v>
      </c>
      <c r="O22" s="51">
        <v>0</v>
      </c>
      <c r="P22" s="51">
        <v>1.08</v>
      </c>
      <c r="Q22" s="51">
        <v>9.57</v>
      </c>
      <c r="R22" s="43"/>
      <c r="S22" s="43"/>
      <c r="T22" s="43"/>
      <c r="U22" s="43"/>
    </row>
    <row r="23" spans="1:21" s="11" customFormat="1" x14ac:dyDescent="0.25">
      <c r="A23" s="50" t="s">
        <v>506</v>
      </c>
      <c r="B23" s="51">
        <v>7.54</v>
      </c>
      <c r="C23" s="51">
        <v>66.83</v>
      </c>
      <c r="D23" s="51">
        <v>73.709999999999994</v>
      </c>
      <c r="E23" s="51">
        <v>17.38</v>
      </c>
      <c r="F23" s="51">
        <v>45.94</v>
      </c>
      <c r="G23" s="51">
        <v>79.17</v>
      </c>
      <c r="H23" s="51">
        <v>31.41</v>
      </c>
      <c r="I23" s="51">
        <v>4.1399999999999997</v>
      </c>
      <c r="J23" s="51">
        <v>1.26</v>
      </c>
      <c r="K23" s="51">
        <v>339.4</v>
      </c>
      <c r="L23" s="51">
        <v>34.979999999999997</v>
      </c>
      <c r="M23" s="51">
        <v>25.27</v>
      </c>
      <c r="N23" s="51">
        <v>447.4</v>
      </c>
      <c r="O23" s="51">
        <v>0</v>
      </c>
      <c r="P23" s="51">
        <v>0.92</v>
      </c>
      <c r="Q23" s="51">
        <v>9.57</v>
      </c>
      <c r="R23" s="43"/>
      <c r="S23" s="43"/>
      <c r="T23" s="43"/>
      <c r="U23" s="43"/>
    </row>
    <row r="24" spans="1:21" s="11" customFormat="1" x14ac:dyDescent="0.25">
      <c r="A24" s="50" t="s">
        <v>507</v>
      </c>
      <c r="B24" s="51">
        <v>5.37</v>
      </c>
      <c r="C24" s="51">
        <v>74.31</v>
      </c>
      <c r="D24" s="51">
        <v>79.680000000000007</v>
      </c>
      <c r="E24" s="51">
        <v>16.84</v>
      </c>
      <c r="F24" s="51">
        <v>39.979999999999997</v>
      </c>
      <c r="G24" s="51">
        <v>79.17</v>
      </c>
      <c r="H24" s="51">
        <v>31.6</v>
      </c>
      <c r="I24" s="51">
        <v>4</v>
      </c>
      <c r="J24" s="51">
        <v>1.19</v>
      </c>
      <c r="K24" s="51">
        <v>327.76</v>
      </c>
      <c r="L24" s="51">
        <v>33.97</v>
      </c>
      <c r="M24" s="51">
        <v>26.92</v>
      </c>
      <c r="N24" s="51">
        <v>263.10000000000002</v>
      </c>
      <c r="O24" s="51">
        <v>0</v>
      </c>
      <c r="P24" s="51">
        <v>1.2</v>
      </c>
      <c r="Q24" s="51">
        <v>9.4</v>
      </c>
      <c r="R24" s="43"/>
      <c r="S24" s="43"/>
      <c r="T24" s="43"/>
      <c r="U24" s="43"/>
    </row>
    <row r="25" spans="1:21" s="11" customFormat="1" x14ac:dyDescent="0.25">
      <c r="A25" s="50" t="s">
        <v>508</v>
      </c>
      <c r="B25" s="51">
        <v>12.22</v>
      </c>
      <c r="C25" s="51">
        <v>97.6</v>
      </c>
      <c r="D25" s="51">
        <v>109.82</v>
      </c>
      <c r="E25" s="51">
        <v>45.81</v>
      </c>
      <c r="F25" s="51">
        <v>52.17</v>
      </c>
      <c r="G25" s="51">
        <v>77.569999999999993</v>
      </c>
      <c r="H25" s="51">
        <v>32.54</v>
      </c>
      <c r="I25" s="51">
        <v>4.09</v>
      </c>
      <c r="J25" s="51">
        <v>1.18</v>
      </c>
      <c r="K25" s="51">
        <v>341.49</v>
      </c>
      <c r="L25" s="51">
        <v>32.58</v>
      </c>
      <c r="M25" s="51">
        <v>30.43</v>
      </c>
      <c r="N25" s="51">
        <v>200.3</v>
      </c>
      <c r="O25" s="51">
        <v>0</v>
      </c>
      <c r="P25" s="51">
        <v>1.38</v>
      </c>
      <c r="Q25" s="51">
        <v>9.2899999999999991</v>
      </c>
      <c r="R25" s="43"/>
      <c r="S25" s="43"/>
      <c r="T25" s="43"/>
      <c r="U25" s="43"/>
    </row>
    <row r="26" spans="1:21" s="11" customFormat="1" x14ac:dyDescent="0.25">
      <c r="A26" s="50" t="s">
        <v>509</v>
      </c>
      <c r="B26" s="51">
        <v>44.74</v>
      </c>
      <c r="C26" s="51">
        <v>177.77</v>
      </c>
      <c r="D26" s="51">
        <v>222.51</v>
      </c>
      <c r="E26" s="51">
        <v>35.909999999999997</v>
      </c>
      <c r="F26" s="51">
        <v>51.06</v>
      </c>
      <c r="G26" s="51">
        <v>80.819999999999993</v>
      </c>
      <c r="H26" s="51">
        <v>34.56</v>
      </c>
      <c r="I26" s="51">
        <v>4.07</v>
      </c>
      <c r="J26" s="51">
        <v>1.42</v>
      </c>
      <c r="K26" s="51">
        <v>353.37</v>
      </c>
      <c r="L26" s="51">
        <v>30.83</v>
      </c>
      <c r="M26" s="51">
        <v>34.92</v>
      </c>
      <c r="N26" s="51">
        <v>104.5</v>
      </c>
      <c r="O26" s="51">
        <v>0</v>
      </c>
      <c r="P26" s="51">
        <v>2.98</v>
      </c>
      <c r="Q26" s="51">
        <v>9.31</v>
      </c>
      <c r="R26" s="43"/>
      <c r="S26" s="43"/>
      <c r="T26" s="43"/>
      <c r="U26" s="43"/>
    </row>
    <row r="27" spans="1:21" s="11" customFormat="1" x14ac:dyDescent="0.25">
      <c r="A27" s="50" t="s">
        <v>510</v>
      </c>
      <c r="B27" s="51">
        <v>78.150000000000006</v>
      </c>
      <c r="C27" s="51">
        <v>215.67</v>
      </c>
      <c r="D27" s="51">
        <v>293.82</v>
      </c>
      <c r="E27" s="51">
        <v>27.47</v>
      </c>
      <c r="F27" s="51">
        <v>28.63</v>
      </c>
      <c r="G27" s="51">
        <v>105.33</v>
      </c>
      <c r="H27" s="51">
        <v>38.5</v>
      </c>
      <c r="I27" s="51">
        <v>4.07</v>
      </c>
      <c r="J27" s="51">
        <v>0.68</v>
      </c>
      <c r="K27" s="51">
        <v>353.17</v>
      </c>
      <c r="L27" s="51">
        <v>28.19</v>
      </c>
      <c r="M27" s="51">
        <v>38.28</v>
      </c>
      <c r="N27" s="51">
        <v>68.7</v>
      </c>
      <c r="O27" s="51">
        <v>0</v>
      </c>
      <c r="P27" s="51">
        <v>3.41</v>
      </c>
      <c r="Q27" s="51">
        <v>9.3800000000000008</v>
      </c>
      <c r="R27" s="43"/>
      <c r="S27" s="43"/>
      <c r="T27" s="43"/>
      <c r="U27" s="43"/>
    </row>
    <row r="28" spans="1:21" s="11" customFormat="1" x14ac:dyDescent="0.25">
      <c r="A28" s="50" t="s">
        <v>511</v>
      </c>
      <c r="B28" s="51">
        <v>64.58</v>
      </c>
      <c r="C28" s="51">
        <v>161.37</v>
      </c>
      <c r="D28" s="51">
        <v>225.94</v>
      </c>
      <c r="E28" s="51">
        <v>25.14</v>
      </c>
      <c r="F28" s="51">
        <v>28.51</v>
      </c>
      <c r="G28" s="51">
        <v>107.92</v>
      </c>
      <c r="H28" s="51">
        <v>42.22</v>
      </c>
      <c r="I28" s="51">
        <v>4.12</v>
      </c>
      <c r="J28" s="51">
        <v>0.64</v>
      </c>
      <c r="K28" s="51">
        <v>307.64</v>
      </c>
      <c r="L28" s="51">
        <v>27.28</v>
      </c>
      <c r="M28" s="51">
        <v>39.799999999999997</v>
      </c>
      <c r="N28" s="51">
        <v>67.099999999999994</v>
      </c>
      <c r="O28" s="51">
        <v>0</v>
      </c>
      <c r="P28" s="51">
        <v>3.09</v>
      </c>
      <c r="Q28" s="51">
        <v>9.36</v>
      </c>
      <c r="R28" s="43"/>
      <c r="S28" s="43"/>
      <c r="T28" s="43"/>
      <c r="U28" s="43"/>
    </row>
    <row r="29" spans="1:21" s="11" customFormat="1" x14ac:dyDescent="0.25">
      <c r="A29" s="50" t="s">
        <v>512</v>
      </c>
      <c r="B29" s="51">
        <v>22.81</v>
      </c>
      <c r="C29" s="51">
        <v>158.58000000000001</v>
      </c>
      <c r="D29" s="51">
        <v>181.39</v>
      </c>
      <c r="E29" s="51">
        <v>19.96</v>
      </c>
      <c r="F29" s="51">
        <v>22.86</v>
      </c>
      <c r="G29" s="51">
        <v>116.91</v>
      </c>
      <c r="H29" s="51">
        <v>42.22</v>
      </c>
      <c r="I29" s="51">
        <v>4.1100000000000003</v>
      </c>
      <c r="J29" s="51">
        <v>1.1299999999999999</v>
      </c>
      <c r="K29" s="51">
        <v>221.94</v>
      </c>
      <c r="L29" s="51">
        <v>26.68</v>
      </c>
      <c r="M29" s="51">
        <v>48.93</v>
      </c>
      <c r="N29" s="51">
        <v>67.599999999999994</v>
      </c>
      <c r="O29" s="51">
        <v>0</v>
      </c>
      <c r="P29" s="51">
        <v>1.82</v>
      </c>
      <c r="Q29" s="51">
        <v>9.35</v>
      </c>
      <c r="R29" s="43"/>
      <c r="S29" s="43"/>
      <c r="T29" s="43"/>
      <c r="U29" s="43"/>
    </row>
    <row r="30" spans="1:21" s="11" customFormat="1" x14ac:dyDescent="0.25">
      <c r="A30" s="50" t="s">
        <v>513</v>
      </c>
      <c r="B30" s="51">
        <v>10.28</v>
      </c>
      <c r="C30" s="51">
        <v>87.4</v>
      </c>
      <c r="D30" s="51">
        <v>97.68</v>
      </c>
      <c r="E30" s="51">
        <v>11.11</v>
      </c>
      <c r="F30" s="51">
        <v>34.01</v>
      </c>
      <c r="G30" s="51">
        <v>116.91</v>
      </c>
      <c r="H30" s="51">
        <v>41.58</v>
      </c>
      <c r="I30" s="51">
        <v>4.0199999999999996</v>
      </c>
      <c r="J30" s="51">
        <v>0.88</v>
      </c>
      <c r="K30" s="51">
        <v>239.17</v>
      </c>
      <c r="L30" s="51">
        <v>24.56</v>
      </c>
      <c r="M30" s="51">
        <v>51.68</v>
      </c>
      <c r="N30" s="51">
        <v>67.400000000000006</v>
      </c>
      <c r="O30" s="51">
        <v>0</v>
      </c>
      <c r="P30" s="51">
        <v>1.36</v>
      </c>
      <c r="Q30" s="51">
        <v>9.33</v>
      </c>
      <c r="R30" s="43"/>
      <c r="S30" s="43"/>
      <c r="T30" s="43"/>
      <c r="U30" s="43"/>
    </row>
    <row r="31" spans="1:21" s="11" customFormat="1" x14ac:dyDescent="0.25">
      <c r="A31" s="50" t="s">
        <v>514</v>
      </c>
      <c r="B31" s="51">
        <v>3.75</v>
      </c>
      <c r="C31" s="51">
        <v>68.03</v>
      </c>
      <c r="D31" s="51">
        <v>71.77</v>
      </c>
      <c r="E31" s="51">
        <v>11.58</v>
      </c>
      <c r="F31" s="51">
        <v>35.26</v>
      </c>
      <c r="G31" s="51">
        <v>95.36</v>
      </c>
      <c r="H31" s="51">
        <v>35.69</v>
      </c>
      <c r="I31" s="51">
        <v>4.13</v>
      </c>
      <c r="J31" s="51">
        <v>0.8</v>
      </c>
      <c r="K31" s="51">
        <v>256.16000000000003</v>
      </c>
      <c r="L31" s="51">
        <v>24.01</v>
      </c>
      <c r="M31" s="51">
        <v>52.44</v>
      </c>
      <c r="N31" s="51">
        <v>67.400000000000006</v>
      </c>
      <c r="O31" s="51">
        <v>0</v>
      </c>
      <c r="P31" s="51">
        <v>0.94</v>
      </c>
      <c r="Q31" s="51">
        <v>9.25</v>
      </c>
      <c r="R31" s="43"/>
      <c r="S31" s="43"/>
      <c r="T31" s="43"/>
      <c r="U31" s="43"/>
    </row>
    <row r="32" spans="1:21" s="11" customFormat="1" x14ac:dyDescent="0.25">
      <c r="A32" s="50" t="s">
        <v>515</v>
      </c>
      <c r="B32" s="51">
        <v>3.98</v>
      </c>
      <c r="C32" s="51">
        <v>61.87</v>
      </c>
      <c r="D32" s="51">
        <v>65.849999999999994</v>
      </c>
      <c r="E32" s="51">
        <v>7.48</v>
      </c>
      <c r="F32" s="51">
        <v>21.8</v>
      </c>
      <c r="G32" s="51">
        <v>85.37</v>
      </c>
      <c r="H32" s="51">
        <v>32.11</v>
      </c>
      <c r="I32" s="51">
        <v>4.05</v>
      </c>
      <c r="J32" s="51">
        <v>1.5</v>
      </c>
      <c r="K32" s="51">
        <v>171.49</v>
      </c>
      <c r="L32" s="51">
        <v>23.56</v>
      </c>
      <c r="M32" s="51">
        <v>52.53</v>
      </c>
      <c r="N32" s="51">
        <v>66.900000000000006</v>
      </c>
      <c r="O32" s="51">
        <v>0</v>
      </c>
      <c r="P32" s="51">
        <v>1.1399999999999999</v>
      </c>
      <c r="Q32" s="51">
        <v>9.14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3.75</v>
      </c>
      <c r="C34" s="28">
        <f t="shared" si="0"/>
        <v>61.87</v>
      </c>
      <c r="D34" s="28">
        <f t="shared" si="0"/>
        <v>65.849999999999994</v>
      </c>
      <c r="E34" s="28">
        <f t="shared" si="0"/>
        <v>4.57</v>
      </c>
      <c r="F34" s="28">
        <f t="shared" si="0"/>
        <v>8.7100000000000009</v>
      </c>
      <c r="G34" s="28">
        <f t="shared" si="0"/>
        <v>56.22</v>
      </c>
      <c r="H34" s="28">
        <f t="shared" si="0"/>
        <v>23.37</v>
      </c>
      <c r="I34" s="28">
        <f t="shared" si="0"/>
        <v>4</v>
      </c>
      <c r="J34" s="28">
        <f t="shared" si="0"/>
        <v>0.64</v>
      </c>
      <c r="K34" s="28">
        <f t="shared" si="0"/>
        <v>18.57</v>
      </c>
      <c r="L34" s="28">
        <f t="shared" si="0"/>
        <v>21.23</v>
      </c>
      <c r="M34" s="28">
        <f t="shared" si="0"/>
        <v>23.05</v>
      </c>
      <c r="N34" s="28">
        <f t="shared" si="0"/>
        <v>66.2</v>
      </c>
      <c r="O34" s="28">
        <f t="shared" si="0"/>
        <v>0</v>
      </c>
      <c r="P34" s="28">
        <f t="shared" si="0"/>
        <v>0.79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78.150000000000006</v>
      </c>
      <c r="C35" s="29">
        <f t="shared" si="1"/>
        <v>215.67</v>
      </c>
      <c r="D35" s="29">
        <f t="shared" si="1"/>
        <v>293.82</v>
      </c>
      <c r="E35" s="29">
        <f t="shared" si="1"/>
        <v>45.81</v>
      </c>
      <c r="F35" s="29">
        <f t="shared" si="1"/>
        <v>52.17</v>
      </c>
      <c r="G35" s="29">
        <f t="shared" si="1"/>
        <v>150.56</v>
      </c>
      <c r="H35" s="29">
        <f t="shared" si="1"/>
        <v>42.22</v>
      </c>
      <c r="I35" s="29">
        <f t="shared" si="1"/>
        <v>4.21</v>
      </c>
      <c r="J35" s="29">
        <f t="shared" si="1"/>
        <v>1.5</v>
      </c>
      <c r="K35" s="29">
        <f t="shared" si="1"/>
        <v>353.37</v>
      </c>
      <c r="L35" s="29">
        <f t="shared" si="1"/>
        <v>35.19</v>
      </c>
      <c r="M35" s="29">
        <f t="shared" si="1"/>
        <v>52.53</v>
      </c>
      <c r="N35" s="29">
        <f t="shared" si="1"/>
        <v>619.79999999999995</v>
      </c>
      <c r="O35" s="29">
        <f t="shared" si="1"/>
        <v>0</v>
      </c>
      <c r="P35" s="29">
        <f t="shared" si="1"/>
        <v>3.41</v>
      </c>
      <c r="Q35" s="29">
        <f t="shared" si="1"/>
        <v>10.039999999999999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27.755416666666672</v>
      </c>
      <c r="C36" s="28">
        <f t="shared" si="2"/>
        <v>91.696250000000006</v>
      </c>
      <c r="D36" s="28">
        <f t="shared" si="2"/>
        <v>118.84208333333332</v>
      </c>
      <c r="E36" s="28">
        <f t="shared" si="2"/>
        <v>16.221666666666668</v>
      </c>
      <c r="F36" s="28">
        <f t="shared" si="2"/>
        <v>25.900833333333335</v>
      </c>
      <c r="G36" s="28">
        <f t="shared" si="2"/>
        <v>86.702500000000001</v>
      </c>
      <c r="H36" s="28">
        <f t="shared" si="2"/>
        <v>32.905833333333341</v>
      </c>
      <c r="I36" s="28">
        <f t="shared" si="2"/>
        <v>4.1012499999999994</v>
      </c>
      <c r="J36" s="28">
        <f t="shared" si="2"/>
        <v>1.0587500000000001</v>
      </c>
      <c r="K36" s="28">
        <f t="shared" si="2"/>
        <v>225.20499999999996</v>
      </c>
      <c r="L36" s="28">
        <f t="shared" si="2"/>
        <v>27.696249999999992</v>
      </c>
      <c r="M36" s="28">
        <f t="shared" si="2"/>
        <v>36.210833333333319</v>
      </c>
      <c r="N36" s="28">
        <f t="shared" si="2"/>
        <v>233.40416666666667</v>
      </c>
      <c r="O36" s="28">
        <f t="shared" si="2"/>
        <v>0</v>
      </c>
      <c r="P36" s="28">
        <f t="shared" si="2"/>
        <v>1.4337500000000001</v>
      </c>
      <c r="Q36" s="28">
        <f t="shared" si="2"/>
        <v>9.555416666666666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22.176532049260633</v>
      </c>
      <c r="C37" s="28">
        <f t="shared" ref="C37:Q37" si="3">STDEV(C9:C32)</f>
        <v>41.557446757209</v>
      </c>
      <c r="D37" s="28">
        <f t="shared" si="3"/>
        <v>56.580205171156358</v>
      </c>
      <c r="E37" s="28">
        <f t="shared" si="3"/>
        <v>9.8986655519895592</v>
      </c>
      <c r="F37" s="28">
        <f t="shared" si="3"/>
        <v>12.079549342539263</v>
      </c>
      <c r="G37" s="28">
        <f t="shared" si="3"/>
        <v>23.15559623409688</v>
      </c>
      <c r="H37" s="28">
        <f t="shared" si="3"/>
        <v>5.5777679162489182</v>
      </c>
      <c r="I37" s="28">
        <f t="shared" si="3"/>
        <v>5.8926077492869378E-2</v>
      </c>
      <c r="J37" s="28">
        <f t="shared" si="3"/>
        <v>0.25831077507866229</v>
      </c>
      <c r="K37" s="28">
        <f t="shared" si="3"/>
        <v>129.39344019391945</v>
      </c>
      <c r="L37" s="28">
        <f t="shared" si="3"/>
        <v>5.1525424813134384</v>
      </c>
      <c r="M37" s="28">
        <f t="shared" si="3"/>
        <v>9.0002400531593363</v>
      </c>
      <c r="N37" s="28">
        <f t="shared" si="3"/>
        <v>218.21426542290473</v>
      </c>
      <c r="O37" s="28">
        <f t="shared" si="3"/>
        <v>0</v>
      </c>
      <c r="P37" s="28">
        <f t="shared" si="3"/>
        <v>0.73453216403367916</v>
      </c>
      <c r="Q37" s="28">
        <f t="shared" si="3"/>
        <v>0.2339449799059351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516</v>
      </c>
      <c r="B9" s="51">
        <v>3.36</v>
      </c>
      <c r="C9" s="51">
        <v>59.97</v>
      </c>
      <c r="D9" s="51">
        <v>63.33</v>
      </c>
      <c r="E9" s="51">
        <v>4.8899999999999997</v>
      </c>
      <c r="F9" s="51">
        <v>17.5</v>
      </c>
      <c r="G9" s="51">
        <v>71.13</v>
      </c>
      <c r="H9" s="51">
        <v>29.6</v>
      </c>
      <c r="I9" s="51">
        <v>4.12</v>
      </c>
      <c r="J9" s="51">
        <v>1.47</v>
      </c>
      <c r="K9" s="51">
        <v>179.62</v>
      </c>
      <c r="L9" s="51">
        <v>23.32</v>
      </c>
      <c r="M9" s="51">
        <v>49.92</v>
      </c>
      <c r="N9" s="51">
        <v>67.099999999999994</v>
      </c>
      <c r="O9" s="51">
        <v>0</v>
      </c>
      <c r="P9" s="51">
        <v>1.05</v>
      </c>
      <c r="Q9" s="51">
        <v>8.99</v>
      </c>
      <c r="R9" s="43"/>
      <c r="S9" s="43"/>
      <c r="T9" s="43"/>
      <c r="U9" s="43"/>
    </row>
    <row r="10" spans="1:21" s="11" customFormat="1" x14ac:dyDescent="0.25">
      <c r="A10" s="50" t="s">
        <v>517</v>
      </c>
      <c r="B10" s="51">
        <v>3.5</v>
      </c>
      <c r="C10" s="51">
        <v>54.93</v>
      </c>
      <c r="D10" s="51">
        <v>58.41</v>
      </c>
      <c r="E10" s="51">
        <v>4.53</v>
      </c>
      <c r="F10" s="51">
        <v>16.88</v>
      </c>
      <c r="G10" s="51">
        <v>46.28</v>
      </c>
      <c r="H10" s="51">
        <v>29.48</v>
      </c>
      <c r="I10" s="51">
        <v>4.05</v>
      </c>
      <c r="J10" s="51">
        <v>1.41</v>
      </c>
      <c r="K10" s="51">
        <v>174.74</v>
      </c>
      <c r="L10" s="51">
        <v>22.51</v>
      </c>
      <c r="M10" s="51">
        <v>53.68</v>
      </c>
      <c r="N10" s="51">
        <v>67.3</v>
      </c>
      <c r="O10" s="51">
        <v>0</v>
      </c>
      <c r="P10" s="51">
        <v>0.93</v>
      </c>
      <c r="Q10" s="51">
        <v>8.85</v>
      </c>
      <c r="R10" s="43"/>
      <c r="S10" s="43"/>
      <c r="T10" s="43"/>
      <c r="U10" s="43"/>
    </row>
    <row r="11" spans="1:21" s="11" customFormat="1" x14ac:dyDescent="0.25">
      <c r="A11" s="50" t="s">
        <v>518</v>
      </c>
      <c r="B11" s="51">
        <v>3.7</v>
      </c>
      <c r="C11" s="51">
        <v>48.46</v>
      </c>
      <c r="D11" s="51">
        <v>51.88</v>
      </c>
      <c r="E11" s="51">
        <v>5.28</v>
      </c>
      <c r="F11" s="51">
        <v>23</v>
      </c>
      <c r="G11" s="51">
        <v>41.71</v>
      </c>
      <c r="H11" s="51">
        <v>25.96</v>
      </c>
      <c r="I11" s="51">
        <v>4.07</v>
      </c>
      <c r="J11" s="51">
        <v>1.42</v>
      </c>
      <c r="K11" s="51">
        <v>170.86</v>
      </c>
      <c r="L11" s="51">
        <v>21.88</v>
      </c>
      <c r="M11" s="51">
        <v>58.24</v>
      </c>
      <c r="N11" s="51">
        <v>67.3</v>
      </c>
      <c r="O11" s="51">
        <v>0</v>
      </c>
      <c r="P11" s="51">
        <v>0.81</v>
      </c>
      <c r="Q11" s="51">
        <v>8.82</v>
      </c>
      <c r="R11" s="43"/>
      <c r="S11" s="43"/>
      <c r="T11" s="43"/>
      <c r="U11" s="43"/>
    </row>
    <row r="12" spans="1:21" s="11" customFormat="1" x14ac:dyDescent="0.25">
      <c r="A12" s="50" t="s">
        <v>519</v>
      </c>
      <c r="B12" s="51">
        <v>4.03</v>
      </c>
      <c r="C12" s="51">
        <v>45.11</v>
      </c>
      <c r="D12" s="51">
        <v>49.14</v>
      </c>
      <c r="E12" s="51">
        <v>5.97</v>
      </c>
      <c r="F12" s="51">
        <v>23.98</v>
      </c>
      <c r="G12" s="51">
        <v>47.81</v>
      </c>
      <c r="H12" s="51">
        <v>25.87</v>
      </c>
      <c r="I12" s="51">
        <v>3.98</v>
      </c>
      <c r="J12" s="51">
        <v>1.1599999999999999</v>
      </c>
      <c r="K12" s="51">
        <v>224.15</v>
      </c>
      <c r="L12" s="51">
        <v>21.44</v>
      </c>
      <c r="M12" s="51">
        <v>61.09</v>
      </c>
      <c r="N12" s="51">
        <v>67.3</v>
      </c>
      <c r="O12" s="51">
        <v>0</v>
      </c>
      <c r="P12" s="51">
        <v>0.71</v>
      </c>
      <c r="Q12" s="51">
        <v>8.82</v>
      </c>
      <c r="R12" s="43"/>
      <c r="S12" s="43"/>
      <c r="T12" s="43"/>
      <c r="U12" s="43"/>
    </row>
    <row r="13" spans="1:21" s="11" customFormat="1" x14ac:dyDescent="0.25">
      <c r="A13" s="50" t="s">
        <v>520</v>
      </c>
      <c r="B13" s="51">
        <v>17.84</v>
      </c>
      <c r="C13" s="51">
        <v>67.56</v>
      </c>
      <c r="D13" s="51">
        <v>83.81</v>
      </c>
      <c r="E13" s="51">
        <v>4.8600000000000003</v>
      </c>
      <c r="F13" s="51">
        <v>14.07</v>
      </c>
      <c r="G13" s="51">
        <v>50.55</v>
      </c>
      <c r="H13" s="51">
        <v>25.87</v>
      </c>
      <c r="I13" s="51">
        <v>4.05</v>
      </c>
      <c r="J13" s="51">
        <v>0.79</v>
      </c>
      <c r="K13" s="51">
        <v>324.43</v>
      </c>
      <c r="L13" s="51">
        <v>21.11</v>
      </c>
      <c r="M13" s="51">
        <v>69.319999999999993</v>
      </c>
      <c r="N13" s="51">
        <v>67.599999999999994</v>
      </c>
      <c r="O13" s="51">
        <v>0</v>
      </c>
      <c r="P13" s="51">
        <v>0.88</v>
      </c>
      <c r="Q13" s="51">
        <v>8.8000000000000007</v>
      </c>
      <c r="R13" s="43"/>
      <c r="S13" s="43"/>
      <c r="T13" s="43"/>
      <c r="U13" s="43"/>
    </row>
    <row r="14" spans="1:21" s="11" customFormat="1" x14ac:dyDescent="0.25">
      <c r="A14" s="50" t="s">
        <v>521</v>
      </c>
      <c r="B14" s="51">
        <v>9.23</v>
      </c>
      <c r="C14" s="51">
        <v>68.900000000000006</v>
      </c>
      <c r="D14" s="51">
        <v>77.22</v>
      </c>
      <c r="E14" s="51">
        <v>4.21</v>
      </c>
      <c r="F14" s="51">
        <v>14.15</v>
      </c>
      <c r="G14" s="51">
        <v>53.45</v>
      </c>
      <c r="H14" s="51">
        <v>23.06</v>
      </c>
      <c r="I14" s="51">
        <v>4.08</v>
      </c>
      <c r="J14" s="51">
        <v>0.85</v>
      </c>
      <c r="K14" s="51">
        <v>237.25</v>
      </c>
      <c r="L14" s="51">
        <v>21.28</v>
      </c>
      <c r="M14" s="51">
        <v>62.44</v>
      </c>
      <c r="N14" s="51">
        <v>68</v>
      </c>
      <c r="O14" s="51">
        <v>0</v>
      </c>
      <c r="P14" s="51">
        <v>0.77</v>
      </c>
      <c r="Q14" s="51">
        <v>8.93</v>
      </c>
      <c r="R14" s="43"/>
      <c r="S14" s="43"/>
      <c r="T14" s="43"/>
      <c r="U14" s="43"/>
    </row>
    <row r="15" spans="1:21" s="11" customFormat="1" x14ac:dyDescent="0.25">
      <c r="A15" s="50" t="s">
        <v>522</v>
      </c>
      <c r="B15" s="51">
        <v>29.16</v>
      </c>
      <c r="C15" s="51">
        <v>70.66</v>
      </c>
      <c r="D15" s="51">
        <v>99.82</v>
      </c>
      <c r="E15" s="51">
        <v>5.51</v>
      </c>
      <c r="F15" s="51">
        <v>14.89</v>
      </c>
      <c r="G15" s="51">
        <v>58.45</v>
      </c>
      <c r="H15" s="51">
        <v>23.06</v>
      </c>
      <c r="I15" s="51">
        <v>4.07</v>
      </c>
      <c r="J15" s="51">
        <v>0.69</v>
      </c>
      <c r="K15" s="51">
        <v>327.95</v>
      </c>
      <c r="L15" s="51">
        <v>21.56</v>
      </c>
      <c r="M15" s="51">
        <v>66.739999999999995</v>
      </c>
      <c r="N15" s="51">
        <v>133.1</v>
      </c>
      <c r="O15" s="51">
        <v>0</v>
      </c>
      <c r="P15" s="51">
        <v>1</v>
      </c>
      <c r="Q15" s="51">
        <v>8.9600000000000009</v>
      </c>
      <c r="R15" s="43"/>
      <c r="S15" s="43"/>
      <c r="T15" s="43"/>
      <c r="U15" s="43"/>
    </row>
    <row r="16" spans="1:21" s="11" customFormat="1" x14ac:dyDescent="0.25">
      <c r="A16" s="50" t="s">
        <v>523</v>
      </c>
      <c r="B16" s="51">
        <v>28.04</v>
      </c>
      <c r="C16" s="51">
        <v>76.36</v>
      </c>
      <c r="D16" s="51">
        <v>104.4</v>
      </c>
      <c r="E16" s="51">
        <v>7.5</v>
      </c>
      <c r="F16" s="51">
        <v>14.73</v>
      </c>
      <c r="G16" s="51">
        <v>59.44</v>
      </c>
      <c r="H16" s="51">
        <v>25.79</v>
      </c>
      <c r="I16" s="51">
        <v>3.98</v>
      </c>
      <c r="J16" s="51">
        <v>1.04</v>
      </c>
      <c r="K16" s="51">
        <v>333.76</v>
      </c>
      <c r="L16" s="51">
        <v>27.14</v>
      </c>
      <c r="M16" s="51">
        <v>60.65</v>
      </c>
      <c r="N16" s="51">
        <v>279.39999999999998</v>
      </c>
      <c r="O16" s="51">
        <v>0</v>
      </c>
      <c r="P16" s="51">
        <v>1.05</v>
      </c>
      <c r="Q16" s="51">
        <v>9.15</v>
      </c>
      <c r="R16" s="43"/>
      <c r="S16" s="43"/>
      <c r="T16" s="43"/>
      <c r="U16" s="43"/>
    </row>
    <row r="17" spans="1:21" s="11" customFormat="1" x14ac:dyDescent="0.25">
      <c r="A17" s="50" t="s">
        <v>524</v>
      </c>
      <c r="B17" s="51">
        <v>21.83</v>
      </c>
      <c r="C17" s="51">
        <v>74.08</v>
      </c>
      <c r="D17" s="51">
        <v>95.91</v>
      </c>
      <c r="E17" s="51">
        <v>11.49</v>
      </c>
      <c r="F17" s="51">
        <v>16.11</v>
      </c>
      <c r="G17" s="51">
        <v>67.61</v>
      </c>
      <c r="H17" s="51">
        <v>28.88</v>
      </c>
      <c r="I17" s="51">
        <v>4.09</v>
      </c>
      <c r="J17" s="51">
        <v>0.88</v>
      </c>
      <c r="K17" s="51">
        <v>322.11</v>
      </c>
      <c r="L17" s="51">
        <v>28.98</v>
      </c>
      <c r="M17" s="51">
        <v>42.55</v>
      </c>
      <c r="N17" s="51">
        <v>453.2</v>
      </c>
      <c r="O17" s="51">
        <v>0</v>
      </c>
      <c r="P17" s="51">
        <v>1.04</v>
      </c>
      <c r="Q17" s="51">
        <v>9.19</v>
      </c>
      <c r="R17" s="43"/>
      <c r="S17" s="43"/>
      <c r="T17" s="43"/>
      <c r="U17" s="43"/>
    </row>
    <row r="18" spans="1:21" s="11" customFormat="1" x14ac:dyDescent="0.25">
      <c r="A18" s="50" t="s">
        <v>525</v>
      </c>
      <c r="B18" s="51">
        <v>12</v>
      </c>
      <c r="C18" s="51">
        <v>72.540000000000006</v>
      </c>
      <c r="D18" s="51">
        <v>83.22</v>
      </c>
      <c r="E18" s="51">
        <v>4.25</v>
      </c>
      <c r="F18" s="51">
        <v>10.16</v>
      </c>
      <c r="G18" s="51">
        <v>74.73</v>
      </c>
      <c r="H18" s="51">
        <v>28.98</v>
      </c>
      <c r="I18" s="51">
        <v>4.03</v>
      </c>
      <c r="J18" s="51">
        <v>1.55</v>
      </c>
      <c r="K18" s="51">
        <v>305.77</v>
      </c>
      <c r="L18" s="51">
        <v>32.07</v>
      </c>
      <c r="M18" s="51">
        <v>45.11</v>
      </c>
      <c r="N18" s="51">
        <v>585.9</v>
      </c>
      <c r="O18" s="51">
        <v>0</v>
      </c>
      <c r="P18" s="51">
        <v>0.96</v>
      </c>
      <c r="Q18" s="51">
        <v>9.11</v>
      </c>
      <c r="R18" s="43"/>
      <c r="S18" s="43"/>
      <c r="T18" s="43"/>
      <c r="U18" s="43"/>
    </row>
    <row r="19" spans="1:21" s="11" customFormat="1" x14ac:dyDescent="0.25">
      <c r="A19" s="50" t="s">
        <v>526</v>
      </c>
      <c r="B19" s="51">
        <v>8.3699999999999992</v>
      </c>
      <c r="C19" s="51">
        <v>73.87</v>
      </c>
      <c r="D19" s="51">
        <v>81.650000000000006</v>
      </c>
      <c r="E19" s="51">
        <v>4.9000000000000004</v>
      </c>
      <c r="F19" s="51">
        <v>12.13</v>
      </c>
      <c r="G19" s="51">
        <v>74.73</v>
      </c>
      <c r="H19" s="51">
        <v>28.98</v>
      </c>
      <c r="I19" s="51">
        <v>3.99</v>
      </c>
      <c r="J19" s="51">
        <v>1.38</v>
      </c>
      <c r="K19" s="51">
        <v>305.81</v>
      </c>
      <c r="L19" s="51">
        <v>33.17</v>
      </c>
      <c r="M19" s="51">
        <v>33.93</v>
      </c>
      <c r="N19" s="51">
        <v>649</v>
      </c>
      <c r="O19" s="51">
        <v>0</v>
      </c>
      <c r="P19" s="51">
        <v>0.95</v>
      </c>
      <c r="Q19" s="51">
        <v>8.98</v>
      </c>
      <c r="R19" s="43"/>
      <c r="S19" s="43"/>
      <c r="T19" s="43"/>
      <c r="U19" s="43"/>
    </row>
    <row r="20" spans="1:21" s="11" customFormat="1" x14ac:dyDescent="0.25">
      <c r="A20" s="50" t="s">
        <v>527</v>
      </c>
      <c r="B20" s="51">
        <v>5.89</v>
      </c>
      <c r="C20" s="51">
        <v>69.599999999999994</v>
      </c>
      <c r="D20" s="51">
        <v>73.97</v>
      </c>
      <c r="E20" s="51">
        <v>3.48</v>
      </c>
      <c r="F20" s="51">
        <v>13.41</v>
      </c>
      <c r="G20" s="51">
        <v>70.31</v>
      </c>
      <c r="H20" s="51">
        <v>27.43</v>
      </c>
      <c r="I20" s="51">
        <v>4.13</v>
      </c>
      <c r="J20" s="51">
        <v>0.96</v>
      </c>
      <c r="K20" s="51">
        <v>283.16000000000003</v>
      </c>
      <c r="L20" s="51">
        <v>32.07</v>
      </c>
      <c r="M20" s="51">
        <v>32.369999999999997</v>
      </c>
      <c r="N20" s="51">
        <v>685.6</v>
      </c>
      <c r="O20" s="51">
        <v>0</v>
      </c>
      <c r="P20" s="51">
        <v>0.91</v>
      </c>
      <c r="Q20" s="51">
        <v>8.93</v>
      </c>
      <c r="R20" s="43"/>
      <c r="S20" s="43"/>
      <c r="T20" s="43"/>
      <c r="U20" s="43"/>
    </row>
    <row r="21" spans="1:21" s="11" customFormat="1" x14ac:dyDescent="0.25">
      <c r="A21" s="50" t="s">
        <v>528</v>
      </c>
      <c r="B21" s="51">
        <v>5.0599999999999996</v>
      </c>
      <c r="C21" s="51">
        <v>60.06</v>
      </c>
      <c r="D21" s="51">
        <v>64.12</v>
      </c>
      <c r="E21" s="51">
        <v>3.09</v>
      </c>
      <c r="F21" s="51">
        <v>13.15</v>
      </c>
      <c r="G21" s="51">
        <v>58.86</v>
      </c>
      <c r="H21" s="51">
        <v>24.28</v>
      </c>
      <c r="I21" s="51">
        <v>4.1500000000000004</v>
      </c>
      <c r="J21" s="51">
        <v>1.1299999999999999</v>
      </c>
      <c r="K21" s="51">
        <v>266.29000000000002</v>
      </c>
      <c r="L21" s="51">
        <v>32.86</v>
      </c>
      <c r="M21" s="51">
        <v>27.3</v>
      </c>
      <c r="N21" s="51">
        <v>717</v>
      </c>
      <c r="O21" s="51">
        <v>0</v>
      </c>
      <c r="P21" s="51">
        <v>0.68</v>
      </c>
      <c r="Q21" s="51">
        <v>8.86</v>
      </c>
      <c r="R21" s="43"/>
      <c r="S21" s="43"/>
      <c r="T21" s="43"/>
      <c r="U21" s="43"/>
    </row>
    <row r="22" spans="1:21" s="11" customFormat="1" x14ac:dyDescent="0.25">
      <c r="A22" s="50" t="s">
        <v>529</v>
      </c>
      <c r="B22" s="51">
        <v>6.11</v>
      </c>
      <c r="C22" s="51">
        <v>60.07</v>
      </c>
      <c r="D22" s="51">
        <v>64.739999999999995</v>
      </c>
      <c r="E22" s="51">
        <v>2.92</v>
      </c>
      <c r="F22" s="51">
        <v>14.34</v>
      </c>
      <c r="G22" s="51">
        <v>45.32</v>
      </c>
      <c r="H22" s="51">
        <v>24.28</v>
      </c>
      <c r="I22" s="51">
        <v>4.05</v>
      </c>
      <c r="J22" s="51">
        <v>0.9</v>
      </c>
      <c r="K22" s="51">
        <v>256.04000000000002</v>
      </c>
      <c r="L22" s="51">
        <v>32.97</v>
      </c>
      <c r="M22" s="51">
        <v>22.57</v>
      </c>
      <c r="N22" s="51">
        <v>716.6</v>
      </c>
      <c r="O22" s="51">
        <v>0</v>
      </c>
      <c r="P22" s="51">
        <v>0.54</v>
      </c>
      <c r="Q22" s="51">
        <v>8.7799999999999994</v>
      </c>
      <c r="R22" s="43"/>
      <c r="S22" s="43"/>
      <c r="T22" s="43"/>
      <c r="U22" s="43"/>
    </row>
    <row r="23" spans="1:21" s="11" customFormat="1" x14ac:dyDescent="0.25">
      <c r="A23" s="50" t="s">
        <v>530</v>
      </c>
      <c r="B23" s="51">
        <v>4.5</v>
      </c>
      <c r="C23" s="51">
        <v>54.2</v>
      </c>
      <c r="D23" s="51">
        <v>58.23</v>
      </c>
      <c r="E23" s="51">
        <v>3.41</v>
      </c>
      <c r="F23" s="51">
        <v>20.16</v>
      </c>
      <c r="G23" s="51">
        <v>41.76</v>
      </c>
      <c r="H23" s="51">
        <v>16.559999999999999</v>
      </c>
      <c r="I23" s="51">
        <v>4.07</v>
      </c>
      <c r="J23" s="51">
        <v>0.97</v>
      </c>
      <c r="K23" s="51">
        <v>301.38</v>
      </c>
      <c r="L23" s="51">
        <v>33.81</v>
      </c>
      <c r="M23" s="51">
        <v>24.16</v>
      </c>
      <c r="N23" s="51">
        <v>540.20000000000005</v>
      </c>
      <c r="O23" s="51">
        <v>0</v>
      </c>
      <c r="P23" s="51">
        <v>0.47</v>
      </c>
      <c r="Q23" s="51">
        <v>8.7100000000000009</v>
      </c>
      <c r="R23" s="43"/>
      <c r="S23" s="43"/>
      <c r="T23" s="43"/>
      <c r="U23" s="43"/>
    </row>
    <row r="24" spans="1:21" s="11" customFormat="1" x14ac:dyDescent="0.25">
      <c r="A24" s="50" t="s">
        <v>531</v>
      </c>
      <c r="B24" s="51">
        <v>7.3</v>
      </c>
      <c r="C24" s="51">
        <v>55.81</v>
      </c>
      <c r="D24" s="51">
        <v>63.11</v>
      </c>
      <c r="E24" s="51">
        <v>5.96</v>
      </c>
      <c r="F24" s="51">
        <v>23.32</v>
      </c>
      <c r="G24" s="51">
        <v>38.83</v>
      </c>
      <c r="H24" s="51">
        <v>13.32</v>
      </c>
      <c r="I24" s="51">
        <v>4.09</v>
      </c>
      <c r="J24" s="51">
        <v>1.1100000000000001</v>
      </c>
      <c r="K24" s="51">
        <v>301.04000000000002</v>
      </c>
      <c r="L24" s="51">
        <v>33.08</v>
      </c>
      <c r="M24" s="51">
        <v>27.33</v>
      </c>
      <c r="N24" s="51">
        <v>270.7</v>
      </c>
      <c r="O24" s="51">
        <v>0</v>
      </c>
      <c r="P24" s="51">
        <v>0.49</v>
      </c>
      <c r="Q24" s="51">
        <v>8.75</v>
      </c>
      <c r="R24" s="43"/>
      <c r="S24" s="43"/>
      <c r="T24" s="43"/>
      <c r="U24" s="43"/>
    </row>
    <row r="25" spans="1:21" s="11" customFormat="1" x14ac:dyDescent="0.25">
      <c r="A25" s="50" t="s">
        <v>532</v>
      </c>
      <c r="B25" s="51">
        <v>9.3699999999999992</v>
      </c>
      <c r="C25" s="51">
        <v>64.06</v>
      </c>
      <c r="D25" s="51">
        <v>73.13</v>
      </c>
      <c r="E25" s="51">
        <v>11.91</v>
      </c>
      <c r="F25" s="51">
        <v>30.01</v>
      </c>
      <c r="G25" s="51">
        <v>33.93</v>
      </c>
      <c r="H25" s="51">
        <v>12.2</v>
      </c>
      <c r="I25" s="51">
        <v>4.16</v>
      </c>
      <c r="J25" s="51">
        <v>1.44</v>
      </c>
      <c r="K25" s="51">
        <v>313.35000000000002</v>
      </c>
      <c r="L25" s="51">
        <v>31.6</v>
      </c>
      <c r="M25" s="51">
        <v>28.33</v>
      </c>
      <c r="N25" s="51">
        <v>241.7</v>
      </c>
      <c r="O25" s="51">
        <v>0</v>
      </c>
      <c r="P25" s="51">
        <v>0.5</v>
      </c>
      <c r="Q25" s="51">
        <v>8.81</v>
      </c>
      <c r="R25" s="43"/>
      <c r="S25" s="43"/>
      <c r="T25" s="43"/>
      <c r="U25" s="43"/>
    </row>
    <row r="26" spans="1:21" s="11" customFormat="1" x14ac:dyDescent="0.25">
      <c r="A26" s="50" t="s">
        <v>533</v>
      </c>
      <c r="B26" s="51">
        <v>14.42</v>
      </c>
      <c r="C26" s="51">
        <v>81.23</v>
      </c>
      <c r="D26" s="51">
        <v>95.65</v>
      </c>
      <c r="E26" s="51">
        <v>25.91</v>
      </c>
      <c r="F26" s="51">
        <v>24.79</v>
      </c>
      <c r="G26" s="51">
        <v>34.11</v>
      </c>
      <c r="H26" s="51">
        <v>12.2</v>
      </c>
      <c r="I26" s="51">
        <v>4.08</v>
      </c>
      <c r="J26" s="51">
        <v>1.26</v>
      </c>
      <c r="K26" s="51">
        <v>303.32</v>
      </c>
      <c r="L26" s="51">
        <v>30.13</v>
      </c>
      <c r="M26" s="51">
        <v>30.54</v>
      </c>
      <c r="N26" s="51">
        <v>111.4</v>
      </c>
      <c r="O26" s="51">
        <v>0</v>
      </c>
      <c r="P26" s="51">
        <v>0.78</v>
      </c>
      <c r="Q26" s="51">
        <v>8.82</v>
      </c>
      <c r="R26" s="43"/>
      <c r="S26" s="43"/>
      <c r="T26" s="43"/>
      <c r="U26" s="43"/>
    </row>
    <row r="27" spans="1:21" s="11" customFormat="1" x14ac:dyDescent="0.25">
      <c r="A27" s="50" t="s">
        <v>534</v>
      </c>
      <c r="B27" s="51">
        <v>43.01</v>
      </c>
      <c r="C27" s="51">
        <v>136.80000000000001</v>
      </c>
      <c r="D27" s="51">
        <v>179.81</v>
      </c>
      <c r="E27" s="51">
        <v>31.56</v>
      </c>
      <c r="F27" s="51">
        <v>23.38</v>
      </c>
      <c r="G27" s="51">
        <v>39.18</v>
      </c>
      <c r="H27" s="51">
        <v>12.66</v>
      </c>
      <c r="I27" s="51">
        <v>4.2</v>
      </c>
      <c r="J27" s="51">
        <v>0.85</v>
      </c>
      <c r="K27" s="51">
        <v>297.27999999999997</v>
      </c>
      <c r="L27" s="51">
        <v>28.2</v>
      </c>
      <c r="M27" s="51">
        <v>34.72</v>
      </c>
      <c r="N27" s="51">
        <v>68</v>
      </c>
      <c r="O27" s="51">
        <v>0</v>
      </c>
      <c r="P27" s="51">
        <v>2.5099999999999998</v>
      </c>
      <c r="Q27" s="51">
        <v>9.07</v>
      </c>
      <c r="R27" s="43"/>
      <c r="S27" s="43"/>
      <c r="T27" s="43"/>
      <c r="U27" s="43"/>
    </row>
    <row r="28" spans="1:21" s="11" customFormat="1" x14ac:dyDescent="0.25">
      <c r="A28" s="50" t="s">
        <v>535</v>
      </c>
      <c r="B28" s="51">
        <v>96.69</v>
      </c>
      <c r="C28" s="51">
        <v>150.07</v>
      </c>
      <c r="D28" s="51">
        <v>246.76</v>
      </c>
      <c r="E28" s="51">
        <v>23.8</v>
      </c>
      <c r="F28" s="51">
        <v>21.26</v>
      </c>
      <c r="G28" s="51">
        <v>60.17</v>
      </c>
      <c r="H28" s="51">
        <v>18.420000000000002</v>
      </c>
      <c r="I28" s="51">
        <v>4.1500000000000004</v>
      </c>
      <c r="J28" s="51">
        <v>0.56000000000000005</v>
      </c>
      <c r="K28" s="51">
        <v>337.39</v>
      </c>
      <c r="L28" s="51">
        <v>26.47</v>
      </c>
      <c r="M28" s="51">
        <v>36.049999999999997</v>
      </c>
      <c r="N28" s="51">
        <v>65.8</v>
      </c>
      <c r="O28" s="51">
        <v>0</v>
      </c>
      <c r="P28" s="51">
        <v>3.12</v>
      </c>
      <c r="Q28" s="51">
        <v>9.35</v>
      </c>
      <c r="R28" s="43"/>
      <c r="S28" s="43"/>
      <c r="T28" s="43"/>
      <c r="U28" s="43"/>
    </row>
    <row r="29" spans="1:21" s="11" customFormat="1" x14ac:dyDescent="0.25">
      <c r="A29" s="50" t="s">
        <v>536</v>
      </c>
      <c r="B29" s="51">
        <v>29.92</v>
      </c>
      <c r="C29" s="51">
        <v>127.1</v>
      </c>
      <c r="D29" s="51">
        <v>147.93</v>
      </c>
      <c r="E29" s="51">
        <v>13.25</v>
      </c>
      <c r="F29" s="51">
        <v>20.99</v>
      </c>
      <c r="G29" s="51">
        <v>66.290000000000006</v>
      </c>
      <c r="H29" s="51">
        <v>28.05</v>
      </c>
      <c r="I29" s="51">
        <v>4.1900000000000004</v>
      </c>
      <c r="J29" s="51">
        <v>0.52</v>
      </c>
      <c r="K29" s="51">
        <v>296.47000000000003</v>
      </c>
      <c r="L29" s="51">
        <v>26.48</v>
      </c>
      <c r="M29" s="51">
        <v>33.43</v>
      </c>
      <c r="N29" s="51">
        <v>65.400000000000006</v>
      </c>
      <c r="O29" s="51">
        <v>0</v>
      </c>
      <c r="P29" s="51">
        <v>2.11</v>
      </c>
      <c r="Q29" s="51">
        <v>9.41</v>
      </c>
      <c r="R29" s="43"/>
      <c r="S29" s="43"/>
      <c r="T29" s="43"/>
      <c r="U29" s="43"/>
    </row>
    <row r="30" spans="1:21" s="11" customFormat="1" x14ac:dyDescent="0.25">
      <c r="A30" s="50" t="s">
        <v>537</v>
      </c>
      <c r="B30" s="51">
        <v>50.68</v>
      </c>
      <c r="C30" s="51">
        <v>124.98</v>
      </c>
      <c r="D30" s="51">
        <v>175.66</v>
      </c>
      <c r="E30" s="51">
        <v>10.84</v>
      </c>
      <c r="F30" s="51">
        <v>15.67</v>
      </c>
      <c r="G30" s="51">
        <v>70.7</v>
      </c>
      <c r="H30" s="51">
        <v>28.05</v>
      </c>
      <c r="I30" s="51">
        <v>4.05</v>
      </c>
      <c r="J30" s="51">
        <v>0.65</v>
      </c>
      <c r="K30" s="51">
        <v>321.77</v>
      </c>
      <c r="L30" s="51">
        <v>25.29</v>
      </c>
      <c r="M30" s="51">
        <v>38.409999999999997</v>
      </c>
      <c r="N30" s="51">
        <v>65.7</v>
      </c>
      <c r="O30" s="51">
        <v>0</v>
      </c>
      <c r="P30" s="51">
        <v>2.0699999999999998</v>
      </c>
      <c r="Q30" s="51">
        <v>9.41</v>
      </c>
      <c r="R30" s="43"/>
      <c r="S30" s="43"/>
      <c r="T30" s="43"/>
      <c r="U30" s="43"/>
    </row>
    <row r="31" spans="1:21" s="11" customFormat="1" x14ac:dyDescent="0.25">
      <c r="A31" s="50" t="s">
        <v>538</v>
      </c>
      <c r="B31" s="51">
        <v>76.19</v>
      </c>
      <c r="C31" s="51">
        <v>117.23</v>
      </c>
      <c r="D31" s="51">
        <v>189.1</v>
      </c>
      <c r="E31" s="51">
        <v>8.48</v>
      </c>
      <c r="F31" s="51">
        <v>9.52</v>
      </c>
      <c r="G31" s="51">
        <v>76.13</v>
      </c>
      <c r="H31" s="51">
        <v>26.29</v>
      </c>
      <c r="I31" s="51">
        <v>3.99</v>
      </c>
      <c r="J31" s="51">
        <v>0.63</v>
      </c>
      <c r="K31" s="51">
        <v>330.87</v>
      </c>
      <c r="L31" s="51">
        <v>24.1</v>
      </c>
      <c r="M31" s="51">
        <v>42.63</v>
      </c>
      <c r="N31" s="51">
        <v>65.8</v>
      </c>
      <c r="O31" s="51">
        <v>0</v>
      </c>
      <c r="P31" s="51">
        <v>1.56</v>
      </c>
      <c r="Q31" s="51">
        <v>9.3800000000000008</v>
      </c>
      <c r="R31" s="43"/>
      <c r="S31" s="43"/>
      <c r="T31" s="43"/>
      <c r="U31" s="43"/>
    </row>
    <row r="32" spans="1:21" s="11" customFormat="1" x14ac:dyDescent="0.25">
      <c r="A32" s="50" t="s">
        <v>539</v>
      </c>
      <c r="B32" s="51">
        <v>138.97</v>
      </c>
      <c r="C32" s="51">
        <v>128.27000000000001</v>
      </c>
      <c r="D32" s="51">
        <v>267.23</v>
      </c>
      <c r="E32" s="51">
        <v>7.36</v>
      </c>
      <c r="F32" s="51">
        <v>8.67</v>
      </c>
      <c r="G32" s="51">
        <v>76.13</v>
      </c>
      <c r="H32" s="51">
        <v>24.66</v>
      </c>
      <c r="I32" s="51">
        <v>4.12</v>
      </c>
      <c r="J32" s="51">
        <v>0.66</v>
      </c>
      <c r="K32" s="51">
        <v>329.73</v>
      </c>
      <c r="L32" s="51">
        <v>23.2</v>
      </c>
      <c r="M32" s="51">
        <v>47.54</v>
      </c>
      <c r="N32" s="51">
        <v>65.900000000000006</v>
      </c>
      <c r="O32" s="51">
        <v>0</v>
      </c>
      <c r="P32" s="51">
        <v>1.29</v>
      </c>
      <c r="Q32" s="51">
        <v>9.4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3.36</v>
      </c>
      <c r="C34" s="28">
        <f t="shared" si="0"/>
        <v>45.11</v>
      </c>
      <c r="D34" s="28">
        <f t="shared" si="0"/>
        <v>49.14</v>
      </c>
      <c r="E34" s="28">
        <f t="shared" si="0"/>
        <v>2.92</v>
      </c>
      <c r="F34" s="28">
        <f t="shared" si="0"/>
        <v>8.67</v>
      </c>
      <c r="G34" s="28">
        <f t="shared" si="0"/>
        <v>33.93</v>
      </c>
      <c r="H34" s="28">
        <f t="shared" si="0"/>
        <v>12.2</v>
      </c>
      <c r="I34" s="28">
        <f t="shared" si="0"/>
        <v>3.98</v>
      </c>
      <c r="J34" s="28">
        <f t="shared" si="0"/>
        <v>0.52</v>
      </c>
      <c r="K34" s="28">
        <f t="shared" si="0"/>
        <v>170.86</v>
      </c>
      <c r="L34" s="28">
        <f t="shared" si="0"/>
        <v>21.11</v>
      </c>
      <c r="M34" s="28">
        <f t="shared" si="0"/>
        <v>22.57</v>
      </c>
      <c r="N34" s="28">
        <f t="shared" si="0"/>
        <v>65.400000000000006</v>
      </c>
      <c r="O34" s="28">
        <f t="shared" si="0"/>
        <v>0</v>
      </c>
      <c r="P34" s="28">
        <f t="shared" si="0"/>
        <v>0.47</v>
      </c>
      <c r="Q34" s="28">
        <f t="shared" si="0"/>
        <v>8.7100000000000009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138.97</v>
      </c>
      <c r="C35" s="29">
        <f t="shared" si="1"/>
        <v>150.07</v>
      </c>
      <c r="D35" s="29">
        <f t="shared" si="1"/>
        <v>267.23</v>
      </c>
      <c r="E35" s="29">
        <f t="shared" si="1"/>
        <v>31.56</v>
      </c>
      <c r="F35" s="29">
        <f t="shared" si="1"/>
        <v>30.01</v>
      </c>
      <c r="G35" s="29">
        <f t="shared" si="1"/>
        <v>76.13</v>
      </c>
      <c r="H35" s="29">
        <f t="shared" si="1"/>
        <v>29.6</v>
      </c>
      <c r="I35" s="29">
        <f t="shared" si="1"/>
        <v>4.2</v>
      </c>
      <c r="J35" s="29">
        <f t="shared" si="1"/>
        <v>1.55</v>
      </c>
      <c r="K35" s="29">
        <f t="shared" si="1"/>
        <v>337.39</v>
      </c>
      <c r="L35" s="29">
        <f t="shared" si="1"/>
        <v>33.81</v>
      </c>
      <c r="M35" s="29">
        <f t="shared" si="1"/>
        <v>69.319999999999993</v>
      </c>
      <c r="N35" s="29">
        <f t="shared" si="1"/>
        <v>717</v>
      </c>
      <c r="O35" s="29">
        <f t="shared" si="1"/>
        <v>0</v>
      </c>
      <c r="P35" s="29">
        <f t="shared" si="1"/>
        <v>3.12</v>
      </c>
      <c r="Q35" s="29">
        <f t="shared" si="1"/>
        <v>9.41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26.215416666666666</v>
      </c>
      <c r="C36" s="28">
        <f t="shared" si="2"/>
        <v>80.913333333333341</v>
      </c>
      <c r="D36" s="28">
        <f t="shared" si="2"/>
        <v>106.17624999999998</v>
      </c>
      <c r="E36" s="28">
        <f t="shared" si="2"/>
        <v>8.9733333333333345</v>
      </c>
      <c r="F36" s="28">
        <f t="shared" si="2"/>
        <v>17.344583333333336</v>
      </c>
      <c r="G36" s="28">
        <f t="shared" si="2"/>
        <v>56.567083333333336</v>
      </c>
      <c r="H36" s="28">
        <f t="shared" si="2"/>
        <v>23.497083333333332</v>
      </c>
      <c r="I36" s="28">
        <f t="shared" si="2"/>
        <v>4.0808333333333335</v>
      </c>
      <c r="J36" s="28">
        <f t="shared" si="2"/>
        <v>1.0116666666666667</v>
      </c>
      <c r="K36" s="28">
        <f t="shared" si="2"/>
        <v>285.18916666666672</v>
      </c>
      <c r="L36" s="28">
        <f t="shared" si="2"/>
        <v>27.280000000000005</v>
      </c>
      <c r="M36" s="28">
        <f t="shared" si="2"/>
        <v>42.877083333333331</v>
      </c>
      <c r="N36" s="28">
        <f t="shared" si="2"/>
        <v>257.70833333333326</v>
      </c>
      <c r="O36" s="28">
        <f t="shared" si="2"/>
        <v>0</v>
      </c>
      <c r="P36" s="28">
        <f t="shared" si="2"/>
        <v>1.1324999999999998</v>
      </c>
      <c r="Q36" s="28">
        <f t="shared" si="2"/>
        <v>9.0116666666666649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33.967434145480226</v>
      </c>
      <c r="C37" s="28">
        <f t="shared" ref="C37:Q37" si="3">STDEV(C9:C32)</f>
        <v>31.090034145822429</v>
      </c>
      <c r="D37" s="28">
        <f t="shared" si="3"/>
        <v>61.63916942225309</v>
      </c>
      <c r="E37" s="28">
        <f t="shared" si="3"/>
        <v>7.6602705518497345</v>
      </c>
      <c r="F37" s="28">
        <f t="shared" si="3"/>
        <v>5.5020976072503531</v>
      </c>
      <c r="G37" s="28">
        <f t="shared" si="3"/>
        <v>14.29652936879272</v>
      </c>
      <c r="H37" s="28">
        <f t="shared" si="3"/>
        <v>5.9071677014981834</v>
      </c>
      <c r="I37" s="28">
        <f t="shared" si="3"/>
        <v>6.2964218041862446E-2</v>
      </c>
      <c r="J37" s="28">
        <f t="shared" si="3"/>
        <v>0.31879755968007456</v>
      </c>
      <c r="K37" s="28">
        <f t="shared" si="3"/>
        <v>51.765205782553629</v>
      </c>
      <c r="L37" s="28">
        <f t="shared" si="3"/>
        <v>4.6223323681599178</v>
      </c>
      <c r="M37" s="28">
        <f t="shared" si="3"/>
        <v>14.373687759890998</v>
      </c>
      <c r="N37" s="28">
        <f t="shared" si="3"/>
        <v>251.84562717572908</v>
      </c>
      <c r="O37" s="28">
        <f t="shared" si="3"/>
        <v>0</v>
      </c>
      <c r="P37" s="28">
        <f t="shared" si="3"/>
        <v>0.675420963741036</v>
      </c>
      <c r="Q37" s="28">
        <f t="shared" si="3"/>
        <v>0.23384622719003717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540</v>
      </c>
      <c r="B9" s="51">
        <v>42.07</v>
      </c>
      <c r="C9" s="51">
        <v>105.16</v>
      </c>
      <c r="D9" s="51">
        <v>147.22999999999999</v>
      </c>
      <c r="E9" s="51">
        <v>9.5299999999999994</v>
      </c>
      <c r="F9" s="51">
        <v>27</v>
      </c>
      <c r="G9" s="51">
        <v>75.569999999999993</v>
      </c>
      <c r="H9" s="51">
        <v>25.2</v>
      </c>
      <c r="I9" s="51">
        <v>4.03</v>
      </c>
      <c r="J9" s="51">
        <v>0.55000000000000004</v>
      </c>
      <c r="K9" s="51">
        <v>270.13</v>
      </c>
      <c r="L9" s="51">
        <v>23.56</v>
      </c>
      <c r="M9" s="51">
        <v>46.2</v>
      </c>
      <c r="N9" s="51">
        <v>65.599999999999994</v>
      </c>
      <c r="O9" s="51">
        <v>0</v>
      </c>
      <c r="P9" s="51">
        <v>0.96</v>
      </c>
      <c r="Q9" s="51">
        <v>9.5399999999999991</v>
      </c>
      <c r="R9" s="43"/>
      <c r="S9" s="43"/>
      <c r="T9" s="43"/>
      <c r="U9" s="43"/>
    </row>
    <row r="10" spans="1:21" s="11" customFormat="1" x14ac:dyDescent="0.25">
      <c r="A10" s="50" t="s">
        <v>541</v>
      </c>
      <c r="B10" s="51">
        <v>27.16</v>
      </c>
      <c r="C10" s="51">
        <v>60.21</v>
      </c>
      <c r="D10" s="51">
        <v>87.38</v>
      </c>
      <c r="E10" s="51">
        <v>9.31</v>
      </c>
      <c r="F10" s="51">
        <v>25.82</v>
      </c>
      <c r="G10" s="51">
        <v>74.23</v>
      </c>
      <c r="H10" s="51">
        <v>25.2</v>
      </c>
      <c r="I10" s="51">
        <v>4.1500000000000004</v>
      </c>
      <c r="J10" s="51">
        <v>0.83</v>
      </c>
      <c r="K10" s="51">
        <v>261.01</v>
      </c>
      <c r="L10" s="51">
        <v>23.55</v>
      </c>
      <c r="M10" s="51">
        <v>45.89</v>
      </c>
      <c r="N10" s="51">
        <v>65.8</v>
      </c>
      <c r="O10" s="51">
        <v>0</v>
      </c>
      <c r="P10" s="51">
        <v>0.9</v>
      </c>
      <c r="Q10" s="51">
        <v>9.5299999999999994</v>
      </c>
      <c r="R10" s="43"/>
      <c r="S10" s="43"/>
      <c r="T10" s="43"/>
      <c r="U10" s="43"/>
    </row>
    <row r="11" spans="1:21" s="11" customFormat="1" x14ac:dyDescent="0.25">
      <c r="A11" s="50" t="s">
        <v>542</v>
      </c>
      <c r="B11" s="51">
        <v>30.82</v>
      </c>
      <c r="C11" s="51">
        <v>71.510000000000005</v>
      </c>
      <c r="D11" s="51">
        <v>99.27</v>
      </c>
      <c r="E11" s="51">
        <v>8.8000000000000007</v>
      </c>
      <c r="F11" s="51">
        <v>12.5</v>
      </c>
      <c r="G11" s="51">
        <v>71.08</v>
      </c>
      <c r="H11" s="51">
        <v>24.28</v>
      </c>
      <c r="I11" s="51">
        <v>4.26</v>
      </c>
      <c r="J11" s="51">
        <v>2.09</v>
      </c>
      <c r="K11" s="51">
        <v>352.41</v>
      </c>
      <c r="L11" s="51">
        <v>23.22</v>
      </c>
      <c r="M11" s="51">
        <v>49.27</v>
      </c>
      <c r="N11" s="51">
        <v>66.400000000000006</v>
      </c>
      <c r="O11" s="51">
        <v>0</v>
      </c>
      <c r="P11" s="51">
        <v>1.02</v>
      </c>
      <c r="Q11" s="51">
        <v>9.4600000000000009</v>
      </c>
      <c r="R11" s="43"/>
      <c r="S11" s="43"/>
      <c r="T11" s="43"/>
      <c r="U11" s="43"/>
    </row>
    <row r="12" spans="1:21" s="11" customFormat="1" x14ac:dyDescent="0.25">
      <c r="A12" s="50" t="s">
        <v>543</v>
      </c>
      <c r="B12" s="51">
        <v>18.829999999999998</v>
      </c>
      <c r="C12" s="51">
        <v>78.89</v>
      </c>
      <c r="D12" s="51">
        <v>96</v>
      </c>
      <c r="E12" s="51">
        <v>24.22</v>
      </c>
      <c r="F12" s="51">
        <v>9.4600000000000009</v>
      </c>
      <c r="G12" s="51">
        <v>88.46</v>
      </c>
      <c r="H12" s="51">
        <v>26.03</v>
      </c>
      <c r="I12" s="51">
        <v>4.12</v>
      </c>
      <c r="J12" s="51">
        <v>2.09</v>
      </c>
      <c r="K12" s="51">
        <v>359.98</v>
      </c>
      <c r="L12" s="51">
        <v>22.76</v>
      </c>
      <c r="M12" s="51">
        <v>49</v>
      </c>
      <c r="N12" s="51">
        <v>66.2</v>
      </c>
      <c r="O12" s="51">
        <v>0</v>
      </c>
      <c r="P12" s="51">
        <v>0.95</v>
      </c>
      <c r="Q12" s="51">
        <v>9.41</v>
      </c>
      <c r="R12" s="43"/>
      <c r="S12" s="43"/>
      <c r="T12" s="43"/>
      <c r="U12" s="43"/>
    </row>
    <row r="13" spans="1:21" s="11" customFormat="1" x14ac:dyDescent="0.25">
      <c r="A13" s="50" t="s">
        <v>544</v>
      </c>
      <c r="B13" s="51">
        <v>16.079999999999998</v>
      </c>
      <c r="C13" s="51">
        <v>80.56</v>
      </c>
      <c r="D13" s="51">
        <v>96.63</v>
      </c>
      <c r="E13" s="51">
        <v>21.84</v>
      </c>
      <c r="F13" s="51">
        <v>15.17</v>
      </c>
      <c r="G13" s="51">
        <v>97.95</v>
      </c>
      <c r="H13" s="51">
        <v>28.47</v>
      </c>
      <c r="I13" s="51">
        <v>4.0599999999999996</v>
      </c>
      <c r="J13" s="51">
        <v>1.1299999999999999</v>
      </c>
      <c r="K13" s="51">
        <v>24.55</v>
      </c>
      <c r="L13" s="51">
        <v>22.02</v>
      </c>
      <c r="M13" s="51">
        <v>52.23</v>
      </c>
      <c r="N13" s="51">
        <v>66</v>
      </c>
      <c r="O13" s="51">
        <v>0</v>
      </c>
      <c r="P13" s="51">
        <v>0.97</v>
      </c>
      <c r="Q13" s="51">
        <v>9.41</v>
      </c>
      <c r="R13" s="43"/>
      <c r="S13" s="43"/>
      <c r="T13" s="43"/>
      <c r="U13" s="43"/>
    </row>
    <row r="14" spans="1:21" s="11" customFormat="1" x14ac:dyDescent="0.25">
      <c r="A14" s="50" t="s">
        <v>545</v>
      </c>
      <c r="B14" s="51">
        <v>14.94</v>
      </c>
      <c r="C14" s="51">
        <v>61.22</v>
      </c>
      <c r="D14" s="51">
        <v>76.14</v>
      </c>
      <c r="E14" s="51">
        <v>14.55</v>
      </c>
      <c r="F14" s="51">
        <v>16.010000000000002</v>
      </c>
      <c r="G14" s="51">
        <v>97.95</v>
      </c>
      <c r="H14" s="51">
        <v>29.63</v>
      </c>
      <c r="I14" s="51">
        <v>4.1399999999999997</v>
      </c>
      <c r="J14" s="51">
        <v>1.1299999999999999</v>
      </c>
      <c r="K14" s="51">
        <v>98.59</v>
      </c>
      <c r="L14" s="51">
        <v>21.35</v>
      </c>
      <c r="M14" s="51">
        <v>60.09</v>
      </c>
      <c r="N14" s="51">
        <v>66.599999999999994</v>
      </c>
      <c r="O14" s="51">
        <v>0</v>
      </c>
      <c r="P14" s="51">
        <v>0.82</v>
      </c>
      <c r="Q14" s="51">
        <v>9.4</v>
      </c>
      <c r="R14" s="43"/>
      <c r="S14" s="43"/>
      <c r="T14" s="43"/>
      <c r="U14" s="43"/>
    </row>
    <row r="15" spans="1:21" s="11" customFormat="1" x14ac:dyDescent="0.25">
      <c r="A15" s="50" t="s">
        <v>546</v>
      </c>
      <c r="B15" s="51">
        <v>12.88</v>
      </c>
      <c r="C15" s="51">
        <v>67.73</v>
      </c>
      <c r="D15" s="51">
        <v>80.61</v>
      </c>
      <c r="E15" s="51">
        <v>8.44</v>
      </c>
      <c r="F15" s="51">
        <v>12.06</v>
      </c>
      <c r="G15" s="51">
        <v>85.64</v>
      </c>
      <c r="H15" s="51">
        <v>29.63</v>
      </c>
      <c r="I15" s="51">
        <v>4.09</v>
      </c>
      <c r="J15" s="51">
        <v>2.14</v>
      </c>
      <c r="K15" s="51">
        <v>101.9</v>
      </c>
      <c r="L15" s="51">
        <v>45.25</v>
      </c>
      <c r="M15" s="51">
        <v>64.989999999999995</v>
      </c>
      <c r="N15" s="51">
        <v>114.4</v>
      </c>
      <c r="O15" s="51">
        <v>0</v>
      </c>
      <c r="P15" s="51">
        <v>0.86</v>
      </c>
      <c r="Q15" s="51">
        <v>9.33</v>
      </c>
      <c r="R15" s="43"/>
      <c r="S15" s="43"/>
      <c r="T15" s="43"/>
      <c r="U15" s="43"/>
    </row>
    <row r="16" spans="1:21" s="11" customFormat="1" x14ac:dyDescent="0.25">
      <c r="A16" s="50" t="s">
        <v>547</v>
      </c>
      <c r="B16" s="51">
        <v>9.41</v>
      </c>
      <c r="C16" s="51">
        <v>66.040000000000006</v>
      </c>
      <c r="D16" s="51">
        <v>75.45</v>
      </c>
      <c r="E16" s="51">
        <v>5.37</v>
      </c>
      <c r="F16" s="51">
        <v>8.6999999999999993</v>
      </c>
      <c r="G16" s="51">
        <v>85.64</v>
      </c>
      <c r="H16" s="51">
        <v>28.47</v>
      </c>
      <c r="I16" s="51">
        <v>4.08</v>
      </c>
      <c r="J16" s="51">
        <v>1.19</v>
      </c>
      <c r="K16" s="51">
        <v>163.35</v>
      </c>
      <c r="L16" s="51">
        <v>21.87</v>
      </c>
      <c r="M16" s="51">
        <v>63.88</v>
      </c>
      <c r="N16" s="51">
        <v>187.4</v>
      </c>
      <c r="O16" s="51">
        <v>0</v>
      </c>
      <c r="P16" s="51">
        <v>0.88</v>
      </c>
      <c r="Q16" s="51">
        <v>9.1300000000000008</v>
      </c>
      <c r="R16" s="43"/>
      <c r="S16" s="43"/>
      <c r="T16" s="43"/>
      <c r="U16" s="43"/>
    </row>
    <row r="17" spans="1:21" s="11" customFormat="1" x14ac:dyDescent="0.25">
      <c r="A17" s="50" t="s">
        <v>548</v>
      </c>
      <c r="B17" s="51">
        <v>7.31</v>
      </c>
      <c r="C17" s="51">
        <v>65.69</v>
      </c>
      <c r="D17" s="51">
        <v>72.069999999999993</v>
      </c>
      <c r="E17" s="51">
        <v>6.29</v>
      </c>
      <c r="F17" s="51">
        <v>13.07</v>
      </c>
      <c r="G17" s="51">
        <v>82.16</v>
      </c>
      <c r="H17" s="51">
        <v>30.32</v>
      </c>
      <c r="I17" s="51">
        <v>4.05</v>
      </c>
      <c r="J17" s="51">
        <v>1.26</v>
      </c>
      <c r="K17" s="51">
        <v>171.7</v>
      </c>
      <c r="L17" s="51">
        <v>24.65</v>
      </c>
      <c r="M17" s="51">
        <v>58.28</v>
      </c>
      <c r="N17" s="51">
        <v>432.2</v>
      </c>
      <c r="O17" s="51">
        <v>0</v>
      </c>
      <c r="P17" s="51">
        <v>0.9</v>
      </c>
      <c r="Q17" s="51">
        <v>9.0299999999999994</v>
      </c>
      <c r="R17" s="43"/>
      <c r="S17" s="43"/>
      <c r="T17" s="43"/>
      <c r="U17" s="43"/>
    </row>
    <row r="18" spans="1:21" s="11" customFormat="1" x14ac:dyDescent="0.25">
      <c r="A18" s="50" t="s">
        <v>549</v>
      </c>
      <c r="B18" s="51">
        <v>6.1</v>
      </c>
      <c r="C18" s="51">
        <v>63.27</v>
      </c>
      <c r="D18" s="51">
        <v>68.89</v>
      </c>
      <c r="E18" s="51">
        <v>7.97</v>
      </c>
      <c r="F18" s="51">
        <v>17.53</v>
      </c>
      <c r="G18" s="51">
        <v>79.900000000000006</v>
      </c>
      <c r="H18" s="51">
        <v>30.32</v>
      </c>
      <c r="I18" s="51">
        <v>4</v>
      </c>
      <c r="J18" s="51">
        <v>1.35</v>
      </c>
      <c r="K18" s="51">
        <v>253.97</v>
      </c>
      <c r="L18" s="51">
        <v>27.99</v>
      </c>
      <c r="M18" s="51">
        <v>47.7</v>
      </c>
      <c r="N18" s="51">
        <v>537.20000000000005</v>
      </c>
      <c r="O18" s="51">
        <v>0</v>
      </c>
      <c r="P18" s="51">
        <v>0.85</v>
      </c>
      <c r="Q18" s="51">
        <v>8.9700000000000006</v>
      </c>
      <c r="R18" s="43"/>
      <c r="S18" s="43"/>
      <c r="T18" s="43"/>
      <c r="U18" s="43"/>
    </row>
    <row r="19" spans="1:21" s="11" customFormat="1" x14ac:dyDescent="0.25">
      <c r="A19" s="50" t="s">
        <v>550</v>
      </c>
      <c r="B19" s="51">
        <v>4.5199999999999996</v>
      </c>
      <c r="C19" s="51">
        <v>61.32</v>
      </c>
      <c r="D19" s="51">
        <v>65.260000000000005</v>
      </c>
      <c r="E19" s="51">
        <v>7.85</v>
      </c>
      <c r="F19" s="51">
        <v>16.23</v>
      </c>
      <c r="G19" s="51">
        <v>76.41</v>
      </c>
      <c r="H19" s="51">
        <v>29.18</v>
      </c>
      <c r="I19" s="51">
        <v>4.26</v>
      </c>
      <c r="J19" s="51">
        <v>1.55</v>
      </c>
      <c r="K19" s="51">
        <v>221.19</v>
      </c>
      <c r="L19" s="51">
        <v>27.64</v>
      </c>
      <c r="M19" s="51">
        <v>45.12</v>
      </c>
      <c r="N19" s="51">
        <v>522.4</v>
      </c>
      <c r="O19" s="51">
        <v>0</v>
      </c>
      <c r="P19" s="51">
        <v>0.83</v>
      </c>
      <c r="Q19" s="51">
        <v>8.94</v>
      </c>
      <c r="R19" s="43"/>
      <c r="S19" s="43"/>
      <c r="T19" s="43"/>
      <c r="U19" s="43"/>
    </row>
    <row r="20" spans="1:21" s="11" customFormat="1" x14ac:dyDescent="0.25">
      <c r="A20" s="50" t="s">
        <v>551</v>
      </c>
      <c r="B20" s="51">
        <v>4.2</v>
      </c>
      <c r="C20" s="51">
        <v>58.76</v>
      </c>
      <c r="D20" s="51">
        <v>62.96</v>
      </c>
      <c r="E20" s="51">
        <v>4.3099999999999996</v>
      </c>
      <c r="F20" s="51">
        <v>11.92</v>
      </c>
      <c r="G20" s="51">
        <v>71.260000000000005</v>
      </c>
      <c r="H20" s="51">
        <v>28.47</v>
      </c>
      <c r="I20" s="51">
        <v>4.25</v>
      </c>
      <c r="J20" s="51">
        <v>1.8</v>
      </c>
      <c r="K20" s="51">
        <v>186.61</v>
      </c>
      <c r="L20" s="51">
        <v>28.78</v>
      </c>
      <c r="M20" s="51">
        <v>40.44</v>
      </c>
      <c r="N20" s="51">
        <v>733.7</v>
      </c>
      <c r="O20" s="51">
        <v>0</v>
      </c>
      <c r="P20" s="51">
        <v>0.68</v>
      </c>
      <c r="Q20" s="51">
        <v>8.8800000000000008</v>
      </c>
      <c r="R20" s="43"/>
      <c r="S20" s="43"/>
      <c r="T20" s="43"/>
      <c r="U20" s="43"/>
    </row>
    <row r="21" spans="1:21" s="11" customFormat="1" x14ac:dyDescent="0.25">
      <c r="A21" s="50" t="s">
        <v>552</v>
      </c>
      <c r="B21" s="51">
        <v>5.16</v>
      </c>
      <c r="C21" s="51">
        <v>59.43</v>
      </c>
      <c r="D21" s="51">
        <v>64.599999999999994</v>
      </c>
      <c r="E21" s="51">
        <v>3.92</v>
      </c>
      <c r="F21" s="51">
        <v>11.81</v>
      </c>
      <c r="G21" s="51">
        <v>61.17</v>
      </c>
      <c r="H21" s="51">
        <v>24.76</v>
      </c>
      <c r="I21" s="51">
        <v>4.0599999999999996</v>
      </c>
      <c r="J21" s="51">
        <v>1.23</v>
      </c>
      <c r="K21" s="51">
        <v>260.51</v>
      </c>
      <c r="L21" s="51">
        <v>31.65</v>
      </c>
      <c r="M21" s="51">
        <v>32.840000000000003</v>
      </c>
      <c r="N21" s="51">
        <v>765.6</v>
      </c>
      <c r="O21" s="51">
        <v>0</v>
      </c>
      <c r="P21" s="51">
        <v>0.56000000000000005</v>
      </c>
      <c r="Q21" s="51">
        <v>8.83</v>
      </c>
      <c r="R21" s="43"/>
      <c r="S21" s="43"/>
      <c r="T21" s="43"/>
      <c r="U21" s="43"/>
    </row>
    <row r="22" spans="1:21" s="11" customFormat="1" x14ac:dyDescent="0.25">
      <c r="A22" s="50" t="s">
        <v>553</v>
      </c>
      <c r="B22" s="51">
        <v>3.21</v>
      </c>
      <c r="C22" s="51">
        <v>53.37</v>
      </c>
      <c r="D22" s="51">
        <v>56.41</v>
      </c>
      <c r="E22" s="51">
        <v>3.99</v>
      </c>
      <c r="F22" s="51">
        <v>15.62</v>
      </c>
      <c r="G22" s="51">
        <v>49.49</v>
      </c>
      <c r="H22" s="51">
        <v>22.36</v>
      </c>
      <c r="I22" s="51">
        <v>4.04</v>
      </c>
      <c r="J22" s="51">
        <v>1.24</v>
      </c>
      <c r="K22" s="51">
        <v>213.29</v>
      </c>
      <c r="L22" s="51">
        <v>30.83</v>
      </c>
      <c r="M22" s="51">
        <v>30.58</v>
      </c>
      <c r="N22" s="51">
        <v>728.6</v>
      </c>
      <c r="O22" s="51">
        <v>0</v>
      </c>
      <c r="P22" s="51">
        <v>0.45</v>
      </c>
      <c r="Q22" s="51">
        <v>8.7799999999999994</v>
      </c>
      <c r="R22" s="43"/>
      <c r="S22" s="43"/>
      <c r="T22" s="43"/>
      <c r="U22" s="43"/>
    </row>
    <row r="23" spans="1:21" s="11" customFormat="1" x14ac:dyDescent="0.25">
      <c r="A23" s="50" t="s">
        <v>554</v>
      </c>
      <c r="B23" s="51">
        <v>9.4700000000000006</v>
      </c>
      <c r="C23" s="51">
        <v>54.59</v>
      </c>
      <c r="D23" s="51">
        <v>62.05</v>
      </c>
      <c r="E23" s="51">
        <v>5.6</v>
      </c>
      <c r="F23" s="51">
        <v>19.97</v>
      </c>
      <c r="G23" s="51">
        <v>46.4</v>
      </c>
      <c r="H23" s="51">
        <v>20.92</v>
      </c>
      <c r="I23" s="51">
        <v>4.1399999999999997</v>
      </c>
      <c r="J23" s="51">
        <v>1.1000000000000001</v>
      </c>
      <c r="K23" s="51">
        <v>310.77</v>
      </c>
      <c r="L23" s="51">
        <v>30.98</v>
      </c>
      <c r="M23" s="51">
        <v>33.61</v>
      </c>
      <c r="N23" s="51">
        <v>429.5</v>
      </c>
      <c r="O23" s="51">
        <v>0</v>
      </c>
      <c r="P23" s="51">
        <v>0.44</v>
      </c>
      <c r="Q23" s="51">
        <v>8.7899999999999991</v>
      </c>
      <c r="R23" s="43"/>
      <c r="S23" s="43"/>
      <c r="T23" s="43"/>
      <c r="U23" s="43"/>
    </row>
    <row r="24" spans="1:21" s="11" customFormat="1" x14ac:dyDescent="0.25">
      <c r="A24" s="50" t="s">
        <v>555</v>
      </c>
      <c r="B24" s="51">
        <v>7.03</v>
      </c>
      <c r="C24" s="51">
        <v>61.74</v>
      </c>
      <c r="D24" s="51">
        <v>68.59</v>
      </c>
      <c r="E24" s="51">
        <v>5.72</v>
      </c>
      <c r="F24" s="51">
        <v>16.579999999999998</v>
      </c>
      <c r="G24" s="51">
        <v>51.02</v>
      </c>
      <c r="H24" s="51">
        <v>16.48</v>
      </c>
      <c r="I24" s="51">
        <v>4.2300000000000004</v>
      </c>
      <c r="J24" s="51">
        <v>1.81</v>
      </c>
      <c r="K24" s="51">
        <v>289.49</v>
      </c>
      <c r="L24" s="51">
        <v>29.31</v>
      </c>
      <c r="M24" s="51">
        <v>76.55</v>
      </c>
      <c r="N24" s="51">
        <v>131.4</v>
      </c>
      <c r="O24" s="51">
        <v>0</v>
      </c>
      <c r="P24" s="51">
        <v>0.5</v>
      </c>
      <c r="Q24" s="51">
        <v>8.82</v>
      </c>
      <c r="R24" s="43"/>
      <c r="S24" s="43"/>
      <c r="T24" s="43"/>
      <c r="U24" s="43"/>
    </row>
    <row r="25" spans="1:21" s="11" customFormat="1" x14ac:dyDescent="0.25">
      <c r="A25" s="50" t="s">
        <v>556</v>
      </c>
      <c r="B25" s="51">
        <v>5.07</v>
      </c>
      <c r="C25" s="51">
        <v>60.25</v>
      </c>
      <c r="D25" s="51">
        <v>64.72</v>
      </c>
      <c r="E25" s="51">
        <v>3.33</v>
      </c>
      <c r="F25" s="51">
        <v>13.84</v>
      </c>
      <c r="G25" s="51">
        <v>51.02</v>
      </c>
      <c r="H25" s="51">
        <v>16.18</v>
      </c>
      <c r="I25" s="51">
        <v>3.97</v>
      </c>
      <c r="J25" s="51">
        <v>2.0499999999999998</v>
      </c>
      <c r="K25" s="51">
        <v>138.78</v>
      </c>
      <c r="L25" s="51">
        <v>22.91</v>
      </c>
      <c r="M25" s="51">
        <v>72.209999999999994</v>
      </c>
      <c r="N25" s="51">
        <v>163.5</v>
      </c>
      <c r="O25" s="51">
        <v>0</v>
      </c>
      <c r="P25" s="51">
        <v>0.43</v>
      </c>
      <c r="Q25" s="51">
        <v>8.83</v>
      </c>
      <c r="R25" s="43"/>
      <c r="S25" s="43"/>
      <c r="T25" s="43"/>
      <c r="U25" s="43"/>
    </row>
    <row r="26" spans="1:21" s="11" customFormat="1" x14ac:dyDescent="0.25">
      <c r="A26" s="50" t="s">
        <v>557</v>
      </c>
      <c r="B26" s="51">
        <v>18.04</v>
      </c>
      <c r="C26" s="51">
        <v>85.35</v>
      </c>
      <c r="D26" s="51">
        <v>103.4</v>
      </c>
      <c r="E26" s="51">
        <v>6.53</v>
      </c>
      <c r="F26" s="51">
        <v>20.18</v>
      </c>
      <c r="G26" s="51">
        <v>46.69</v>
      </c>
      <c r="H26" s="51">
        <v>15.77</v>
      </c>
      <c r="I26" s="51">
        <v>4.05</v>
      </c>
      <c r="J26" s="51">
        <v>0.56999999999999995</v>
      </c>
      <c r="K26" s="51">
        <v>213.66</v>
      </c>
      <c r="L26" s="51">
        <v>23.47</v>
      </c>
      <c r="M26" s="51">
        <v>63.27</v>
      </c>
      <c r="N26" s="51">
        <v>127.5</v>
      </c>
      <c r="O26" s="51">
        <v>0</v>
      </c>
      <c r="P26" s="51">
        <v>0.81</v>
      </c>
      <c r="Q26" s="51">
        <v>8.91</v>
      </c>
      <c r="R26" s="43"/>
      <c r="S26" s="43"/>
      <c r="T26" s="43"/>
      <c r="U26" s="43"/>
    </row>
    <row r="27" spans="1:21" s="11" customFormat="1" x14ac:dyDescent="0.25">
      <c r="A27" s="50" t="s">
        <v>558</v>
      </c>
      <c r="B27" s="51">
        <v>31.73</v>
      </c>
      <c r="C27" s="51">
        <v>99.61</v>
      </c>
      <c r="D27" s="51">
        <v>131.35</v>
      </c>
      <c r="E27" s="51">
        <v>7.15</v>
      </c>
      <c r="F27" s="51">
        <v>16.600000000000001</v>
      </c>
      <c r="G27" s="51">
        <v>46.26</v>
      </c>
      <c r="H27" s="51">
        <v>14.49</v>
      </c>
      <c r="I27" s="51">
        <v>4.01</v>
      </c>
      <c r="J27" s="51">
        <v>1.1599999999999999</v>
      </c>
      <c r="K27" s="51">
        <v>297.99</v>
      </c>
      <c r="L27" s="51">
        <v>23.48</v>
      </c>
      <c r="M27" s="51">
        <v>61.34</v>
      </c>
      <c r="N27" s="51">
        <v>82.3</v>
      </c>
      <c r="O27" s="51">
        <v>0</v>
      </c>
      <c r="P27" s="51">
        <v>1.18</v>
      </c>
      <c r="Q27" s="51">
        <v>9.08</v>
      </c>
      <c r="R27" s="43"/>
      <c r="S27" s="43"/>
      <c r="T27" s="43"/>
      <c r="U27" s="43"/>
    </row>
    <row r="28" spans="1:21" s="11" customFormat="1" x14ac:dyDescent="0.25">
      <c r="A28" s="50" t="s">
        <v>559</v>
      </c>
      <c r="B28" s="51">
        <v>11.1</v>
      </c>
      <c r="C28" s="51">
        <v>77.2</v>
      </c>
      <c r="D28" s="51">
        <v>88.31</v>
      </c>
      <c r="E28" s="51">
        <v>5.31</v>
      </c>
      <c r="F28" s="51">
        <v>15.12</v>
      </c>
      <c r="G28" s="51">
        <v>47.1</v>
      </c>
      <c r="H28" s="51">
        <v>14.9</v>
      </c>
      <c r="I28" s="51">
        <v>3.98</v>
      </c>
      <c r="J28" s="51">
        <v>1.34</v>
      </c>
      <c r="K28" s="51">
        <v>168.96</v>
      </c>
      <c r="L28" s="51">
        <v>23.23</v>
      </c>
      <c r="M28" s="51">
        <v>67.22</v>
      </c>
      <c r="N28" s="51">
        <v>80.599999999999994</v>
      </c>
      <c r="O28" s="51">
        <v>0</v>
      </c>
      <c r="P28" s="51">
        <v>0.71</v>
      </c>
      <c r="Q28" s="51">
        <v>9.1300000000000008</v>
      </c>
      <c r="R28" s="43"/>
      <c r="S28" s="43"/>
      <c r="T28" s="43"/>
      <c r="U28" s="43"/>
    </row>
    <row r="29" spans="1:21" s="11" customFormat="1" x14ac:dyDescent="0.25">
      <c r="A29" s="50" t="s">
        <v>560</v>
      </c>
      <c r="B29" s="51">
        <v>11.01</v>
      </c>
      <c r="C29" s="51">
        <v>72.64</v>
      </c>
      <c r="D29" s="51">
        <v>83.66</v>
      </c>
      <c r="E29" s="51">
        <v>3.55</v>
      </c>
      <c r="F29" s="51">
        <v>8.1199999999999992</v>
      </c>
      <c r="G29" s="51">
        <v>52.43</v>
      </c>
      <c r="H29" s="51">
        <v>14.9</v>
      </c>
      <c r="I29" s="51">
        <v>4.2300000000000004</v>
      </c>
      <c r="J29" s="51">
        <v>2.59</v>
      </c>
      <c r="K29" s="51">
        <v>174.13</v>
      </c>
      <c r="L29" s="51">
        <v>23.23</v>
      </c>
      <c r="M29" s="51">
        <v>61.93</v>
      </c>
      <c r="N29" s="51">
        <v>81.7</v>
      </c>
      <c r="O29" s="51">
        <v>0</v>
      </c>
      <c r="P29" s="51">
        <v>0.67</v>
      </c>
      <c r="Q29" s="51">
        <v>9.14</v>
      </c>
      <c r="R29" s="43"/>
      <c r="S29" s="43"/>
      <c r="T29" s="43"/>
      <c r="U29" s="43"/>
    </row>
    <row r="30" spans="1:21" s="11" customFormat="1" x14ac:dyDescent="0.25">
      <c r="A30" s="50" t="s">
        <v>561</v>
      </c>
      <c r="B30" s="51">
        <v>5.2</v>
      </c>
      <c r="C30" s="51">
        <v>65.2</v>
      </c>
      <c r="D30" s="51">
        <v>70.39</v>
      </c>
      <c r="E30" s="51">
        <v>2.88</v>
      </c>
      <c r="F30" s="51">
        <v>8.67</v>
      </c>
      <c r="G30" s="51">
        <v>52.43</v>
      </c>
      <c r="H30" s="51">
        <v>14.84</v>
      </c>
      <c r="I30" s="51">
        <v>4.1399999999999997</v>
      </c>
      <c r="J30" s="51">
        <v>2.15</v>
      </c>
      <c r="K30" s="51">
        <v>168.31</v>
      </c>
      <c r="L30" s="51">
        <v>21.87</v>
      </c>
      <c r="M30" s="51">
        <v>72.39</v>
      </c>
      <c r="N30" s="51">
        <v>81.599999999999994</v>
      </c>
      <c r="O30" s="51">
        <v>0</v>
      </c>
      <c r="P30" s="51">
        <v>0.54</v>
      </c>
      <c r="Q30" s="51">
        <v>9.02</v>
      </c>
      <c r="R30" s="43"/>
      <c r="S30" s="43"/>
      <c r="T30" s="43"/>
      <c r="U30" s="43"/>
    </row>
    <row r="31" spans="1:21" s="11" customFormat="1" x14ac:dyDescent="0.25">
      <c r="A31" s="50" t="s">
        <v>562</v>
      </c>
      <c r="B31" s="51">
        <v>3.79</v>
      </c>
      <c r="C31" s="51">
        <v>55.23</v>
      </c>
      <c r="D31" s="51">
        <v>59.02</v>
      </c>
      <c r="E31" s="51">
        <v>2.4</v>
      </c>
      <c r="F31" s="51">
        <v>9.3699999999999992</v>
      </c>
      <c r="G31" s="51">
        <v>43.13</v>
      </c>
      <c r="H31" s="51">
        <v>13.28</v>
      </c>
      <c r="I31" s="51">
        <v>4.08</v>
      </c>
      <c r="J31" s="51">
        <v>2.69</v>
      </c>
      <c r="K31" s="51">
        <v>165.73</v>
      </c>
      <c r="L31" s="51">
        <v>20.86</v>
      </c>
      <c r="M31" s="51">
        <v>74.69</v>
      </c>
      <c r="N31" s="51">
        <v>81.5</v>
      </c>
      <c r="O31" s="51">
        <v>0</v>
      </c>
      <c r="P31" s="51">
        <v>0.44</v>
      </c>
      <c r="Q31" s="51">
        <v>8.9</v>
      </c>
      <c r="R31" s="43"/>
      <c r="S31" s="43"/>
      <c r="T31" s="43"/>
      <c r="U31" s="43"/>
    </row>
    <row r="32" spans="1:21" s="11" customFormat="1" x14ac:dyDescent="0.25">
      <c r="A32" s="50" t="s">
        <v>563</v>
      </c>
      <c r="B32" s="51">
        <v>4.3</v>
      </c>
      <c r="C32" s="51">
        <v>52.36</v>
      </c>
      <c r="D32" s="51">
        <v>56.26</v>
      </c>
      <c r="E32" s="51">
        <v>2.39</v>
      </c>
      <c r="F32" s="51">
        <v>8.57</v>
      </c>
      <c r="G32" s="51">
        <v>38.61</v>
      </c>
      <c r="H32" s="51">
        <v>9.5299999999999994</v>
      </c>
      <c r="I32" s="51">
        <v>4.1399999999999997</v>
      </c>
      <c r="J32" s="51">
        <v>1.58</v>
      </c>
      <c r="K32" s="51">
        <v>166.64</v>
      </c>
      <c r="L32" s="51">
        <v>19.84</v>
      </c>
      <c r="M32" s="51">
        <v>78.61</v>
      </c>
      <c r="N32" s="51">
        <v>81.3</v>
      </c>
      <c r="O32" s="51">
        <v>0</v>
      </c>
      <c r="P32" s="51">
        <v>0.39</v>
      </c>
      <c r="Q32" s="51">
        <v>8.89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3.21</v>
      </c>
      <c r="C34" s="28">
        <f t="shared" si="0"/>
        <v>52.36</v>
      </c>
      <c r="D34" s="28">
        <f t="shared" si="0"/>
        <v>56.26</v>
      </c>
      <c r="E34" s="28">
        <f t="shared" si="0"/>
        <v>2.39</v>
      </c>
      <c r="F34" s="28">
        <f t="shared" si="0"/>
        <v>8.1199999999999992</v>
      </c>
      <c r="G34" s="28">
        <f t="shared" si="0"/>
        <v>38.61</v>
      </c>
      <c r="H34" s="28">
        <f t="shared" si="0"/>
        <v>9.5299999999999994</v>
      </c>
      <c r="I34" s="28">
        <f t="shared" si="0"/>
        <v>3.97</v>
      </c>
      <c r="J34" s="28">
        <f t="shared" si="0"/>
        <v>0.55000000000000004</v>
      </c>
      <c r="K34" s="28">
        <f t="shared" si="0"/>
        <v>24.55</v>
      </c>
      <c r="L34" s="28">
        <f t="shared" si="0"/>
        <v>19.84</v>
      </c>
      <c r="M34" s="28">
        <f t="shared" si="0"/>
        <v>30.58</v>
      </c>
      <c r="N34" s="28">
        <f t="shared" si="0"/>
        <v>65.599999999999994</v>
      </c>
      <c r="O34" s="28">
        <f t="shared" si="0"/>
        <v>0</v>
      </c>
      <c r="P34" s="28">
        <f t="shared" si="0"/>
        <v>0.39</v>
      </c>
      <c r="Q34" s="28">
        <f t="shared" si="0"/>
        <v>8.7799999999999994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42.07</v>
      </c>
      <c r="C35" s="29">
        <f t="shared" si="1"/>
        <v>105.16</v>
      </c>
      <c r="D35" s="29">
        <f t="shared" si="1"/>
        <v>147.22999999999999</v>
      </c>
      <c r="E35" s="29">
        <f t="shared" si="1"/>
        <v>24.22</v>
      </c>
      <c r="F35" s="29">
        <f t="shared" si="1"/>
        <v>27</v>
      </c>
      <c r="G35" s="29">
        <f t="shared" si="1"/>
        <v>97.95</v>
      </c>
      <c r="H35" s="29">
        <f t="shared" si="1"/>
        <v>30.32</v>
      </c>
      <c r="I35" s="29">
        <f t="shared" si="1"/>
        <v>4.26</v>
      </c>
      <c r="J35" s="29">
        <f t="shared" si="1"/>
        <v>2.69</v>
      </c>
      <c r="K35" s="29">
        <f t="shared" si="1"/>
        <v>359.98</v>
      </c>
      <c r="L35" s="29">
        <f t="shared" si="1"/>
        <v>45.25</v>
      </c>
      <c r="M35" s="29">
        <f t="shared" si="1"/>
        <v>78.61</v>
      </c>
      <c r="N35" s="29">
        <f t="shared" si="1"/>
        <v>765.6</v>
      </c>
      <c r="O35" s="29">
        <f t="shared" si="1"/>
        <v>0</v>
      </c>
      <c r="P35" s="29">
        <f t="shared" si="1"/>
        <v>1.18</v>
      </c>
      <c r="Q35" s="29">
        <f t="shared" si="1"/>
        <v>9.5399999999999991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12.892916666666666</v>
      </c>
      <c r="C36" s="28">
        <f t="shared" si="2"/>
        <v>68.22208333333333</v>
      </c>
      <c r="D36" s="28">
        <f t="shared" si="2"/>
        <v>80.693749999999994</v>
      </c>
      <c r="E36" s="28">
        <f t="shared" si="2"/>
        <v>7.552083333333333</v>
      </c>
      <c r="F36" s="28">
        <f t="shared" si="2"/>
        <v>14.58</v>
      </c>
      <c r="G36" s="28">
        <f t="shared" si="2"/>
        <v>65.5</v>
      </c>
      <c r="H36" s="28">
        <f t="shared" si="2"/>
        <v>22.233750000000001</v>
      </c>
      <c r="I36" s="28">
        <f t="shared" si="2"/>
        <v>4.1066666666666665</v>
      </c>
      <c r="J36" s="28">
        <f t="shared" si="2"/>
        <v>1.5258333333333332</v>
      </c>
      <c r="K36" s="28">
        <f t="shared" si="2"/>
        <v>209.73541666666668</v>
      </c>
      <c r="L36" s="28">
        <f t="shared" si="2"/>
        <v>25.595833333333335</v>
      </c>
      <c r="M36" s="28">
        <f t="shared" si="2"/>
        <v>56.18041666666668</v>
      </c>
      <c r="N36" s="28">
        <f t="shared" si="2"/>
        <v>239.95833333333334</v>
      </c>
      <c r="O36" s="28">
        <f t="shared" si="2"/>
        <v>0</v>
      </c>
      <c r="P36" s="28">
        <f t="shared" si="2"/>
        <v>0.73916666666666675</v>
      </c>
      <c r="Q36" s="28">
        <f t="shared" si="2"/>
        <v>9.0895833333333318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10.479297802216344</v>
      </c>
      <c r="C37" s="28">
        <f t="shared" ref="C37:Q37" si="3">STDEV(C9:C32)</f>
        <v>13.713037902466867</v>
      </c>
      <c r="D37" s="28">
        <f t="shared" si="3"/>
        <v>22.878742708785012</v>
      </c>
      <c r="E37" s="28">
        <f t="shared" si="3"/>
        <v>5.5386185525828111</v>
      </c>
      <c r="F37" s="28">
        <f t="shared" si="3"/>
        <v>5.0786997651316073</v>
      </c>
      <c r="G37" s="28">
        <f t="shared" si="3"/>
        <v>18.623493344370832</v>
      </c>
      <c r="H37" s="28">
        <f t="shared" si="3"/>
        <v>6.6747934750659237</v>
      </c>
      <c r="I37" s="28">
        <f t="shared" si="3"/>
        <v>8.9134322997551765E-2</v>
      </c>
      <c r="J37" s="28">
        <f t="shared" si="3"/>
        <v>0.57942937947354911</v>
      </c>
      <c r="K37" s="28">
        <f t="shared" si="3"/>
        <v>81.864422913432094</v>
      </c>
      <c r="L37" s="28">
        <f t="shared" si="3"/>
        <v>5.4278660364958142</v>
      </c>
      <c r="M37" s="28">
        <f t="shared" si="3"/>
        <v>14.204589729522507</v>
      </c>
      <c r="N37" s="28">
        <f t="shared" si="3"/>
        <v>245.00942646757696</v>
      </c>
      <c r="O37" s="28">
        <f t="shared" si="3"/>
        <v>0</v>
      </c>
      <c r="P37" s="28">
        <f t="shared" si="3"/>
        <v>0.22420713766450479</v>
      </c>
      <c r="Q37" s="28">
        <f t="shared" si="3"/>
        <v>0.25448121424929793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564</v>
      </c>
      <c r="B9" s="51">
        <v>4.66</v>
      </c>
      <c r="C9" s="51">
        <v>51.56</v>
      </c>
      <c r="D9" s="51">
        <v>55.96</v>
      </c>
      <c r="E9" s="51">
        <v>3.07</v>
      </c>
      <c r="F9" s="51">
        <v>8.43</v>
      </c>
      <c r="G9" s="51">
        <v>30.61</v>
      </c>
      <c r="H9" s="51">
        <v>9.4499999999999993</v>
      </c>
      <c r="I9" s="51">
        <v>4.1900000000000004</v>
      </c>
      <c r="J9" s="51">
        <v>1.02</v>
      </c>
      <c r="K9" s="51">
        <v>123.02</v>
      </c>
      <c r="L9" s="51">
        <v>19.14</v>
      </c>
      <c r="M9" s="51">
        <v>81.12</v>
      </c>
      <c r="N9" s="51">
        <v>81.400000000000006</v>
      </c>
      <c r="O9" s="51">
        <v>0</v>
      </c>
      <c r="P9" s="51">
        <v>0.35</v>
      </c>
      <c r="Q9" s="51">
        <v>8.84</v>
      </c>
      <c r="R9" s="43"/>
      <c r="S9" s="43"/>
      <c r="T9" s="43"/>
      <c r="U9" s="43"/>
    </row>
    <row r="10" spans="1:21" s="11" customFormat="1" x14ac:dyDescent="0.25">
      <c r="A10" s="50" t="s">
        <v>565</v>
      </c>
      <c r="B10" s="51">
        <v>4.8499999999999996</v>
      </c>
      <c r="C10" s="51">
        <v>50.2</v>
      </c>
      <c r="D10" s="51">
        <v>55.05</v>
      </c>
      <c r="E10" s="51">
        <v>2.81</v>
      </c>
      <c r="F10" s="51">
        <v>7.09</v>
      </c>
      <c r="G10" s="51">
        <v>26.81</v>
      </c>
      <c r="H10" s="51">
        <v>9.52</v>
      </c>
      <c r="I10" s="51">
        <v>4.17</v>
      </c>
      <c r="J10" s="51">
        <v>1.65</v>
      </c>
      <c r="K10" s="51">
        <v>165.89</v>
      </c>
      <c r="L10" s="51">
        <v>18.7</v>
      </c>
      <c r="M10" s="51">
        <v>86.74</v>
      </c>
      <c r="N10" s="51">
        <v>81.599999999999994</v>
      </c>
      <c r="O10" s="51">
        <v>0</v>
      </c>
      <c r="P10" s="51">
        <v>0.35</v>
      </c>
      <c r="Q10" s="51">
        <v>8.85</v>
      </c>
      <c r="R10" s="43"/>
      <c r="S10" s="43"/>
      <c r="T10" s="43"/>
      <c r="U10" s="43"/>
    </row>
    <row r="11" spans="1:21" s="11" customFormat="1" x14ac:dyDescent="0.25">
      <c r="A11" s="50" t="s">
        <v>566</v>
      </c>
      <c r="B11" s="51">
        <v>5.5</v>
      </c>
      <c r="C11" s="51">
        <v>49.81</v>
      </c>
      <c r="D11" s="51">
        <v>54.77</v>
      </c>
      <c r="E11" s="51">
        <v>2.98</v>
      </c>
      <c r="F11" s="51">
        <v>11.12</v>
      </c>
      <c r="G11" s="51">
        <v>22.24</v>
      </c>
      <c r="H11" s="51">
        <v>9.52</v>
      </c>
      <c r="I11" s="51">
        <v>4.17</v>
      </c>
      <c r="J11" s="51">
        <v>0.95</v>
      </c>
      <c r="K11" s="51">
        <v>327.47000000000003</v>
      </c>
      <c r="L11" s="51">
        <v>18.13</v>
      </c>
      <c r="M11" s="51">
        <v>90.48</v>
      </c>
      <c r="N11" s="51">
        <v>81.599999999999994</v>
      </c>
      <c r="O11" s="51">
        <v>0</v>
      </c>
      <c r="P11" s="51">
        <v>0.33</v>
      </c>
      <c r="Q11" s="51">
        <v>8.84</v>
      </c>
      <c r="R11" s="43"/>
      <c r="S11" s="43"/>
      <c r="T11" s="43"/>
      <c r="U11" s="43"/>
    </row>
    <row r="12" spans="1:21" s="11" customFormat="1" x14ac:dyDescent="0.25">
      <c r="A12" s="50" t="s">
        <v>567</v>
      </c>
      <c r="B12" s="51">
        <v>7.14</v>
      </c>
      <c r="C12" s="51">
        <v>39.81</v>
      </c>
      <c r="D12" s="51">
        <v>46.95</v>
      </c>
      <c r="E12" s="51">
        <v>3.01</v>
      </c>
      <c r="F12" s="51">
        <v>11.2</v>
      </c>
      <c r="G12" s="51">
        <v>23.49</v>
      </c>
      <c r="H12" s="51">
        <v>9.41</v>
      </c>
      <c r="I12" s="51">
        <v>4.1399999999999997</v>
      </c>
      <c r="J12" s="51">
        <v>0.71</v>
      </c>
      <c r="K12" s="51">
        <v>342.39</v>
      </c>
      <c r="L12" s="51">
        <v>18.21</v>
      </c>
      <c r="M12" s="51">
        <v>92.95</v>
      </c>
      <c r="N12" s="51">
        <v>81.5</v>
      </c>
      <c r="O12" s="51">
        <v>0</v>
      </c>
      <c r="P12" s="51">
        <v>0.36</v>
      </c>
      <c r="Q12" s="51">
        <v>8.91</v>
      </c>
      <c r="R12" s="43"/>
      <c r="S12" s="43"/>
      <c r="T12" s="43"/>
      <c r="U12" s="43"/>
    </row>
    <row r="13" spans="1:21" s="11" customFormat="1" x14ac:dyDescent="0.25">
      <c r="A13" s="50" t="s">
        <v>568</v>
      </c>
      <c r="B13" s="51">
        <v>9.26</v>
      </c>
      <c r="C13" s="51">
        <v>51.31</v>
      </c>
      <c r="D13" s="51">
        <v>60.57</v>
      </c>
      <c r="E13" s="51">
        <v>3.27</v>
      </c>
      <c r="F13" s="51">
        <v>9.75</v>
      </c>
      <c r="G13" s="51">
        <v>23.49</v>
      </c>
      <c r="H13" s="51">
        <v>11.36</v>
      </c>
      <c r="I13" s="51">
        <v>4.1100000000000003</v>
      </c>
      <c r="J13" s="51">
        <v>1.88</v>
      </c>
      <c r="K13" s="51">
        <v>100.71</v>
      </c>
      <c r="L13" s="51">
        <v>18.600000000000001</v>
      </c>
      <c r="M13" s="51">
        <v>87.34</v>
      </c>
      <c r="N13" s="51">
        <v>81.2</v>
      </c>
      <c r="O13" s="51">
        <v>0</v>
      </c>
      <c r="P13" s="51">
        <v>0.33</v>
      </c>
      <c r="Q13" s="51">
        <v>8.9499999999999993</v>
      </c>
      <c r="R13" s="43"/>
      <c r="S13" s="43"/>
      <c r="T13" s="43"/>
      <c r="U13" s="43"/>
    </row>
    <row r="14" spans="1:21" s="11" customFormat="1" x14ac:dyDescent="0.25">
      <c r="A14" s="50" t="s">
        <v>569</v>
      </c>
      <c r="B14" s="51">
        <v>9.35</v>
      </c>
      <c r="C14" s="51">
        <v>51.47</v>
      </c>
      <c r="D14" s="51">
        <v>60.82</v>
      </c>
      <c r="E14" s="51">
        <v>3.06</v>
      </c>
      <c r="F14" s="51">
        <v>7.32</v>
      </c>
      <c r="G14" s="51">
        <v>18.760000000000002</v>
      </c>
      <c r="H14" s="51">
        <v>11.36</v>
      </c>
      <c r="I14" s="51">
        <v>4.07</v>
      </c>
      <c r="J14" s="51">
        <v>1.79</v>
      </c>
      <c r="K14" s="51">
        <v>103.99</v>
      </c>
      <c r="L14" s="51">
        <v>18.579999999999998</v>
      </c>
      <c r="M14" s="51">
        <v>86.94</v>
      </c>
      <c r="N14" s="51">
        <v>82.5</v>
      </c>
      <c r="O14" s="51">
        <v>0</v>
      </c>
      <c r="P14" s="51">
        <v>0.33</v>
      </c>
      <c r="Q14" s="51">
        <v>8.9700000000000006</v>
      </c>
      <c r="R14" s="43"/>
      <c r="S14" s="43"/>
      <c r="T14" s="43"/>
      <c r="U14" s="43"/>
    </row>
    <row r="15" spans="1:21" s="11" customFormat="1" x14ac:dyDescent="0.25">
      <c r="A15" s="50" t="s">
        <v>570</v>
      </c>
      <c r="B15" s="51">
        <v>11.28</v>
      </c>
      <c r="C15" s="51">
        <v>52.21</v>
      </c>
      <c r="D15" s="51">
        <v>62.55</v>
      </c>
      <c r="E15" s="51">
        <v>2.91</v>
      </c>
      <c r="F15" s="51">
        <v>7.39</v>
      </c>
      <c r="G15" s="51">
        <v>19.809999999999999</v>
      </c>
      <c r="H15" s="51">
        <v>8.16</v>
      </c>
      <c r="I15" s="51">
        <v>4.05</v>
      </c>
      <c r="J15" s="51">
        <v>1.74</v>
      </c>
      <c r="K15" s="51">
        <v>103.16</v>
      </c>
      <c r="L15" s="51">
        <v>18.34</v>
      </c>
      <c r="M15" s="51">
        <v>91.1</v>
      </c>
      <c r="N15" s="51">
        <v>175.2</v>
      </c>
      <c r="O15" s="51">
        <v>0</v>
      </c>
      <c r="P15" s="51">
        <v>0.34</v>
      </c>
      <c r="Q15" s="51">
        <v>9.01</v>
      </c>
      <c r="R15" s="43"/>
      <c r="S15" s="43"/>
      <c r="T15" s="43"/>
      <c r="U15" s="43"/>
    </row>
    <row r="16" spans="1:21" s="11" customFormat="1" x14ac:dyDescent="0.25">
      <c r="A16" s="50" t="s">
        <v>571</v>
      </c>
      <c r="B16" s="51">
        <v>11.64</v>
      </c>
      <c r="C16" s="51">
        <v>52.35</v>
      </c>
      <c r="D16" s="51">
        <v>63.99</v>
      </c>
      <c r="E16" s="51">
        <v>2.71</v>
      </c>
      <c r="F16" s="51">
        <v>8.36</v>
      </c>
      <c r="G16" s="51">
        <v>20.12</v>
      </c>
      <c r="H16" s="51">
        <v>9.91</v>
      </c>
      <c r="I16" s="51">
        <v>4.12</v>
      </c>
      <c r="J16" s="51">
        <v>1.94</v>
      </c>
      <c r="K16" s="51">
        <v>98.93</v>
      </c>
      <c r="L16" s="51">
        <v>19.670000000000002</v>
      </c>
      <c r="M16" s="51">
        <v>91.45</v>
      </c>
      <c r="N16" s="51">
        <v>323.7</v>
      </c>
      <c r="O16" s="51">
        <v>0</v>
      </c>
      <c r="P16" s="51">
        <v>0.38</v>
      </c>
      <c r="Q16" s="51">
        <v>9.0500000000000007</v>
      </c>
      <c r="R16" s="43"/>
      <c r="S16" s="43"/>
      <c r="T16" s="43"/>
      <c r="U16" s="43"/>
    </row>
    <row r="17" spans="1:21" s="11" customFormat="1" x14ac:dyDescent="0.25">
      <c r="A17" s="50" t="s">
        <v>572</v>
      </c>
      <c r="B17" s="51">
        <v>11.04</v>
      </c>
      <c r="C17" s="51">
        <v>53.15</v>
      </c>
      <c r="D17" s="51">
        <v>63.68</v>
      </c>
      <c r="E17" s="51">
        <v>2.48</v>
      </c>
      <c r="F17" s="51">
        <v>9.07</v>
      </c>
      <c r="G17" s="51">
        <v>28.02</v>
      </c>
      <c r="H17" s="51">
        <v>10.48</v>
      </c>
      <c r="I17" s="51">
        <v>4.1100000000000003</v>
      </c>
      <c r="J17" s="51">
        <v>1.79</v>
      </c>
      <c r="K17" s="51">
        <v>99.78</v>
      </c>
      <c r="L17" s="51">
        <v>22.68</v>
      </c>
      <c r="M17" s="51">
        <v>81.459999999999994</v>
      </c>
      <c r="N17" s="51">
        <v>548.1</v>
      </c>
      <c r="O17" s="51">
        <v>0</v>
      </c>
      <c r="P17" s="51">
        <v>0.39</v>
      </c>
      <c r="Q17" s="51">
        <v>9.06</v>
      </c>
      <c r="R17" s="43"/>
      <c r="S17" s="43"/>
      <c r="T17" s="43"/>
      <c r="U17" s="43"/>
    </row>
    <row r="18" spans="1:21" s="11" customFormat="1" x14ac:dyDescent="0.25">
      <c r="A18" s="50" t="s">
        <v>573</v>
      </c>
      <c r="B18" s="51">
        <v>8.85</v>
      </c>
      <c r="C18" s="51">
        <v>55.04</v>
      </c>
      <c r="D18" s="51">
        <v>62.18</v>
      </c>
      <c r="E18" s="51">
        <v>2.2200000000000002</v>
      </c>
      <c r="F18" s="51">
        <v>8.93</v>
      </c>
      <c r="G18" s="51">
        <v>28.02</v>
      </c>
      <c r="H18" s="51">
        <v>12.51</v>
      </c>
      <c r="I18" s="51">
        <v>4.09</v>
      </c>
      <c r="J18" s="51">
        <v>1.21</v>
      </c>
      <c r="K18" s="51">
        <v>154.13</v>
      </c>
      <c r="L18" s="51">
        <v>25.97</v>
      </c>
      <c r="M18" s="51">
        <v>67.03</v>
      </c>
      <c r="N18" s="51">
        <v>707.4</v>
      </c>
      <c r="O18" s="51">
        <v>0</v>
      </c>
      <c r="P18" s="51">
        <v>0.41</v>
      </c>
      <c r="Q18" s="51">
        <v>8.98</v>
      </c>
      <c r="R18" s="43"/>
      <c r="S18" s="43"/>
      <c r="T18" s="43"/>
      <c r="U18" s="43"/>
    </row>
    <row r="19" spans="1:21" s="11" customFormat="1" x14ac:dyDescent="0.25">
      <c r="A19" s="50" t="s">
        <v>574</v>
      </c>
      <c r="B19" s="51">
        <v>6.38</v>
      </c>
      <c r="C19" s="51">
        <v>57.39</v>
      </c>
      <c r="D19" s="51">
        <v>63.26</v>
      </c>
      <c r="E19" s="51">
        <v>2.56</v>
      </c>
      <c r="F19" s="51">
        <v>12.26</v>
      </c>
      <c r="G19" s="51">
        <v>29.17</v>
      </c>
      <c r="H19" s="51">
        <v>12.51</v>
      </c>
      <c r="I19" s="51">
        <v>4.18</v>
      </c>
      <c r="J19" s="51">
        <v>1.4</v>
      </c>
      <c r="K19" s="51">
        <v>285.56</v>
      </c>
      <c r="L19" s="51">
        <v>28.8</v>
      </c>
      <c r="M19" s="51">
        <v>52.03</v>
      </c>
      <c r="N19" s="51">
        <v>762.4</v>
      </c>
      <c r="O19" s="51">
        <v>0</v>
      </c>
      <c r="P19" s="51">
        <v>0.46</v>
      </c>
      <c r="Q19" s="51">
        <v>8.9499999999999993</v>
      </c>
      <c r="R19" s="43"/>
      <c r="S19" s="43"/>
      <c r="T19" s="43"/>
      <c r="U19" s="43"/>
    </row>
    <row r="20" spans="1:21" s="11" customFormat="1" x14ac:dyDescent="0.25">
      <c r="A20" s="50" t="s">
        <v>575</v>
      </c>
      <c r="B20" s="51">
        <v>4.49</v>
      </c>
      <c r="C20" s="51">
        <v>55.84</v>
      </c>
      <c r="D20" s="51">
        <v>60.33</v>
      </c>
      <c r="E20" s="51">
        <v>3.48</v>
      </c>
      <c r="F20" s="51">
        <v>16.66</v>
      </c>
      <c r="G20" s="51">
        <v>29.17</v>
      </c>
      <c r="H20" s="51">
        <v>15</v>
      </c>
      <c r="I20" s="51">
        <v>4.0599999999999996</v>
      </c>
      <c r="J20" s="51">
        <v>1.31</v>
      </c>
      <c r="K20" s="51">
        <v>184.07</v>
      </c>
      <c r="L20" s="51">
        <v>28.44</v>
      </c>
      <c r="M20" s="51">
        <v>51.47</v>
      </c>
      <c r="N20" s="51">
        <v>772.8</v>
      </c>
      <c r="O20" s="51">
        <v>0</v>
      </c>
      <c r="P20" s="51">
        <v>0.55000000000000004</v>
      </c>
      <c r="Q20" s="51">
        <v>8.9</v>
      </c>
      <c r="R20" s="43"/>
      <c r="S20" s="43"/>
      <c r="T20" s="43"/>
      <c r="U20" s="43"/>
    </row>
    <row r="21" spans="1:21" s="11" customFormat="1" x14ac:dyDescent="0.25">
      <c r="A21" s="50" t="s">
        <v>576</v>
      </c>
      <c r="B21" s="51">
        <v>4.67</v>
      </c>
      <c r="C21" s="51">
        <v>55.45</v>
      </c>
      <c r="D21" s="51">
        <v>60.12</v>
      </c>
      <c r="E21" s="51">
        <v>3.51</v>
      </c>
      <c r="F21" s="51">
        <v>22.45</v>
      </c>
      <c r="G21" s="51">
        <v>30</v>
      </c>
      <c r="H21" s="51">
        <v>15</v>
      </c>
      <c r="I21" s="51">
        <v>4.0999999999999996</v>
      </c>
      <c r="J21" s="51">
        <v>1.23</v>
      </c>
      <c r="K21" s="51">
        <v>293.61</v>
      </c>
      <c r="L21" s="51">
        <v>29.1</v>
      </c>
      <c r="M21" s="51">
        <v>50.56</v>
      </c>
      <c r="N21" s="51">
        <v>716.1</v>
      </c>
      <c r="O21" s="51">
        <v>0</v>
      </c>
      <c r="P21" s="51">
        <v>0.52</v>
      </c>
      <c r="Q21" s="51">
        <v>8.91</v>
      </c>
      <c r="R21" s="43"/>
      <c r="S21" s="43"/>
      <c r="T21" s="43"/>
      <c r="U21" s="43"/>
    </row>
    <row r="22" spans="1:21" s="11" customFormat="1" x14ac:dyDescent="0.25">
      <c r="A22" s="50" t="s">
        <v>577</v>
      </c>
      <c r="B22" s="51">
        <v>4.62</v>
      </c>
      <c r="C22" s="51">
        <v>58.75</v>
      </c>
      <c r="D22" s="51">
        <v>62.72</v>
      </c>
      <c r="E22" s="51">
        <v>4.03</v>
      </c>
      <c r="F22" s="51">
        <v>16.82</v>
      </c>
      <c r="G22" s="51">
        <v>30.6</v>
      </c>
      <c r="H22" s="51">
        <v>14.57</v>
      </c>
      <c r="I22" s="51">
        <v>4.04</v>
      </c>
      <c r="J22" s="51">
        <v>1.0900000000000001</v>
      </c>
      <c r="K22" s="51">
        <v>290.70999999999998</v>
      </c>
      <c r="L22" s="51">
        <v>30.66</v>
      </c>
      <c r="M22" s="51">
        <v>42.63</v>
      </c>
      <c r="N22" s="51">
        <v>734.4</v>
      </c>
      <c r="O22" s="51">
        <v>0</v>
      </c>
      <c r="P22" s="51">
        <v>0.55000000000000004</v>
      </c>
      <c r="Q22" s="51">
        <v>8.92</v>
      </c>
      <c r="R22" s="43"/>
      <c r="S22" s="43"/>
      <c r="T22" s="43"/>
      <c r="U22" s="43"/>
    </row>
    <row r="23" spans="1:21" s="11" customFormat="1" x14ac:dyDescent="0.25">
      <c r="A23" s="50" t="s">
        <v>578</v>
      </c>
      <c r="B23" s="51">
        <v>4.04</v>
      </c>
      <c r="C23" s="51">
        <v>58.15</v>
      </c>
      <c r="D23" s="51">
        <v>62.19</v>
      </c>
      <c r="E23" s="51">
        <v>5.6</v>
      </c>
      <c r="F23" s="51">
        <v>23.97</v>
      </c>
      <c r="G23" s="51">
        <v>30.6</v>
      </c>
      <c r="H23" s="51">
        <v>15.15</v>
      </c>
      <c r="I23" s="51">
        <v>4</v>
      </c>
      <c r="J23" s="51">
        <v>1.43</v>
      </c>
      <c r="K23" s="51">
        <v>247.52</v>
      </c>
      <c r="L23" s="51">
        <v>29.79</v>
      </c>
      <c r="M23" s="51">
        <v>38.9</v>
      </c>
      <c r="N23" s="51">
        <v>586.20000000000005</v>
      </c>
      <c r="O23" s="51">
        <v>0</v>
      </c>
      <c r="P23" s="51">
        <v>0.71</v>
      </c>
      <c r="Q23" s="51">
        <v>8.92</v>
      </c>
      <c r="R23" s="43"/>
      <c r="S23" s="43"/>
      <c r="T23" s="43"/>
      <c r="U23" s="43"/>
    </row>
    <row r="24" spans="1:21" s="11" customFormat="1" x14ac:dyDescent="0.25">
      <c r="A24" s="50" t="s">
        <v>579</v>
      </c>
      <c r="B24" s="51">
        <v>4.99</v>
      </c>
      <c r="C24" s="51">
        <v>60.46</v>
      </c>
      <c r="D24" s="51">
        <v>65.45</v>
      </c>
      <c r="E24" s="51">
        <v>12.52</v>
      </c>
      <c r="F24" s="51">
        <v>36.99</v>
      </c>
      <c r="G24" s="51">
        <v>40.06</v>
      </c>
      <c r="H24" s="51">
        <v>15.45</v>
      </c>
      <c r="I24" s="51">
        <v>4.05</v>
      </c>
      <c r="J24" s="51">
        <v>1.39</v>
      </c>
      <c r="K24" s="51">
        <v>305.55</v>
      </c>
      <c r="L24" s="51">
        <v>30.7</v>
      </c>
      <c r="M24" s="51">
        <v>35.33</v>
      </c>
      <c r="N24" s="51">
        <v>301.8</v>
      </c>
      <c r="O24" s="51">
        <v>0</v>
      </c>
      <c r="P24" s="51">
        <v>0.81</v>
      </c>
      <c r="Q24" s="51">
        <v>8.92</v>
      </c>
      <c r="R24" s="43"/>
      <c r="S24" s="43"/>
      <c r="T24" s="43"/>
      <c r="U24" s="43"/>
    </row>
    <row r="25" spans="1:21" s="11" customFormat="1" x14ac:dyDescent="0.25">
      <c r="A25" s="50" t="s">
        <v>580</v>
      </c>
      <c r="B25" s="51">
        <v>9.64</v>
      </c>
      <c r="C25" s="51">
        <v>60.14</v>
      </c>
      <c r="D25" s="51">
        <v>69.78</v>
      </c>
      <c r="E25" s="51">
        <v>13.99</v>
      </c>
      <c r="F25" s="51">
        <v>51</v>
      </c>
      <c r="G25" s="51">
        <v>44.71</v>
      </c>
      <c r="H25" s="51">
        <v>18.190000000000001</v>
      </c>
      <c r="I25" s="51">
        <v>4.13</v>
      </c>
      <c r="J25" s="51">
        <v>1.98</v>
      </c>
      <c r="K25" s="51">
        <v>342.75</v>
      </c>
      <c r="L25" s="51">
        <v>28.74</v>
      </c>
      <c r="M25" s="51">
        <v>38.869999999999997</v>
      </c>
      <c r="N25" s="51">
        <v>243.5</v>
      </c>
      <c r="O25" s="51">
        <v>0</v>
      </c>
      <c r="P25" s="51">
        <v>0.87</v>
      </c>
      <c r="Q25" s="51">
        <v>8.94</v>
      </c>
      <c r="R25" s="43"/>
      <c r="S25" s="43"/>
      <c r="T25" s="43"/>
      <c r="U25" s="43"/>
    </row>
    <row r="26" spans="1:21" s="11" customFormat="1" x14ac:dyDescent="0.25">
      <c r="A26" s="50" t="s">
        <v>581</v>
      </c>
      <c r="B26" s="51">
        <v>7.5</v>
      </c>
      <c r="C26" s="51">
        <v>78.599999999999994</v>
      </c>
      <c r="D26" s="51">
        <v>86.1</v>
      </c>
      <c r="E26" s="51">
        <v>14.62</v>
      </c>
      <c r="F26" s="51">
        <v>53.65</v>
      </c>
      <c r="G26" s="51">
        <v>45.27</v>
      </c>
      <c r="H26" s="51">
        <v>22.66</v>
      </c>
      <c r="I26" s="51">
        <v>4.04</v>
      </c>
      <c r="J26" s="51">
        <v>1</v>
      </c>
      <c r="K26" s="51">
        <v>180.1</v>
      </c>
      <c r="L26" s="51">
        <v>27.83</v>
      </c>
      <c r="M26" s="51">
        <v>33.94</v>
      </c>
      <c r="N26" s="51">
        <v>107.7</v>
      </c>
      <c r="O26" s="51">
        <v>0</v>
      </c>
      <c r="P26" s="51">
        <v>0.98</v>
      </c>
      <c r="Q26" s="51">
        <v>8.93</v>
      </c>
      <c r="R26" s="43"/>
      <c r="S26" s="43"/>
      <c r="T26" s="43"/>
      <c r="U26" s="43"/>
    </row>
    <row r="27" spans="1:21" s="11" customFormat="1" x14ac:dyDescent="0.25">
      <c r="A27" s="50" t="s">
        <v>582</v>
      </c>
      <c r="B27" s="51">
        <v>5.8</v>
      </c>
      <c r="C27" s="51">
        <v>87.04</v>
      </c>
      <c r="D27" s="51">
        <v>90.77</v>
      </c>
      <c r="E27" s="51">
        <v>13.02</v>
      </c>
      <c r="F27" s="51">
        <v>34.47</v>
      </c>
      <c r="G27" s="51">
        <v>47.76</v>
      </c>
      <c r="H27" s="51">
        <v>22.66</v>
      </c>
      <c r="I27" s="51">
        <v>4.0999999999999996</v>
      </c>
      <c r="J27" s="51">
        <v>0.89</v>
      </c>
      <c r="K27" s="51">
        <v>174.71</v>
      </c>
      <c r="L27" s="51">
        <v>27.21</v>
      </c>
      <c r="M27" s="51">
        <v>45.71</v>
      </c>
      <c r="N27" s="51">
        <v>64.099999999999994</v>
      </c>
      <c r="O27" s="51">
        <v>0</v>
      </c>
      <c r="P27" s="51">
        <v>0.83</v>
      </c>
      <c r="Q27" s="51">
        <v>8.9600000000000009</v>
      </c>
      <c r="R27" s="43"/>
      <c r="S27" s="43"/>
      <c r="T27" s="43"/>
      <c r="U27" s="43"/>
    </row>
    <row r="28" spans="1:21" s="11" customFormat="1" x14ac:dyDescent="0.25">
      <c r="A28" s="50" t="s">
        <v>583</v>
      </c>
      <c r="B28" s="51">
        <v>10.5</v>
      </c>
      <c r="C28" s="51">
        <v>74.150000000000006</v>
      </c>
      <c r="D28" s="51">
        <v>84.65</v>
      </c>
      <c r="E28" s="51">
        <v>6.08</v>
      </c>
      <c r="F28" s="51">
        <v>29.38</v>
      </c>
      <c r="G28" s="51">
        <v>50.74</v>
      </c>
      <c r="H28" s="51">
        <v>20.92</v>
      </c>
      <c r="I28" s="51">
        <v>4.0199999999999996</v>
      </c>
      <c r="J28" s="51">
        <v>1.08</v>
      </c>
      <c r="K28" s="51">
        <v>296.07</v>
      </c>
      <c r="L28" s="51">
        <v>25.37</v>
      </c>
      <c r="M28" s="51">
        <v>61.48</v>
      </c>
      <c r="N28" s="51">
        <v>61.3</v>
      </c>
      <c r="O28" s="51">
        <v>0</v>
      </c>
      <c r="P28" s="51">
        <v>1.0900000000000001</v>
      </c>
      <c r="Q28" s="51">
        <v>9.0299999999999994</v>
      </c>
      <c r="R28" s="43"/>
      <c r="S28" s="43"/>
      <c r="T28" s="43"/>
      <c r="U28" s="43"/>
    </row>
    <row r="29" spans="1:21" s="11" customFormat="1" x14ac:dyDescent="0.25">
      <c r="A29" s="50" t="s">
        <v>584</v>
      </c>
      <c r="B29" s="51">
        <v>7.45</v>
      </c>
      <c r="C29" s="51">
        <v>63.3</v>
      </c>
      <c r="D29" s="51">
        <v>69.73</v>
      </c>
      <c r="E29" s="51">
        <v>5.22</v>
      </c>
      <c r="F29" s="51">
        <v>27.9</v>
      </c>
      <c r="G29" s="51">
        <v>50.74</v>
      </c>
      <c r="H29" s="51">
        <v>19.75</v>
      </c>
      <c r="I29" s="51">
        <v>4.0199999999999996</v>
      </c>
      <c r="J29" s="51">
        <v>1.94</v>
      </c>
      <c r="K29" s="51">
        <v>99.93</v>
      </c>
      <c r="L29" s="51">
        <v>24.16</v>
      </c>
      <c r="M29" s="51">
        <v>67.58</v>
      </c>
      <c r="N29" s="51">
        <v>61.3</v>
      </c>
      <c r="O29" s="51">
        <v>0</v>
      </c>
      <c r="P29" s="51">
        <v>0.92</v>
      </c>
      <c r="Q29" s="51">
        <v>9.0399999999999991</v>
      </c>
      <c r="R29" s="43"/>
      <c r="S29" s="43"/>
      <c r="T29" s="43"/>
      <c r="U29" s="43"/>
    </row>
    <row r="30" spans="1:21" s="11" customFormat="1" x14ac:dyDescent="0.25">
      <c r="A30" s="50" t="s">
        <v>585</v>
      </c>
      <c r="B30" s="51">
        <v>6.71</v>
      </c>
      <c r="C30" s="51">
        <v>62.07</v>
      </c>
      <c r="D30" s="51">
        <v>68.78</v>
      </c>
      <c r="E30" s="51">
        <v>5.19</v>
      </c>
      <c r="F30" s="51">
        <v>26.03</v>
      </c>
      <c r="G30" s="51">
        <v>46.06</v>
      </c>
      <c r="H30" s="51">
        <v>19.05</v>
      </c>
      <c r="I30" s="51">
        <v>3.98</v>
      </c>
      <c r="J30" s="51">
        <v>1.48</v>
      </c>
      <c r="K30" s="51">
        <v>86.66</v>
      </c>
      <c r="L30" s="51">
        <v>23.26</v>
      </c>
      <c r="M30" s="51">
        <v>70.260000000000005</v>
      </c>
      <c r="N30" s="51">
        <v>61.2</v>
      </c>
      <c r="O30" s="51">
        <v>0</v>
      </c>
      <c r="P30" s="51">
        <v>0.8</v>
      </c>
      <c r="Q30" s="51">
        <v>9.06</v>
      </c>
      <c r="R30" s="43"/>
      <c r="S30" s="43"/>
      <c r="T30" s="43"/>
      <c r="U30" s="43"/>
    </row>
    <row r="31" spans="1:21" s="11" customFormat="1" x14ac:dyDescent="0.25">
      <c r="A31" s="50" t="s">
        <v>586</v>
      </c>
      <c r="B31" s="51">
        <v>9.57</v>
      </c>
      <c r="C31" s="51">
        <v>63.57</v>
      </c>
      <c r="D31" s="51">
        <v>73.069999999999993</v>
      </c>
      <c r="E31" s="51">
        <v>4.25</v>
      </c>
      <c r="F31" s="51">
        <v>13.28</v>
      </c>
      <c r="G31" s="51">
        <v>45.66</v>
      </c>
      <c r="H31" s="51">
        <v>19.05</v>
      </c>
      <c r="I31" s="51">
        <v>4.12</v>
      </c>
      <c r="J31" s="51">
        <v>2.69</v>
      </c>
      <c r="K31" s="51">
        <v>103.63</v>
      </c>
      <c r="L31" s="51">
        <v>22.55</v>
      </c>
      <c r="M31" s="51">
        <v>74.739999999999995</v>
      </c>
      <c r="N31" s="51">
        <v>61.3</v>
      </c>
      <c r="O31" s="51">
        <v>0</v>
      </c>
      <c r="P31" s="51">
        <v>0.75</v>
      </c>
      <c r="Q31" s="51">
        <v>9.1199999999999992</v>
      </c>
      <c r="R31" s="43"/>
      <c r="S31" s="43"/>
      <c r="T31" s="43"/>
      <c r="U31" s="43"/>
    </row>
    <row r="32" spans="1:21" s="11" customFormat="1" x14ac:dyDescent="0.25">
      <c r="A32" s="50" t="s">
        <v>587</v>
      </c>
      <c r="B32" s="51">
        <v>5.23</v>
      </c>
      <c r="C32" s="51">
        <v>57.96</v>
      </c>
      <c r="D32" s="51">
        <v>63.19</v>
      </c>
      <c r="E32" s="51">
        <v>3.99</v>
      </c>
      <c r="F32" s="51">
        <v>14.41</v>
      </c>
      <c r="G32" s="51">
        <v>42.23</v>
      </c>
      <c r="H32" s="51">
        <v>17.920000000000002</v>
      </c>
      <c r="I32" s="51">
        <v>4.13</v>
      </c>
      <c r="J32" s="51">
        <v>2.0699999999999998</v>
      </c>
      <c r="K32" s="51">
        <v>97.53</v>
      </c>
      <c r="L32" s="51">
        <v>21.66</v>
      </c>
      <c r="M32" s="51">
        <v>77.849999999999994</v>
      </c>
      <c r="N32" s="51">
        <v>61.4</v>
      </c>
      <c r="O32" s="51">
        <v>0</v>
      </c>
      <c r="P32" s="51">
        <v>0.68</v>
      </c>
      <c r="Q32" s="51">
        <v>9.1300000000000008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4.04</v>
      </c>
      <c r="C34" s="28">
        <f t="shared" si="0"/>
        <v>39.81</v>
      </c>
      <c r="D34" s="28">
        <f t="shared" si="0"/>
        <v>46.95</v>
      </c>
      <c r="E34" s="28">
        <f t="shared" si="0"/>
        <v>2.2200000000000002</v>
      </c>
      <c r="F34" s="28">
        <f t="shared" si="0"/>
        <v>7.09</v>
      </c>
      <c r="G34" s="28">
        <f t="shared" si="0"/>
        <v>18.760000000000002</v>
      </c>
      <c r="H34" s="28">
        <f t="shared" si="0"/>
        <v>8.16</v>
      </c>
      <c r="I34" s="28">
        <f t="shared" si="0"/>
        <v>3.98</v>
      </c>
      <c r="J34" s="28">
        <f t="shared" si="0"/>
        <v>0.71</v>
      </c>
      <c r="K34" s="28">
        <f t="shared" si="0"/>
        <v>86.66</v>
      </c>
      <c r="L34" s="28">
        <f t="shared" si="0"/>
        <v>18.13</v>
      </c>
      <c r="M34" s="28">
        <f t="shared" si="0"/>
        <v>33.94</v>
      </c>
      <c r="N34" s="28">
        <f t="shared" si="0"/>
        <v>61.2</v>
      </c>
      <c r="O34" s="28">
        <f t="shared" si="0"/>
        <v>0</v>
      </c>
      <c r="P34" s="28">
        <f t="shared" si="0"/>
        <v>0.33</v>
      </c>
      <c r="Q34" s="28">
        <f t="shared" si="0"/>
        <v>8.84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11.64</v>
      </c>
      <c r="C35" s="29">
        <f t="shared" si="1"/>
        <v>87.04</v>
      </c>
      <c r="D35" s="29">
        <f t="shared" si="1"/>
        <v>90.77</v>
      </c>
      <c r="E35" s="29">
        <f t="shared" si="1"/>
        <v>14.62</v>
      </c>
      <c r="F35" s="29">
        <f t="shared" si="1"/>
        <v>53.65</v>
      </c>
      <c r="G35" s="29">
        <f t="shared" si="1"/>
        <v>50.74</v>
      </c>
      <c r="H35" s="29">
        <f t="shared" si="1"/>
        <v>22.66</v>
      </c>
      <c r="I35" s="29">
        <f t="shared" si="1"/>
        <v>4.1900000000000004</v>
      </c>
      <c r="J35" s="29">
        <f t="shared" si="1"/>
        <v>2.69</v>
      </c>
      <c r="K35" s="29">
        <f t="shared" si="1"/>
        <v>342.75</v>
      </c>
      <c r="L35" s="29">
        <f t="shared" si="1"/>
        <v>30.7</v>
      </c>
      <c r="M35" s="29">
        <f t="shared" si="1"/>
        <v>92.95</v>
      </c>
      <c r="N35" s="29">
        <f t="shared" si="1"/>
        <v>772.8</v>
      </c>
      <c r="O35" s="29">
        <f t="shared" si="1"/>
        <v>0</v>
      </c>
      <c r="P35" s="29">
        <f t="shared" si="1"/>
        <v>1.0900000000000001</v>
      </c>
      <c r="Q35" s="29">
        <f t="shared" si="1"/>
        <v>9.1300000000000008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7.298333333333332</v>
      </c>
      <c r="C36" s="28">
        <f t="shared" si="2"/>
        <v>58.324166666666663</v>
      </c>
      <c r="D36" s="28">
        <f t="shared" si="2"/>
        <v>65.277500000000003</v>
      </c>
      <c r="E36" s="28">
        <f t="shared" si="2"/>
        <v>5.274166666666666</v>
      </c>
      <c r="F36" s="28">
        <f t="shared" si="2"/>
        <v>19.497083333333329</v>
      </c>
      <c r="G36" s="28">
        <f t="shared" si="2"/>
        <v>33.505833333333335</v>
      </c>
      <c r="H36" s="28">
        <f t="shared" si="2"/>
        <v>14.565</v>
      </c>
      <c r="I36" s="28">
        <f t="shared" si="2"/>
        <v>4.0912499999999996</v>
      </c>
      <c r="J36" s="28">
        <f t="shared" si="2"/>
        <v>1.4858333333333331</v>
      </c>
      <c r="K36" s="28">
        <f t="shared" si="2"/>
        <v>191.99458333333337</v>
      </c>
      <c r="L36" s="28">
        <f t="shared" si="2"/>
        <v>24.012083333333333</v>
      </c>
      <c r="M36" s="28">
        <f t="shared" si="2"/>
        <v>66.581666666666663</v>
      </c>
      <c r="N36" s="28">
        <f t="shared" si="2"/>
        <v>284.98750000000001</v>
      </c>
      <c r="O36" s="28">
        <f t="shared" si="2"/>
        <v>0</v>
      </c>
      <c r="P36" s="28">
        <f t="shared" si="2"/>
        <v>0.58708333333333329</v>
      </c>
      <c r="Q36" s="28">
        <f t="shared" si="2"/>
        <v>8.9662500000000005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2.4844501914152404</v>
      </c>
      <c r="C37" s="28">
        <f t="shared" ref="C37:Q37" si="3">STDEV(C9:C32)</f>
        <v>10.021310734658419</v>
      </c>
      <c r="D37" s="28">
        <f t="shared" si="3"/>
        <v>10.104734254191213</v>
      </c>
      <c r="E37" s="28">
        <f t="shared" si="3"/>
        <v>3.923501006107625</v>
      </c>
      <c r="F37" s="28">
        <f t="shared" si="3"/>
        <v>13.53028470382892</v>
      </c>
      <c r="G37" s="28">
        <f t="shared" si="3"/>
        <v>10.586039583242211</v>
      </c>
      <c r="H37" s="28">
        <f t="shared" si="3"/>
        <v>4.5514976035127805</v>
      </c>
      <c r="I37" s="28">
        <f t="shared" si="3"/>
        <v>5.8555993269912975E-2</v>
      </c>
      <c r="J37" s="28">
        <f t="shared" si="3"/>
        <v>0.47045691635358877</v>
      </c>
      <c r="K37" s="28">
        <f t="shared" si="3"/>
        <v>94.212228550833501</v>
      </c>
      <c r="L37" s="28">
        <f t="shared" si="3"/>
        <v>4.585579456216573</v>
      </c>
      <c r="M37" s="28">
        <f t="shared" si="3"/>
        <v>20.522754427107536</v>
      </c>
      <c r="N37" s="28">
        <f t="shared" si="3"/>
        <v>278.67542178405631</v>
      </c>
      <c r="O37" s="28">
        <f t="shared" si="3"/>
        <v>0</v>
      </c>
      <c r="P37" s="28">
        <f t="shared" si="3"/>
        <v>0.24337266408368144</v>
      </c>
      <c r="Q37" s="28">
        <f t="shared" si="3"/>
        <v>8.1230348794138527E-2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588</v>
      </c>
      <c r="B9" s="51">
        <v>4.47</v>
      </c>
      <c r="C9" s="51">
        <v>51.13</v>
      </c>
      <c r="D9" s="51">
        <v>55.29</v>
      </c>
      <c r="E9" s="51">
        <v>2.91</v>
      </c>
      <c r="F9" s="51">
        <v>19.97</v>
      </c>
      <c r="G9" s="51">
        <v>41.46</v>
      </c>
      <c r="H9" s="51">
        <v>18.45</v>
      </c>
      <c r="I9" s="51">
        <v>4.0599999999999996</v>
      </c>
      <c r="J9" s="51">
        <v>0.97</v>
      </c>
      <c r="K9" s="51">
        <v>59.9</v>
      </c>
      <c r="L9" s="51">
        <v>21.23</v>
      </c>
      <c r="M9" s="51">
        <v>77.55</v>
      </c>
      <c r="N9" s="51">
        <v>61.3</v>
      </c>
      <c r="O9" s="51">
        <v>0</v>
      </c>
      <c r="P9" s="51">
        <v>0.59</v>
      </c>
      <c r="Q9" s="51">
        <v>9.06</v>
      </c>
      <c r="R9" s="43"/>
      <c r="S9" s="43"/>
      <c r="T9" s="43"/>
      <c r="U9" s="43"/>
    </row>
    <row r="10" spans="1:21" s="11" customFormat="1" x14ac:dyDescent="0.25">
      <c r="A10" s="50" t="s">
        <v>589</v>
      </c>
      <c r="B10" s="51">
        <v>4.38</v>
      </c>
      <c r="C10" s="51">
        <v>45.65</v>
      </c>
      <c r="D10" s="51">
        <v>50.01</v>
      </c>
      <c r="E10" s="51">
        <v>3.04</v>
      </c>
      <c r="F10" s="51">
        <v>15.72</v>
      </c>
      <c r="G10" s="51">
        <v>37.65</v>
      </c>
      <c r="H10" s="51">
        <v>18.45</v>
      </c>
      <c r="I10" s="51">
        <v>4.12</v>
      </c>
      <c r="J10" s="51">
        <v>1.71</v>
      </c>
      <c r="K10" s="51">
        <v>90.45</v>
      </c>
      <c r="L10" s="51">
        <v>21.07</v>
      </c>
      <c r="M10" s="51">
        <v>78.58</v>
      </c>
      <c r="N10" s="51">
        <v>61.4</v>
      </c>
      <c r="O10" s="51">
        <v>0</v>
      </c>
      <c r="P10" s="51">
        <v>0.51</v>
      </c>
      <c r="Q10" s="51">
        <v>9.01</v>
      </c>
      <c r="R10" s="43"/>
      <c r="S10" s="43"/>
      <c r="T10" s="43"/>
      <c r="U10" s="43"/>
    </row>
    <row r="11" spans="1:21" s="11" customFormat="1" x14ac:dyDescent="0.25">
      <c r="A11" s="50" t="s">
        <v>590</v>
      </c>
      <c r="B11" s="51">
        <v>4.59</v>
      </c>
      <c r="C11" s="51">
        <v>50.1</v>
      </c>
      <c r="D11" s="51">
        <v>54.61</v>
      </c>
      <c r="E11" s="51">
        <v>2.88</v>
      </c>
      <c r="F11" s="51">
        <v>10.62</v>
      </c>
      <c r="G11" s="51">
        <v>36.14</v>
      </c>
      <c r="H11" s="51">
        <v>15.79</v>
      </c>
      <c r="I11" s="51">
        <v>4.1399999999999997</v>
      </c>
      <c r="J11" s="51">
        <v>1.46</v>
      </c>
      <c r="K11" s="51">
        <v>86.52</v>
      </c>
      <c r="L11" s="51">
        <v>20.53</v>
      </c>
      <c r="M11" s="51">
        <v>82.77</v>
      </c>
      <c r="N11" s="51">
        <v>61.9</v>
      </c>
      <c r="O11" s="51">
        <v>0</v>
      </c>
      <c r="P11" s="51">
        <v>0.51</v>
      </c>
      <c r="Q11" s="51">
        <v>9.01</v>
      </c>
      <c r="R11" s="43"/>
      <c r="S11" s="43"/>
      <c r="T11" s="43"/>
      <c r="U11" s="43"/>
    </row>
    <row r="12" spans="1:21" s="11" customFormat="1" x14ac:dyDescent="0.25">
      <c r="A12" s="50" t="s">
        <v>591</v>
      </c>
      <c r="B12" s="51">
        <v>4.3899999999999997</v>
      </c>
      <c r="C12" s="51">
        <v>48.07</v>
      </c>
      <c r="D12" s="51">
        <v>52.4</v>
      </c>
      <c r="E12" s="51">
        <v>2.27</v>
      </c>
      <c r="F12" s="51">
        <v>8.52</v>
      </c>
      <c r="G12" s="51">
        <v>36.67</v>
      </c>
      <c r="H12" s="51">
        <v>15.53</v>
      </c>
      <c r="I12" s="51">
        <v>4.13</v>
      </c>
      <c r="J12" s="51">
        <v>2.92</v>
      </c>
      <c r="K12" s="51">
        <v>103.21</v>
      </c>
      <c r="L12" s="51">
        <v>20.010000000000002</v>
      </c>
      <c r="M12" s="51">
        <v>90.96</v>
      </c>
      <c r="N12" s="51">
        <v>61.9</v>
      </c>
      <c r="O12" s="51">
        <v>0</v>
      </c>
      <c r="P12" s="51">
        <v>0.49</v>
      </c>
      <c r="Q12" s="51">
        <v>9.01</v>
      </c>
      <c r="R12" s="43"/>
      <c r="S12" s="43"/>
      <c r="T12" s="43"/>
      <c r="U12" s="43"/>
    </row>
    <row r="13" spans="1:21" s="11" customFormat="1" x14ac:dyDescent="0.25">
      <c r="A13" s="50" t="s">
        <v>592</v>
      </c>
      <c r="B13" s="51">
        <v>4.8</v>
      </c>
      <c r="C13" s="51">
        <v>46.46</v>
      </c>
      <c r="D13" s="51">
        <v>50.74</v>
      </c>
      <c r="E13" s="51">
        <v>2.4700000000000002</v>
      </c>
      <c r="F13" s="51">
        <v>10.65</v>
      </c>
      <c r="G13" s="51">
        <v>36.67</v>
      </c>
      <c r="H13" s="51">
        <v>14.22</v>
      </c>
      <c r="I13" s="51">
        <v>4</v>
      </c>
      <c r="J13" s="51">
        <v>2.08</v>
      </c>
      <c r="K13" s="51">
        <v>104.48</v>
      </c>
      <c r="L13" s="51">
        <v>19.3</v>
      </c>
      <c r="M13" s="51">
        <v>96.83</v>
      </c>
      <c r="N13" s="51">
        <v>61.7</v>
      </c>
      <c r="O13" s="51">
        <v>0</v>
      </c>
      <c r="P13" s="51">
        <v>0.45</v>
      </c>
      <c r="Q13" s="51">
        <v>8.98</v>
      </c>
      <c r="R13" s="43"/>
      <c r="S13" s="43"/>
      <c r="T13" s="43"/>
      <c r="U13" s="43"/>
    </row>
    <row r="14" spans="1:21" s="11" customFormat="1" x14ac:dyDescent="0.25">
      <c r="A14" s="50" t="s">
        <v>593</v>
      </c>
      <c r="B14" s="51">
        <v>8.41</v>
      </c>
      <c r="C14" s="51">
        <v>40.840000000000003</v>
      </c>
      <c r="D14" s="51">
        <v>48.19</v>
      </c>
      <c r="E14" s="51">
        <v>2.34</v>
      </c>
      <c r="F14" s="51">
        <v>10.62</v>
      </c>
      <c r="G14" s="51">
        <v>31.26</v>
      </c>
      <c r="H14" s="51">
        <v>14.22</v>
      </c>
      <c r="I14" s="51">
        <v>4.17</v>
      </c>
      <c r="J14" s="51">
        <v>1.23</v>
      </c>
      <c r="K14" s="51">
        <v>82.2</v>
      </c>
      <c r="L14" s="51">
        <v>18.829999999999998</v>
      </c>
      <c r="M14" s="51">
        <v>96.9</v>
      </c>
      <c r="N14" s="51">
        <v>62.4</v>
      </c>
      <c r="O14" s="51">
        <v>0</v>
      </c>
      <c r="P14" s="51">
        <v>0.45</v>
      </c>
      <c r="Q14" s="51">
        <v>9.02</v>
      </c>
      <c r="R14" s="43"/>
      <c r="S14" s="43"/>
      <c r="T14" s="43"/>
      <c r="U14" s="43"/>
    </row>
    <row r="15" spans="1:21" s="11" customFormat="1" x14ac:dyDescent="0.25">
      <c r="A15" s="50" t="s">
        <v>594</v>
      </c>
      <c r="B15" s="51">
        <v>10.25</v>
      </c>
      <c r="C15" s="51">
        <v>46.53</v>
      </c>
      <c r="D15" s="51">
        <v>55.87</v>
      </c>
      <c r="E15" s="51">
        <v>2.4</v>
      </c>
      <c r="F15" s="51">
        <v>8.93</v>
      </c>
      <c r="G15" s="51">
        <v>29.13</v>
      </c>
      <c r="H15" s="51">
        <v>13.6</v>
      </c>
      <c r="I15" s="51">
        <v>4.1399999999999997</v>
      </c>
      <c r="J15" s="51">
        <v>1.53</v>
      </c>
      <c r="K15" s="51">
        <v>104.62</v>
      </c>
      <c r="L15" s="51">
        <v>19.07</v>
      </c>
      <c r="M15" s="51">
        <v>96.79</v>
      </c>
      <c r="N15" s="51">
        <v>132</v>
      </c>
      <c r="O15" s="51">
        <v>0</v>
      </c>
      <c r="P15" s="51">
        <v>0.45</v>
      </c>
      <c r="Q15" s="51">
        <v>9.07</v>
      </c>
      <c r="R15" s="43"/>
      <c r="S15" s="43"/>
      <c r="T15" s="43"/>
      <c r="U15" s="43"/>
    </row>
    <row r="16" spans="1:21" s="11" customFormat="1" x14ac:dyDescent="0.25">
      <c r="A16" s="50" t="s">
        <v>595</v>
      </c>
      <c r="B16" s="51">
        <v>13.5</v>
      </c>
      <c r="C16" s="51">
        <v>48.22</v>
      </c>
      <c r="D16" s="51">
        <v>61.58</v>
      </c>
      <c r="E16" s="51">
        <v>2.36</v>
      </c>
      <c r="F16" s="51">
        <v>7.36</v>
      </c>
      <c r="G16" s="51">
        <v>26.54</v>
      </c>
      <c r="H16" s="51">
        <v>12.63</v>
      </c>
      <c r="I16" s="51">
        <v>4.16</v>
      </c>
      <c r="J16" s="51">
        <v>0.84</v>
      </c>
      <c r="K16" s="51">
        <v>227.8</v>
      </c>
      <c r="L16" s="51">
        <v>19.22</v>
      </c>
      <c r="M16" s="51">
        <v>96.67</v>
      </c>
      <c r="N16" s="51">
        <v>119.2</v>
      </c>
      <c r="O16" s="51">
        <v>0</v>
      </c>
      <c r="P16" s="51">
        <v>0.46</v>
      </c>
      <c r="Q16" s="51">
        <v>9.17</v>
      </c>
      <c r="R16" s="43"/>
      <c r="S16" s="43"/>
      <c r="T16" s="43"/>
      <c r="U16" s="43"/>
    </row>
    <row r="17" spans="1:21" s="11" customFormat="1" x14ac:dyDescent="0.25">
      <c r="A17" s="50" t="s">
        <v>596</v>
      </c>
      <c r="B17" s="51">
        <v>15.55</v>
      </c>
      <c r="C17" s="51">
        <v>50.53</v>
      </c>
      <c r="D17" s="51">
        <v>66.08</v>
      </c>
      <c r="E17" s="51">
        <v>2.52</v>
      </c>
      <c r="F17" s="51">
        <v>8.01</v>
      </c>
      <c r="G17" s="51">
        <v>27.46</v>
      </c>
      <c r="H17" s="51">
        <v>12.63</v>
      </c>
      <c r="I17" s="51">
        <v>4.17</v>
      </c>
      <c r="J17" s="51">
        <v>1.27</v>
      </c>
      <c r="K17" s="51">
        <v>333.72</v>
      </c>
      <c r="L17" s="51">
        <v>20.27</v>
      </c>
      <c r="M17" s="51">
        <v>96.71</v>
      </c>
      <c r="N17" s="51">
        <v>147.4</v>
      </c>
      <c r="O17" s="51">
        <v>0.2</v>
      </c>
      <c r="P17" s="51">
        <v>0.51</v>
      </c>
      <c r="Q17" s="51">
        <v>9.25</v>
      </c>
      <c r="R17" s="43"/>
      <c r="S17" s="43"/>
      <c r="T17" s="43"/>
      <c r="U17" s="43"/>
    </row>
    <row r="18" spans="1:21" s="11" customFormat="1" x14ac:dyDescent="0.25">
      <c r="A18" s="50" t="s">
        <v>597</v>
      </c>
      <c r="B18" s="51">
        <v>19.62</v>
      </c>
      <c r="C18" s="51">
        <v>52.38</v>
      </c>
      <c r="D18" s="51">
        <v>72.010000000000005</v>
      </c>
      <c r="E18" s="51">
        <v>2.63</v>
      </c>
      <c r="F18" s="51">
        <v>10.35</v>
      </c>
      <c r="G18" s="51">
        <v>31.13</v>
      </c>
      <c r="H18" s="51">
        <v>12.46</v>
      </c>
      <c r="I18" s="51">
        <v>4.0999999999999996</v>
      </c>
      <c r="J18" s="51">
        <v>1.24</v>
      </c>
      <c r="K18" s="51">
        <v>165.78</v>
      </c>
      <c r="L18" s="51">
        <v>20.27</v>
      </c>
      <c r="M18" s="51">
        <v>97.27</v>
      </c>
      <c r="N18" s="51">
        <v>300.8</v>
      </c>
      <c r="O18" s="51">
        <v>0</v>
      </c>
      <c r="P18" s="51">
        <v>0.59</v>
      </c>
      <c r="Q18" s="51">
        <v>9.31</v>
      </c>
      <c r="R18" s="43"/>
      <c r="S18" s="43"/>
      <c r="T18" s="43"/>
      <c r="U18" s="43"/>
    </row>
    <row r="19" spans="1:21" s="11" customFormat="1" x14ac:dyDescent="0.25">
      <c r="A19" s="50" t="s">
        <v>598</v>
      </c>
      <c r="B19" s="51">
        <v>17.79</v>
      </c>
      <c r="C19" s="51">
        <v>58.26</v>
      </c>
      <c r="D19" s="51">
        <v>74.010000000000005</v>
      </c>
      <c r="E19" s="51">
        <v>3.3</v>
      </c>
      <c r="F19" s="51">
        <v>13.78</v>
      </c>
      <c r="G19" s="51">
        <v>40.119999999999997</v>
      </c>
      <c r="H19" s="51">
        <v>12.46</v>
      </c>
      <c r="I19" s="51">
        <v>4.05</v>
      </c>
      <c r="J19" s="51">
        <v>0.89</v>
      </c>
      <c r="K19" s="51">
        <v>359.6</v>
      </c>
      <c r="L19" s="51">
        <v>28.5</v>
      </c>
      <c r="M19" s="51">
        <v>78.31</v>
      </c>
      <c r="N19" s="51">
        <v>755.6</v>
      </c>
      <c r="O19" s="51">
        <v>0</v>
      </c>
      <c r="P19" s="51">
        <v>0.64</v>
      </c>
      <c r="Q19" s="51">
        <v>9.36</v>
      </c>
      <c r="R19" s="43"/>
      <c r="S19" s="43"/>
      <c r="T19" s="43"/>
      <c r="U19" s="43"/>
    </row>
    <row r="20" spans="1:21" s="11" customFormat="1" x14ac:dyDescent="0.25">
      <c r="A20" s="50" t="s">
        <v>599</v>
      </c>
      <c r="B20" s="51">
        <v>13.82</v>
      </c>
      <c r="C20" s="51">
        <v>65.27</v>
      </c>
      <c r="D20" s="51">
        <v>75.77</v>
      </c>
      <c r="E20" s="51">
        <v>3.66</v>
      </c>
      <c r="F20" s="51">
        <v>12.55</v>
      </c>
      <c r="G20" s="51">
        <v>44.6</v>
      </c>
      <c r="H20" s="51">
        <v>13.76</v>
      </c>
      <c r="I20" s="51">
        <v>4.3</v>
      </c>
      <c r="J20" s="51">
        <v>0.87</v>
      </c>
      <c r="K20" s="51">
        <v>334</v>
      </c>
      <c r="L20" s="51">
        <v>29.91</v>
      </c>
      <c r="M20" s="51">
        <v>54.29</v>
      </c>
      <c r="N20" s="51">
        <v>808.3</v>
      </c>
      <c r="O20" s="51">
        <v>0</v>
      </c>
      <c r="P20" s="51">
        <v>0.65</v>
      </c>
      <c r="Q20" s="51">
        <v>9.32</v>
      </c>
      <c r="R20" s="43"/>
      <c r="S20" s="43"/>
      <c r="T20" s="43"/>
      <c r="U20" s="43"/>
    </row>
    <row r="21" spans="1:21" s="11" customFormat="1" x14ac:dyDescent="0.25">
      <c r="A21" s="50" t="s">
        <v>600</v>
      </c>
      <c r="B21" s="51">
        <v>5.97</v>
      </c>
      <c r="C21" s="51">
        <v>59.93</v>
      </c>
      <c r="D21" s="51">
        <v>65.680000000000007</v>
      </c>
      <c r="E21" s="51">
        <v>3.23</v>
      </c>
      <c r="F21" s="51">
        <v>16.71</v>
      </c>
      <c r="G21" s="51">
        <v>46.76</v>
      </c>
      <c r="H21" s="51">
        <v>16.5</v>
      </c>
      <c r="I21" s="51">
        <v>4.01</v>
      </c>
      <c r="J21" s="51">
        <v>1.38</v>
      </c>
      <c r="K21" s="51">
        <v>311.3</v>
      </c>
      <c r="L21" s="51">
        <v>28.67</v>
      </c>
      <c r="M21" s="51">
        <v>55.01</v>
      </c>
      <c r="N21" s="51">
        <v>820</v>
      </c>
      <c r="O21" s="51">
        <v>0</v>
      </c>
      <c r="P21" s="51">
        <v>0.65</v>
      </c>
      <c r="Q21" s="51">
        <v>9.14</v>
      </c>
      <c r="R21" s="43"/>
      <c r="S21" s="43"/>
      <c r="T21" s="43"/>
      <c r="U21" s="43"/>
    </row>
    <row r="22" spans="1:21" s="11" customFormat="1" x14ac:dyDescent="0.25">
      <c r="A22" s="50" t="s">
        <v>601</v>
      </c>
      <c r="B22" s="51">
        <v>6.93</v>
      </c>
      <c r="C22" s="51">
        <v>56.95</v>
      </c>
      <c r="D22" s="51">
        <v>61.91</v>
      </c>
      <c r="E22" s="51">
        <v>4.9000000000000004</v>
      </c>
      <c r="F22" s="51">
        <v>19.940000000000001</v>
      </c>
      <c r="G22" s="51">
        <v>46.76</v>
      </c>
      <c r="H22" s="51">
        <v>17.260000000000002</v>
      </c>
      <c r="I22" s="51">
        <v>4.1399999999999997</v>
      </c>
      <c r="J22" s="51">
        <v>0.93</v>
      </c>
      <c r="K22" s="51">
        <v>333.39</v>
      </c>
      <c r="L22" s="51">
        <v>31.89</v>
      </c>
      <c r="M22" s="51">
        <v>47.34</v>
      </c>
      <c r="N22" s="51">
        <v>814.3</v>
      </c>
      <c r="O22" s="51">
        <v>0</v>
      </c>
      <c r="P22" s="51">
        <v>0.68</v>
      </c>
      <c r="Q22" s="51">
        <v>9.08</v>
      </c>
      <c r="R22" s="43"/>
      <c r="S22" s="43"/>
      <c r="T22" s="43"/>
      <c r="U22" s="43"/>
    </row>
    <row r="23" spans="1:21" s="11" customFormat="1" x14ac:dyDescent="0.25">
      <c r="A23" s="50" t="s">
        <v>602</v>
      </c>
      <c r="B23" s="51">
        <v>5.29</v>
      </c>
      <c r="C23" s="51">
        <v>52.65</v>
      </c>
      <c r="D23" s="51">
        <v>57.95</v>
      </c>
      <c r="E23" s="51">
        <v>5.89</v>
      </c>
      <c r="F23" s="51">
        <v>38.64</v>
      </c>
      <c r="G23" s="51">
        <v>46.05</v>
      </c>
      <c r="H23" s="51">
        <v>17.260000000000002</v>
      </c>
      <c r="I23" s="51">
        <v>4.0199999999999996</v>
      </c>
      <c r="J23" s="51">
        <v>0.88</v>
      </c>
      <c r="K23" s="51">
        <v>239.25</v>
      </c>
      <c r="L23" s="51">
        <v>29.66</v>
      </c>
      <c r="M23" s="51">
        <v>41.92</v>
      </c>
      <c r="N23" s="51">
        <v>665.7</v>
      </c>
      <c r="O23" s="51">
        <v>0</v>
      </c>
      <c r="P23" s="51">
        <v>0.62</v>
      </c>
      <c r="Q23" s="51">
        <v>9.0500000000000007</v>
      </c>
      <c r="R23" s="43"/>
      <c r="S23" s="43"/>
      <c r="T23" s="43"/>
      <c r="U23" s="43"/>
    </row>
    <row r="24" spans="1:21" s="11" customFormat="1" x14ac:dyDescent="0.25">
      <c r="A24" s="50" t="s">
        <v>603</v>
      </c>
      <c r="B24" s="51">
        <v>5.12</v>
      </c>
      <c r="C24" s="51">
        <v>51.63</v>
      </c>
      <c r="D24" s="51">
        <v>56.74</v>
      </c>
      <c r="E24" s="51">
        <v>5.78</v>
      </c>
      <c r="F24" s="51">
        <v>29.8</v>
      </c>
      <c r="G24" s="51">
        <v>42.55</v>
      </c>
      <c r="H24" s="51">
        <v>16.95</v>
      </c>
      <c r="I24" s="51">
        <v>4.05</v>
      </c>
      <c r="J24" s="51">
        <v>1.43</v>
      </c>
      <c r="K24" s="51">
        <v>319.01</v>
      </c>
      <c r="L24" s="51">
        <v>29.89</v>
      </c>
      <c r="M24" s="51">
        <v>40.96</v>
      </c>
      <c r="N24" s="51">
        <v>378.6</v>
      </c>
      <c r="O24" s="51">
        <v>0</v>
      </c>
      <c r="P24" s="51">
        <v>0.55000000000000004</v>
      </c>
      <c r="Q24" s="51">
        <v>9.01</v>
      </c>
      <c r="R24" s="43"/>
      <c r="S24" s="43"/>
      <c r="T24" s="43"/>
      <c r="U24" s="43"/>
    </row>
    <row r="25" spans="1:21" s="11" customFormat="1" x14ac:dyDescent="0.25">
      <c r="A25" s="50" t="s">
        <v>604</v>
      </c>
      <c r="B25" s="51">
        <v>10.84</v>
      </c>
      <c r="C25" s="51">
        <v>60.55</v>
      </c>
      <c r="D25" s="51">
        <v>71.38</v>
      </c>
      <c r="E25" s="51">
        <v>9.2100000000000009</v>
      </c>
      <c r="F25" s="51">
        <v>35.76</v>
      </c>
      <c r="G25" s="51">
        <v>41.43</v>
      </c>
      <c r="H25" s="51">
        <v>17.600000000000001</v>
      </c>
      <c r="I25" s="51">
        <v>4.13</v>
      </c>
      <c r="J25" s="51">
        <v>1.34</v>
      </c>
      <c r="K25" s="51">
        <v>352.4</v>
      </c>
      <c r="L25" s="51">
        <v>29.07</v>
      </c>
      <c r="M25" s="51">
        <v>38.270000000000003</v>
      </c>
      <c r="N25" s="51">
        <v>180.8</v>
      </c>
      <c r="O25" s="51">
        <v>0</v>
      </c>
      <c r="P25" s="51">
        <v>0.6</v>
      </c>
      <c r="Q25" s="51">
        <v>8.98</v>
      </c>
      <c r="R25" s="43"/>
      <c r="S25" s="43"/>
      <c r="T25" s="43"/>
      <c r="U25" s="43"/>
    </row>
    <row r="26" spans="1:21" s="11" customFormat="1" x14ac:dyDescent="0.25">
      <c r="A26" s="50" t="s">
        <v>605</v>
      </c>
      <c r="B26" s="51">
        <v>5.33</v>
      </c>
      <c r="C26" s="51">
        <v>54.28</v>
      </c>
      <c r="D26" s="51">
        <v>59.61</v>
      </c>
      <c r="E26" s="51">
        <v>11.2</v>
      </c>
      <c r="F26" s="51">
        <v>42.23</v>
      </c>
      <c r="G26" s="51">
        <v>41.65</v>
      </c>
      <c r="H26" s="51">
        <v>17.600000000000001</v>
      </c>
      <c r="I26" s="51">
        <v>4</v>
      </c>
      <c r="J26" s="51">
        <v>1.46</v>
      </c>
      <c r="K26" s="51">
        <v>100.54</v>
      </c>
      <c r="L26" s="51">
        <v>27.75</v>
      </c>
      <c r="M26" s="51">
        <v>33.119999999999997</v>
      </c>
      <c r="N26" s="51">
        <v>119.7</v>
      </c>
      <c r="O26" s="51">
        <v>0</v>
      </c>
      <c r="P26" s="51">
        <v>0.56999999999999995</v>
      </c>
      <c r="Q26" s="51">
        <v>9</v>
      </c>
      <c r="R26" s="43"/>
      <c r="S26" s="43"/>
      <c r="T26" s="43"/>
      <c r="U26" s="43"/>
    </row>
    <row r="27" spans="1:21" s="11" customFormat="1" x14ac:dyDescent="0.25">
      <c r="A27" s="50" t="s">
        <v>606</v>
      </c>
      <c r="B27" s="51">
        <v>61.96</v>
      </c>
      <c r="C27" s="51">
        <v>130.11000000000001</v>
      </c>
      <c r="D27" s="51">
        <v>192.08</v>
      </c>
      <c r="E27" s="51">
        <v>10.48</v>
      </c>
      <c r="F27" s="51">
        <v>29.81</v>
      </c>
      <c r="G27" s="51">
        <v>42.7</v>
      </c>
      <c r="H27" s="51">
        <v>16.100000000000001</v>
      </c>
      <c r="I27" s="51">
        <v>4.12</v>
      </c>
      <c r="J27" s="51">
        <v>0.7</v>
      </c>
      <c r="K27" s="51">
        <v>344.44</v>
      </c>
      <c r="L27" s="51">
        <v>26.86</v>
      </c>
      <c r="M27" s="51">
        <v>42.97</v>
      </c>
      <c r="N27" s="51">
        <v>64.8</v>
      </c>
      <c r="O27" s="51">
        <v>0</v>
      </c>
      <c r="P27" s="51">
        <v>2.42</v>
      </c>
      <c r="Q27" s="51">
        <v>9.1</v>
      </c>
      <c r="R27" s="43"/>
      <c r="S27" s="43"/>
      <c r="T27" s="43"/>
      <c r="U27" s="43"/>
    </row>
    <row r="28" spans="1:21" s="11" customFormat="1" x14ac:dyDescent="0.25">
      <c r="A28" s="50" t="s">
        <v>607</v>
      </c>
      <c r="B28" s="51">
        <v>27.56</v>
      </c>
      <c r="C28" s="51">
        <v>128.5</v>
      </c>
      <c r="D28" s="51">
        <v>156.06</v>
      </c>
      <c r="E28" s="51">
        <v>8.0399999999999991</v>
      </c>
      <c r="F28" s="51">
        <v>21.69</v>
      </c>
      <c r="G28" s="51">
        <v>55.77</v>
      </c>
      <c r="H28" s="51">
        <v>16.13</v>
      </c>
      <c r="I28" s="51">
        <v>4.1500000000000004</v>
      </c>
      <c r="J28" s="51">
        <v>0.63</v>
      </c>
      <c r="K28" s="51">
        <v>185.68</v>
      </c>
      <c r="L28" s="51">
        <v>25.22</v>
      </c>
      <c r="M28" s="51">
        <v>47.57</v>
      </c>
      <c r="N28" s="51">
        <v>61.4</v>
      </c>
      <c r="O28" s="51">
        <v>0</v>
      </c>
      <c r="P28" s="51">
        <v>1.1599999999999999</v>
      </c>
      <c r="Q28" s="51">
        <v>9.32</v>
      </c>
      <c r="R28" s="43"/>
      <c r="S28" s="43"/>
      <c r="T28" s="43"/>
      <c r="U28" s="43"/>
    </row>
    <row r="29" spans="1:21" s="11" customFormat="1" x14ac:dyDescent="0.25">
      <c r="A29" s="50" t="s">
        <v>608</v>
      </c>
      <c r="B29" s="51">
        <v>12.06</v>
      </c>
      <c r="C29" s="51">
        <v>82.98</v>
      </c>
      <c r="D29" s="51">
        <v>95.04</v>
      </c>
      <c r="E29" s="51">
        <v>4.05</v>
      </c>
      <c r="F29" s="51">
        <v>14.92</v>
      </c>
      <c r="G29" s="51">
        <v>58.8</v>
      </c>
      <c r="H29" s="51">
        <v>16.13</v>
      </c>
      <c r="I29" s="51">
        <v>4.18</v>
      </c>
      <c r="J29" s="51">
        <v>1.25</v>
      </c>
      <c r="K29" s="51">
        <v>184.74</v>
      </c>
      <c r="L29" s="51">
        <v>24.48</v>
      </c>
      <c r="M29" s="51">
        <v>62.85</v>
      </c>
      <c r="N29" s="51">
        <v>61.4</v>
      </c>
      <c r="O29" s="51">
        <v>0</v>
      </c>
      <c r="P29" s="51">
        <v>0.86</v>
      </c>
      <c r="Q29" s="51">
        <v>9.33</v>
      </c>
      <c r="R29" s="43"/>
      <c r="S29" s="43"/>
      <c r="T29" s="43"/>
      <c r="U29" s="43"/>
    </row>
    <row r="30" spans="1:21" s="11" customFormat="1" x14ac:dyDescent="0.25">
      <c r="A30" s="50" t="s">
        <v>609</v>
      </c>
      <c r="B30" s="51">
        <v>9.17</v>
      </c>
      <c r="C30" s="51">
        <v>69.53</v>
      </c>
      <c r="D30" s="51">
        <v>78.7</v>
      </c>
      <c r="E30" s="51">
        <v>2.71</v>
      </c>
      <c r="F30" s="51">
        <v>14.98</v>
      </c>
      <c r="G30" s="51">
        <v>58.8</v>
      </c>
      <c r="H30" s="51">
        <v>23.33</v>
      </c>
      <c r="I30" s="51">
        <v>4.24</v>
      </c>
      <c r="J30" s="51">
        <v>1.1100000000000001</v>
      </c>
      <c r="K30" s="51">
        <v>187.83</v>
      </c>
      <c r="L30" s="51">
        <v>23.33</v>
      </c>
      <c r="M30" s="51">
        <v>67.09</v>
      </c>
      <c r="N30" s="51">
        <v>61.6</v>
      </c>
      <c r="O30" s="51">
        <v>0</v>
      </c>
      <c r="P30" s="51">
        <v>0.79</v>
      </c>
      <c r="Q30" s="51">
        <v>9.32</v>
      </c>
      <c r="R30" s="43"/>
      <c r="S30" s="43"/>
      <c r="T30" s="43"/>
      <c r="U30" s="43"/>
    </row>
    <row r="31" spans="1:21" s="11" customFormat="1" x14ac:dyDescent="0.25">
      <c r="A31" s="50" t="s">
        <v>610</v>
      </c>
      <c r="B31" s="51">
        <v>15.17</v>
      </c>
      <c r="C31" s="51">
        <v>64.680000000000007</v>
      </c>
      <c r="D31" s="51">
        <v>79.86</v>
      </c>
      <c r="E31" s="51">
        <v>2.75</v>
      </c>
      <c r="F31" s="51">
        <v>15.2</v>
      </c>
      <c r="G31" s="51">
        <v>57.47</v>
      </c>
      <c r="H31" s="51">
        <v>23.33</v>
      </c>
      <c r="I31" s="51">
        <v>4.0599999999999996</v>
      </c>
      <c r="J31" s="51">
        <v>0.89</v>
      </c>
      <c r="K31" s="51">
        <v>147.83000000000001</v>
      </c>
      <c r="L31" s="51">
        <v>22.53</v>
      </c>
      <c r="M31" s="51">
        <v>67.19</v>
      </c>
      <c r="N31" s="51">
        <v>61.8</v>
      </c>
      <c r="O31" s="51">
        <v>0</v>
      </c>
      <c r="P31" s="51">
        <v>0.86</v>
      </c>
      <c r="Q31" s="51">
        <v>9.26</v>
      </c>
      <c r="R31" s="43"/>
      <c r="S31" s="43"/>
      <c r="T31" s="43"/>
      <c r="U31" s="43"/>
    </row>
    <row r="32" spans="1:21" s="11" customFormat="1" x14ac:dyDescent="0.25">
      <c r="A32" s="50" t="s">
        <v>611</v>
      </c>
      <c r="B32" s="51">
        <v>16.010000000000002</v>
      </c>
      <c r="C32" s="51">
        <v>62.11</v>
      </c>
      <c r="D32" s="51">
        <v>78.11</v>
      </c>
      <c r="E32" s="51">
        <v>3.03</v>
      </c>
      <c r="F32" s="51">
        <v>14.45</v>
      </c>
      <c r="G32" s="51">
        <v>48.92</v>
      </c>
      <c r="H32" s="51">
        <v>19.93</v>
      </c>
      <c r="I32" s="51">
        <v>4.0199999999999996</v>
      </c>
      <c r="J32" s="51">
        <v>0.66</v>
      </c>
      <c r="K32" s="51">
        <v>306.52999999999997</v>
      </c>
      <c r="L32" s="51">
        <v>21.52</v>
      </c>
      <c r="M32" s="51">
        <v>78.290000000000006</v>
      </c>
      <c r="N32" s="51">
        <v>61.9</v>
      </c>
      <c r="O32" s="51">
        <v>0</v>
      </c>
      <c r="P32" s="51">
        <v>0.91</v>
      </c>
      <c r="Q32" s="51">
        <v>9.25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4.38</v>
      </c>
      <c r="C34" s="28">
        <f t="shared" si="0"/>
        <v>40.840000000000003</v>
      </c>
      <c r="D34" s="28">
        <f t="shared" si="0"/>
        <v>48.19</v>
      </c>
      <c r="E34" s="28">
        <f t="shared" si="0"/>
        <v>2.27</v>
      </c>
      <c r="F34" s="28">
        <f t="shared" si="0"/>
        <v>7.36</v>
      </c>
      <c r="G34" s="28">
        <f t="shared" si="0"/>
        <v>26.54</v>
      </c>
      <c r="H34" s="28">
        <f t="shared" si="0"/>
        <v>12.46</v>
      </c>
      <c r="I34" s="28">
        <f t="shared" si="0"/>
        <v>4</v>
      </c>
      <c r="J34" s="28">
        <f t="shared" si="0"/>
        <v>0.63</v>
      </c>
      <c r="K34" s="28">
        <f t="shared" si="0"/>
        <v>59.9</v>
      </c>
      <c r="L34" s="28">
        <f t="shared" si="0"/>
        <v>18.829999999999998</v>
      </c>
      <c r="M34" s="28">
        <f t="shared" si="0"/>
        <v>33.119999999999997</v>
      </c>
      <c r="N34" s="28">
        <f t="shared" si="0"/>
        <v>61.3</v>
      </c>
      <c r="O34" s="28">
        <f t="shared" si="0"/>
        <v>0</v>
      </c>
      <c r="P34" s="28">
        <f t="shared" si="0"/>
        <v>0.45</v>
      </c>
      <c r="Q34" s="28">
        <f t="shared" si="0"/>
        <v>8.98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61.96</v>
      </c>
      <c r="C35" s="29">
        <f t="shared" si="1"/>
        <v>130.11000000000001</v>
      </c>
      <c r="D35" s="29">
        <f t="shared" si="1"/>
        <v>192.08</v>
      </c>
      <c r="E35" s="29">
        <f t="shared" si="1"/>
        <v>11.2</v>
      </c>
      <c r="F35" s="29">
        <f t="shared" si="1"/>
        <v>42.23</v>
      </c>
      <c r="G35" s="29">
        <f t="shared" si="1"/>
        <v>58.8</v>
      </c>
      <c r="H35" s="29">
        <f t="shared" si="1"/>
        <v>23.33</v>
      </c>
      <c r="I35" s="29">
        <f t="shared" si="1"/>
        <v>4.3</v>
      </c>
      <c r="J35" s="29">
        <f t="shared" si="1"/>
        <v>2.92</v>
      </c>
      <c r="K35" s="29">
        <f t="shared" si="1"/>
        <v>359.6</v>
      </c>
      <c r="L35" s="29">
        <f t="shared" si="1"/>
        <v>31.89</v>
      </c>
      <c r="M35" s="29">
        <f t="shared" si="1"/>
        <v>97.27</v>
      </c>
      <c r="N35" s="29">
        <f t="shared" si="1"/>
        <v>820</v>
      </c>
      <c r="O35" s="29">
        <f t="shared" si="1"/>
        <v>0.2</v>
      </c>
      <c r="P35" s="29">
        <f t="shared" si="1"/>
        <v>2.42</v>
      </c>
      <c r="Q35" s="29">
        <f t="shared" si="1"/>
        <v>9.36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12.624166666666667</v>
      </c>
      <c r="C36" s="28">
        <f t="shared" si="2"/>
        <v>61.555833333333332</v>
      </c>
      <c r="D36" s="28">
        <f t="shared" si="2"/>
        <v>73.73666666666665</v>
      </c>
      <c r="E36" s="28">
        <f t="shared" si="2"/>
        <v>4.3354166666666663</v>
      </c>
      <c r="F36" s="28">
        <f t="shared" si="2"/>
        <v>17.967083333333335</v>
      </c>
      <c r="G36" s="28">
        <f t="shared" si="2"/>
        <v>41.937083333333327</v>
      </c>
      <c r="H36" s="28">
        <f t="shared" si="2"/>
        <v>16.346666666666668</v>
      </c>
      <c r="I36" s="28">
        <f t="shared" si="2"/>
        <v>4.1108333333333329</v>
      </c>
      <c r="J36" s="28">
        <f t="shared" si="2"/>
        <v>1.2362499999999998</v>
      </c>
      <c r="K36" s="28">
        <f t="shared" si="2"/>
        <v>211.05083333333334</v>
      </c>
      <c r="L36" s="28">
        <f t="shared" si="2"/>
        <v>24.128333333333334</v>
      </c>
      <c r="M36" s="28">
        <f t="shared" si="2"/>
        <v>69.425416666666649</v>
      </c>
      <c r="N36" s="28">
        <f t="shared" si="2"/>
        <v>249.41249999999999</v>
      </c>
      <c r="O36" s="28">
        <f t="shared" si="2"/>
        <v>8.3333333333333332E-3</v>
      </c>
      <c r="P36" s="28">
        <f t="shared" si="2"/>
        <v>0.70708333333333329</v>
      </c>
      <c r="Q36" s="28">
        <f t="shared" si="2"/>
        <v>9.142083333333332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12.101553948605709</v>
      </c>
      <c r="C37" s="28">
        <f t="shared" ref="C37:Q37" si="3">STDEV(C9:C32)</f>
        <v>22.780003992187051</v>
      </c>
      <c r="D37" s="28">
        <f t="shared" si="3"/>
        <v>33.429991047699644</v>
      </c>
      <c r="E37" s="28">
        <f t="shared" si="3"/>
        <v>2.7049503397622146</v>
      </c>
      <c r="F37" s="28">
        <f t="shared" si="3"/>
        <v>10.061792337164981</v>
      </c>
      <c r="G37" s="28">
        <f t="shared" si="3"/>
        <v>9.4968949063533419</v>
      </c>
      <c r="H37" s="28">
        <f t="shared" si="3"/>
        <v>2.9976174113664857</v>
      </c>
      <c r="I37" s="28">
        <f t="shared" si="3"/>
        <v>7.6778431452015822E-2</v>
      </c>
      <c r="J37" s="28">
        <f t="shared" si="3"/>
        <v>0.50449124179065652</v>
      </c>
      <c r="K37" s="28">
        <f t="shared" si="3"/>
        <v>106.48892679386971</v>
      </c>
      <c r="L37" s="28">
        <f t="shared" si="3"/>
        <v>4.3339626075980053</v>
      </c>
      <c r="M37" s="28">
        <f t="shared" si="3"/>
        <v>22.338625737024273</v>
      </c>
      <c r="N37" s="28">
        <f t="shared" si="3"/>
        <v>286.6776379451772</v>
      </c>
      <c r="O37" s="28">
        <f t="shared" si="3"/>
        <v>4.0824829046386311E-2</v>
      </c>
      <c r="P37" s="28">
        <f t="shared" si="3"/>
        <v>0.40425432337949652</v>
      </c>
      <c r="Q37" s="28">
        <f t="shared" si="3"/>
        <v>0.13631737796859167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612</v>
      </c>
      <c r="B9" s="51">
        <v>13.81</v>
      </c>
      <c r="C9" s="51">
        <v>56.96</v>
      </c>
      <c r="D9" s="51">
        <v>70.77</v>
      </c>
      <c r="E9" s="51">
        <v>2.9</v>
      </c>
      <c r="F9" s="51">
        <v>12.59</v>
      </c>
      <c r="G9" s="51">
        <v>47.82</v>
      </c>
      <c r="H9" s="51">
        <v>18.920000000000002</v>
      </c>
      <c r="I9" s="51">
        <v>4.16</v>
      </c>
      <c r="J9" s="51">
        <v>0.8</v>
      </c>
      <c r="K9" s="51">
        <v>99.92</v>
      </c>
      <c r="L9" s="51">
        <v>21.09</v>
      </c>
      <c r="M9" s="51">
        <v>76.819999999999993</v>
      </c>
      <c r="N9" s="51">
        <v>61.5</v>
      </c>
      <c r="O9" s="51">
        <v>0</v>
      </c>
      <c r="P9" s="51">
        <v>0.85</v>
      </c>
      <c r="Q9" s="51">
        <v>9.31</v>
      </c>
      <c r="R9" s="43"/>
      <c r="S9" s="43"/>
      <c r="T9" s="43"/>
      <c r="U9" s="43"/>
    </row>
    <row r="10" spans="1:21" s="11" customFormat="1" x14ac:dyDescent="0.25">
      <c r="A10" s="50" t="s">
        <v>613</v>
      </c>
      <c r="B10" s="51">
        <v>9.74</v>
      </c>
      <c r="C10" s="51">
        <v>53.13</v>
      </c>
      <c r="D10" s="51">
        <v>62.37</v>
      </c>
      <c r="E10" s="51">
        <v>2.34</v>
      </c>
      <c r="F10" s="51">
        <v>10.85</v>
      </c>
      <c r="G10" s="51">
        <v>49.27</v>
      </c>
      <c r="H10" s="51">
        <v>18.920000000000002</v>
      </c>
      <c r="I10" s="51">
        <v>4.1399999999999997</v>
      </c>
      <c r="J10" s="51">
        <v>1.32</v>
      </c>
      <c r="K10" s="51">
        <v>85.43</v>
      </c>
      <c r="L10" s="51">
        <v>21.2</v>
      </c>
      <c r="M10" s="51">
        <v>77.8</v>
      </c>
      <c r="N10" s="51">
        <v>61.7</v>
      </c>
      <c r="O10" s="51">
        <v>0</v>
      </c>
      <c r="P10" s="51">
        <v>0.7</v>
      </c>
      <c r="Q10" s="51">
        <v>9.31</v>
      </c>
      <c r="R10" s="43"/>
      <c r="S10" s="43"/>
      <c r="T10" s="43"/>
      <c r="U10" s="43"/>
    </row>
    <row r="11" spans="1:21" s="11" customFormat="1" x14ac:dyDescent="0.25">
      <c r="A11" s="50" t="s">
        <v>614</v>
      </c>
      <c r="B11" s="51">
        <v>7.04</v>
      </c>
      <c r="C11" s="51">
        <v>52.55</v>
      </c>
      <c r="D11" s="51">
        <v>59.59</v>
      </c>
      <c r="E11" s="51">
        <v>2.0099999999999998</v>
      </c>
      <c r="F11" s="51">
        <v>11.4</v>
      </c>
      <c r="G11" s="51">
        <v>49.27</v>
      </c>
      <c r="H11" s="51">
        <v>15.93</v>
      </c>
      <c r="I11" s="51">
        <v>4</v>
      </c>
      <c r="J11" s="51">
        <v>1.91</v>
      </c>
      <c r="K11" s="51">
        <v>99.93</v>
      </c>
      <c r="L11" s="51">
        <v>20.46</v>
      </c>
      <c r="M11" s="51">
        <v>84.7</v>
      </c>
      <c r="N11" s="51">
        <v>61.7</v>
      </c>
      <c r="O11" s="51">
        <v>0</v>
      </c>
      <c r="P11" s="51">
        <v>0.65</v>
      </c>
      <c r="Q11" s="51">
        <v>9.17</v>
      </c>
      <c r="R11" s="43"/>
      <c r="S11" s="43"/>
      <c r="T11" s="43"/>
      <c r="U11" s="43"/>
    </row>
    <row r="12" spans="1:21" s="11" customFormat="1" x14ac:dyDescent="0.25">
      <c r="A12" s="50" t="s">
        <v>615</v>
      </c>
      <c r="B12" s="51">
        <v>6.09</v>
      </c>
      <c r="C12" s="51">
        <v>45.03</v>
      </c>
      <c r="D12" s="51">
        <v>50.97</v>
      </c>
      <c r="E12" s="51">
        <v>2.38</v>
      </c>
      <c r="F12" s="51">
        <v>11.19</v>
      </c>
      <c r="G12" s="51">
        <v>45.4</v>
      </c>
      <c r="H12" s="51">
        <v>12.75</v>
      </c>
      <c r="I12" s="51">
        <v>4.12</v>
      </c>
      <c r="J12" s="51">
        <v>1.23</v>
      </c>
      <c r="K12" s="51">
        <v>95.05</v>
      </c>
      <c r="L12" s="51">
        <v>19.91</v>
      </c>
      <c r="M12" s="51">
        <v>90.35</v>
      </c>
      <c r="N12" s="51">
        <v>61.8</v>
      </c>
      <c r="O12" s="51">
        <v>0</v>
      </c>
      <c r="P12" s="51">
        <v>0.56000000000000005</v>
      </c>
      <c r="Q12" s="51">
        <v>9.06</v>
      </c>
      <c r="R12" s="43"/>
      <c r="S12" s="43"/>
      <c r="T12" s="43"/>
      <c r="U12" s="43"/>
    </row>
    <row r="13" spans="1:21" s="11" customFormat="1" x14ac:dyDescent="0.25">
      <c r="A13" s="50" t="s">
        <v>616</v>
      </c>
      <c r="B13" s="51">
        <v>7.75</v>
      </c>
      <c r="C13" s="51">
        <v>48.77</v>
      </c>
      <c r="D13" s="51">
        <v>56.52</v>
      </c>
      <c r="E13" s="51">
        <v>2.21</v>
      </c>
      <c r="F13" s="51">
        <v>9.9700000000000006</v>
      </c>
      <c r="G13" s="51">
        <v>38.04</v>
      </c>
      <c r="H13" s="51">
        <v>13.61</v>
      </c>
      <c r="I13" s="51">
        <v>4.21</v>
      </c>
      <c r="J13" s="51">
        <v>1.56</v>
      </c>
      <c r="K13" s="51">
        <v>97.83</v>
      </c>
      <c r="L13" s="51">
        <v>19.14</v>
      </c>
      <c r="M13" s="51">
        <v>92.17</v>
      </c>
      <c r="N13" s="51">
        <v>61.6</v>
      </c>
      <c r="O13" s="51">
        <v>0</v>
      </c>
      <c r="P13" s="51">
        <v>0.53</v>
      </c>
      <c r="Q13" s="51">
        <v>9.09</v>
      </c>
      <c r="R13" s="43"/>
      <c r="S13" s="43"/>
      <c r="T13" s="43"/>
      <c r="U13" s="43"/>
    </row>
    <row r="14" spans="1:21" s="11" customFormat="1" x14ac:dyDescent="0.25">
      <c r="A14" s="50" t="s">
        <v>617</v>
      </c>
      <c r="B14" s="51">
        <v>8.01</v>
      </c>
      <c r="C14" s="51">
        <v>49.49</v>
      </c>
      <c r="D14" s="51">
        <v>57.5</v>
      </c>
      <c r="E14" s="51">
        <v>2.06</v>
      </c>
      <c r="F14" s="51">
        <v>8.2100000000000009</v>
      </c>
      <c r="G14" s="51">
        <v>38.04</v>
      </c>
      <c r="H14" s="51">
        <v>14.48</v>
      </c>
      <c r="I14" s="51">
        <v>4.1100000000000003</v>
      </c>
      <c r="J14" s="51">
        <v>1.99</v>
      </c>
      <c r="K14" s="51">
        <v>101.41</v>
      </c>
      <c r="L14" s="51">
        <v>19.059999999999999</v>
      </c>
      <c r="M14" s="51">
        <v>94.35</v>
      </c>
      <c r="N14" s="51">
        <v>63.3</v>
      </c>
      <c r="O14" s="51">
        <v>0</v>
      </c>
      <c r="P14" s="51">
        <v>0.51</v>
      </c>
      <c r="Q14" s="51">
        <v>9.11</v>
      </c>
      <c r="R14" s="43"/>
      <c r="S14" s="43"/>
      <c r="T14" s="43"/>
      <c r="U14" s="43"/>
    </row>
    <row r="15" spans="1:21" s="11" customFormat="1" x14ac:dyDescent="0.25">
      <c r="A15" s="50" t="s">
        <v>618</v>
      </c>
      <c r="B15" s="51">
        <v>14.8</v>
      </c>
      <c r="C15" s="51">
        <v>53.58</v>
      </c>
      <c r="D15" s="51">
        <v>68.31</v>
      </c>
      <c r="E15" s="51">
        <v>1.82</v>
      </c>
      <c r="F15" s="51">
        <v>7.38</v>
      </c>
      <c r="G15" s="51">
        <v>34.409999999999997</v>
      </c>
      <c r="H15" s="51">
        <v>14.48</v>
      </c>
      <c r="I15" s="51">
        <v>4.07</v>
      </c>
      <c r="J15" s="51">
        <v>1.46</v>
      </c>
      <c r="K15" s="51">
        <v>28.53</v>
      </c>
      <c r="L15" s="51">
        <v>19.27</v>
      </c>
      <c r="M15" s="51">
        <v>93.32</v>
      </c>
      <c r="N15" s="51">
        <v>157.4</v>
      </c>
      <c r="O15" s="51">
        <v>0</v>
      </c>
      <c r="P15" s="51">
        <v>0.54</v>
      </c>
      <c r="Q15" s="51">
        <v>9.23</v>
      </c>
      <c r="R15" s="43"/>
      <c r="S15" s="43"/>
      <c r="T15" s="43"/>
      <c r="U15" s="43"/>
    </row>
    <row r="16" spans="1:21" s="11" customFormat="1" x14ac:dyDescent="0.25">
      <c r="A16" s="50" t="s">
        <v>619</v>
      </c>
      <c r="B16" s="51">
        <v>20.58</v>
      </c>
      <c r="C16" s="51">
        <v>53.21</v>
      </c>
      <c r="D16" s="51">
        <v>73.47</v>
      </c>
      <c r="E16" s="51">
        <v>2.14</v>
      </c>
      <c r="F16" s="51">
        <v>9.5299999999999994</v>
      </c>
      <c r="G16" s="51">
        <v>40.17</v>
      </c>
      <c r="H16" s="51">
        <v>15.23</v>
      </c>
      <c r="I16" s="51">
        <v>4.16</v>
      </c>
      <c r="J16" s="51">
        <v>1.1399999999999999</v>
      </c>
      <c r="K16" s="51">
        <v>66.61</v>
      </c>
      <c r="L16" s="51">
        <v>21.74</v>
      </c>
      <c r="M16" s="51">
        <v>82.12</v>
      </c>
      <c r="N16" s="51">
        <v>341.4</v>
      </c>
      <c r="O16" s="51">
        <v>0</v>
      </c>
      <c r="P16" s="51">
        <v>0.6</v>
      </c>
      <c r="Q16" s="51">
        <v>9.32</v>
      </c>
      <c r="R16" s="43"/>
      <c r="S16" s="43"/>
      <c r="T16" s="43"/>
      <c r="U16" s="43"/>
    </row>
    <row r="17" spans="1:21" s="11" customFormat="1" x14ac:dyDescent="0.25">
      <c r="A17" s="50" t="s">
        <v>620</v>
      </c>
      <c r="B17" s="51">
        <v>18.29</v>
      </c>
      <c r="C17" s="51">
        <v>60.95</v>
      </c>
      <c r="D17" s="51">
        <v>78.19</v>
      </c>
      <c r="E17" s="51">
        <v>2.58</v>
      </c>
      <c r="F17" s="51">
        <v>10.53</v>
      </c>
      <c r="G17" s="51">
        <v>49.83</v>
      </c>
      <c r="H17" s="51">
        <v>15.23</v>
      </c>
      <c r="I17" s="51">
        <v>4.1100000000000003</v>
      </c>
      <c r="J17" s="51">
        <v>0.9</v>
      </c>
      <c r="K17" s="51">
        <v>81.2</v>
      </c>
      <c r="L17" s="51">
        <v>24.52</v>
      </c>
      <c r="M17" s="51">
        <v>69.03</v>
      </c>
      <c r="N17" s="51">
        <v>531.6</v>
      </c>
      <c r="O17" s="51">
        <v>0</v>
      </c>
      <c r="P17" s="51">
        <v>0.64</v>
      </c>
      <c r="Q17" s="51">
        <v>9.3800000000000008</v>
      </c>
      <c r="R17" s="43"/>
      <c r="S17" s="43"/>
      <c r="T17" s="43"/>
      <c r="U17" s="43"/>
    </row>
    <row r="18" spans="1:21" s="11" customFormat="1" x14ac:dyDescent="0.25">
      <c r="A18" s="50" t="s">
        <v>621</v>
      </c>
      <c r="B18" s="51">
        <v>16.45</v>
      </c>
      <c r="C18" s="51">
        <v>60.12</v>
      </c>
      <c r="D18" s="51">
        <v>76.569999999999993</v>
      </c>
      <c r="E18" s="51">
        <v>3.01</v>
      </c>
      <c r="F18" s="51">
        <v>10.87</v>
      </c>
      <c r="G18" s="51">
        <v>49.83</v>
      </c>
      <c r="H18" s="51">
        <v>17.48</v>
      </c>
      <c r="I18" s="51">
        <v>4.13</v>
      </c>
      <c r="J18" s="51">
        <v>1.24</v>
      </c>
      <c r="K18" s="51">
        <v>117.23</v>
      </c>
      <c r="L18" s="51">
        <v>26.35</v>
      </c>
      <c r="M18" s="51">
        <v>62.21</v>
      </c>
      <c r="N18" s="51">
        <v>728.2</v>
      </c>
      <c r="O18" s="51">
        <v>0</v>
      </c>
      <c r="P18" s="51">
        <v>0.62</v>
      </c>
      <c r="Q18" s="51">
        <v>9.3800000000000008</v>
      </c>
      <c r="R18" s="43"/>
      <c r="S18" s="43"/>
      <c r="T18" s="43"/>
      <c r="U18" s="43"/>
    </row>
    <row r="19" spans="1:21" s="11" customFormat="1" x14ac:dyDescent="0.25">
      <c r="A19" s="50" t="s">
        <v>622</v>
      </c>
      <c r="B19" s="51">
        <v>12.78</v>
      </c>
      <c r="C19" s="51">
        <v>60.82</v>
      </c>
      <c r="D19" s="51">
        <v>69.88</v>
      </c>
      <c r="E19" s="51">
        <v>3.03</v>
      </c>
      <c r="F19" s="51">
        <v>17.16</v>
      </c>
      <c r="G19" s="51">
        <v>48.21</v>
      </c>
      <c r="H19" s="51">
        <v>17.48</v>
      </c>
      <c r="I19" s="51">
        <v>3.98</v>
      </c>
      <c r="J19" s="51">
        <v>1.4</v>
      </c>
      <c r="K19" s="51">
        <v>346.29</v>
      </c>
      <c r="L19" s="51">
        <v>30.91</v>
      </c>
      <c r="M19" s="51">
        <v>48.66</v>
      </c>
      <c r="N19" s="51">
        <v>797.3</v>
      </c>
      <c r="O19" s="51">
        <v>0</v>
      </c>
      <c r="P19" s="51">
        <v>0.65</v>
      </c>
      <c r="Q19" s="51">
        <v>9.26</v>
      </c>
      <c r="R19" s="43"/>
      <c r="S19" s="43"/>
      <c r="T19" s="43"/>
      <c r="U19" s="43"/>
    </row>
    <row r="20" spans="1:21" s="11" customFormat="1" x14ac:dyDescent="0.25">
      <c r="A20" s="50" t="s">
        <v>623</v>
      </c>
      <c r="B20" s="51">
        <v>5.71</v>
      </c>
      <c r="C20" s="51">
        <v>62.68</v>
      </c>
      <c r="D20" s="51">
        <v>66.58</v>
      </c>
      <c r="E20" s="51">
        <v>4.12</v>
      </c>
      <c r="F20" s="51">
        <v>27.34</v>
      </c>
      <c r="G20" s="51">
        <v>17.53</v>
      </c>
      <c r="H20" s="51">
        <v>2.87</v>
      </c>
      <c r="I20" s="51">
        <v>4.1100000000000003</v>
      </c>
      <c r="J20" s="51">
        <v>1.26</v>
      </c>
      <c r="K20" s="51">
        <v>355.78</v>
      </c>
      <c r="L20" s="51">
        <v>32.51</v>
      </c>
      <c r="M20" s="51">
        <v>41.65</v>
      </c>
      <c r="N20" s="51">
        <v>853.3</v>
      </c>
      <c r="O20" s="51">
        <v>0</v>
      </c>
      <c r="P20" s="51">
        <v>0.71</v>
      </c>
      <c r="Q20" s="51">
        <v>9.17</v>
      </c>
      <c r="R20" s="43"/>
      <c r="S20" s="43"/>
      <c r="T20" s="43"/>
      <c r="U20" s="43"/>
    </row>
    <row r="21" spans="1:21" s="11" customFormat="1" x14ac:dyDescent="0.25">
      <c r="A21" s="50" t="s">
        <v>624</v>
      </c>
      <c r="B21" s="51">
        <v>5.63</v>
      </c>
      <c r="C21" s="51">
        <v>49.68</v>
      </c>
      <c r="D21" s="51">
        <v>54.34</v>
      </c>
      <c r="E21" s="51">
        <v>5.05</v>
      </c>
      <c r="F21" s="51">
        <v>31.3</v>
      </c>
      <c r="G21" s="51">
        <v>75.14</v>
      </c>
      <c r="H21" s="51">
        <v>10.16</v>
      </c>
      <c r="I21" s="51">
        <v>4.26</v>
      </c>
      <c r="J21" s="51">
        <v>1.58</v>
      </c>
      <c r="K21" s="51">
        <v>357.75</v>
      </c>
      <c r="L21" s="51">
        <v>34.200000000000003</v>
      </c>
      <c r="M21" s="51">
        <v>36.51</v>
      </c>
      <c r="N21" s="51">
        <v>937.4</v>
      </c>
      <c r="O21" s="51">
        <v>0</v>
      </c>
      <c r="P21" s="51">
        <v>0.69</v>
      </c>
      <c r="Q21" s="51">
        <v>9.1199999999999992</v>
      </c>
      <c r="R21" s="43"/>
      <c r="S21" s="43"/>
      <c r="T21" s="43"/>
      <c r="U21" s="43"/>
    </row>
    <row r="22" spans="1:21" s="11" customFormat="1" x14ac:dyDescent="0.25">
      <c r="A22" s="50" t="s">
        <v>625</v>
      </c>
      <c r="B22" s="51">
        <v>5.78</v>
      </c>
      <c r="C22" s="51">
        <v>53.36</v>
      </c>
      <c r="D22" s="51">
        <v>58.99</v>
      </c>
      <c r="E22" s="51">
        <v>6.55</v>
      </c>
      <c r="F22" s="51">
        <v>24.37</v>
      </c>
      <c r="G22" s="51">
        <v>60.98</v>
      </c>
      <c r="H22" s="51">
        <v>13.19</v>
      </c>
      <c r="I22" s="51">
        <v>4.09</v>
      </c>
      <c r="J22" s="51">
        <v>1.37</v>
      </c>
      <c r="K22" s="51">
        <v>349.84</v>
      </c>
      <c r="L22" s="51">
        <v>33.85</v>
      </c>
      <c r="M22" s="51">
        <v>28.77</v>
      </c>
      <c r="N22" s="51">
        <v>833.7</v>
      </c>
      <c r="O22" s="51">
        <v>0</v>
      </c>
      <c r="P22" s="51">
        <v>0.6</v>
      </c>
      <c r="Q22" s="51">
        <v>9.09</v>
      </c>
      <c r="R22" s="43"/>
      <c r="S22" s="43"/>
      <c r="T22" s="43"/>
      <c r="U22" s="43"/>
    </row>
    <row r="23" spans="1:21" s="11" customFormat="1" x14ac:dyDescent="0.25">
      <c r="A23" s="50" t="s">
        <v>626</v>
      </c>
      <c r="B23" s="51">
        <v>5.73</v>
      </c>
      <c r="C23" s="51">
        <v>56.08</v>
      </c>
      <c r="D23" s="51">
        <v>59.41</v>
      </c>
      <c r="E23" s="51">
        <v>5.77</v>
      </c>
      <c r="F23" s="51">
        <v>23.49</v>
      </c>
      <c r="G23" s="51">
        <v>64.489999999999995</v>
      </c>
      <c r="H23" s="51">
        <v>16.97</v>
      </c>
      <c r="I23" s="51">
        <v>4.05</v>
      </c>
      <c r="J23" s="51">
        <v>1.6</v>
      </c>
      <c r="K23" s="51">
        <v>327.04000000000002</v>
      </c>
      <c r="L23" s="51">
        <v>32.97</v>
      </c>
      <c r="M23" s="51">
        <v>25.83</v>
      </c>
      <c r="N23" s="51">
        <v>683</v>
      </c>
      <c r="O23" s="51">
        <v>0</v>
      </c>
      <c r="P23" s="51">
        <v>0.6</v>
      </c>
      <c r="Q23" s="51">
        <v>9.09</v>
      </c>
      <c r="R23" s="43"/>
      <c r="S23" s="43"/>
      <c r="T23" s="43"/>
      <c r="U23" s="43"/>
    </row>
    <row r="24" spans="1:21" s="11" customFormat="1" x14ac:dyDescent="0.25">
      <c r="A24" s="50" t="s">
        <v>627</v>
      </c>
      <c r="B24" s="51">
        <v>5.77</v>
      </c>
      <c r="C24" s="51">
        <v>61.45</v>
      </c>
      <c r="D24" s="51">
        <v>67.22</v>
      </c>
      <c r="E24" s="51">
        <v>5.13</v>
      </c>
      <c r="F24" s="51">
        <v>28.31</v>
      </c>
      <c r="G24" s="51">
        <v>56.28</v>
      </c>
      <c r="H24" s="51">
        <v>16.04</v>
      </c>
      <c r="I24" s="51">
        <v>4.01</v>
      </c>
      <c r="J24" s="51">
        <v>2.2599999999999998</v>
      </c>
      <c r="K24" s="51">
        <v>340.11</v>
      </c>
      <c r="L24" s="51">
        <v>32.97</v>
      </c>
      <c r="M24" s="51">
        <v>22.08</v>
      </c>
      <c r="N24" s="51">
        <v>305.5</v>
      </c>
      <c r="O24" s="51">
        <v>0</v>
      </c>
      <c r="P24" s="51">
        <v>0.52</v>
      </c>
      <c r="Q24" s="51">
        <v>9.07</v>
      </c>
      <c r="R24" s="43"/>
      <c r="S24" s="43"/>
      <c r="T24" s="43"/>
      <c r="U24" s="43"/>
    </row>
    <row r="25" spans="1:21" s="11" customFormat="1" x14ac:dyDescent="0.25">
      <c r="A25" s="50" t="s">
        <v>628</v>
      </c>
      <c r="B25" s="51">
        <v>8.23</v>
      </c>
      <c r="C25" s="51">
        <v>63.88</v>
      </c>
      <c r="D25" s="51">
        <v>67.58</v>
      </c>
      <c r="E25" s="51">
        <v>8.02</v>
      </c>
      <c r="F25" s="51">
        <v>33.67</v>
      </c>
      <c r="G25" s="51">
        <v>59.27</v>
      </c>
      <c r="H25" s="51">
        <v>16.32</v>
      </c>
      <c r="I25" s="51">
        <v>4.05</v>
      </c>
      <c r="J25" s="51">
        <v>2.29</v>
      </c>
      <c r="K25" s="51">
        <v>352.18</v>
      </c>
      <c r="L25" s="51">
        <v>31.01</v>
      </c>
      <c r="M25" s="51">
        <v>27.07</v>
      </c>
      <c r="N25" s="51">
        <v>232.7</v>
      </c>
      <c r="O25" s="51">
        <v>0</v>
      </c>
      <c r="P25" s="51">
        <v>0.56000000000000005</v>
      </c>
      <c r="Q25" s="51">
        <v>9.08</v>
      </c>
      <c r="R25" s="43"/>
      <c r="S25" s="43"/>
      <c r="T25" s="43"/>
      <c r="U25" s="43"/>
    </row>
    <row r="26" spans="1:21" s="11" customFormat="1" x14ac:dyDescent="0.25">
      <c r="A26" s="50" t="s">
        <v>629</v>
      </c>
      <c r="B26" s="51">
        <v>11.8</v>
      </c>
      <c r="C26" s="51">
        <v>72.78</v>
      </c>
      <c r="D26" s="51">
        <v>47.22</v>
      </c>
      <c r="E26" s="51">
        <v>8.99</v>
      </c>
      <c r="F26" s="51">
        <v>27.7</v>
      </c>
      <c r="G26" s="51">
        <v>52.64</v>
      </c>
      <c r="H26" s="51">
        <v>15.13</v>
      </c>
      <c r="I26" s="51">
        <v>4.1399999999999997</v>
      </c>
      <c r="J26" s="51">
        <v>1.67</v>
      </c>
      <c r="K26" s="51">
        <v>354.13</v>
      </c>
      <c r="L26" s="51">
        <v>29.05</v>
      </c>
      <c r="M26" s="51">
        <v>26.91</v>
      </c>
      <c r="N26" s="51">
        <v>106.9</v>
      </c>
      <c r="O26" s="51">
        <v>0</v>
      </c>
      <c r="P26" s="51">
        <v>0.76</v>
      </c>
      <c r="Q26" s="51">
        <v>9.1999999999999993</v>
      </c>
      <c r="R26" s="43"/>
      <c r="S26" s="43"/>
      <c r="T26" s="43"/>
      <c r="U26" s="43"/>
    </row>
    <row r="27" spans="1:21" s="11" customFormat="1" x14ac:dyDescent="0.25">
      <c r="A27" s="50" t="s">
        <v>630</v>
      </c>
      <c r="B27" s="51">
        <v>36.86</v>
      </c>
      <c r="C27" s="51">
        <v>121.07</v>
      </c>
      <c r="D27" s="51">
        <v>85.25</v>
      </c>
      <c r="E27" s="51">
        <v>7.05</v>
      </c>
      <c r="F27" s="51">
        <v>19.62</v>
      </c>
      <c r="G27" s="51">
        <v>66.38</v>
      </c>
      <c r="H27" s="51">
        <v>17.59</v>
      </c>
      <c r="I27" s="51">
        <v>4.0599999999999996</v>
      </c>
      <c r="J27" s="51">
        <v>0.96</v>
      </c>
      <c r="K27" s="51">
        <v>44.18</v>
      </c>
      <c r="L27" s="51">
        <v>26.9</v>
      </c>
      <c r="M27" s="51">
        <v>28.89</v>
      </c>
      <c r="N27" s="51">
        <v>58.3</v>
      </c>
      <c r="O27" s="51">
        <v>0</v>
      </c>
      <c r="P27" s="51">
        <v>1.73</v>
      </c>
      <c r="Q27" s="51">
        <v>9.41</v>
      </c>
      <c r="R27" s="43"/>
      <c r="S27" s="43"/>
      <c r="T27" s="43"/>
      <c r="U27" s="43"/>
    </row>
    <row r="28" spans="1:21" s="11" customFormat="1" x14ac:dyDescent="0.25">
      <c r="A28" s="50" t="s">
        <v>631</v>
      </c>
      <c r="B28" s="51">
        <v>37.58</v>
      </c>
      <c r="C28" s="51">
        <v>109.26</v>
      </c>
      <c r="D28" s="51">
        <v>78.31</v>
      </c>
      <c r="E28" s="51">
        <v>7.45</v>
      </c>
      <c r="F28" s="51">
        <v>15.24</v>
      </c>
      <c r="G28" s="51">
        <v>72.069999999999993</v>
      </c>
      <c r="H28" s="51">
        <v>19.78</v>
      </c>
      <c r="I28" s="51">
        <v>4.16</v>
      </c>
      <c r="J28" s="51">
        <v>0.74</v>
      </c>
      <c r="K28" s="51">
        <v>55.56</v>
      </c>
      <c r="L28" s="51">
        <v>24.87</v>
      </c>
      <c r="M28" s="51">
        <v>34.36</v>
      </c>
      <c r="N28" s="51">
        <v>54.8</v>
      </c>
      <c r="O28" s="51">
        <v>0</v>
      </c>
      <c r="P28" s="51">
        <v>1.66</v>
      </c>
      <c r="Q28" s="51">
        <v>9.5</v>
      </c>
      <c r="R28" s="43"/>
      <c r="S28" s="43"/>
      <c r="T28" s="43"/>
      <c r="U28" s="43"/>
    </row>
    <row r="29" spans="1:21" s="11" customFormat="1" x14ac:dyDescent="0.25">
      <c r="A29" s="50" t="s">
        <v>632</v>
      </c>
      <c r="B29" s="51">
        <v>57.19</v>
      </c>
      <c r="C29" s="51">
        <v>114.22</v>
      </c>
      <c r="D29" s="51">
        <v>103.73</v>
      </c>
      <c r="E29" s="51">
        <v>4.96</v>
      </c>
      <c r="F29" s="51">
        <v>12.1</v>
      </c>
      <c r="G29" s="51">
        <v>80.66</v>
      </c>
      <c r="H29" s="51">
        <v>21.06</v>
      </c>
      <c r="I29" s="51">
        <v>4.07</v>
      </c>
      <c r="J29" s="51">
        <v>0.57999999999999996</v>
      </c>
      <c r="K29" s="51">
        <v>334.62</v>
      </c>
      <c r="L29" s="51">
        <v>23.44</v>
      </c>
      <c r="M29" s="51">
        <v>36.799999999999997</v>
      </c>
      <c r="N29" s="51">
        <v>54.7</v>
      </c>
      <c r="O29" s="51">
        <v>0</v>
      </c>
      <c r="P29" s="51">
        <v>1.99</v>
      </c>
      <c r="Q29" s="51">
        <v>9.5299999999999994</v>
      </c>
      <c r="R29" s="43"/>
      <c r="S29" s="43"/>
      <c r="T29" s="43"/>
      <c r="U29" s="43"/>
    </row>
    <row r="30" spans="1:21" s="11" customFormat="1" x14ac:dyDescent="0.25">
      <c r="A30" s="50" t="s">
        <v>633</v>
      </c>
      <c r="B30" s="51">
        <v>206.01</v>
      </c>
      <c r="C30" s="51">
        <v>123.12</v>
      </c>
      <c r="D30" s="51">
        <v>224.06</v>
      </c>
      <c r="E30" s="51">
        <v>4.9800000000000004</v>
      </c>
      <c r="F30" s="51">
        <v>8.3699999999999992</v>
      </c>
      <c r="G30" s="51">
        <v>91.5</v>
      </c>
      <c r="H30" s="51">
        <v>23.91</v>
      </c>
      <c r="I30" s="51">
        <v>4.0999999999999996</v>
      </c>
      <c r="J30" s="51">
        <v>0.57999999999999996</v>
      </c>
      <c r="K30" s="51">
        <v>333.64</v>
      </c>
      <c r="L30" s="51">
        <v>22.66</v>
      </c>
      <c r="M30" s="51">
        <v>50.75</v>
      </c>
      <c r="N30" s="51">
        <v>55.5</v>
      </c>
      <c r="O30" s="51">
        <v>0</v>
      </c>
      <c r="P30" s="51">
        <v>2.93</v>
      </c>
      <c r="Q30" s="51">
        <v>9.51</v>
      </c>
      <c r="R30" s="43"/>
      <c r="S30" s="43"/>
      <c r="T30" s="43"/>
      <c r="U30" s="43"/>
    </row>
    <row r="31" spans="1:21" s="11" customFormat="1" x14ac:dyDescent="0.25">
      <c r="A31" s="50" t="s">
        <v>634</v>
      </c>
      <c r="B31" s="51">
        <v>115.71</v>
      </c>
      <c r="C31" s="51">
        <v>88.99</v>
      </c>
      <c r="D31" s="51">
        <v>134.77000000000001</v>
      </c>
      <c r="E31" s="51">
        <v>3.52</v>
      </c>
      <c r="F31" s="51">
        <v>7.23</v>
      </c>
      <c r="G31" s="51">
        <v>109.13</v>
      </c>
      <c r="H31" s="51">
        <v>26.01</v>
      </c>
      <c r="I31" s="51">
        <v>4.0199999999999996</v>
      </c>
      <c r="J31" s="51">
        <v>0.76</v>
      </c>
      <c r="K31" s="51">
        <v>323.8</v>
      </c>
      <c r="L31" s="51">
        <v>20.75</v>
      </c>
      <c r="M31" s="51">
        <v>54.69</v>
      </c>
      <c r="N31" s="51">
        <v>55.2</v>
      </c>
      <c r="O31" s="51">
        <v>0</v>
      </c>
      <c r="P31" s="51">
        <v>2.17</v>
      </c>
      <c r="Q31" s="51">
        <v>9.6</v>
      </c>
      <c r="R31" s="43"/>
      <c r="S31" s="43"/>
      <c r="T31" s="43"/>
      <c r="U31" s="43"/>
    </row>
    <row r="32" spans="1:21" s="11" customFormat="1" x14ac:dyDescent="0.25">
      <c r="A32" s="50" t="s">
        <v>635</v>
      </c>
      <c r="B32" s="51">
        <v>83.88</v>
      </c>
      <c r="C32" s="51">
        <v>85.48</v>
      </c>
      <c r="D32" s="51">
        <v>110.63</v>
      </c>
      <c r="E32" s="51">
        <v>4.91</v>
      </c>
      <c r="F32" s="51">
        <v>8.19</v>
      </c>
      <c r="G32" s="51">
        <v>120.62</v>
      </c>
      <c r="H32" s="51">
        <v>29.34</v>
      </c>
      <c r="I32" s="51">
        <v>4.08</v>
      </c>
      <c r="J32" s="51">
        <v>0.38</v>
      </c>
      <c r="K32" s="51">
        <v>239.99</v>
      </c>
      <c r="L32" s="51">
        <v>22.09</v>
      </c>
      <c r="M32" s="51">
        <v>49.43</v>
      </c>
      <c r="N32" s="51">
        <v>55</v>
      </c>
      <c r="O32" s="51">
        <v>0</v>
      </c>
      <c r="P32" s="51">
        <v>1.91</v>
      </c>
      <c r="Q32" s="51">
        <v>9.73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5.63</v>
      </c>
      <c r="C34" s="28">
        <f t="shared" si="0"/>
        <v>45.03</v>
      </c>
      <c r="D34" s="28">
        <f t="shared" si="0"/>
        <v>47.22</v>
      </c>
      <c r="E34" s="28">
        <f t="shared" si="0"/>
        <v>1.82</v>
      </c>
      <c r="F34" s="28">
        <f t="shared" si="0"/>
        <v>7.23</v>
      </c>
      <c r="G34" s="28">
        <f t="shared" si="0"/>
        <v>17.53</v>
      </c>
      <c r="H34" s="28">
        <f t="shared" si="0"/>
        <v>2.87</v>
      </c>
      <c r="I34" s="28">
        <f t="shared" si="0"/>
        <v>3.98</v>
      </c>
      <c r="J34" s="28">
        <f t="shared" si="0"/>
        <v>0.38</v>
      </c>
      <c r="K34" s="28">
        <f t="shared" si="0"/>
        <v>28.53</v>
      </c>
      <c r="L34" s="28">
        <f t="shared" si="0"/>
        <v>19.059999999999999</v>
      </c>
      <c r="M34" s="28">
        <f t="shared" si="0"/>
        <v>22.08</v>
      </c>
      <c r="N34" s="28">
        <f t="shared" si="0"/>
        <v>54.7</v>
      </c>
      <c r="O34" s="28">
        <f t="shared" si="0"/>
        <v>0</v>
      </c>
      <c r="P34" s="28">
        <f t="shared" si="0"/>
        <v>0.51</v>
      </c>
      <c r="Q34" s="28">
        <f t="shared" si="0"/>
        <v>9.06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206.01</v>
      </c>
      <c r="C35" s="29">
        <f t="shared" si="1"/>
        <v>123.12</v>
      </c>
      <c r="D35" s="29">
        <f t="shared" si="1"/>
        <v>224.06</v>
      </c>
      <c r="E35" s="29">
        <f t="shared" si="1"/>
        <v>8.99</v>
      </c>
      <c r="F35" s="29">
        <f t="shared" si="1"/>
        <v>33.67</v>
      </c>
      <c r="G35" s="29">
        <f t="shared" si="1"/>
        <v>120.62</v>
      </c>
      <c r="H35" s="29">
        <f t="shared" si="1"/>
        <v>29.34</v>
      </c>
      <c r="I35" s="29">
        <f t="shared" si="1"/>
        <v>4.26</v>
      </c>
      <c r="J35" s="29">
        <f t="shared" si="1"/>
        <v>2.29</v>
      </c>
      <c r="K35" s="29">
        <f t="shared" si="1"/>
        <v>357.75</v>
      </c>
      <c r="L35" s="29">
        <f t="shared" si="1"/>
        <v>34.200000000000003</v>
      </c>
      <c r="M35" s="29">
        <f t="shared" si="1"/>
        <v>94.35</v>
      </c>
      <c r="N35" s="29">
        <f t="shared" si="1"/>
        <v>937.4</v>
      </c>
      <c r="O35" s="29">
        <f t="shared" si="1"/>
        <v>0</v>
      </c>
      <c r="P35" s="29">
        <f t="shared" si="1"/>
        <v>2.93</v>
      </c>
      <c r="Q35" s="29">
        <f t="shared" si="1"/>
        <v>9.73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30.05083333333333</v>
      </c>
      <c r="C36" s="28">
        <f t="shared" si="2"/>
        <v>69.027500000000003</v>
      </c>
      <c r="D36" s="28">
        <f t="shared" si="2"/>
        <v>78.426249999999996</v>
      </c>
      <c r="E36" s="28">
        <f t="shared" si="2"/>
        <v>4.2908333333333326</v>
      </c>
      <c r="F36" s="28">
        <f t="shared" si="2"/>
        <v>16.108750000000004</v>
      </c>
      <c r="G36" s="28">
        <f t="shared" si="2"/>
        <v>59.040833333333332</v>
      </c>
      <c r="H36" s="28">
        <f t="shared" si="2"/>
        <v>16.786666666666665</v>
      </c>
      <c r="I36" s="28">
        <f t="shared" si="2"/>
        <v>4.0995833333333325</v>
      </c>
      <c r="J36" s="28">
        <f t="shared" si="2"/>
        <v>1.2908333333333333</v>
      </c>
      <c r="K36" s="28">
        <f t="shared" si="2"/>
        <v>207.83541666666667</v>
      </c>
      <c r="L36" s="28">
        <f t="shared" si="2"/>
        <v>25.455000000000002</v>
      </c>
      <c r="M36" s="28">
        <f t="shared" si="2"/>
        <v>55.636249999999997</v>
      </c>
      <c r="N36" s="28">
        <f t="shared" si="2"/>
        <v>300.56249999999994</v>
      </c>
      <c r="O36" s="28">
        <f t="shared" si="2"/>
        <v>0</v>
      </c>
      <c r="P36" s="28">
        <f t="shared" si="2"/>
        <v>0.98666666666666647</v>
      </c>
      <c r="Q36" s="28">
        <f t="shared" si="2"/>
        <v>9.2799999999999994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46.396881540321942</v>
      </c>
      <c r="C37" s="28">
        <f t="shared" ref="C37:Q37" si="3">STDEV(C9:C32)</f>
        <v>24.342607528864853</v>
      </c>
      <c r="D37" s="28">
        <f t="shared" si="3"/>
        <v>36.908211271194496</v>
      </c>
      <c r="E37" s="28">
        <f t="shared" si="3"/>
        <v>2.135338109194822</v>
      </c>
      <c r="F37" s="28">
        <f t="shared" si="3"/>
        <v>8.514621854556248</v>
      </c>
      <c r="G37" s="28">
        <f t="shared" si="3"/>
        <v>23.539715176265616</v>
      </c>
      <c r="H37" s="28">
        <f t="shared" si="3"/>
        <v>5.2254050532963081</v>
      </c>
      <c r="I37" s="28">
        <f t="shared" si="3"/>
        <v>6.6298348505017521E-2</v>
      </c>
      <c r="J37" s="28">
        <f t="shared" si="3"/>
        <v>0.51967311353151202</v>
      </c>
      <c r="K37" s="28">
        <f t="shared" si="3"/>
        <v>132.65776091225729</v>
      </c>
      <c r="L37" s="28">
        <f t="shared" si="3"/>
        <v>5.3500816734927916</v>
      </c>
      <c r="M37" s="28">
        <f t="shared" si="3"/>
        <v>25.316215084322</v>
      </c>
      <c r="N37" s="28">
        <f t="shared" si="3"/>
        <v>322.3983989771715</v>
      </c>
      <c r="O37" s="28">
        <f t="shared" si="3"/>
        <v>0</v>
      </c>
      <c r="P37" s="28">
        <f t="shared" si="3"/>
        <v>0.67584836649410795</v>
      </c>
      <c r="Q37" s="28">
        <f t="shared" si="3"/>
        <v>0.19085619444105492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636</v>
      </c>
      <c r="B9" s="51">
        <v>71.180000000000007</v>
      </c>
      <c r="C9" s="51">
        <v>71.28</v>
      </c>
      <c r="D9" s="51">
        <v>94.33</v>
      </c>
      <c r="E9" s="51">
        <v>5.34</v>
      </c>
      <c r="F9" s="51">
        <v>16.190000000000001</v>
      </c>
      <c r="G9" s="51">
        <v>91.85</v>
      </c>
      <c r="H9" s="51">
        <v>23.78</v>
      </c>
      <c r="I9" s="51">
        <v>4.0599999999999996</v>
      </c>
      <c r="J9" s="51">
        <v>0.56000000000000005</v>
      </c>
      <c r="K9" s="51">
        <v>284.88</v>
      </c>
      <c r="L9" s="51">
        <v>21.57</v>
      </c>
      <c r="M9" s="51">
        <v>57.78</v>
      </c>
      <c r="N9" s="51">
        <v>55.4</v>
      </c>
      <c r="O9" s="51">
        <v>0</v>
      </c>
      <c r="P9" s="51">
        <v>1.64</v>
      </c>
      <c r="Q9" s="51">
        <v>9.74</v>
      </c>
      <c r="R9" s="43"/>
      <c r="S9" s="43"/>
      <c r="T9" s="43"/>
      <c r="U9" s="43"/>
    </row>
    <row r="10" spans="1:21" s="11" customFormat="1" x14ac:dyDescent="0.25">
      <c r="A10" s="50" t="s">
        <v>637</v>
      </c>
      <c r="B10" s="51">
        <v>41.02</v>
      </c>
      <c r="C10" s="51">
        <v>57.53</v>
      </c>
      <c r="D10" s="51">
        <v>62.34</v>
      </c>
      <c r="E10" s="51">
        <v>6.52</v>
      </c>
      <c r="F10" s="51">
        <v>23.2</v>
      </c>
      <c r="G10" s="51">
        <v>78.41</v>
      </c>
      <c r="H10" s="51">
        <v>22.46</v>
      </c>
      <c r="I10" s="51">
        <v>4.13</v>
      </c>
      <c r="J10" s="51">
        <v>1.52</v>
      </c>
      <c r="K10" s="51">
        <v>102.48</v>
      </c>
      <c r="L10" s="51">
        <v>21.38</v>
      </c>
      <c r="M10" s="51">
        <v>52.13</v>
      </c>
      <c r="N10" s="51">
        <v>54.6</v>
      </c>
      <c r="O10" s="51">
        <v>0</v>
      </c>
      <c r="P10" s="51">
        <v>0.99</v>
      </c>
      <c r="Q10" s="51">
        <v>9.68</v>
      </c>
      <c r="R10" s="43"/>
      <c r="S10" s="43"/>
      <c r="T10" s="43"/>
      <c r="U10" s="43"/>
    </row>
    <row r="11" spans="1:21" s="11" customFormat="1" x14ac:dyDescent="0.25">
      <c r="A11" s="50" t="s">
        <v>638</v>
      </c>
      <c r="B11" s="51">
        <v>44.2</v>
      </c>
      <c r="C11" s="51">
        <v>62.08</v>
      </c>
      <c r="D11" s="51">
        <v>66.8</v>
      </c>
      <c r="E11" s="51">
        <v>5.77</v>
      </c>
      <c r="F11" s="51">
        <v>15.83</v>
      </c>
      <c r="G11" s="51">
        <v>57.93</v>
      </c>
      <c r="H11" s="51">
        <v>23.86</v>
      </c>
      <c r="I11" s="51">
        <v>4.09</v>
      </c>
      <c r="J11" s="51">
        <v>1.8</v>
      </c>
      <c r="K11" s="51">
        <v>358.57</v>
      </c>
      <c r="L11" s="51">
        <v>20.49</v>
      </c>
      <c r="M11" s="51">
        <v>60.73</v>
      </c>
      <c r="N11" s="51">
        <v>55.7</v>
      </c>
      <c r="O11" s="51">
        <v>0</v>
      </c>
      <c r="P11" s="51">
        <v>1.1399999999999999</v>
      </c>
      <c r="Q11" s="51">
        <v>9.64</v>
      </c>
      <c r="R11" s="43"/>
      <c r="S11" s="43"/>
      <c r="T11" s="43"/>
      <c r="U11" s="43"/>
    </row>
    <row r="12" spans="1:21" s="11" customFormat="1" x14ac:dyDescent="0.25">
      <c r="A12" s="50" t="s">
        <v>639</v>
      </c>
      <c r="B12" s="51">
        <v>34.520000000000003</v>
      </c>
      <c r="C12" s="51">
        <v>67.19</v>
      </c>
      <c r="D12" s="51">
        <v>62.38</v>
      </c>
      <c r="E12" s="51">
        <v>6.12</v>
      </c>
      <c r="F12" s="51">
        <v>8</v>
      </c>
      <c r="G12" s="51">
        <v>69.5</v>
      </c>
      <c r="H12" s="51">
        <v>17.13</v>
      </c>
      <c r="I12" s="51">
        <v>4.1500000000000004</v>
      </c>
      <c r="J12" s="51">
        <v>1.18</v>
      </c>
      <c r="K12" s="51">
        <v>353.78</v>
      </c>
      <c r="L12" s="51">
        <v>19.43</v>
      </c>
      <c r="M12" s="51">
        <v>58.74</v>
      </c>
      <c r="N12" s="51">
        <v>55.4</v>
      </c>
      <c r="O12" s="51">
        <v>0</v>
      </c>
      <c r="P12" s="51">
        <v>1.07</v>
      </c>
      <c r="Q12" s="51">
        <v>9.59</v>
      </c>
      <c r="R12" s="43"/>
      <c r="S12" s="43"/>
      <c r="T12" s="43"/>
      <c r="U12" s="43"/>
    </row>
    <row r="13" spans="1:21" s="11" customFormat="1" x14ac:dyDescent="0.25">
      <c r="A13" s="50" t="s">
        <v>640</v>
      </c>
      <c r="B13" s="51">
        <v>33.74</v>
      </c>
      <c r="C13" s="51">
        <v>63.22</v>
      </c>
      <c r="D13" s="51">
        <v>58.44</v>
      </c>
      <c r="E13" s="51">
        <v>4.6900000000000004</v>
      </c>
      <c r="F13" s="51">
        <v>7.5</v>
      </c>
      <c r="G13" s="51">
        <v>99.93</v>
      </c>
      <c r="H13" s="51">
        <v>20.99</v>
      </c>
      <c r="I13" s="51">
        <v>4.0999999999999996</v>
      </c>
      <c r="J13" s="51">
        <v>0.87</v>
      </c>
      <c r="K13" s="51">
        <v>290.26</v>
      </c>
      <c r="L13" s="51">
        <v>18.350000000000001</v>
      </c>
      <c r="M13" s="51">
        <v>63.31</v>
      </c>
      <c r="N13" s="51">
        <v>55.2</v>
      </c>
      <c r="O13" s="51">
        <v>0</v>
      </c>
      <c r="P13" s="51">
        <v>1.03</v>
      </c>
      <c r="Q13" s="51">
        <v>9.58</v>
      </c>
      <c r="R13" s="43"/>
      <c r="S13" s="43"/>
      <c r="T13" s="43"/>
      <c r="U13" s="43"/>
    </row>
    <row r="14" spans="1:21" s="11" customFormat="1" x14ac:dyDescent="0.25">
      <c r="A14" s="50" t="s">
        <v>641</v>
      </c>
      <c r="B14" s="51">
        <v>36.65</v>
      </c>
      <c r="C14" s="51">
        <v>59.92</v>
      </c>
      <c r="D14" s="51">
        <v>60.7</v>
      </c>
      <c r="E14" s="51">
        <v>5.13</v>
      </c>
      <c r="F14" s="51">
        <v>9.15</v>
      </c>
      <c r="G14" s="51">
        <v>126.85</v>
      </c>
      <c r="H14" s="51">
        <v>27.74</v>
      </c>
      <c r="I14" s="51">
        <v>4.1100000000000003</v>
      </c>
      <c r="J14" s="51">
        <v>0.61</v>
      </c>
      <c r="K14" s="51">
        <v>344.51</v>
      </c>
      <c r="L14" s="51">
        <v>17.32</v>
      </c>
      <c r="M14" s="51">
        <v>66.05</v>
      </c>
      <c r="N14" s="51">
        <v>56.9</v>
      </c>
      <c r="O14" s="51">
        <v>0</v>
      </c>
      <c r="P14" s="51">
        <v>0.96</v>
      </c>
      <c r="Q14" s="51">
        <v>9.5500000000000007</v>
      </c>
      <c r="R14" s="43"/>
      <c r="S14" s="43"/>
      <c r="T14" s="43"/>
      <c r="U14" s="43"/>
    </row>
    <row r="15" spans="1:21" s="11" customFormat="1" x14ac:dyDescent="0.25">
      <c r="A15" s="50" t="s">
        <v>642</v>
      </c>
      <c r="B15" s="51">
        <v>51.3</v>
      </c>
      <c r="C15" s="51">
        <v>68.8</v>
      </c>
      <c r="D15" s="51">
        <v>77.09</v>
      </c>
      <c r="E15" s="51">
        <v>4.91</v>
      </c>
      <c r="F15" s="51">
        <v>8.6999999999999993</v>
      </c>
      <c r="G15" s="51">
        <v>113.63</v>
      </c>
      <c r="H15" s="51">
        <v>31.13</v>
      </c>
      <c r="I15" s="51">
        <v>4.05</v>
      </c>
      <c r="J15" s="51">
        <v>0.67</v>
      </c>
      <c r="K15" s="51">
        <v>341.79</v>
      </c>
      <c r="L15" s="51">
        <v>20.059999999999999</v>
      </c>
      <c r="M15" s="51">
        <v>65.84</v>
      </c>
      <c r="N15" s="51">
        <v>170.4</v>
      </c>
      <c r="O15" s="51">
        <v>0</v>
      </c>
      <c r="P15" s="51">
        <v>1.01</v>
      </c>
      <c r="Q15" s="51">
        <v>9.5500000000000007</v>
      </c>
      <c r="R15" s="43"/>
      <c r="S15" s="43"/>
      <c r="T15" s="43"/>
      <c r="U15" s="43"/>
    </row>
    <row r="16" spans="1:21" s="11" customFormat="1" x14ac:dyDescent="0.25">
      <c r="A16" s="50" t="s">
        <v>643</v>
      </c>
      <c r="B16" s="51">
        <v>43.89</v>
      </c>
      <c r="C16" s="51">
        <v>65.88</v>
      </c>
      <c r="D16" s="51">
        <v>68.3</v>
      </c>
      <c r="E16" s="51">
        <v>4.9400000000000004</v>
      </c>
      <c r="F16" s="51">
        <v>7.59</v>
      </c>
      <c r="G16" s="51">
        <v>114.16</v>
      </c>
      <c r="H16" s="51">
        <v>37.71</v>
      </c>
      <c r="I16" s="51">
        <v>4.07</v>
      </c>
      <c r="J16" s="51">
        <v>0.91</v>
      </c>
      <c r="K16" s="51">
        <v>347.85</v>
      </c>
      <c r="L16" s="51">
        <v>27.28</v>
      </c>
      <c r="M16" s="51">
        <v>47.15</v>
      </c>
      <c r="N16" s="51">
        <v>363.4</v>
      </c>
      <c r="O16" s="51">
        <v>0</v>
      </c>
      <c r="P16" s="51">
        <v>1.08</v>
      </c>
      <c r="Q16" s="51">
        <v>9.57</v>
      </c>
      <c r="R16" s="43"/>
      <c r="S16" s="43"/>
      <c r="T16" s="43"/>
      <c r="U16" s="43"/>
    </row>
    <row r="17" spans="1:21" s="11" customFormat="1" x14ac:dyDescent="0.25">
      <c r="A17" s="50" t="s">
        <v>644</v>
      </c>
      <c r="B17" s="51">
        <v>37.42</v>
      </c>
      <c r="C17" s="51">
        <v>68.040000000000006</v>
      </c>
      <c r="D17" s="51">
        <v>65.41</v>
      </c>
      <c r="E17" s="51">
        <v>4.8</v>
      </c>
      <c r="F17" s="51">
        <v>8.4600000000000009</v>
      </c>
      <c r="G17" s="51">
        <v>105.88</v>
      </c>
      <c r="H17" s="51">
        <v>32.32</v>
      </c>
      <c r="I17" s="51">
        <v>4.08</v>
      </c>
      <c r="J17" s="51">
        <v>1.1399999999999999</v>
      </c>
      <c r="K17" s="51">
        <v>94.81</v>
      </c>
      <c r="L17" s="51">
        <v>26.95</v>
      </c>
      <c r="M17" s="51">
        <v>38.65</v>
      </c>
      <c r="N17" s="51">
        <v>565</v>
      </c>
      <c r="O17" s="51">
        <v>0</v>
      </c>
      <c r="P17" s="51">
        <v>1.04</v>
      </c>
      <c r="Q17" s="51">
        <v>9.58</v>
      </c>
      <c r="R17" s="43"/>
      <c r="S17" s="43"/>
      <c r="T17" s="43"/>
      <c r="U17" s="43"/>
    </row>
    <row r="18" spans="1:21" s="11" customFormat="1" x14ac:dyDescent="0.25">
      <c r="A18" s="50" t="s">
        <v>645</v>
      </c>
      <c r="B18" s="51">
        <v>25.21</v>
      </c>
      <c r="C18" s="51">
        <v>68.8</v>
      </c>
      <c r="D18" s="51">
        <v>56.16</v>
      </c>
      <c r="E18" s="51">
        <v>6.45</v>
      </c>
      <c r="F18" s="51">
        <v>15.01</v>
      </c>
      <c r="G18" s="51">
        <v>104.15</v>
      </c>
      <c r="H18" s="51">
        <v>38.590000000000003</v>
      </c>
      <c r="I18" s="51">
        <v>4.1900000000000004</v>
      </c>
      <c r="J18" s="51">
        <v>1.69</v>
      </c>
      <c r="K18" s="51">
        <v>101.76</v>
      </c>
      <c r="L18" s="51">
        <v>26.86</v>
      </c>
      <c r="M18" s="51">
        <v>36.56</v>
      </c>
      <c r="N18" s="51">
        <v>782.1</v>
      </c>
      <c r="O18" s="51">
        <v>0</v>
      </c>
      <c r="P18" s="51">
        <v>0.96</v>
      </c>
      <c r="Q18" s="51">
        <v>9.5500000000000007</v>
      </c>
      <c r="R18" s="43"/>
      <c r="S18" s="43"/>
      <c r="T18" s="43"/>
      <c r="U18" s="43"/>
    </row>
    <row r="19" spans="1:21" s="11" customFormat="1" x14ac:dyDescent="0.25">
      <c r="A19" s="50" t="s">
        <v>646</v>
      </c>
      <c r="B19" s="51">
        <v>12.69</v>
      </c>
      <c r="C19" s="51">
        <v>67.13</v>
      </c>
      <c r="D19" s="51">
        <v>45.18</v>
      </c>
      <c r="E19" s="51">
        <v>10.7</v>
      </c>
      <c r="F19" s="51">
        <v>18.36</v>
      </c>
      <c r="G19" s="51">
        <v>96.1</v>
      </c>
      <c r="H19" s="51">
        <v>40.94</v>
      </c>
      <c r="I19" s="51">
        <v>4.1500000000000004</v>
      </c>
      <c r="J19" s="51">
        <v>1.38</v>
      </c>
      <c r="K19" s="51">
        <v>195.18</v>
      </c>
      <c r="L19" s="51">
        <v>30.01</v>
      </c>
      <c r="M19" s="51">
        <v>34.9</v>
      </c>
      <c r="N19" s="51">
        <v>838.4</v>
      </c>
      <c r="O19" s="51">
        <v>0</v>
      </c>
      <c r="P19" s="51">
        <v>0.81</v>
      </c>
      <c r="Q19" s="51">
        <v>9.4</v>
      </c>
      <c r="R19" s="43"/>
      <c r="S19" s="43"/>
      <c r="T19" s="43"/>
      <c r="U19" s="43"/>
    </row>
    <row r="20" spans="1:21" s="11" customFormat="1" x14ac:dyDescent="0.25">
      <c r="A20" s="50" t="s">
        <v>647</v>
      </c>
      <c r="B20" s="51">
        <v>5.51</v>
      </c>
      <c r="C20" s="51">
        <v>66.67</v>
      </c>
      <c r="D20" s="51">
        <v>39.25</v>
      </c>
      <c r="E20" s="51">
        <v>12.95</v>
      </c>
      <c r="F20" s="51">
        <v>19.07</v>
      </c>
      <c r="G20" s="51">
        <v>73.28</v>
      </c>
      <c r="H20" s="51">
        <v>35.24</v>
      </c>
      <c r="I20" s="51">
        <v>4.16</v>
      </c>
      <c r="J20" s="51">
        <v>1.31</v>
      </c>
      <c r="K20" s="51">
        <v>341.31</v>
      </c>
      <c r="L20" s="51">
        <v>34.79</v>
      </c>
      <c r="M20" s="51">
        <v>29.86</v>
      </c>
      <c r="N20" s="51">
        <v>868.2</v>
      </c>
      <c r="O20" s="51">
        <v>0</v>
      </c>
      <c r="P20" s="51">
        <v>0.73</v>
      </c>
      <c r="Q20" s="51">
        <v>9.18</v>
      </c>
      <c r="R20" s="43"/>
      <c r="S20" s="43"/>
      <c r="T20" s="43"/>
      <c r="U20" s="43"/>
    </row>
    <row r="21" spans="1:21" s="11" customFormat="1" x14ac:dyDescent="0.25">
      <c r="A21" s="50" t="s">
        <v>648</v>
      </c>
      <c r="B21" s="51">
        <v>5.18</v>
      </c>
      <c r="C21" s="51">
        <v>65.11</v>
      </c>
      <c r="D21" s="51">
        <v>37.159999999999997</v>
      </c>
      <c r="E21" s="51">
        <v>11.66</v>
      </c>
      <c r="F21" s="51">
        <v>24.01</v>
      </c>
      <c r="G21" s="51">
        <v>62.92</v>
      </c>
      <c r="H21" s="51">
        <v>29.88</v>
      </c>
      <c r="I21" s="51">
        <v>4.01</v>
      </c>
      <c r="J21" s="51">
        <v>1.27</v>
      </c>
      <c r="K21" s="51">
        <v>358.56</v>
      </c>
      <c r="L21" s="51">
        <v>35.54</v>
      </c>
      <c r="M21" s="51">
        <v>20.39</v>
      </c>
      <c r="N21" s="51">
        <v>879.3</v>
      </c>
      <c r="O21" s="51">
        <v>0</v>
      </c>
      <c r="P21" s="51">
        <v>0.68</v>
      </c>
      <c r="Q21" s="51">
        <v>9.07</v>
      </c>
      <c r="R21" s="43"/>
      <c r="S21" s="43"/>
      <c r="T21" s="43"/>
      <c r="U21" s="43"/>
    </row>
    <row r="22" spans="1:21" s="11" customFormat="1" x14ac:dyDescent="0.25">
      <c r="A22" s="50" t="s">
        <v>649</v>
      </c>
      <c r="B22" s="51">
        <v>4.5199999999999996</v>
      </c>
      <c r="C22" s="51">
        <v>63.25</v>
      </c>
      <c r="D22" s="51">
        <v>36.67</v>
      </c>
      <c r="E22" s="51">
        <v>15.19</v>
      </c>
      <c r="F22" s="51">
        <v>24.79</v>
      </c>
      <c r="G22" s="51">
        <v>64.25</v>
      </c>
      <c r="H22" s="51">
        <v>26.87</v>
      </c>
      <c r="I22" s="51">
        <v>4.03</v>
      </c>
      <c r="J22" s="51">
        <v>1.24</v>
      </c>
      <c r="K22" s="51">
        <v>358.56</v>
      </c>
      <c r="L22" s="51">
        <v>35.07</v>
      </c>
      <c r="M22" s="51">
        <v>19.96</v>
      </c>
      <c r="N22" s="51">
        <v>842.3</v>
      </c>
      <c r="O22" s="51">
        <v>0</v>
      </c>
      <c r="P22" s="51">
        <v>0.65</v>
      </c>
      <c r="Q22" s="51">
        <v>9.02</v>
      </c>
      <c r="R22" s="43"/>
      <c r="S22" s="43"/>
      <c r="T22" s="43"/>
      <c r="U22" s="43"/>
    </row>
    <row r="23" spans="1:21" s="11" customFormat="1" x14ac:dyDescent="0.25">
      <c r="A23" s="50" t="s">
        <v>650</v>
      </c>
      <c r="B23" s="51">
        <v>3.56</v>
      </c>
      <c r="C23" s="51">
        <v>59.21</v>
      </c>
      <c r="D23" s="51">
        <v>33.6</v>
      </c>
      <c r="E23" s="51">
        <v>12.37</v>
      </c>
      <c r="F23" s="51">
        <v>27.76</v>
      </c>
      <c r="G23" s="51">
        <v>68.790000000000006</v>
      </c>
      <c r="H23" s="51">
        <v>28.69</v>
      </c>
      <c r="I23" s="51">
        <v>4.1100000000000003</v>
      </c>
      <c r="J23" s="51">
        <v>1.06</v>
      </c>
      <c r="K23" s="51">
        <v>299.22000000000003</v>
      </c>
      <c r="L23" s="51">
        <v>33.56</v>
      </c>
      <c r="M23" s="51">
        <v>20.05</v>
      </c>
      <c r="N23" s="51">
        <v>666.8</v>
      </c>
      <c r="O23" s="51">
        <v>0</v>
      </c>
      <c r="P23" s="51">
        <v>0.65</v>
      </c>
      <c r="Q23" s="51">
        <v>8.9600000000000009</v>
      </c>
      <c r="R23" s="43"/>
      <c r="S23" s="43"/>
      <c r="T23" s="43"/>
      <c r="U23" s="43"/>
    </row>
    <row r="24" spans="1:21" s="11" customFormat="1" x14ac:dyDescent="0.25">
      <c r="A24" s="50" t="s">
        <v>651</v>
      </c>
      <c r="B24" s="51">
        <v>3.15</v>
      </c>
      <c r="C24" s="51">
        <v>59.16</v>
      </c>
      <c r="D24" s="51">
        <v>33.43</v>
      </c>
      <c r="E24" s="51">
        <v>14.93</v>
      </c>
      <c r="F24" s="51">
        <v>35.909999999999997</v>
      </c>
      <c r="G24" s="51">
        <v>67.33</v>
      </c>
      <c r="H24" s="51">
        <v>28.39</v>
      </c>
      <c r="I24" s="51">
        <v>4.0999999999999996</v>
      </c>
      <c r="J24" s="51">
        <v>0.8</v>
      </c>
      <c r="K24" s="51">
        <v>262.16000000000003</v>
      </c>
      <c r="L24" s="51">
        <v>31.46</v>
      </c>
      <c r="M24" s="51">
        <v>19.64</v>
      </c>
      <c r="N24" s="51">
        <v>329</v>
      </c>
      <c r="O24" s="51">
        <v>0</v>
      </c>
      <c r="P24" s="51">
        <v>0.59</v>
      </c>
      <c r="Q24" s="51">
        <v>8.91</v>
      </c>
      <c r="R24" s="43"/>
      <c r="S24" s="43"/>
      <c r="T24" s="43"/>
      <c r="U24" s="43"/>
    </row>
    <row r="25" spans="1:21" s="11" customFormat="1" x14ac:dyDescent="0.25">
      <c r="A25" s="50" t="s">
        <v>652</v>
      </c>
      <c r="B25" s="51">
        <v>8.1199999999999992</v>
      </c>
      <c r="C25" s="51">
        <v>69.94</v>
      </c>
      <c r="D25" s="51">
        <v>43.06</v>
      </c>
      <c r="E25" s="51">
        <v>21.37</v>
      </c>
      <c r="F25" s="51">
        <v>45.51</v>
      </c>
      <c r="G25" s="51">
        <v>70.739999999999995</v>
      </c>
      <c r="H25" s="51">
        <v>30.64</v>
      </c>
      <c r="I25" s="51">
        <v>4.18</v>
      </c>
      <c r="J25" s="51">
        <v>0.76</v>
      </c>
      <c r="K25" s="51">
        <v>294.01</v>
      </c>
      <c r="L25" s="51">
        <v>30.96</v>
      </c>
      <c r="M25" s="51">
        <v>20.13</v>
      </c>
      <c r="N25" s="51">
        <v>235.7</v>
      </c>
      <c r="O25" s="51">
        <v>0</v>
      </c>
      <c r="P25" s="51">
        <v>0.57999999999999996</v>
      </c>
      <c r="Q25" s="51">
        <v>8.86</v>
      </c>
      <c r="R25" s="43"/>
      <c r="S25" s="43"/>
      <c r="T25" s="43"/>
      <c r="U25" s="43"/>
    </row>
    <row r="26" spans="1:21" s="11" customFormat="1" x14ac:dyDescent="0.25">
      <c r="A26" s="50" t="s">
        <v>653</v>
      </c>
      <c r="B26" s="51">
        <v>5.43</v>
      </c>
      <c r="C26" s="51">
        <v>86.07</v>
      </c>
      <c r="D26" s="51">
        <v>47.51</v>
      </c>
      <c r="E26" s="51">
        <v>19.77</v>
      </c>
      <c r="F26" s="51">
        <v>42.74</v>
      </c>
      <c r="G26" s="51">
        <v>68.650000000000006</v>
      </c>
      <c r="H26" s="51">
        <v>28.26</v>
      </c>
      <c r="I26" s="51">
        <v>4.08</v>
      </c>
      <c r="J26" s="51">
        <v>1.59</v>
      </c>
      <c r="K26" s="51">
        <v>249.9</v>
      </c>
      <c r="L26" s="51">
        <v>29.54</v>
      </c>
      <c r="M26" s="51">
        <v>26.11</v>
      </c>
      <c r="N26" s="51">
        <v>116.3</v>
      </c>
      <c r="O26" s="51">
        <v>0</v>
      </c>
      <c r="P26" s="51">
        <v>0.75</v>
      </c>
      <c r="Q26" s="51">
        <v>8.85</v>
      </c>
      <c r="R26" s="43"/>
      <c r="S26" s="43"/>
      <c r="T26" s="43"/>
      <c r="U26" s="43"/>
    </row>
    <row r="27" spans="1:21" s="11" customFormat="1" x14ac:dyDescent="0.25">
      <c r="A27" s="50" t="s">
        <v>654</v>
      </c>
      <c r="B27" s="51">
        <v>4.8899999999999997</v>
      </c>
      <c r="C27" s="51">
        <v>124.21</v>
      </c>
      <c r="D27" s="51">
        <v>68.78</v>
      </c>
      <c r="E27" s="51">
        <v>24.87</v>
      </c>
      <c r="F27" s="51">
        <v>34.340000000000003</v>
      </c>
      <c r="G27" s="51">
        <v>71.739999999999995</v>
      </c>
      <c r="H27" s="51">
        <v>29.16</v>
      </c>
      <c r="I27" s="51">
        <v>4.0999999999999996</v>
      </c>
      <c r="J27" s="51">
        <v>0.68</v>
      </c>
      <c r="K27" s="51">
        <v>300.45999999999998</v>
      </c>
      <c r="L27" s="51">
        <v>27.3</v>
      </c>
      <c r="M27" s="51">
        <v>38.9</v>
      </c>
      <c r="N27" s="51">
        <v>65.2</v>
      </c>
      <c r="O27" s="51">
        <v>0</v>
      </c>
      <c r="P27" s="51">
        <v>1.1399999999999999</v>
      </c>
      <c r="Q27" s="51">
        <v>8.9700000000000006</v>
      </c>
      <c r="R27" s="43"/>
      <c r="S27" s="43"/>
      <c r="T27" s="43"/>
      <c r="U27" s="43"/>
    </row>
    <row r="28" spans="1:21" s="11" customFormat="1" x14ac:dyDescent="0.25">
      <c r="A28" s="50" t="s">
        <v>655</v>
      </c>
      <c r="B28" s="51">
        <v>81.19</v>
      </c>
      <c r="C28" s="51">
        <v>177.62</v>
      </c>
      <c r="D28" s="51">
        <v>157.9</v>
      </c>
      <c r="E28" s="51">
        <v>21.06</v>
      </c>
      <c r="F28" s="51">
        <v>27.11</v>
      </c>
      <c r="G28" s="51">
        <v>89.87</v>
      </c>
      <c r="H28" s="51">
        <v>31.44</v>
      </c>
      <c r="I28" s="51">
        <v>4.1100000000000003</v>
      </c>
      <c r="J28" s="51">
        <v>0.89</v>
      </c>
      <c r="K28" s="51">
        <v>304.89999999999998</v>
      </c>
      <c r="L28" s="51">
        <v>25.57</v>
      </c>
      <c r="M28" s="51">
        <v>35.22</v>
      </c>
      <c r="N28" s="51">
        <v>61.4</v>
      </c>
      <c r="O28" s="51">
        <v>0</v>
      </c>
      <c r="P28" s="51">
        <v>1.93</v>
      </c>
      <c r="Q28" s="51">
        <v>9.19</v>
      </c>
      <c r="R28" s="43"/>
      <c r="S28" s="43"/>
      <c r="T28" s="43"/>
      <c r="U28" s="43"/>
    </row>
    <row r="29" spans="1:21" s="11" customFormat="1" x14ac:dyDescent="0.25">
      <c r="A29" s="50" t="s">
        <v>656</v>
      </c>
      <c r="B29" s="51">
        <v>8.36</v>
      </c>
      <c r="C29" s="51">
        <v>98.33</v>
      </c>
      <c r="D29" s="51">
        <v>58.08</v>
      </c>
      <c r="E29" s="51">
        <v>9.09</v>
      </c>
      <c r="F29" s="51">
        <v>18.579999999999998</v>
      </c>
      <c r="G29" s="51">
        <v>100.55</v>
      </c>
      <c r="H29" s="51">
        <v>24.96</v>
      </c>
      <c r="I29" s="51">
        <v>4.0999999999999996</v>
      </c>
      <c r="J29" s="51">
        <v>1</v>
      </c>
      <c r="K29" s="51">
        <v>192.15</v>
      </c>
      <c r="L29" s="51">
        <v>25.36</v>
      </c>
      <c r="M29" s="51">
        <v>36.28</v>
      </c>
      <c r="N29" s="51">
        <v>61</v>
      </c>
      <c r="O29" s="51">
        <v>0</v>
      </c>
      <c r="P29" s="51">
        <v>0.89</v>
      </c>
      <c r="Q29" s="51">
        <v>9.17</v>
      </c>
      <c r="R29" s="43"/>
      <c r="S29" s="43"/>
      <c r="T29" s="43"/>
      <c r="U29" s="43"/>
    </row>
    <row r="30" spans="1:21" s="11" customFormat="1" x14ac:dyDescent="0.25">
      <c r="A30" s="50" t="s">
        <v>657</v>
      </c>
      <c r="B30" s="51">
        <v>6.09</v>
      </c>
      <c r="C30" s="51">
        <v>85.09</v>
      </c>
      <c r="D30" s="51">
        <v>49.08</v>
      </c>
      <c r="E30" s="51">
        <v>6.9</v>
      </c>
      <c r="F30" s="51">
        <v>18.22</v>
      </c>
      <c r="G30" s="51">
        <v>97.85</v>
      </c>
      <c r="H30" s="51">
        <v>39.840000000000003</v>
      </c>
      <c r="I30" s="51">
        <v>4.12</v>
      </c>
      <c r="J30" s="51">
        <v>1.07</v>
      </c>
      <c r="K30" s="51">
        <v>186.55</v>
      </c>
      <c r="L30" s="51">
        <v>24.25</v>
      </c>
      <c r="M30" s="51">
        <v>39.51</v>
      </c>
      <c r="N30" s="51">
        <v>61.1</v>
      </c>
      <c r="O30" s="51">
        <v>0</v>
      </c>
      <c r="P30" s="51">
        <v>0.86</v>
      </c>
      <c r="Q30" s="51">
        <v>9.17</v>
      </c>
      <c r="R30" s="43"/>
      <c r="S30" s="43"/>
      <c r="T30" s="43"/>
      <c r="U30" s="43"/>
    </row>
    <row r="31" spans="1:21" s="11" customFormat="1" x14ac:dyDescent="0.25">
      <c r="A31" s="50" t="s">
        <v>658</v>
      </c>
      <c r="B31" s="51">
        <v>40.22</v>
      </c>
      <c r="C31" s="51">
        <v>114.23</v>
      </c>
      <c r="D31" s="51">
        <v>91.93</v>
      </c>
      <c r="E31" s="51">
        <v>10.01</v>
      </c>
      <c r="F31" s="51">
        <v>17.850000000000001</v>
      </c>
      <c r="G31" s="51">
        <v>90.43</v>
      </c>
      <c r="H31" s="51">
        <v>38.54</v>
      </c>
      <c r="I31" s="51">
        <v>4.05</v>
      </c>
      <c r="J31" s="51">
        <v>0.78</v>
      </c>
      <c r="K31" s="51">
        <v>332.83</v>
      </c>
      <c r="L31" s="51">
        <v>23.14</v>
      </c>
      <c r="M31" s="51">
        <v>45.52</v>
      </c>
      <c r="N31" s="51">
        <v>61.7</v>
      </c>
      <c r="O31" s="51">
        <v>0</v>
      </c>
      <c r="P31" s="51">
        <v>1.1599999999999999</v>
      </c>
      <c r="Q31" s="51">
        <v>9.1999999999999993</v>
      </c>
      <c r="R31" s="43"/>
      <c r="S31" s="43"/>
      <c r="T31" s="43"/>
      <c r="U31" s="43"/>
    </row>
    <row r="32" spans="1:21" s="11" customFormat="1" x14ac:dyDescent="0.25">
      <c r="A32" s="50" t="s">
        <v>659</v>
      </c>
      <c r="B32" s="51">
        <v>41.98</v>
      </c>
      <c r="C32" s="51">
        <v>130.72999999999999</v>
      </c>
      <c r="D32" s="51">
        <v>100.9</v>
      </c>
      <c r="E32" s="51">
        <v>9.26</v>
      </c>
      <c r="F32" s="51">
        <v>10.24</v>
      </c>
      <c r="G32" s="51">
        <v>88.92</v>
      </c>
      <c r="H32" s="51">
        <v>36.700000000000003</v>
      </c>
      <c r="I32" s="51">
        <v>4.01</v>
      </c>
      <c r="J32" s="51">
        <v>0.74</v>
      </c>
      <c r="K32" s="51">
        <v>333.82</v>
      </c>
      <c r="L32" s="51">
        <v>21.08</v>
      </c>
      <c r="M32" s="51">
        <v>49.49</v>
      </c>
      <c r="N32" s="51">
        <v>61.4</v>
      </c>
      <c r="O32" s="51">
        <v>0</v>
      </c>
      <c r="P32" s="51">
        <v>1.26</v>
      </c>
      <c r="Q32" s="51">
        <v>9.44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3.15</v>
      </c>
      <c r="C34" s="28">
        <f t="shared" si="0"/>
        <v>57.53</v>
      </c>
      <c r="D34" s="28">
        <f t="shared" si="0"/>
        <v>33.43</v>
      </c>
      <c r="E34" s="28">
        <f t="shared" si="0"/>
        <v>4.6900000000000004</v>
      </c>
      <c r="F34" s="28">
        <f t="shared" si="0"/>
        <v>7.5</v>
      </c>
      <c r="G34" s="28">
        <f t="shared" si="0"/>
        <v>57.93</v>
      </c>
      <c r="H34" s="28">
        <f t="shared" si="0"/>
        <v>17.13</v>
      </c>
      <c r="I34" s="28">
        <f t="shared" si="0"/>
        <v>4.01</v>
      </c>
      <c r="J34" s="28">
        <f t="shared" si="0"/>
        <v>0.56000000000000005</v>
      </c>
      <c r="K34" s="28">
        <f t="shared" si="0"/>
        <v>94.81</v>
      </c>
      <c r="L34" s="28">
        <f t="shared" si="0"/>
        <v>17.32</v>
      </c>
      <c r="M34" s="28">
        <f t="shared" si="0"/>
        <v>19.64</v>
      </c>
      <c r="N34" s="28">
        <f t="shared" si="0"/>
        <v>54.6</v>
      </c>
      <c r="O34" s="28">
        <f t="shared" si="0"/>
        <v>0</v>
      </c>
      <c r="P34" s="28">
        <f t="shared" si="0"/>
        <v>0.57999999999999996</v>
      </c>
      <c r="Q34" s="28">
        <f t="shared" si="0"/>
        <v>8.85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81.19</v>
      </c>
      <c r="C35" s="29">
        <f t="shared" si="1"/>
        <v>177.62</v>
      </c>
      <c r="D35" s="29">
        <f t="shared" si="1"/>
        <v>157.9</v>
      </c>
      <c r="E35" s="29">
        <f t="shared" si="1"/>
        <v>24.87</v>
      </c>
      <c r="F35" s="29">
        <f t="shared" si="1"/>
        <v>45.51</v>
      </c>
      <c r="G35" s="29">
        <f t="shared" si="1"/>
        <v>126.85</v>
      </c>
      <c r="H35" s="29">
        <f t="shared" si="1"/>
        <v>40.94</v>
      </c>
      <c r="I35" s="29">
        <f t="shared" si="1"/>
        <v>4.1900000000000004</v>
      </c>
      <c r="J35" s="29">
        <f t="shared" si="1"/>
        <v>1.8</v>
      </c>
      <c r="K35" s="29">
        <f t="shared" si="1"/>
        <v>358.57</v>
      </c>
      <c r="L35" s="29">
        <f t="shared" si="1"/>
        <v>35.54</v>
      </c>
      <c r="M35" s="29">
        <f t="shared" si="1"/>
        <v>66.05</v>
      </c>
      <c r="N35" s="29">
        <f t="shared" si="1"/>
        <v>879.3</v>
      </c>
      <c r="O35" s="29">
        <f t="shared" si="1"/>
        <v>0</v>
      </c>
      <c r="P35" s="29">
        <f t="shared" si="1"/>
        <v>1.93</v>
      </c>
      <c r="Q35" s="29">
        <f t="shared" si="1"/>
        <v>9.74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27.084166666666672</v>
      </c>
      <c r="C36" s="28">
        <f t="shared" si="2"/>
        <v>79.978750000000005</v>
      </c>
      <c r="D36" s="28">
        <f t="shared" si="2"/>
        <v>63.103333333333325</v>
      </c>
      <c r="E36" s="28">
        <f t="shared" si="2"/>
        <v>10.616666666666667</v>
      </c>
      <c r="F36" s="28">
        <f t="shared" si="2"/>
        <v>20.171666666666667</v>
      </c>
      <c r="G36" s="28">
        <f t="shared" si="2"/>
        <v>86.404583333333335</v>
      </c>
      <c r="H36" s="28">
        <f t="shared" si="2"/>
        <v>30.21916666666667</v>
      </c>
      <c r="I36" s="28">
        <f t="shared" si="2"/>
        <v>4.0975000000000001</v>
      </c>
      <c r="J36" s="28">
        <f t="shared" si="2"/>
        <v>1.0633333333333332</v>
      </c>
      <c r="K36" s="28">
        <f t="shared" si="2"/>
        <v>276.26249999999993</v>
      </c>
      <c r="L36" s="28">
        <f t="shared" si="2"/>
        <v>26.138333333333335</v>
      </c>
      <c r="M36" s="28">
        <f t="shared" si="2"/>
        <v>40.954166666666666</v>
      </c>
      <c r="N36" s="28">
        <f t="shared" si="2"/>
        <v>306.74583333333334</v>
      </c>
      <c r="O36" s="28">
        <f t="shared" si="2"/>
        <v>0</v>
      </c>
      <c r="P36" s="28">
        <f t="shared" si="2"/>
        <v>0.9833333333333335</v>
      </c>
      <c r="Q36" s="28">
        <f t="shared" si="2"/>
        <v>9.3091666666666644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22.673519301957327</v>
      </c>
      <c r="C37" s="28">
        <f t="shared" ref="C37:Q37" si="3">STDEV(C9:C32)</f>
        <v>29.329990336721448</v>
      </c>
      <c r="D37" s="28">
        <f t="shared" si="3"/>
        <v>27.545608135167992</v>
      </c>
      <c r="E37" s="28">
        <f t="shared" si="3"/>
        <v>6.0744508906722086</v>
      </c>
      <c r="F37" s="28">
        <f t="shared" si="3"/>
        <v>11.002420155373191</v>
      </c>
      <c r="G37" s="28">
        <f t="shared" si="3"/>
        <v>19.040785738985974</v>
      </c>
      <c r="H37" s="28">
        <f t="shared" si="3"/>
        <v>6.3637177516910715</v>
      </c>
      <c r="I37" s="28">
        <f t="shared" si="3"/>
        <v>4.8476798574163392E-2</v>
      </c>
      <c r="J37" s="28">
        <f t="shared" si="3"/>
        <v>0.35370912474452271</v>
      </c>
      <c r="K37" s="28">
        <f t="shared" si="3"/>
        <v>85.931044157510613</v>
      </c>
      <c r="L37" s="28">
        <f t="shared" si="3"/>
        <v>5.5752408149718065</v>
      </c>
      <c r="M37" s="28">
        <f t="shared" si="3"/>
        <v>15.674279656610164</v>
      </c>
      <c r="N37" s="28">
        <f t="shared" si="3"/>
        <v>325.48256211777868</v>
      </c>
      <c r="O37" s="28">
        <f t="shared" si="3"/>
        <v>0</v>
      </c>
      <c r="P37" s="28">
        <f t="shared" si="3"/>
        <v>0.31708820150903017</v>
      </c>
      <c r="Q37" s="28">
        <f t="shared" si="3"/>
        <v>0.29168053797242649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49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5"/>
      <c r="B8" s="56" t="s">
        <v>22</v>
      </c>
      <c r="C8" s="56" t="s">
        <v>22</v>
      </c>
      <c r="D8" s="29" t="s">
        <v>42</v>
      </c>
      <c r="E8" s="56" t="s">
        <v>22</v>
      </c>
      <c r="F8" s="56" t="s">
        <v>22</v>
      </c>
      <c r="G8" s="56" t="s">
        <v>23</v>
      </c>
      <c r="H8" s="56" t="s">
        <v>22</v>
      </c>
      <c r="I8" s="56" t="s">
        <v>22</v>
      </c>
      <c r="J8" s="56" t="s">
        <v>24</v>
      </c>
      <c r="K8" s="56" t="s">
        <v>25</v>
      </c>
      <c r="L8" s="55" t="s">
        <v>27</v>
      </c>
      <c r="M8" s="56" t="s">
        <v>26</v>
      </c>
      <c r="N8" s="56" t="s">
        <v>28</v>
      </c>
      <c r="O8" s="55" t="s">
        <v>29</v>
      </c>
      <c r="P8" s="56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660</v>
      </c>
      <c r="B9" s="51">
        <v>25.36</v>
      </c>
      <c r="C9" s="51">
        <v>100.53</v>
      </c>
      <c r="D9" s="51">
        <v>70.86</v>
      </c>
      <c r="E9" s="51">
        <v>6.67</v>
      </c>
      <c r="F9" s="51">
        <v>10.19</v>
      </c>
      <c r="G9" s="51">
        <v>93.55</v>
      </c>
      <c r="H9" s="51">
        <v>36.64</v>
      </c>
      <c r="I9" s="51">
        <v>4.1399999999999997</v>
      </c>
      <c r="J9" s="51">
        <v>0.73</v>
      </c>
      <c r="K9" s="51">
        <v>341.19</v>
      </c>
      <c r="L9" s="51">
        <v>20.21</v>
      </c>
      <c r="M9" s="51">
        <v>55.4</v>
      </c>
      <c r="N9" s="51">
        <v>61.3</v>
      </c>
      <c r="O9" s="51">
        <v>0</v>
      </c>
      <c r="P9" s="51">
        <v>1.31</v>
      </c>
      <c r="Q9" s="51">
        <v>9.48</v>
      </c>
      <c r="R9" s="43"/>
      <c r="S9" s="43"/>
      <c r="T9" s="43"/>
      <c r="U9" s="43"/>
    </row>
    <row r="10" spans="1:21" s="11" customFormat="1" x14ac:dyDescent="0.25">
      <c r="A10" s="50" t="s">
        <v>661</v>
      </c>
      <c r="B10" s="51">
        <v>18.170000000000002</v>
      </c>
      <c r="C10" s="51">
        <v>75.510000000000005</v>
      </c>
      <c r="D10" s="51">
        <v>52.79</v>
      </c>
      <c r="E10" s="51">
        <v>5.74</v>
      </c>
      <c r="F10" s="51">
        <v>8.84</v>
      </c>
      <c r="G10" s="51">
        <v>104.57</v>
      </c>
      <c r="H10" s="51">
        <v>41.34</v>
      </c>
      <c r="I10" s="51">
        <v>4.05</v>
      </c>
      <c r="J10" s="51">
        <v>0.4</v>
      </c>
      <c r="K10" s="51">
        <v>309.7</v>
      </c>
      <c r="L10" s="51">
        <v>19.87</v>
      </c>
      <c r="M10" s="51">
        <v>56.66</v>
      </c>
      <c r="N10" s="51">
        <v>61.1</v>
      </c>
      <c r="O10" s="51">
        <v>0</v>
      </c>
      <c r="P10" s="51">
        <v>1.31</v>
      </c>
      <c r="Q10" s="51">
        <v>9.5</v>
      </c>
      <c r="R10" s="43"/>
      <c r="S10" s="43"/>
      <c r="T10" s="43"/>
      <c r="U10" s="43"/>
    </row>
    <row r="11" spans="1:21" s="11" customFormat="1" x14ac:dyDescent="0.25">
      <c r="A11" s="50" t="s">
        <v>662</v>
      </c>
      <c r="B11" s="51">
        <v>22.19</v>
      </c>
      <c r="C11" s="51">
        <v>73.489999999999995</v>
      </c>
      <c r="D11" s="51">
        <v>54.19</v>
      </c>
      <c r="E11" s="51">
        <v>5.45</v>
      </c>
      <c r="F11" s="51">
        <v>7.85</v>
      </c>
      <c r="G11" s="51">
        <v>159.37</v>
      </c>
      <c r="H11" s="51">
        <v>63.36</v>
      </c>
      <c r="I11" s="51">
        <v>4.1500000000000004</v>
      </c>
      <c r="J11" s="51">
        <v>0.54</v>
      </c>
      <c r="K11" s="51">
        <v>330.45</v>
      </c>
      <c r="L11" s="51">
        <v>19.23</v>
      </c>
      <c r="M11" s="51">
        <v>62</v>
      </c>
      <c r="N11" s="51">
        <v>61.3</v>
      </c>
      <c r="O11" s="51">
        <v>0</v>
      </c>
      <c r="P11" s="51">
        <v>1.51</v>
      </c>
      <c r="Q11" s="51">
        <v>9.51</v>
      </c>
      <c r="R11" s="43"/>
      <c r="S11" s="43"/>
      <c r="T11" s="43"/>
      <c r="U11" s="43"/>
    </row>
    <row r="12" spans="1:21" s="11" customFormat="1" x14ac:dyDescent="0.25">
      <c r="A12" s="50" t="s">
        <v>663</v>
      </c>
      <c r="B12" s="51">
        <v>38.42</v>
      </c>
      <c r="C12" s="51">
        <v>72.72</v>
      </c>
      <c r="D12" s="51">
        <v>66.38</v>
      </c>
      <c r="E12" s="51">
        <v>8.6999999999999993</v>
      </c>
      <c r="F12" s="51">
        <v>9.3000000000000007</v>
      </c>
      <c r="G12" s="51">
        <v>270.57</v>
      </c>
      <c r="H12" s="51">
        <v>110.7</v>
      </c>
      <c r="I12" s="51">
        <v>4.12</v>
      </c>
      <c r="J12" s="51">
        <v>0.41</v>
      </c>
      <c r="K12" s="51">
        <v>330.22</v>
      </c>
      <c r="L12" s="51">
        <v>18.559999999999999</v>
      </c>
      <c r="M12" s="51">
        <v>64.17</v>
      </c>
      <c r="N12" s="51">
        <v>61.3</v>
      </c>
      <c r="O12" s="51">
        <v>0</v>
      </c>
      <c r="P12" s="51">
        <v>1.86</v>
      </c>
      <c r="Q12" s="51">
        <v>9.51</v>
      </c>
      <c r="R12" s="43"/>
      <c r="S12" s="43"/>
      <c r="T12" s="43"/>
      <c r="U12" s="43"/>
    </row>
    <row r="13" spans="1:21" s="11" customFormat="1" x14ac:dyDescent="0.25">
      <c r="A13" s="50" t="s">
        <v>664</v>
      </c>
      <c r="B13" s="51">
        <v>61.64</v>
      </c>
      <c r="C13" s="51">
        <v>72.11</v>
      </c>
      <c r="D13" s="51">
        <v>85.27</v>
      </c>
      <c r="E13" s="51">
        <v>9.98</v>
      </c>
      <c r="F13" s="51">
        <v>8.7899999999999991</v>
      </c>
      <c r="G13" s="51">
        <v>281.76</v>
      </c>
      <c r="H13" s="51">
        <v>114.2</v>
      </c>
      <c r="I13" s="51">
        <v>4.0199999999999996</v>
      </c>
      <c r="J13" s="51">
        <v>0.5</v>
      </c>
      <c r="K13" s="51">
        <v>316.43</v>
      </c>
      <c r="L13" s="51">
        <v>18.309999999999999</v>
      </c>
      <c r="M13" s="51">
        <v>65.790000000000006</v>
      </c>
      <c r="N13" s="51">
        <v>61.4</v>
      </c>
      <c r="O13" s="51">
        <v>0</v>
      </c>
      <c r="P13" s="51">
        <v>1.91</v>
      </c>
      <c r="Q13" s="51">
        <v>9.5399999999999991</v>
      </c>
      <c r="R13" s="43"/>
      <c r="S13" s="43"/>
      <c r="T13" s="43"/>
      <c r="U13" s="43"/>
    </row>
    <row r="14" spans="1:21" s="11" customFormat="1" x14ac:dyDescent="0.25">
      <c r="A14" s="50" t="s">
        <v>665</v>
      </c>
      <c r="B14" s="51">
        <v>57.02</v>
      </c>
      <c r="C14" s="51">
        <v>64.069999999999993</v>
      </c>
      <c r="D14" s="51">
        <v>79.2</v>
      </c>
      <c r="E14" s="51">
        <v>4.5</v>
      </c>
      <c r="F14" s="51">
        <v>7.14</v>
      </c>
      <c r="G14" s="51">
        <v>302.89</v>
      </c>
      <c r="H14" s="51">
        <v>97.94</v>
      </c>
      <c r="I14" s="51">
        <v>4.1399999999999997</v>
      </c>
      <c r="J14" s="51">
        <v>0.56000000000000005</v>
      </c>
      <c r="K14" s="51">
        <v>282.68</v>
      </c>
      <c r="L14" s="51">
        <v>17.760000000000002</v>
      </c>
      <c r="M14" s="51">
        <v>72.09</v>
      </c>
      <c r="N14" s="51">
        <v>62.9</v>
      </c>
      <c r="O14" s="51">
        <v>0</v>
      </c>
      <c r="P14" s="51">
        <v>1.59</v>
      </c>
      <c r="Q14" s="51">
        <v>9.56</v>
      </c>
      <c r="R14" s="43"/>
      <c r="S14" s="43"/>
      <c r="T14" s="43"/>
      <c r="U14" s="43"/>
    </row>
    <row r="15" spans="1:21" s="11" customFormat="1" x14ac:dyDescent="0.25">
      <c r="A15" s="50" t="s">
        <v>666</v>
      </c>
      <c r="B15" s="51">
        <v>87.18</v>
      </c>
      <c r="C15" s="51">
        <v>69.180000000000007</v>
      </c>
      <c r="D15" s="51">
        <v>106.05</v>
      </c>
      <c r="E15" s="51">
        <v>4.1100000000000003</v>
      </c>
      <c r="F15" s="51">
        <v>7.53</v>
      </c>
      <c r="G15" s="51">
        <v>193.26</v>
      </c>
      <c r="H15" s="51">
        <v>69.48</v>
      </c>
      <c r="I15" s="51">
        <v>4.08</v>
      </c>
      <c r="J15" s="51">
        <v>0.68</v>
      </c>
      <c r="K15" s="51">
        <v>352.3</v>
      </c>
      <c r="L15" s="51">
        <v>20.25</v>
      </c>
      <c r="M15" s="51">
        <v>74.94</v>
      </c>
      <c r="N15" s="51">
        <v>174.4</v>
      </c>
      <c r="O15" s="51">
        <v>0</v>
      </c>
      <c r="P15" s="51">
        <v>1.81</v>
      </c>
      <c r="Q15" s="51">
        <v>9.57</v>
      </c>
      <c r="R15" s="43"/>
      <c r="S15" s="43"/>
      <c r="T15" s="43"/>
      <c r="U15" s="43"/>
    </row>
    <row r="16" spans="1:21" s="11" customFormat="1" x14ac:dyDescent="0.25">
      <c r="A16" s="50" t="s">
        <v>667</v>
      </c>
      <c r="B16" s="51">
        <v>93.07</v>
      </c>
      <c r="C16" s="51">
        <v>95.49</v>
      </c>
      <c r="D16" s="51">
        <v>116.04</v>
      </c>
      <c r="E16" s="51">
        <v>7.19</v>
      </c>
      <c r="F16" s="51">
        <v>15.74</v>
      </c>
      <c r="G16" s="51">
        <v>214.03</v>
      </c>
      <c r="H16" s="51">
        <v>62</v>
      </c>
      <c r="I16" s="51">
        <v>4.05</v>
      </c>
      <c r="J16" s="51">
        <v>0.83</v>
      </c>
      <c r="K16" s="51">
        <v>356.77</v>
      </c>
      <c r="L16" s="51">
        <v>26.74</v>
      </c>
      <c r="M16" s="51">
        <v>55.51</v>
      </c>
      <c r="N16" s="51">
        <v>371.5</v>
      </c>
      <c r="O16" s="51">
        <v>0</v>
      </c>
      <c r="P16" s="51">
        <v>1.63</v>
      </c>
      <c r="Q16" s="51">
        <v>9.6999999999999993</v>
      </c>
      <c r="R16" s="43"/>
      <c r="S16" s="43"/>
      <c r="T16" s="43"/>
      <c r="U16" s="43"/>
    </row>
    <row r="17" spans="1:21" s="11" customFormat="1" x14ac:dyDescent="0.25">
      <c r="A17" s="50" t="s">
        <v>668</v>
      </c>
      <c r="B17" s="51">
        <v>58.81</v>
      </c>
      <c r="C17" s="51">
        <v>80.53</v>
      </c>
      <c r="D17" s="51">
        <v>86.37</v>
      </c>
      <c r="E17" s="51">
        <v>8.48</v>
      </c>
      <c r="F17" s="51">
        <v>21.33</v>
      </c>
      <c r="G17" s="51">
        <v>116.18</v>
      </c>
      <c r="H17" s="51">
        <v>45.08</v>
      </c>
      <c r="I17" s="51">
        <v>4.13</v>
      </c>
      <c r="J17" s="51">
        <v>1.92</v>
      </c>
      <c r="K17" s="51">
        <v>152.93</v>
      </c>
      <c r="L17" s="51">
        <v>27.84</v>
      </c>
      <c r="M17" s="51">
        <v>36.35</v>
      </c>
      <c r="N17" s="51">
        <v>572.4</v>
      </c>
      <c r="O17" s="51">
        <v>0</v>
      </c>
      <c r="P17" s="51">
        <v>1.49</v>
      </c>
      <c r="Q17" s="51">
        <v>9.6999999999999993</v>
      </c>
      <c r="R17" s="43"/>
      <c r="S17" s="43"/>
      <c r="T17" s="43"/>
      <c r="U17" s="43"/>
    </row>
    <row r="18" spans="1:21" s="11" customFormat="1" x14ac:dyDescent="0.25">
      <c r="A18" s="50" t="s">
        <v>669</v>
      </c>
      <c r="B18" s="51">
        <v>53.65</v>
      </c>
      <c r="C18" s="51">
        <v>83.33</v>
      </c>
      <c r="D18" s="51">
        <v>82.81</v>
      </c>
      <c r="E18" s="51">
        <v>4.33</v>
      </c>
      <c r="F18" s="51">
        <v>10.73</v>
      </c>
      <c r="G18" s="51">
        <v>107.09</v>
      </c>
      <c r="H18" s="51">
        <v>45.16</v>
      </c>
      <c r="I18" s="51">
        <v>4.09</v>
      </c>
      <c r="J18" s="51">
        <v>1.65</v>
      </c>
      <c r="K18" s="51">
        <v>170.41</v>
      </c>
      <c r="L18" s="51">
        <v>28.8</v>
      </c>
      <c r="M18" s="51">
        <v>37.92</v>
      </c>
      <c r="N18" s="51">
        <v>779.2</v>
      </c>
      <c r="O18" s="51">
        <v>0</v>
      </c>
      <c r="P18" s="51">
        <v>1.46</v>
      </c>
      <c r="Q18" s="51">
        <v>9.65</v>
      </c>
      <c r="R18" s="43"/>
      <c r="S18" s="43"/>
      <c r="T18" s="43"/>
      <c r="U18" s="43"/>
    </row>
    <row r="19" spans="1:21" s="11" customFormat="1" x14ac:dyDescent="0.25">
      <c r="A19" s="50" t="s">
        <v>670</v>
      </c>
      <c r="B19" s="51">
        <v>23.05</v>
      </c>
      <c r="C19" s="51">
        <v>85.88</v>
      </c>
      <c r="D19" s="51">
        <v>61.67</v>
      </c>
      <c r="E19" s="51">
        <v>4.76</v>
      </c>
      <c r="F19" s="51">
        <v>13.34</v>
      </c>
      <c r="G19" s="51">
        <v>94.07</v>
      </c>
      <c r="H19" s="51">
        <v>37.72</v>
      </c>
      <c r="I19" s="51">
        <v>4.16</v>
      </c>
      <c r="J19" s="51">
        <v>0.71</v>
      </c>
      <c r="K19" s="51">
        <v>254.68</v>
      </c>
      <c r="L19" s="51">
        <v>31.35</v>
      </c>
      <c r="M19" s="51">
        <v>36.520000000000003</v>
      </c>
      <c r="N19" s="51">
        <v>829.1</v>
      </c>
      <c r="O19" s="51">
        <v>0</v>
      </c>
      <c r="P19" s="51">
        <v>1.2</v>
      </c>
      <c r="Q19" s="51">
        <v>9.5500000000000007</v>
      </c>
      <c r="R19" s="43"/>
      <c r="S19" s="43"/>
      <c r="T19" s="43"/>
      <c r="U19" s="43"/>
    </row>
    <row r="20" spans="1:21" s="11" customFormat="1" x14ac:dyDescent="0.25">
      <c r="A20" s="50" t="s">
        <v>671</v>
      </c>
      <c r="B20" s="51">
        <v>6.26</v>
      </c>
      <c r="C20" s="51">
        <v>84.46</v>
      </c>
      <c r="D20" s="51">
        <v>49.15</v>
      </c>
      <c r="E20" s="51">
        <v>5.37</v>
      </c>
      <c r="F20" s="51">
        <v>20.12</v>
      </c>
      <c r="G20" s="51">
        <v>62.79</v>
      </c>
      <c r="H20" s="51">
        <v>27.62</v>
      </c>
      <c r="I20" s="51">
        <v>4.21</v>
      </c>
      <c r="J20" s="51">
        <v>0.96</v>
      </c>
      <c r="K20" s="51">
        <v>271.45</v>
      </c>
      <c r="L20" s="51">
        <v>31.68</v>
      </c>
      <c r="M20" s="51">
        <v>22.34</v>
      </c>
      <c r="N20" s="51">
        <v>851.6</v>
      </c>
      <c r="O20" s="51">
        <v>0</v>
      </c>
      <c r="P20" s="51">
        <v>1.01</v>
      </c>
      <c r="Q20" s="51">
        <v>9.3800000000000008</v>
      </c>
      <c r="R20" s="43"/>
      <c r="S20" s="43"/>
      <c r="T20" s="43"/>
      <c r="U20" s="43"/>
    </row>
    <row r="21" spans="1:21" s="11" customFormat="1" x14ac:dyDescent="0.25">
      <c r="A21" s="50" t="s">
        <v>672</v>
      </c>
      <c r="B21" s="51">
        <v>3.81</v>
      </c>
      <c r="C21" s="51">
        <v>65.34</v>
      </c>
      <c r="D21" s="51">
        <v>37.200000000000003</v>
      </c>
      <c r="E21" s="51">
        <v>9.82</v>
      </c>
      <c r="F21" s="51">
        <v>29.88</v>
      </c>
      <c r="G21" s="51">
        <v>52.08</v>
      </c>
      <c r="H21" s="51">
        <v>23.28</v>
      </c>
      <c r="I21" s="51">
        <v>4.1100000000000003</v>
      </c>
      <c r="J21" s="51">
        <v>1.39</v>
      </c>
      <c r="K21" s="51">
        <v>284.10000000000002</v>
      </c>
      <c r="L21" s="51">
        <v>32.979999999999997</v>
      </c>
      <c r="M21" s="51">
        <v>18.899999999999999</v>
      </c>
      <c r="N21" s="51">
        <v>779</v>
      </c>
      <c r="O21" s="51">
        <v>0</v>
      </c>
      <c r="P21" s="51">
        <v>0.78</v>
      </c>
      <c r="Q21" s="51">
        <v>9.1300000000000008</v>
      </c>
      <c r="R21" s="43"/>
      <c r="S21" s="43"/>
      <c r="T21" s="43"/>
      <c r="U21" s="43"/>
    </row>
    <row r="22" spans="1:21" s="11" customFormat="1" x14ac:dyDescent="0.25">
      <c r="A22" s="50" t="s">
        <v>673</v>
      </c>
      <c r="B22" s="51">
        <v>9.31</v>
      </c>
      <c r="C22" s="51">
        <v>81.47</v>
      </c>
      <c r="D22" s="51">
        <v>50.03</v>
      </c>
      <c r="E22" s="51">
        <v>14.05</v>
      </c>
      <c r="F22" s="51">
        <v>24.48</v>
      </c>
      <c r="G22" s="51">
        <v>54.76</v>
      </c>
      <c r="H22" s="51">
        <v>24.94</v>
      </c>
      <c r="I22" s="51">
        <v>4.16</v>
      </c>
      <c r="J22" s="51">
        <v>0.85</v>
      </c>
      <c r="K22" s="51">
        <v>302.82</v>
      </c>
      <c r="L22" s="51">
        <v>34.9</v>
      </c>
      <c r="M22" s="51">
        <v>16.53</v>
      </c>
      <c r="N22" s="51">
        <v>760.9</v>
      </c>
      <c r="O22" s="51">
        <v>0</v>
      </c>
      <c r="P22" s="51">
        <v>0.75</v>
      </c>
      <c r="Q22" s="51">
        <v>9.0500000000000007</v>
      </c>
      <c r="R22" s="43"/>
      <c r="S22" s="43"/>
      <c r="T22" s="43"/>
      <c r="U22" s="43"/>
    </row>
    <row r="23" spans="1:21" s="11" customFormat="1" x14ac:dyDescent="0.25">
      <c r="A23" s="50" t="s">
        <v>674</v>
      </c>
      <c r="B23" s="51">
        <v>8.4499999999999993</v>
      </c>
      <c r="C23" s="51">
        <v>69.459999999999994</v>
      </c>
      <c r="D23" s="51">
        <v>42.01</v>
      </c>
      <c r="E23" s="51">
        <v>14.46</v>
      </c>
      <c r="F23" s="51">
        <v>30.7</v>
      </c>
      <c r="G23" s="51">
        <v>76.510000000000005</v>
      </c>
      <c r="H23" s="51">
        <v>30.2</v>
      </c>
      <c r="I23" s="51">
        <v>4.17</v>
      </c>
      <c r="J23" s="51">
        <v>1.86</v>
      </c>
      <c r="K23" s="51">
        <v>358.22</v>
      </c>
      <c r="L23" s="51">
        <v>35.01</v>
      </c>
      <c r="M23" s="51">
        <v>15.27</v>
      </c>
      <c r="N23" s="51">
        <v>613.79999999999995</v>
      </c>
      <c r="O23" s="51">
        <v>0</v>
      </c>
      <c r="P23" s="51">
        <v>0.69</v>
      </c>
      <c r="Q23" s="51">
        <v>8.9600000000000009</v>
      </c>
      <c r="R23" s="43"/>
      <c r="S23" s="43"/>
      <c r="T23" s="43"/>
      <c r="U23" s="43"/>
    </row>
    <row r="24" spans="1:21" s="11" customFormat="1" x14ac:dyDescent="0.25">
      <c r="A24" s="50" t="s">
        <v>675</v>
      </c>
      <c r="B24" s="51">
        <v>6.2</v>
      </c>
      <c r="C24" s="51">
        <v>54.06</v>
      </c>
      <c r="D24" s="51">
        <v>32.619999999999997</v>
      </c>
      <c r="E24" s="51">
        <v>18.79</v>
      </c>
      <c r="F24" s="51">
        <v>45.87</v>
      </c>
      <c r="G24" s="51">
        <v>72.040000000000006</v>
      </c>
      <c r="H24" s="51">
        <v>18.010000000000002</v>
      </c>
      <c r="I24" s="51">
        <v>4.17</v>
      </c>
      <c r="J24" s="51">
        <v>1.41</v>
      </c>
      <c r="K24" s="51">
        <v>352.14</v>
      </c>
      <c r="L24" s="51">
        <v>34.520000000000003</v>
      </c>
      <c r="M24" s="51">
        <v>13.43</v>
      </c>
      <c r="N24" s="51">
        <v>385.2</v>
      </c>
      <c r="O24" s="51">
        <v>0</v>
      </c>
      <c r="P24" s="51">
        <v>0.52</v>
      </c>
      <c r="Q24" s="51">
        <v>8.9499999999999993</v>
      </c>
      <c r="R24" s="43"/>
      <c r="S24" s="43"/>
      <c r="T24" s="43"/>
      <c r="U24" s="43"/>
    </row>
    <row r="25" spans="1:21" s="11" customFormat="1" x14ac:dyDescent="0.25">
      <c r="A25" s="50" t="s">
        <v>676</v>
      </c>
      <c r="B25" s="51">
        <v>12.05</v>
      </c>
      <c r="C25" s="51">
        <v>60.95</v>
      </c>
      <c r="D25" s="51">
        <v>41.51</v>
      </c>
      <c r="E25" s="51">
        <v>20.260000000000002</v>
      </c>
      <c r="F25" s="51">
        <v>39.71</v>
      </c>
      <c r="G25" s="51">
        <v>53.02</v>
      </c>
      <c r="H25" s="51">
        <v>18.32</v>
      </c>
      <c r="I25" s="51">
        <v>4.0599999999999996</v>
      </c>
      <c r="J25" s="51">
        <v>1.26</v>
      </c>
      <c r="K25" s="51">
        <v>350.82</v>
      </c>
      <c r="L25" s="51">
        <v>32.33</v>
      </c>
      <c r="M25" s="51">
        <v>14.5</v>
      </c>
      <c r="N25" s="51">
        <v>183.5</v>
      </c>
      <c r="O25" s="51">
        <v>0</v>
      </c>
      <c r="P25" s="51">
        <v>0.56000000000000005</v>
      </c>
      <c r="Q25" s="51">
        <v>8.92</v>
      </c>
      <c r="R25" s="43"/>
      <c r="S25" s="43"/>
      <c r="T25" s="43"/>
      <c r="U25" s="43"/>
    </row>
    <row r="26" spans="1:21" s="11" customFormat="1" x14ac:dyDescent="0.25">
      <c r="A26" s="50" t="s">
        <v>677</v>
      </c>
      <c r="B26" s="51">
        <v>8.68</v>
      </c>
      <c r="C26" s="51">
        <v>76.64</v>
      </c>
      <c r="D26" s="51">
        <v>47.01</v>
      </c>
      <c r="E26" s="51">
        <v>24.14</v>
      </c>
      <c r="F26" s="51">
        <v>45.61</v>
      </c>
      <c r="G26" s="51">
        <v>44.31</v>
      </c>
      <c r="H26" s="51">
        <v>10.36</v>
      </c>
      <c r="I26" s="51">
        <v>4.2</v>
      </c>
      <c r="J26" s="51">
        <v>0.94</v>
      </c>
      <c r="K26" s="51">
        <v>93.42</v>
      </c>
      <c r="L26" s="51">
        <v>30.54</v>
      </c>
      <c r="M26" s="51">
        <v>17.329999999999998</v>
      </c>
      <c r="N26" s="51">
        <v>108.6</v>
      </c>
      <c r="O26" s="51">
        <v>0</v>
      </c>
      <c r="P26" s="51">
        <v>0.72</v>
      </c>
      <c r="Q26" s="51">
        <v>8.93</v>
      </c>
      <c r="R26" s="43"/>
      <c r="S26" s="43"/>
      <c r="T26" s="43"/>
      <c r="U26" s="43"/>
    </row>
    <row r="27" spans="1:21" s="11" customFormat="1" x14ac:dyDescent="0.25">
      <c r="A27" s="50" t="s">
        <v>678</v>
      </c>
      <c r="B27" s="51">
        <v>102.02</v>
      </c>
      <c r="C27" s="51">
        <v>154.4</v>
      </c>
      <c r="D27" s="51">
        <v>160.59</v>
      </c>
      <c r="E27" s="51">
        <v>13.66</v>
      </c>
      <c r="F27" s="51">
        <v>27.73</v>
      </c>
      <c r="G27" s="51">
        <v>62</v>
      </c>
      <c r="H27" s="51">
        <v>23.47</v>
      </c>
      <c r="I27" s="51">
        <v>4.0599999999999996</v>
      </c>
      <c r="J27" s="51">
        <v>0.72</v>
      </c>
      <c r="K27" s="51">
        <v>291.93</v>
      </c>
      <c r="L27" s="51">
        <v>28.9</v>
      </c>
      <c r="M27" s="51">
        <v>27</v>
      </c>
      <c r="N27" s="51">
        <v>62.7</v>
      </c>
      <c r="O27" s="51">
        <v>0</v>
      </c>
      <c r="P27" s="51">
        <v>2.11</v>
      </c>
      <c r="Q27" s="51">
        <v>9.16</v>
      </c>
      <c r="R27" s="43"/>
      <c r="S27" s="43"/>
      <c r="T27" s="43"/>
      <c r="U27" s="43"/>
    </row>
    <row r="28" spans="1:21" s="11" customFormat="1" x14ac:dyDescent="0.25">
      <c r="A28" s="50" t="s">
        <v>679</v>
      </c>
      <c r="B28" s="51">
        <v>55.28</v>
      </c>
      <c r="C28" s="51">
        <v>125.25</v>
      </c>
      <c r="D28" s="51">
        <v>109.78</v>
      </c>
      <c r="E28" s="51">
        <v>8.56</v>
      </c>
      <c r="F28" s="51">
        <v>19.850000000000001</v>
      </c>
      <c r="G28" s="51">
        <v>87.55</v>
      </c>
      <c r="H28" s="51">
        <v>27.62</v>
      </c>
      <c r="I28" s="51">
        <v>4.05</v>
      </c>
      <c r="J28" s="51">
        <v>1.1399999999999999</v>
      </c>
      <c r="K28" s="51">
        <v>190.15</v>
      </c>
      <c r="L28" s="51">
        <v>26.97</v>
      </c>
      <c r="M28" s="51">
        <v>26.12</v>
      </c>
      <c r="N28" s="51">
        <v>59.1</v>
      </c>
      <c r="O28" s="51">
        <v>0</v>
      </c>
      <c r="P28" s="51">
        <v>1.01</v>
      </c>
      <c r="Q28" s="51">
        <v>9.4700000000000006</v>
      </c>
      <c r="R28" s="43"/>
      <c r="S28" s="43"/>
      <c r="T28" s="43"/>
      <c r="U28" s="43"/>
    </row>
    <row r="29" spans="1:21" s="11" customFormat="1" x14ac:dyDescent="0.25">
      <c r="A29" s="50" t="s">
        <v>680</v>
      </c>
      <c r="B29" s="51">
        <v>82.86</v>
      </c>
      <c r="C29" s="51">
        <v>148.78</v>
      </c>
      <c r="D29" s="51">
        <v>144.18</v>
      </c>
      <c r="E29" s="51">
        <v>9.5399999999999991</v>
      </c>
      <c r="F29" s="51">
        <v>14.41</v>
      </c>
      <c r="G29" s="51">
        <v>89.53</v>
      </c>
      <c r="H29" s="51">
        <v>30.03</v>
      </c>
      <c r="I29" s="51">
        <v>4.0999999999999996</v>
      </c>
      <c r="J29" s="51">
        <v>0.52</v>
      </c>
      <c r="K29" s="51">
        <v>272.32</v>
      </c>
      <c r="L29" s="51">
        <v>25.64</v>
      </c>
      <c r="M29" s="51">
        <v>30.39</v>
      </c>
      <c r="N29" s="51">
        <v>59.8</v>
      </c>
      <c r="O29" s="51">
        <v>0</v>
      </c>
      <c r="P29" s="51">
        <v>1.88</v>
      </c>
      <c r="Q29" s="51">
        <v>9.4700000000000006</v>
      </c>
      <c r="R29" s="43"/>
      <c r="S29" s="43"/>
      <c r="T29" s="43"/>
      <c r="U29" s="43"/>
    </row>
    <row r="30" spans="1:21" s="11" customFormat="1" x14ac:dyDescent="0.25">
      <c r="A30" s="50" t="s">
        <v>681</v>
      </c>
      <c r="B30" s="51">
        <v>98.6</v>
      </c>
      <c r="C30" s="51">
        <v>153.05000000000001</v>
      </c>
      <c r="D30" s="51">
        <v>154.87</v>
      </c>
      <c r="E30" s="51">
        <v>8.92</v>
      </c>
      <c r="F30" s="51">
        <v>12.21</v>
      </c>
      <c r="G30" s="51">
        <v>97.25</v>
      </c>
      <c r="H30" s="51">
        <v>31.96</v>
      </c>
      <c r="I30" s="51">
        <v>4.1100000000000003</v>
      </c>
      <c r="J30" s="51">
        <v>0.63</v>
      </c>
      <c r="K30" s="51">
        <v>345.21</v>
      </c>
      <c r="L30" s="51">
        <v>24.34</v>
      </c>
      <c r="M30" s="51">
        <v>35.869999999999997</v>
      </c>
      <c r="N30" s="51">
        <v>59.6</v>
      </c>
      <c r="O30" s="51">
        <v>0</v>
      </c>
      <c r="P30" s="51">
        <v>2.5099999999999998</v>
      </c>
      <c r="Q30" s="51">
        <v>9.49</v>
      </c>
      <c r="R30" s="43"/>
      <c r="S30" s="43"/>
      <c r="T30" s="43"/>
      <c r="U30" s="43"/>
    </row>
    <row r="31" spans="1:21" s="11" customFormat="1" x14ac:dyDescent="0.25">
      <c r="A31" s="50" t="s">
        <v>682</v>
      </c>
      <c r="B31" s="51">
        <v>175.95</v>
      </c>
      <c r="C31" s="51">
        <v>131.69</v>
      </c>
      <c r="D31" s="51">
        <v>208.6</v>
      </c>
      <c r="E31" s="51">
        <v>7.85</v>
      </c>
      <c r="F31" s="51">
        <v>8.99</v>
      </c>
      <c r="G31" s="51">
        <v>103.91</v>
      </c>
      <c r="H31" s="51">
        <v>33.61</v>
      </c>
      <c r="I31" s="51">
        <v>4.09</v>
      </c>
      <c r="J31" s="51">
        <v>0.64</v>
      </c>
      <c r="K31" s="51">
        <v>343.72</v>
      </c>
      <c r="L31" s="51">
        <v>22.73</v>
      </c>
      <c r="M31" s="51">
        <v>44.01</v>
      </c>
      <c r="N31" s="51">
        <v>59.8</v>
      </c>
      <c r="O31" s="51">
        <v>0</v>
      </c>
      <c r="P31" s="51">
        <v>2.13</v>
      </c>
      <c r="Q31" s="51">
        <v>9.51</v>
      </c>
      <c r="R31" s="43"/>
      <c r="S31" s="43"/>
      <c r="T31" s="43"/>
      <c r="U31" s="43"/>
    </row>
    <row r="32" spans="1:21" s="11" customFormat="1" x14ac:dyDescent="0.25">
      <c r="A32" s="50" t="s">
        <v>683</v>
      </c>
      <c r="B32" s="51">
        <v>79.03</v>
      </c>
      <c r="C32" s="51">
        <v>118.11</v>
      </c>
      <c r="D32" s="51">
        <v>119.82</v>
      </c>
      <c r="E32" s="51">
        <v>5.86</v>
      </c>
      <c r="F32" s="51">
        <v>8.07</v>
      </c>
      <c r="G32" s="51">
        <v>116.43</v>
      </c>
      <c r="H32" s="51">
        <v>34.39</v>
      </c>
      <c r="I32" s="51">
        <v>4.08</v>
      </c>
      <c r="J32" s="51">
        <v>0.67</v>
      </c>
      <c r="K32" s="51">
        <v>313.10000000000002</v>
      </c>
      <c r="L32" s="51">
        <v>21.27</v>
      </c>
      <c r="M32" s="51">
        <v>43.18</v>
      </c>
      <c r="N32" s="51">
        <v>59.8</v>
      </c>
      <c r="O32" s="51">
        <v>0</v>
      </c>
      <c r="P32" s="51">
        <v>1.62</v>
      </c>
      <c r="Q32" s="51">
        <v>9.6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3.81</v>
      </c>
      <c r="C34" s="28">
        <f t="shared" si="0"/>
        <v>54.06</v>
      </c>
      <c r="D34" s="28">
        <f t="shared" si="0"/>
        <v>32.619999999999997</v>
      </c>
      <c r="E34" s="28">
        <f t="shared" si="0"/>
        <v>4.1100000000000003</v>
      </c>
      <c r="F34" s="28">
        <f t="shared" si="0"/>
        <v>7.14</v>
      </c>
      <c r="G34" s="28">
        <f t="shared" si="0"/>
        <v>44.31</v>
      </c>
      <c r="H34" s="28">
        <f t="shared" si="0"/>
        <v>10.36</v>
      </c>
      <c r="I34" s="28">
        <f t="shared" si="0"/>
        <v>4.0199999999999996</v>
      </c>
      <c r="J34" s="28">
        <f t="shared" si="0"/>
        <v>0.4</v>
      </c>
      <c r="K34" s="28">
        <f t="shared" si="0"/>
        <v>93.42</v>
      </c>
      <c r="L34" s="28">
        <f t="shared" si="0"/>
        <v>17.760000000000002</v>
      </c>
      <c r="M34" s="28">
        <f t="shared" si="0"/>
        <v>13.43</v>
      </c>
      <c r="N34" s="28">
        <f t="shared" si="0"/>
        <v>59.1</v>
      </c>
      <c r="O34" s="28">
        <f t="shared" si="0"/>
        <v>0</v>
      </c>
      <c r="P34" s="28">
        <f t="shared" si="0"/>
        <v>0.52</v>
      </c>
      <c r="Q34" s="28">
        <f t="shared" si="0"/>
        <v>8.92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175.95</v>
      </c>
      <c r="C35" s="29">
        <f t="shared" si="1"/>
        <v>154.4</v>
      </c>
      <c r="D35" s="29">
        <f t="shared" si="1"/>
        <v>208.6</v>
      </c>
      <c r="E35" s="29">
        <f t="shared" si="1"/>
        <v>24.14</v>
      </c>
      <c r="F35" s="29">
        <f t="shared" si="1"/>
        <v>45.87</v>
      </c>
      <c r="G35" s="29">
        <f t="shared" si="1"/>
        <v>302.89</v>
      </c>
      <c r="H35" s="29">
        <f t="shared" si="1"/>
        <v>114.2</v>
      </c>
      <c r="I35" s="29">
        <f t="shared" si="1"/>
        <v>4.21</v>
      </c>
      <c r="J35" s="29">
        <f t="shared" si="1"/>
        <v>1.92</v>
      </c>
      <c r="K35" s="29">
        <f t="shared" si="1"/>
        <v>358.22</v>
      </c>
      <c r="L35" s="29">
        <f t="shared" si="1"/>
        <v>35.01</v>
      </c>
      <c r="M35" s="29">
        <f t="shared" si="1"/>
        <v>74.94</v>
      </c>
      <c r="N35" s="29">
        <f t="shared" si="1"/>
        <v>851.6</v>
      </c>
      <c r="O35" s="29">
        <f t="shared" si="1"/>
        <v>0</v>
      </c>
      <c r="P35" s="29">
        <f t="shared" si="1"/>
        <v>2.5099999999999998</v>
      </c>
      <c r="Q35" s="29">
        <f t="shared" si="1"/>
        <v>9.6999999999999993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49.460833333333319</v>
      </c>
      <c r="C36" s="28">
        <f t="shared" si="2"/>
        <v>91.520833333333357</v>
      </c>
      <c r="D36" s="28">
        <f t="shared" si="2"/>
        <v>85.791666666666671</v>
      </c>
      <c r="E36" s="28">
        <f t="shared" si="2"/>
        <v>9.6329166666666648</v>
      </c>
      <c r="F36" s="28">
        <f t="shared" si="2"/>
        <v>18.68375</v>
      </c>
      <c r="G36" s="28">
        <f t="shared" si="2"/>
        <v>121.23000000000002</v>
      </c>
      <c r="H36" s="28">
        <f t="shared" si="2"/>
        <v>44.059583333333343</v>
      </c>
      <c r="I36" s="28">
        <f t="shared" si="2"/>
        <v>4.1124999999999998</v>
      </c>
      <c r="J36" s="28">
        <f t="shared" si="2"/>
        <v>0.91333333333333344</v>
      </c>
      <c r="K36" s="28">
        <f t="shared" si="2"/>
        <v>290.29833333333335</v>
      </c>
      <c r="L36" s="28">
        <f t="shared" si="2"/>
        <v>26.280416666666667</v>
      </c>
      <c r="M36" s="28">
        <f t="shared" si="2"/>
        <v>39.259166666666658</v>
      </c>
      <c r="N36" s="28">
        <f t="shared" si="2"/>
        <v>297.47083333333336</v>
      </c>
      <c r="O36" s="28">
        <f t="shared" si="2"/>
        <v>0</v>
      </c>
      <c r="P36" s="28">
        <f t="shared" si="2"/>
        <v>1.3904166666666666</v>
      </c>
      <c r="Q36" s="28">
        <f t="shared" si="2"/>
        <v>9.387083333333333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42.802271162482349</v>
      </c>
      <c r="C37" s="28">
        <f t="shared" ref="C37:Q37" si="3">STDEV(C9:C32)</f>
        <v>30.388613273176261</v>
      </c>
      <c r="D37" s="28">
        <f t="shared" si="3"/>
        <v>45.887559995262777</v>
      </c>
      <c r="E37" s="28">
        <f t="shared" si="3"/>
        <v>5.364920258872262</v>
      </c>
      <c r="F37" s="28">
        <f t="shared" si="3"/>
        <v>12.156798710651763</v>
      </c>
      <c r="G37" s="28">
        <f t="shared" si="3"/>
        <v>75.895771893461486</v>
      </c>
      <c r="H37" s="28">
        <f t="shared" si="3"/>
        <v>28.503054371672029</v>
      </c>
      <c r="I37" s="28">
        <f t="shared" si="3"/>
        <v>5.1351304966272687E-2</v>
      </c>
      <c r="J37" s="28">
        <f t="shared" si="3"/>
        <v>0.4471714646984748</v>
      </c>
      <c r="K37" s="28">
        <f t="shared" si="3"/>
        <v>71.579882567700679</v>
      </c>
      <c r="L37" s="28">
        <f t="shared" si="3"/>
        <v>5.8638090300230399</v>
      </c>
      <c r="M37" s="28">
        <f t="shared" si="3"/>
        <v>19.82822623930598</v>
      </c>
      <c r="N37" s="28">
        <f t="shared" si="3"/>
        <v>308.78164436204355</v>
      </c>
      <c r="O37" s="28">
        <f t="shared" si="3"/>
        <v>0</v>
      </c>
      <c r="P37" s="28">
        <f t="shared" si="3"/>
        <v>0.54820243140385772</v>
      </c>
      <c r="Q37" s="28">
        <f t="shared" si="3"/>
        <v>0.25930474209964283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3"/>
      <c r="B8" s="54" t="s">
        <v>22</v>
      </c>
      <c r="C8" s="54" t="s">
        <v>22</v>
      </c>
      <c r="D8" s="29" t="s">
        <v>42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53" t="s">
        <v>27</v>
      </c>
      <c r="M8" s="54" t="s">
        <v>26</v>
      </c>
      <c r="N8" s="54" t="s">
        <v>28</v>
      </c>
      <c r="O8" s="53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x14ac:dyDescent="0.25">
      <c r="A9" s="50" t="s">
        <v>684</v>
      </c>
      <c r="B9" s="51">
        <v>67.540000000000006</v>
      </c>
      <c r="C9" s="51">
        <v>102.58</v>
      </c>
      <c r="D9" s="51">
        <v>107.76</v>
      </c>
      <c r="E9" s="51">
        <v>5.0999999999999996</v>
      </c>
      <c r="F9" s="51">
        <v>13.04</v>
      </c>
      <c r="G9" s="51">
        <v>108.32</v>
      </c>
      <c r="H9" s="51">
        <v>35.630000000000003</v>
      </c>
      <c r="I9" s="51">
        <v>4.09</v>
      </c>
      <c r="J9" s="51">
        <v>0.65</v>
      </c>
      <c r="K9" s="51">
        <v>309.70999999999998</v>
      </c>
      <c r="L9" s="51">
        <v>21.36</v>
      </c>
      <c r="M9" s="51">
        <v>42.83</v>
      </c>
      <c r="N9" s="51">
        <v>59.6</v>
      </c>
      <c r="O9" s="51">
        <v>0</v>
      </c>
      <c r="P9" s="51">
        <v>1.39</v>
      </c>
      <c r="Q9" s="51">
        <v>9.6199999999999992</v>
      </c>
      <c r="R9" s="43"/>
      <c r="S9" s="43"/>
      <c r="T9" s="43"/>
      <c r="U9" s="43"/>
    </row>
    <row r="10" spans="1:21" s="11" customFormat="1" x14ac:dyDescent="0.25">
      <c r="A10" s="50" t="s">
        <v>685</v>
      </c>
      <c r="B10" s="51">
        <v>33.64</v>
      </c>
      <c r="C10" s="51">
        <v>71.28</v>
      </c>
      <c r="D10" s="51">
        <v>60.65</v>
      </c>
      <c r="E10" s="51">
        <v>6.12</v>
      </c>
      <c r="F10" s="51">
        <v>21.41</v>
      </c>
      <c r="G10" s="51">
        <v>95.45</v>
      </c>
      <c r="H10" s="51">
        <v>30.7</v>
      </c>
      <c r="I10" s="51">
        <v>4.05</v>
      </c>
      <c r="J10" s="51">
        <v>0.59</v>
      </c>
      <c r="K10" s="51">
        <v>307.7</v>
      </c>
      <c r="L10" s="51">
        <v>20.6</v>
      </c>
      <c r="M10" s="51">
        <v>46.44</v>
      </c>
      <c r="N10" s="51">
        <v>59.6</v>
      </c>
      <c r="O10" s="51">
        <v>0</v>
      </c>
      <c r="P10" s="51">
        <v>0.99</v>
      </c>
      <c r="Q10" s="51">
        <v>9.6199999999999992</v>
      </c>
      <c r="R10" s="43"/>
      <c r="S10" s="43"/>
      <c r="T10" s="43"/>
      <c r="U10" s="43"/>
    </row>
    <row r="11" spans="1:21" s="11" customFormat="1" x14ac:dyDescent="0.25">
      <c r="A11" s="50" t="s">
        <v>686</v>
      </c>
      <c r="B11" s="51">
        <v>38.020000000000003</v>
      </c>
      <c r="C11" s="51">
        <v>61.77</v>
      </c>
      <c r="D11" s="51">
        <v>62.76</v>
      </c>
      <c r="E11" s="51">
        <v>7.27</v>
      </c>
      <c r="F11" s="51">
        <v>20.38</v>
      </c>
      <c r="G11" s="51">
        <v>75.72</v>
      </c>
      <c r="H11" s="51">
        <v>26.77</v>
      </c>
      <c r="I11" s="51">
        <v>4.0599999999999996</v>
      </c>
      <c r="J11" s="51">
        <v>0.51</v>
      </c>
      <c r="K11" s="51">
        <v>343.01</v>
      </c>
      <c r="L11" s="51">
        <v>20.010000000000002</v>
      </c>
      <c r="M11" s="51">
        <v>45.43</v>
      </c>
      <c r="N11" s="51">
        <v>59.4</v>
      </c>
      <c r="O11" s="51">
        <v>0</v>
      </c>
      <c r="P11" s="51">
        <v>1.1000000000000001</v>
      </c>
      <c r="Q11" s="51">
        <v>9.6199999999999992</v>
      </c>
      <c r="R11" s="43"/>
      <c r="S11" s="43"/>
      <c r="T11" s="43"/>
      <c r="U11" s="43"/>
    </row>
    <row r="12" spans="1:21" s="11" customFormat="1" x14ac:dyDescent="0.25">
      <c r="A12" s="50" t="s">
        <v>687</v>
      </c>
      <c r="B12" s="51">
        <v>33.369999999999997</v>
      </c>
      <c r="C12" s="51">
        <v>65.010000000000005</v>
      </c>
      <c r="D12" s="51">
        <v>59.13</v>
      </c>
      <c r="E12" s="51">
        <v>4.47</v>
      </c>
      <c r="F12" s="51">
        <v>10.29</v>
      </c>
      <c r="G12" s="51">
        <v>77.33</v>
      </c>
      <c r="H12" s="51">
        <v>21.92</v>
      </c>
      <c r="I12" s="51">
        <v>4.04</v>
      </c>
      <c r="J12" s="51">
        <v>0.52</v>
      </c>
      <c r="K12" s="51">
        <v>236.96</v>
      </c>
      <c r="L12" s="51">
        <v>19.649999999999999</v>
      </c>
      <c r="M12" s="51">
        <v>48.93</v>
      </c>
      <c r="N12" s="51">
        <v>59.6</v>
      </c>
      <c r="O12" s="51">
        <v>0</v>
      </c>
      <c r="P12" s="51">
        <v>1.0900000000000001</v>
      </c>
      <c r="Q12" s="51">
        <v>9.5500000000000007</v>
      </c>
      <c r="R12" s="43"/>
      <c r="S12" s="43"/>
      <c r="T12" s="43"/>
      <c r="U12" s="43"/>
    </row>
    <row r="13" spans="1:21" s="11" customFormat="1" x14ac:dyDescent="0.25">
      <c r="A13" s="50" t="s">
        <v>688</v>
      </c>
      <c r="B13" s="51">
        <v>38.82</v>
      </c>
      <c r="C13" s="51">
        <v>68.91</v>
      </c>
      <c r="D13" s="51">
        <v>65.78</v>
      </c>
      <c r="E13" s="51">
        <v>3.58</v>
      </c>
      <c r="F13" s="51">
        <v>7.32</v>
      </c>
      <c r="G13" s="51">
        <v>96</v>
      </c>
      <c r="H13" s="51">
        <v>25.48</v>
      </c>
      <c r="I13" s="51">
        <v>4.17</v>
      </c>
      <c r="J13" s="51">
        <v>1.02</v>
      </c>
      <c r="K13" s="51">
        <v>250.47</v>
      </c>
      <c r="L13" s="51">
        <v>19.82</v>
      </c>
      <c r="M13" s="51">
        <v>51.99</v>
      </c>
      <c r="N13" s="51">
        <v>59.3</v>
      </c>
      <c r="O13" s="51">
        <v>0</v>
      </c>
      <c r="P13" s="51">
        <v>1.08</v>
      </c>
      <c r="Q13" s="51">
        <v>9.5299999999999994</v>
      </c>
      <c r="R13" s="43"/>
      <c r="S13" s="43"/>
      <c r="T13" s="43"/>
      <c r="U13" s="43"/>
    </row>
    <row r="14" spans="1:21" s="11" customFormat="1" x14ac:dyDescent="0.25">
      <c r="A14" s="50" t="s">
        <v>689</v>
      </c>
      <c r="B14" s="51">
        <v>44.05</v>
      </c>
      <c r="C14" s="51">
        <v>67.95</v>
      </c>
      <c r="D14" s="51">
        <v>70.819999999999993</v>
      </c>
      <c r="E14" s="51">
        <v>4.4800000000000004</v>
      </c>
      <c r="F14" s="51">
        <v>8.5399999999999991</v>
      </c>
      <c r="G14" s="51">
        <v>113.73</v>
      </c>
      <c r="H14" s="51">
        <v>38.159999999999997</v>
      </c>
      <c r="I14" s="51">
        <v>4.1500000000000004</v>
      </c>
      <c r="J14" s="51">
        <v>0.67</v>
      </c>
      <c r="K14" s="51">
        <v>332.28</v>
      </c>
      <c r="L14" s="51">
        <v>19.18</v>
      </c>
      <c r="M14" s="51">
        <v>58.1</v>
      </c>
      <c r="N14" s="51">
        <v>61.8</v>
      </c>
      <c r="O14" s="51">
        <v>0</v>
      </c>
      <c r="P14" s="51">
        <v>1.08</v>
      </c>
      <c r="Q14" s="51">
        <v>9.56</v>
      </c>
      <c r="R14" s="43"/>
      <c r="S14" s="43"/>
      <c r="T14" s="43"/>
      <c r="U14" s="43"/>
    </row>
    <row r="15" spans="1:21" s="11" customFormat="1" x14ac:dyDescent="0.25">
      <c r="A15" s="50" t="s">
        <v>690</v>
      </c>
      <c r="B15" s="51">
        <v>58.5</v>
      </c>
      <c r="C15" s="51">
        <v>78.66</v>
      </c>
      <c r="D15" s="51">
        <v>86.11</v>
      </c>
      <c r="E15" s="51">
        <v>6.39</v>
      </c>
      <c r="F15" s="51">
        <v>8.76</v>
      </c>
      <c r="G15" s="51">
        <v>123.7</v>
      </c>
      <c r="H15" s="51">
        <v>43.74</v>
      </c>
      <c r="I15" s="51">
        <v>4.13</v>
      </c>
      <c r="J15" s="51">
        <v>0.38</v>
      </c>
      <c r="K15" s="51">
        <v>321.08999999999997</v>
      </c>
      <c r="L15" s="51">
        <v>20.55</v>
      </c>
      <c r="M15" s="51">
        <v>55.35</v>
      </c>
      <c r="N15" s="51">
        <v>158.80000000000001</v>
      </c>
      <c r="O15" s="51">
        <v>0</v>
      </c>
      <c r="P15" s="51">
        <v>1.42</v>
      </c>
      <c r="Q15" s="51">
        <v>9.56</v>
      </c>
      <c r="R15" s="43"/>
      <c r="S15" s="43"/>
      <c r="T15" s="43"/>
      <c r="U15" s="43"/>
    </row>
    <row r="16" spans="1:21" s="11" customFormat="1" x14ac:dyDescent="0.25">
      <c r="A16" s="50" t="s">
        <v>691</v>
      </c>
      <c r="B16" s="51">
        <v>56.09</v>
      </c>
      <c r="C16" s="51">
        <v>80.709999999999994</v>
      </c>
      <c r="D16" s="51">
        <v>87.15</v>
      </c>
      <c r="E16" s="51">
        <v>8.1999999999999993</v>
      </c>
      <c r="F16" s="51">
        <v>8.42</v>
      </c>
      <c r="G16" s="51">
        <v>150.26</v>
      </c>
      <c r="H16" s="51">
        <v>51.74</v>
      </c>
      <c r="I16" s="51">
        <v>4.0999999999999996</v>
      </c>
      <c r="J16" s="51">
        <v>0.94</v>
      </c>
      <c r="K16" s="51">
        <v>323.05</v>
      </c>
      <c r="L16" s="51">
        <v>27.09</v>
      </c>
      <c r="M16" s="51">
        <v>46.63</v>
      </c>
      <c r="N16" s="51">
        <v>317.89999999999998</v>
      </c>
      <c r="O16" s="51">
        <v>0</v>
      </c>
      <c r="P16" s="51">
        <v>1.38</v>
      </c>
      <c r="Q16" s="51">
        <v>9.56</v>
      </c>
      <c r="R16" s="43"/>
      <c r="S16" s="43"/>
      <c r="T16" s="43"/>
      <c r="U16" s="43"/>
    </row>
    <row r="17" spans="1:21" s="11" customFormat="1" x14ac:dyDescent="0.25">
      <c r="A17" s="50" t="s">
        <v>692</v>
      </c>
      <c r="B17" s="51">
        <v>47.23</v>
      </c>
      <c r="C17" s="51">
        <v>90.39</v>
      </c>
      <c r="D17" s="51">
        <v>79.8</v>
      </c>
      <c r="E17" s="51">
        <v>14.91</v>
      </c>
      <c r="F17" s="51">
        <v>11.47</v>
      </c>
      <c r="G17" s="51">
        <v>232.76</v>
      </c>
      <c r="H17" s="51">
        <v>61.75</v>
      </c>
      <c r="I17" s="51">
        <v>4.07</v>
      </c>
      <c r="J17" s="51">
        <v>1.17</v>
      </c>
      <c r="K17" s="51">
        <v>358.68</v>
      </c>
      <c r="L17" s="51">
        <v>30.95</v>
      </c>
      <c r="M17" s="51">
        <v>29.38</v>
      </c>
      <c r="N17" s="51">
        <v>506.5</v>
      </c>
      <c r="O17" s="51">
        <v>0</v>
      </c>
      <c r="P17" s="51">
        <v>1.43</v>
      </c>
      <c r="Q17" s="51">
        <v>9.56</v>
      </c>
      <c r="R17" s="43"/>
      <c r="S17" s="43"/>
      <c r="T17" s="43"/>
      <c r="U17" s="43"/>
    </row>
    <row r="18" spans="1:21" s="11" customFormat="1" x14ac:dyDescent="0.25">
      <c r="A18" s="50" t="s">
        <v>693</v>
      </c>
      <c r="B18" s="51">
        <v>36.29</v>
      </c>
      <c r="C18" s="51">
        <v>100.66</v>
      </c>
      <c r="D18" s="51">
        <v>79.22</v>
      </c>
      <c r="E18" s="51">
        <v>19.600000000000001</v>
      </c>
      <c r="F18" s="51">
        <v>13.45</v>
      </c>
      <c r="G18" s="51">
        <v>230.71</v>
      </c>
      <c r="H18" s="51">
        <v>70.36</v>
      </c>
      <c r="I18" s="51">
        <v>4.03</v>
      </c>
      <c r="J18" s="51">
        <v>0.93</v>
      </c>
      <c r="K18" s="51">
        <v>350.7</v>
      </c>
      <c r="L18" s="51">
        <v>31.31</v>
      </c>
      <c r="M18" s="51">
        <v>25.29</v>
      </c>
      <c r="N18" s="51">
        <v>704.3</v>
      </c>
      <c r="O18" s="51">
        <v>0</v>
      </c>
      <c r="P18" s="51">
        <v>1.56</v>
      </c>
      <c r="Q18" s="51">
        <v>9.5500000000000007</v>
      </c>
      <c r="R18" s="43"/>
      <c r="S18" s="43"/>
      <c r="T18" s="43"/>
      <c r="U18" s="43"/>
    </row>
    <row r="19" spans="1:21" s="11" customFormat="1" x14ac:dyDescent="0.25">
      <c r="A19" s="50" t="s">
        <v>694</v>
      </c>
      <c r="B19" s="51">
        <v>16.239999999999998</v>
      </c>
      <c r="C19" s="51">
        <v>91.72</v>
      </c>
      <c r="D19" s="51">
        <v>59.98</v>
      </c>
      <c r="E19" s="51">
        <v>10.01</v>
      </c>
      <c r="F19" s="51">
        <v>18.86</v>
      </c>
      <c r="G19" s="51">
        <v>149.1</v>
      </c>
      <c r="H19" s="51">
        <v>70.81</v>
      </c>
      <c r="I19" s="51">
        <v>3.99</v>
      </c>
      <c r="J19" s="51">
        <v>0.82</v>
      </c>
      <c r="K19" s="51">
        <v>255.67</v>
      </c>
      <c r="L19" s="51">
        <v>32.04</v>
      </c>
      <c r="M19" s="51">
        <v>23.47</v>
      </c>
      <c r="N19" s="51">
        <v>781</v>
      </c>
      <c r="O19" s="51">
        <v>0</v>
      </c>
      <c r="P19" s="51">
        <v>1.43</v>
      </c>
      <c r="Q19" s="51">
        <v>9.5399999999999991</v>
      </c>
      <c r="R19" s="43"/>
      <c r="S19" s="43"/>
      <c r="T19" s="43"/>
      <c r="U19" s="43"/>
    </row>
    <row r="20" spans="1:21" s="11" customFormat="1" x14ac:dyDescent="0.25">
      <c r="A20" s="50" t="s">
        <v>695</v>
      </c>
      <c r="B20" s="51">
        <v>4.32</v>
      </c>
      <c r="C20" s="51">
        <v>83.03</v>
      </c>
      <c r="D20" s="51">
        <v>46.85</v>
      </c>
      <c r="E20" s="51">
        <v>9.18</v>
      </c>
      <c r="F20" s="51">
        <v>15.17</v>
      </c>
      <c r="G20" s="51">
        <v>84.13</v>
      </c>
      <c r="H20" s="51">
        <v>56.7</v>
      </c>
      <c r="I20" s="51">
        <v>4.03</v>
      </c>
      <c r="J20" s="51">
        <v>0.76</v>
      </c>
      <c r="K20" s="51">
        <v>268.24</v>
      </c>
      <c r="L20" s="51">
        <v>33.58</v>
      </c>
      <c r="M20" s="51">
        <v>22.04</v>
      </c>
      <c r="N20" s="51">
        <v>810.2</v>
      </c>
      <c r="O20" s="51">
        <v>0</v>
      </c>
      <c r="P20" s="51">
        <v>1.21</v>
      </c>
      <c r="Q20" s="51">
        <v>9.3699999999999992</v>
      </c>
      <c r="R20" s="43"/>
      <c r="S20" s="43"/>
      <c r="T20" s="43"/>
      <c r="U20" s="43"/>
    </row>
    <row r="21" spans="1:21" s="11" customFormat="1" x14ac:dyDescent="0.25">
      <c r="A21" s="50" t="s">
        <v>696</v>
      </c>
      <c r="B21" s="57" t="s">
        <v>4</v>
      </c>
      <c r="C21" s="57" t="s">
        <v>4</v>
      </c>
      <c r="D21" s="57" t="s">
        <v>4</v>
      </c>
      <c r="E21" s="57" t="s">
        <v>4</v>
      </c>
      <c r="F21" s="57" t="s">
        <v>4</v>
      </c>
      <c r="G21" s="57" t="s">
        <v>4</v>
      </c>
      <c r="H21" s="57" t="s">
        <v>4</v>
      </c>
      <c r="I21" s="57" t="s">
        <v>4</v>
      </c>
      <c r="J21" s="57" t="s">
        <v>4</v>
      </c>
      <c r="K21" s="57" t="s">
        <v>4</v>
      </c>
      <c r="L21" s="57" t="s">
        <v>4</v>
      </c>
      <c r="M21" s="57" t="s">
        <v>4</v>
      </c>
      <c r="N21" s="57" t="s">
        <v>4</v>
      </c>
      <c r="O21" s="57" t="s">
        <v>4</v>
      </c>
      <c r="P21" s="57" t="s">
        <v>4</v>
      </c>
      <c r="Q21" s="57" t="s">
        <v>4</v>
      </c>
      <c r="R21" s="43"/>
      <c r="S21" s="43"/>
      <c r="T21" s="43"/>
      <c r="U21" s="43"/>
    </row>
    <row r="22" spans="1:21" s="11" customFormat="1" x14ac:dyDescent="0.25">
      <c r="A22" s="50" t="s">
        <v>697</v>
      </c>
      <c r="B22" s="59" t="s">
        <v>20</v>
      </c>
      <c r="C22" s="59" t="s">
        <v>20</v>
      </c>
      <c r="D22" s="59" t="s">
        <v>20</v>
      </c>
      <c r="E22" s="51">
        <v>7.27</v>
      </c>
      <c r="F22" s="51">
        <v>28.59</v>
      </c>
      <c r="G22" s="51">
        <v>4.95</v>
      </c>
      <c r="H22" s="51">
        <v>38.14</v>
      </c>
      <c r="I22" s="51">
        <v>4.01</v>
      </c>
      <c r="J22" s="51">
        <v>1.36</v>
      </c>
      <c r="K22" s="51">
        <v>353.92</v>
      </c>
      <c r="L22" s="51">
        <v>36.78</v>
      </c>
      <c r="M22" s="51">
        <v>12.94</v>
      </c>
      <c r="N22" s="51">
        <v>765.3</v>
      </c>
      <c r="O22" s="51">
        <v>0</v>
      </c>
      <c r="P22" s="51">
        <v>0.69</v>
      </c>
      <c r="Q22" s="6" t="s">
        <v>20</v>
      </c>
      <c r="R22" s="43"/>
      <c r="S22" s="43"/>
      <c r="T22" s="43"/>
      <c r="U22" s="43"/>
    </row>
    <row r="23" spans="1:21" s="11" customFormat="1" x14ac:dyDescent="0.25">
      <c r="A23" s="50" t="s">
        <v>698</v>
      </c>
      <c r="B23" s="58" t="s">
        <v>8</v>
      </c>
      <c r="C23" s="58" t="s">
        <v>8</v>
      </c>
      <c r="D23" s="58" t="s">
        <v>8</v>
      </c>
      <c r="E23" s="51">
        <v>0</v>
      </c>
      <c r="F23" s="51">
        <v>38.51</v>
      </c>
      <c r="G23" s="51">
        <v>27.5</v>
      </c>
      <c r="H23" s="51">
        <v>23.83</v>
      </c>
      <c r="I23" s="51">
        <v>4.29</v>
      </c>
      <c r="J23" s="51">
        <v>1.6</v>
      </c>
      <c r="K23" s="51">
        <v>334.85</v>
      </c>
      <c r="L23" s="51">
        <v>36.69</v>
      </c>
      <c r="M23" s="51">
        <v>14.98</v>
      </c>
      <c r="N23" s="51">
        <v>616</v>
      </c>
      <c r="O23" s="51">
        <v>0</v>
      </c>
      <c r="P23" s="51">
        <v>0.46</v>
      </c>
      <c r="Q23" s="51">
        <v>9.36</v>
      </c>
      <c r="R23" s="43"/>
      <c r="S23" s="43"/>
      <c r="T23" s="43"/>
      <c r="U23" s="43"/>
    </row>
    <row r="24" spans="1:21" s="11" customFormat="1" x14ac:dyDescent="0.25">
      <c r="A24" s="50" t="s">
        <v>699</v>
      </c>
      <c r="B24" s="58" t="s">
        <v>8</v>
      </c>
      <c r="C24" s="58" t="s">
        <v>8</v>
      </c>
      <c r="D24" s="58" t="s">
        <v>8</v>
      </c>
      <c r="E24" s="51">
        <v>8.01</v>
      </c>
      <c r="F24" s="51">
        <v>51.15</v>
      </c>
      <c r="G24" s="51">
        <v>76.09</v>
      </c>
      <c r="H24" s="51">
        <v>28.22</v>
      </c>
      <c r="I24" s="51">
        <v>4.32</v>
      </c>
      <c r="J24" s="51">
        <v>1.66</v>
      </c>
      <c r="K24" s="51">
        <v>343.58</v>
      </c>
      <c r="L24" s="51">
        <v>35.86</v>
      </c>
      <c r="M24" s="51">
        <v>13.38</v>
      </c>
      <c r="N24" s="51">
        <v>339.3</v>
      </c>
      <c r="O24" s="51">
        <v>0</v>
      </c>
      <c r="P24" s="51">
        <v>0.39</v>
      </c>
      <c r="Q24" s="51">
        <v>9.24</v>
      </c>
      <c r="R24" s="43"/>
      <c r="S24" s="43"/>
      <c r="T24" s="43"/>
      <c r="U24" s="43"/>
    </row>
    <row r="25" spans="1:21" s="11" customFormat="1" x14ac:dyDescent="0.25">
      <c r="A25" s="50" t="s">
        <v>700</v>
      </c>
      <c r="B25" s="58" t="s">
        <v>8</v>
      </c>
      <c r="C25" s="58" t="s">
        <v>8</v>
      </c>
      <c r="D25" s="58" t="s">
        <v>8</v>
      </c>
      <c r="E25" s="51">
        <v>14.48</v>
      </c>
      <c r="F25" s="51">
        <v>49.73</v>
      </c>
      <c r="G25" s="51">
        <v>44.24</v>
      </c>
      <c r="H25" s="51">
        <v>23.62</v>
      </c>
      <c r="I25" s="51">
        <v>4.04</v>
      </c>
      <c r="J25" s="51">
        <v>1.1100000000000001</v>
      </c>
      <c r="K25" s="51">
        <v>208.2</v>
      </c>
      <c r="L25" s="51">
        <v>33.56</v>
      </c>
      <c r="M25" s="51">
        <v>23.38</v>
      </c>
      <c r="N25" s="51">
        <v>166.2</v>
      </c>
      <c r="O25" s="51">
        <v>0</v>
      </c>
      <c r="P25" s="51">
        <v>0.24</v>
      </c>
      <c r="Q25" s="51">
        <v>9.14</v>
      </c>
      <c r="R25" s="43"/>
      <c r="S25" s="43"/>
      <c r="T25" s="43"/>
      <c r="U25" s="43"/>
    </row>
    <row r="26" spans="1:21" s="11" customFormat="1" x14ac:dyDescent="0.25">
      <c r="A26" s="50" t="s">
        <v>701</v>
      </c>
      <c r="B26" s="58" t="s">
        <v>8</v>
      </c>
      <c r="C26" s="58" t="s">
        <v>8</v>
      </c>
      <c r="D26" s="58" t="s">
        <v>8</v>
      </c>
      <c r="E26" s="51">
        <v>16.96</v>
      </c>
      <c r="F26" s="51">
        <v>46.15</v>
      </c>
      <c r="G26" s="51">
        <v>70.27</v>
      </c>
      <c r="H26" s="51">
        <v>27.85</v>
      </c>
      <c r="I26" s="51">
        <v>4.07</v>
      </c>
      <c r="J26" s="51">
        <v>1.19</v>
      </c>
      <c r="K26" s="51">
        <v>198.75</v>
      </c>
      <c r="L26" s="51">
        <v>30.52</v>
      </c>
      <c r="M26" s="51">
        <v>26.29</v>
      </c>
      <c r="N26" s="51">
        <v>105.5</v>
      </c>
      <c r="O26" s="51">
        <v>0</v>
      </c>
      <c r="P26" s="51">
        <v>0.39</v>
      </c>
      <c r="Q26" s="51">
        <v>9.19</v>
      </c>
      <c r="R26" s="43"/>
      <c r="S26" s="43"/>
      <c r="T26" s="43"/>
      <c r="U26" s="43"/>
    </row>
    <row r="27" spans="1:21" s="11" customFormat="1" x14ac:dyDescent="0.25">
      <c r="A27" s="50" t="s">
        <v>702</v>
      </c>
      <c r="B27" s="58" t="s">
        <v>8</v>
      </c>
      <c r="C27" s="58" t="s">
        <v>8</v>
      </c>
      <c r="D27" s="58" t="s">
        <v>8</v>
      </c>
      <c r="E27" s="51">
        <v>17.190000000000001</v>
      </c>
      <c r="F27" s="51">
        <v>24.42</v>
      </c>
      <c r="G27" s="51">
        <v>88.65</v>
      </c>
      <c r="H27" s="51">
        <v>28.4</v>
      </c>
      <c r="I27" s="51">
        <v>4.0999999999999996</v>
      </c>
      <c r="J27" s="51">
        <v>0.91</v>
      </c>
      <c r="K27" s="51">
        <v>290.3</v>
      </c>
      <c r="L27" s="51">
        <v>29.16</v>
      </c>
      <c r="M27" s="51">
        <v>32.18</v>
      </c>
      <c r="N27" s="51">
        <v>61</v>
      </c>
      <c r="O27" s="51">
        <v>0</v>
      </c>
      <c r="P27" s="51">
        <v>0.8</v>
      </c>
      <c r="Q27" s="51">
        <v>9.27</v>
      </c>
      <c r="R27" s="43"/>
      <c r="S27" s="43"/>
      <c r="T27" s="43"/>
      <c r="U27" s="43"/>
    </row>
    <row r="28" spans="1:21" s="11" customFormat="1" x14ac:dyDescent="0.25">
      <c r="A28" s="50" t="s">
        <v>703</v>
      </c>
      <c r="B28" s="58" t="s">
        <v>8</v>
      </c>
      <c r="C28" s="58" t="s">
        <v>8</v>
      </c>
      <c r="D28" s="58" t="s">
        <v>8</v>
      </c>
      <c r="E28" s="51">
        <v>17.09</v>
      </c>
      <c r="F28" s="51">
        <v>27.34</v>
      </c>
      <c r="G28" s="51">
        <v>96.79</v>
      </c>
      <c r="H28" s="51">
        <v>33.92</v>
      </c>
      <c r="I28" s="51">
        <v>4</v>
      </c>
      <c r="J28" s="51">
        <v>0.62</v>
      </c>
      <c r="K28" s="51">
        <v>289.92</v>
      </c>
      <c r="L28" s="51">
        <v>26.79</v>
      </c>
      <c r="M28" s="51">
        <v>32.24</v>
      </c>
      <c r="N28" s="51">
        <v>57.8</v>
      </c>
      <c r="O28" s="51">
        <v>0</v>
      </c>
      <c r="P28" s="51">
        <v>1.67</v>
      </c>
      <c r="Q28" s="51">
        <v>9.48</v>
      </c>
      <c r="R28" s="43"/>
      <c r="S28" s="43"/>
      <c r="T28" s="43"/>
      <c r="U28" s="43"/>
    </row>
    <row r="29" spans="1:21" s="11" customFormat="1" x14ac:dyDescent="0.25">
      <c r="A29" s="50" t="s">
        <v>704</v>
      </c>
      <c r="B29" s="58" t="s">
        <v>8</v>
      </c>
      <c r="C29" s="58" t="s">
        <v>8</v>
      </c>
      <c r="D29" s="58" t="s">
        <v>8</v>
      </c>
      <c r="E29" s="51">
        <v>15.07</v>
      </c>
      <c r="F29" s="51">
        <v>12.16</v>
      </c>
      <c r="G29" s="51">
        <v>117.45</v>
      </c>
      <c r="H29" s="51">
        <v>36.340000000000003</v>
      </c>
      <c r="I29" s="51">
        <v>4.04</v>
      </c>
      <c r="J29" s="51">
        <v>0.7</v>
      </c>
      <c r="K29" s="51">
        <v>343.47</v>
      </c>
      <c r="L29" s="51">
        <v>25.98</v>
      </c>
      <c r="M29" s="51">
        <v>36.89</v>
      </c>
      <c r="N29" s="51">
        <v>57.9</v>
      </c>
      <c r="O29" s="51">
        <v>0</v>
      </c>
      <c r="P29" s="51">
        <v>3.36</v>
      </c>
      <c r="Q29" s="51">
        <v>9.5</v>
      </c>
      <c r="R29" s="43"/>
      <c r="S29" s="43"/>
      <c r="T29" s="43"/>
      <c r="U29" s="43"/>
    </row>
    <row r="30" spans="1:21" s="11" customFormat="1" x14ac:dyDescent="0.25">
      <c r="A30" s="50" t="s">
        <v>705</v>
      </c>
      <c r="B30" s="58" t="s">
        <v>8</v>
      </c>
      <c r="C30" s="58" t="s">
        <v>8</v>
      </c>
      <c r="D30" s="58" t="s">
        <v>8</v>
      </c>
      <c r="E30" s="51">
        <v>14.15</v>
      </c>
      <c r="F30" s="51">
        <v>9.9600000000000009</v>
      </c>
      <c r="G30" s="51">
        <v>153.94999999999999</v>
      </c>
      <c r="H30" s="51">
        <v>40.57</v>
      </c>
      <c r="I30" s="51">
        <v>4.07</v>
      </c>
      <c r="J30" s="51">
        <v>0.52</v>
      </c>
      <c r="K30" s="51">
        <v>350.3</v>
      </c>
      <c r="L30" s="51">
        <v>24.46</v>
      </c>
      <c r="M30" s="51">
        <v>41.08</v>
      </c>
      <c r="N30" s="51">
        <v>57.7</v>
      </c>
      <c r="O30" s="51">
        <v>0</v>
      </c>
      <c r="P30" s="51">
        <v>2.9</v>
      </c>
      <c r="Q30" s="51">
        <v>9.57</v>
      </c>
      <c r="R30" s="43"/>
      <c r="S30" s="43"/>
      <c r="T30" s="43"/>
      <c r="U30" s="43"/>
    </row>
    <row r="31" spans="1:21" s="11" customFormat="1" x14ac:dyDescent="0.25">
      <c r="A31" s="50" t="s">
        <v>706</v>
      </c>
      <c r="B31" s="58" t="s">
        <v>8</v>
      </c>
      <c r="C31" s="58" t="s">
        <v>8</v>
      </c>
      <c r="D31" s="58" t="s">
        <v>8</v>
      </c>
      <c r="E31" s="51">
        <v>9.9700000000000006</v>
      </c>
      <c r="F31" s="51">
        <v>9.69</v>
      </c>
      <c r="G31" s="51">
        <v>127.07</v>
      </c>
      <c r="H31" s="51">
        <v>41.03</v>
      </c>
      <c r="I31" s="51">
        <v>4.22</v>
      </c>
      <c r="J31" s="51">
        <v>0.65</v>
      </c>
      <c r="K31" s="51">
        <v>338.37</v>
      </c>
      <c r="L31" s="51">
        <v>23.22</v>
      </c>
      <c r="M31" s="51">
        <v>43.87</v>
      </c>
      <c r="N31" s="51">
        <v>57.8</v>
      </c>
      <c r="O31" s="51">
        <v>0</v>
      </c>
      <c r="P31" s="51">
        <v>2.44</v>
      </c>
      <c r="Q31" s="51">
        <v>9.6</v>
      </c>
      <c r="R31" s="43"/>
      <c r="S31" s="43"/>
      <c r="T31" s="43"/>
      <c r="U31" s="43"/>
    </row>
    <row r="32" spans="1:21" s="11" customFormat="1" x14ac:dyDescent="0.25">
      <c r="A32" s="50" t="s">
        <v>707</v>
      </c>
      <c r="B32" s="58" t="s">
        <v>8</v>
      </c>
      <c r="C32" s="58" t="s">
        <v>8</v>
      </c>
      <c r="D32" s="58" t="s">
        <v>8</v>
      </c>
      <c r="E32" s="51">
        <v>6.03</v>
      </c>
      <c r="F32" s="51">
        <v>10.34</v>
      </c>
      <c r="G32" s="51">
        <v>126.16</v>
      </c>
      <c r="H32" s="51">
        <v>42.08</v>
      </c>
      <c r="I32" s="51">
        <v>4.21</v>
      </c>
      <c r="J32" s="51">
        <v>0.64</v>
      </c>
      <c r="K32" s="51">
        <v>293.60000000000002</v>
      </c>
      <c r="L32" s="51">
        <v>22.79</v>
      </c>
      <c r="M32" s="51">
        <v>43.12</v>
      </c>
      <c r="N32" s="51">
        <v>57.8</v>
      </c>
      <c r="O32" s="51">
        <v>0</v>
      </c>
      <c r="P32" s="51">
        <v>1.64</v>
      </c>
      <c r="Q32" s="51">
        <v>9.69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4.32</v>
      </c>
      <c r="C34" s="28">
        <f t="shared" si="0"/>
        <v>61.77</v>
      </c>
      <c r="D34" s="28">
        <f t="shared" si="0"/>
        <v>46.85</v>
      </c>
      <c r="E34" s="28">
        <f t="shared" si="0"/>
        <v>0</v>
      </c>
      <c r="F34" s="28">
        <f t="shared" si="0"/>
        <v>7.32</v>
      </c>
      <c r="G34" s="28">
        <f t="shared" si="0"/>
        <v>4.95</v>
      </c>
      <c r="H34" s="28">
        <f t="shared" si="0"/>
        <v>21.92</v>
      </c>
      <c r="I34" s="28">
        <f t="shared" si="0"/>
        <v>3.99</v>
      </c>
      <c r="J34" s="28">
        <f t="shared" si="0"/>
        <v>0.38</v>
      </c>
      <c r="K34" s="28">
        <f t="shared" si="0"/>
        <v>198.75</v>
      </c>
      <c r="L34" s="28">
        <f t="shared" si="0"/>
        <v>19.18</v>
      </c>
      <c r="M34" s="28">
        <f t="shared" si="0"/>
        <v>12.94</v>
      </c>
      <c r="N34" s="28">
        <f t="shared" si="0"/>
        <v>57.7</v>
      </c>
      <c r="O34" s="28">
        <f t="shared" si="0"/>
        <v>0</v>
      </c>
      <c r="P34" s="28">
        <f t="shared" si="0"/>
        <v>0.24</v>
      </c>
      <c r="Q34" s="28">
        <f t="shared" si="0"/>
        <v>9.14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67.540000000000006</v>
      </c>
      <c r="C35" s="29">
        <f t="shared" si="1"/>
        <v>102.58</v>
      </c>
      <c r="D35" s="29">
        <f t="shared" si="1"/>
        <v>107.76</v>
      </c>
      <c r="E35" s="29">
        <f t="shared" si="1"/>
        <v>19.600000000000001</v>
      </c>
      <c r="F35" s="29">
        <f t="shared" si="1"/>
        <v>51.15</v>
      </c>
      <c r="G35" s="29">
        <f t="shared" si="1"/>
        <v>232.76</v>
      </c>
      <c r="H35" s="29">
        <f t="shared" si="1"/>
        <v>70.81</v>
      </c>
      <c r="I35" s="29">
        <f t="shared" si="1"/>
        <v>4.32</v>
      </c>
      <c r="J35" s="29">
        <f t="shared" si="1"/>
        <v>1.66</v>
      </c>
      <c r="K35" s="29">
        <f t="shared" si="1"/>
        <v>358.68</v>
      </c>
      <c r="L35" s="29">
        <f t="shared" si="1"/>
        <v>36.78</v>
      </c>
      <c r="M35" s="29">
        <f t="shared" si="1"/>
        <v>58.1</v>
      </c>
      <c r="N35" s="29">
        <f t="shared" si="1"/>
        <v>810.2</v>
      </c>
      <c r="O35" s="29">
        <f t="shared" si="1"/>
        <v>0</v>
      </c>
      <c r="P35" s="29">
        <f t="shared" si="1"/>
        <v>3.36</v>
      </c>
      <c r="Q35" s="29">
        <f t="shared" si="1"/>
        <v>9.69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39.509166666666665</v>
      </c>
      <c r="C36" s="28">
        <f t="shared" si="2"/>
        <v>80.222500000000011</v>
      </c>
      <c r="D36" s="28">
        <f t="shared" si="2"/>
        <v>72.167500000000004</v>
      </c>
      <c r="E36" s="28">
        <f t="shared" si="2"/>
        <v>9.8056521739130442</v>
      </c>
      <c r="F36" s="28">
        <f t="shared" si="2"/>
        <v>20.223913043478259</v>
      </c>
      <c r="G36" s="28">
        <f t="shared" si="2"/>
        <v>107.40565217391304</v>
      </c>
      <c r="H36" s="28">
        <f t="shared" si="2"/>
        <v>39.033043478260872</v>
      </c>
      <c r="I36" s="28">
        <f t="shared" si="2"/>
        <v>4.0991304347826079</v>
      </c>
      <c r="J36" s="28">
        <f t="shared" si="2"/>
        <v>0.86608695652173895</v>
      </c>
      <c r="K36" s="28">
        <f t="shared" si="2"/>
        <v>304.47043478260872</v>
      </c>
      <c r="L36" s="28">
        <f t="shared" si="2"/>
        <v>27.041304347826088</v>
      </c>
      <c r="M36" s="28">
        <f t="shared" si="2"/>
        <v>35.488260869565217</v>
      </c>
      <c r="N36" s="28">
        <f t="shared" si="2"/>
        <v>260.0130434782609</v>
      </c>
      <c r="O36" s="28">
        <f t="shared" si="2"/>
        <v>0</v>
      </c>
      <c r="P36" s="28">
        <f t="shared" si="2"/>
        <v>1.3104347826086955</v>
      </c>
      <c r="Q36" s="28">
        <f t="shared" si="2"/>
        <v>9.4854545454545445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17.494044419502188</v>
      </c>
      <c r="C37" s="28">
        <f t="shared" ref="C37:Q37" si="3">STDEV(C9:C32)</f>
        <v>13.79773046225681</v>
      </c>
      <c r="D37" s="28">
        <f t="shared" si="3"/>
        <v>16.561029351517309</v>
      </c>
      <c r="E37" s="28">
        <f t="shared" si="3"/>
        <v>5.3159595269057158</v>
      </c>
      <c r="F37" s="28">
        <f t="shared" si="3"/>
        <v>13.860116009986234</v>
      </c>
      <c r="G37" s="28">
        <f t="shared" si="3"/>
        <v>54.030328084923092</v>
      </c>
      <c r="H37" s="28">
        <f t="shared" si="3"/>
        <v>14.43674051439042</v>
      </c>
      <c r="I37" s="28">
        <f t="shared" si="3"/>
        <v>8.9692051106107243E-2</v>
      </c>
      <c r="J37" s="28">
        <f t="shared" si="3"/>
        <v>0.34825198727403761</v>
      </c>
      <c r="K37" s="28">
        <f t="shared" si="3"/>
        <v>47.580251105441775</v>
      </c>
      <c r="L37" s="28">
        <f t="shared" si="3"/>
        <v>6.0320630455077398</v>
      </c>
      <c r="M37" s="28">
        <f t="shared" si="3"/>
        <v>13.575422863721551</v>
      </c>
      <c r="N37" s="28">
        <f t="shared" si="3"/>
        <v>282.13880256541012</v>
      </c>
      <c r="O37" s="28">
        <f t="shared" si="3"/>
        <v>0</v>
      </c>
      <c r="P37" s="28">
        <f t="shared" si="3"/>
        <v>0.76503403525517366</v>
      </c>
      <c r="Q37" s="28">
        <f t="shared" si="3"/>
        <v>0.15345938729769362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COUNT(B9:B32)+12</f>
        <v>24</v>
      </c>
      <c r="C38" s="32">
        <f t="shared" ref="C38:D38" si="4">COUNT(C9:C32)+12</f>
        <v>24</v>
      </c>
      <c r="D38" s="32">
        <f t="shared" si="4"/>
        <v>24</v>
      </c>
      <c r="E38" s="32">
        <f>COUNT(E9:E32)+1</f>
        <v>24</v>
      </c>
      <c r="F38" s="32">
        <f t="shared" ref="F38:P38" si="5">COUNT(F9:F32)+1</f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>COUNT(Q9:Q32)+2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B38" sqref="B38:D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708</v>
      </c>
      <c r="B9" s="58" t="s">
        <v>8</v>
      </c>
      <c r="C9" s="58" t="s">
        <v>8</v>
      </c>
      <c r="D9" s="58" t="s">
        <v>8</v>
      </c>
      <c r="E9" s="51">
        <v>6.93</v>
      </c>
      <c r="F9" s="51">
        <v>20.03</v>
      </c>
      <c r="G9" s="51">
        <v>104.32</v>
      </c>
      <c r="H9" s="51">
        <v>41.69</v>
      </c>
      <c r="I9" s="51">
        <v>4.16</v>
      </c>
      <c r="J9" s="51">
        <v>0.66</v>
      </c>
      <c r="K9" s="51">
        <v>279.26</v>
      </c>
      <c r="L9" s="51">
        <v>21.92</v>
      </c>
      <c r="M9" s="51">
        <v>43.82</v>
      </c>
      <c r="N9" s="51">
        <v>57.7</v>
      </c>
      <c r="O9" s="51">
        <v>0</v>
      </c>
      <c r="P9" s="51">
        <v>1.49</v>
      </c>
      <c r="Q9" s="51">
        <v>9.69</v>
      </c>
      <c r="R9" s="43"/>
      <c r="S9" s="43"/>
      <c r="T9" s="43"/>
      <c r="U9" s="43"/>
    </row>
    <row r="10" spans="1:21" s="11" customFormat="1" x14ac:dyDescent="0.25">
      <c r="A10" s="50" t="s">
        <v>709</v>
      </c>
      <c r="B10" s="58" t="s">
        <v>8</v>
      </c>
      <c r="C10" s="58" t="s">
        <v>8</v>
      </c>
      <c r="D10" s="58" t="s">
        <v>8</v>
      </c>
      <c r="E10" s="51">
        <v>8.4499999999999993</v>
      </c>
      <c r="F10" s="51">
        <v>22.19</v>
      </c>
      <c r="G10" s="51">
        <v>86.62</v>
      </c>
      <c r="H10" s="51">
        <v>35.65</v>
      </c>
      <c r="I10" s="51">
        <v>4.1399999999999997</v>
      </c>
      <c r="J10" s="51">
        <v>0.59</v>
      </c>
      <c r="K10" s="51">
        <v>332.28</v>
      </c>
      <c r="L10" s="51">
        <v>21.44</v>
      </c>
      <c r="M10" s="51">
        <v>51.52</v>
      </c>
      <c r="N10" s="51">
        <v>58</v>
      </c>
      <c r="O10" s="51">
        <v>0</v>
      </c>
      <c r="P10" s="51">
        <v>1.04</v>
      </c>
      <c r="Q10" s="51">
        <v>9.6999999999999993</v>
      </c>
      <c r="R10" s="43"/>
      <c r="S10" s="43"/>
      <c r="T10" s="43"/>
      <c r="U10" s="43"/>
    </row>
    <row r="11" spans="1:21" s="11" customFormat="1" x14ac:dyDescent="0.25">
      <c r="A11" s="50" t="s">
        <v>710</v>
      </c>
      <c r="B11" s="58" t="s">
        <v>8</v>
      </c>
      <c r="C11" s="58" t="s">
        <v>8</v>
      </c>
      <c r="D11" s="58" t="s">
        <v>8</v>
      </c>
      <c r="E11" s="51">
        <v>7.04</v>
      </c>
      <c r="F11" s="51">
        <v>15.23</v>
      </c>
      <c r="G11" s="51">
        <v>82.23</v>
      </c>
      <c r="H11" s="51">
        <v>36.39</v>
      </c>
      <c r="I11" s="51">
        <v>4.09</v>
      </c>
      <c r="J11" s="51">
        <v>0.75</v>
      </c>
      <c r="K11" s="51">
        <v>343.7</v>
      </c>
      <c r="L11" s="51">
        <v>19.73</v>
      </c>
      <c r="M11" s="51">
        <v>55.13</v>
      </c>
      <c r="N11" s="51">
        <v>57.8</v>
      </c>
      <c r="O11" s="51">
        <v>0</v>
      </c>
      <c r="P11" s="51">
        <v>1.27</v>
      </c>
      <c r="Q11" s="51">
        <v>9.65</v>
      </c>
      <c r="R11" s="43"/>
      <c r="S11" s="43"/>
      <c r="T11" s="43"/>
      <c r="U11" s="43"/>
    </row>
    <row r="12" spans="1:21" s="11" customFormat="1" x14ac:dyDescent="0.25">
      <c r="A12" s="50" t="s">
        <v>711</v>
      </c>
      <c r="B12" s="58" t="s">
        <v>8</v>
      </c>
      <c r="C12" s="58" t="s">
        <v>8</v>
      </c>
      <c r="D12" s="58" t="s">
        <v>8</v>
      </c>
      <c r="E12" s="51">
        <v>4.2300000000000004</v>
      </c>
      <c r="F12" s="51">
        <v>9.0299999999999994</v>
      </c>
      <c r="G12" s="51">
        <v>84.18</v>
      </c>
      <c r="H12" s="51">
        <v>34.5</v>
      </c>
      <c r="I12" s="51">
        <v>4.05</v>
      </c>
      <c r="J12" s="51">
        <v>0.5</v>
      </c>
      <c r="K12" s="51">
        <v>309.93</v>
      </c>
      <c r="L12" s="51">
        <v>19.62</v>
      </c>
      <c r="M12" s="51">
        <v>55.48</v>
      </c>
      <c r="N12" s="51">
        <v>57.6</v>
      </c>
      <c r="O12" s="51">
        <v>0</v>
      </c>
      <c r="P12" s="51">
        <v>1.29</v>
      </c>
      <c r="Q12" s="51">
        <v>9.61</v>
      </c>
      <c r="R12" s="43"/>
      <c r="S12" s="43"/>
      <c r="T12" s="43"/>
      <c r="U12" s="43"/>
    </row>
    <row r="13" spans="1:21" s="11" customFormat="1" x14ac:dyDescent="0.25">
      <c r="A13" s="50" t="s">
        <v>712</v>
      </c>
      <c r="B13" s="58" t="s">
        <v>8</v>
      </c>
      <c r="C13" s="58" t="s">
        <v>8</v>
      </c>
      <c r="D13" s="58" t="s">
        <v>8</v>
      </c>
      <c r="E13" s="51">
        <v>4.04</v>
      </c>
      <c r="F13" s="51">
        <v>7.96</v>
      </c>
      <c r="G13" s="51">
        <v>82.68</v>
      </c>
      <c r="H13" s="51">
        <v>32.03</v>
      </c>
      <c r="I13" s="51">
        <v>4.12</v>
      </c>
      <c r="J13" s="51">
        <v>1.04</v>
      </c>
      <c r="K13" s="51">
        <v>290.8</v>
      </c>
      <c r="L13" s="51">
        <v>19.41</v>
      </c>
      <c r="M13" s="51">
        <v>58.12</v>
      </c>
      <c r="N13" s="51">
        <v>58.1</v>
      </c>
      <c r="O13" s="51">
        <v>0</v>
      </c>
      <c r="P13" s="51">
        <v>1.18</v>
      </c>
      <c r="Q13" s="51">
        <v>9.6199999999999992</v>
      </c>
      <c r="R13" s="43"/>
      <c r="S13" s="43"/>
      <c r="T13" s="43"/>
      <c r="U13" s="43"/>
    </row>
    <row r="14" spans="1:21" s="11" customFormat="1" x14ac:dyDescent="0.25">
      <c r="A14" s="50" t="s">
        <v>713</v>
      </c>
      <c r="B14" s="58" t="s">
        <v>8</v>
      </c>
      <c r="C14" s="58" t="s">
        <v>8</v>
      </c>
      <c r="D14" s="58" t="s">
        <v>8</v>
      </c>
      <c r="E14" s="51">
        <v>4.42</v>
      </c>
      <c r="F14" s="51">
        <v>7.23</v>
      </c>
      <c r="G14" s="51">
        <v>95.45</v>
      </c>
      <c r="H14" s="51">
        <v>33.28</v>
      </c>
      <c r="I14" s="51">
        <v>4.12</v>
      </c>
      <c r="J14" s="51">
        <v>0.45</v>
      </c>
      <c r="K14" s="51">
        <v>279.61</v>
      </c>
      <c r="L14" s="51">
        <v>18.39</v>
      </c>
      <c r="M14" s="51">
        <v>64.41</v>
      </c>
      <c r="N14" s="51">
        <v>60.1</v>
      </c>
      <c r="O14" s="51">
        <v>0</v>
      </c>
      <c r="P14" s="51">
        <v>1.32</v>
      </c>
      <c r="Q14" s="51">
        <v>9.64</v>
      </c>
      <c r="R14" s="43"/>
      <c r="S14" s="43"/>
      <c r="T14" s="43"/>
      <c r="U14" s="43"/>
    </row>
    <row r="15" spans="1:21" s="11" customFormat="1" x14ac:dyDescent="0.25">
      <c r="A15" s="50" t="s">
        <v>714</v>
      </c>
      <c r="B15" s="58" t="s">
        <v>8</v>
      </c>
      <c r="C15" s="58" t="s">
        <v>8</v>
      </c>
      <c r="D15" s="58" t="s">
        <v>8</v>
      </c>
      <c r="E15" s="51">
        <v>6.43</v>
      </c>
      <c r="F15" s="51">
        <v>9.0399999999999991</v>
      </c>
      <c r="G15" s="51">
        <v>124.97</v>
      </c>
      <c r="H15" s="51">
        <v>36.44</v>
      </c>
      <c r="I15" s="51">
        <v>4.0599999999999996</v>
      </c>
      <c r="J15" s="51">
        <v>0.37</v>
      </c>
      <c r="K15" s="51">
        <v>322.52</v>
      </c>
      <c r="L15" s="51">
        <v>20.37</v>
      </c>
      <c r="M15" s="51">
        <v>65.88</v>
      </c>
      <c r="N15" s="51">
        <v>155.30000000000001</v>
      </c>
      <c r="O15" s="51">
        <v>0</v>
      </c>
      <c r="P15" s="51">
        <v>1.58</v>
      </c>
      <c r="Q15" s="51">
        <v>9.61</v>
      </c>
      <c r="R15" s="43"/>
      <c r="S15" s="43"/>
      <c r="T15" s="43"/>
      <c r="U15" s="43"/>
    </row>
    <row r="16" spans="1:21" s="11" customFormat="1" x14ac:dyDescent="0.25">
      <c r="A16" s="50" t="s">
        <v>715</v>
      </c>
      <c r="B16" s="58" t="s">
        <v>8</v>
      </c>
      <c r="C16" s="58" t="s">
        <v>8</v>
      </c>
      <c r="D16" s="58" t="s">
        <v>8</v>
      </c>
      <c r="E16" s="51">
        <v>6.29</v>
      </c>
      <c r="F16" s="51">
        <v>8.65</v>
      </c>
      <c r="G16" s="51">
        <v>147.15</v>
      </c>
      <c r="H16" s="51">
        <v>41.72</v>
      </c>
      <c r="I16" s="51">
        <v>4.04</v>
      </c>
      <c r="J16" s="51">
        <v>0.76</v>
      </c>
      <c r="K16" s="51">
        <v>357.7</v>
      </c>
      <c r="L16" s="51">
        <v>28.11</v>
      </c>
      <c r="M16" s="51">
        <v>51.87</v>
      </c>
      <c r="N16" s="51">
        <v>335.3</v>
      </c>
      <c r="O16" s="51">
        <v>0</v>
      </c>
      <c r="P16" s="51">
        <v>1.52</v>
      </c>
      <c r="Q16" s="51">
        <v>9.66</v>
      </c>
      <c r="R16" s="43"/>
      <c r="S16" s="43"/>
      <c r="T16" s="43"/>
      <c r="U16" s="43"/>
    </row>
    <row r="17" spans="1:21" s="11" customFormat="1" x14ac:dyDescent="0.25">
      <c r="A17" s="50" t="s">
        <v>716</v>
      </c>
      <c r="B17" s="58" t="s">
        <v>8</v>
      </c>
      <c r="C17" s="58" t="s">
        <v>8</v>
      </c>
      <c r="D17" s="58" t="s">
        <v>8</v>
      </c>
      <c r="E17" s="51">
        <v>6.79</v>
      </c>
      <c r="F17" s="51">
        <v>10.46</v>
      </c>
      <c r="G17" s="51">
        <v>153.36000000000001</v>
      </c>
      <c r="H17" s="51">
        <v>43.29</v>
      </c>
      <c r="I17" s="51">
        <v>4.04</v>
      </c>
      <c r="J17" s="51">
        <v>1.64</v>
      </c>
      <c r="K17" s="51">
        <v>350.54</v>
      </c>
      <c r="L17" s="51">
        <v>33.08</v>
      </c>
      <c r="M17" s="51">
        <v>30.4</v>
      </c>
      <c r="N17" s="51">
        <v>507.9</v>
      </c>
      <c r="O17" s="51">
        <v>0</v>
      </c>
      <c r="P17" s="51">
        <v>1.47</v>
      </c>
      <c r="Q17" s="51">
        <v>9.6999999999999993</v>
      </c>
      <c r="R17" s="43"/>
      <c r="S17" s="43"/>
      <c r="T17" s="43"/>
      <c r="U17" s="43"/>
    </row>
    <row r="18" spans="1:21" s="11" customFormat="1" x14ac:dyDescent="0.25">
      <c r="A18" s="50" t="s">
        <v>717</v>
      </c>
      <c r="B18" s="58" t="s">
        <v>8</v>
      </c>
      <c r="C18" s="58" t="s">
        <v>8</v>
      </c>
      <c r="D18" s="58" t="s">
        <v>8</v>
      </c>
      <c r="E18" s="51">
        <v>45.52</v>
      </c>
      <c r="F18" s="51">
        <v>23.76</v>
      </c>
      <c r="G18" s="51">
        <v>133.31</v>
      </c>
      <c r="H18" s="51">
        <v>44.06</v>
      </c>
      <c r="I18" s="51">
        <v>4.13</v>
      </c>
      <c r="J18" s="51">
        <v>1.79</v>
      </c>
      <c r="K18" s="51">
        <v>354.17</v>
      </c>
      <c r="L18" s="51">
        <v>35.72</v>
      </c>
      <c r="M18" s="51">
        <v>17.920000000000002</v>
      </c>
      <c r="N18" s="51">
        <v>674.3</v>
      </c>
      <c r="O18" s="51">
        <v>0</v>
      </c>
      <c r="P18" s="51">
        <v>1.41</v>
      </c>
      <c r="Q18" s="51">
        <v>9.67</v>
      </c>
      <c r="R18" s="43"/>
      <c r="S18" s="43"/>
      <c r="T18" s="43"/>
      <c r="U18" s="43"/>
    </row>
    <row r="19" spans="1:21" s="11" customFormat="1" x14ac:dyDescent="0.25">
      <c r="A19" s="50" t="s">
        <v>718</v>
      </c>
      <c r="B19" s="58" t="s">
        <v>8</v>
      </c>
      <c r="C19" s="58" t="s">
        <v>8</v>
      </c>
      <c r="D19" s="58" t="s">
        <v>8</v>
      </c>
      <c r="E19" s="51">
        <v>35.75</v>
      </c>
      <c r="F19" s="51">
        <v>29.02</v>
      </c>
      <c r="G19" s="51">
        <v>130.01</v>
      </c>
      <c r="H19" s="51">
        <v>46.48</v>
      </c>
      <c r="I19" s="51">
        <v>4.08</v>
      </c>
      <c r="J19" s="51">
        <v>1.6</v>
      </c>
      <c r="K19" s="51">
        <v>106.84</v>
      </c>
      <c r="L19" s="51">
        <v>34.130000000000003</v>
      </c>
      <c r="M19" s="51">
        <v>18.39</v>
      </c>
      <c r="N19" s="51">
        <v>764.3</v>
      </c>
      <c r="O19" s="51">
        <v>0</v>
      </c>
      <c r="P19" s="51">
        <v>1.22</v>
      </c>
      <c r="Q19" s="51">
        <v>9.61</v>
      </c>
      <c r="R19" s="43"/>
      <c r="S19" s="43"/>
      <c r="T19" s="43"/>
      <c r="U19" s="43"/>
    </row>
    <row r="20" spans="1:21" s="11" customFormat="1" x14ac:dyDescent="0.25">
      <c r="A20" s="50" t="s">
        <v>719</v>
      </c>
      <c r="B20" s="58" t="s">
        <v>8</v>
      </c>
      <c r="C20" s="58" t="s">
        <v>8</v>
      </c>
      <c r="D20" s="58" t="s">
        <v>8</v>
      </c>
      <c r="E20" s="51">
        <v>26.73</v>
      </c>
      <c r="F20" s="51">
        <v>32.380000000000003</v>
      </c>
      <c r="G20" s="51">
        <v>108.54</v>
      </c>
      <c r="H20" s="51">
        <v>43.24</v>
      </c>
      <c r="I20" s="51">
        <v>4.13</v>
      </c>
      <c r="J20" s="51">
        <v>1.37</v>
      </c>
      <c r="K20" s="51">
        <v>106.04</v>
      </c>
      <c r="L20" s="51">
        <v>34.880000000000003</v>
      </c>
      <c r="M20" s="51">
        <v>15.95</v>
      </c>
      <c r="N20" s="51">
        <v>791.9</v>
      </c>
      <c r="O20" s="51">
        <v>0</v>
      </c>
      <c r="P20" s="51">
        <v>1</v>
      </c>
      <c r="Q20" s="51">
        <v>9.5399999999999991</v>
      </c>
      <c r="R20" s="43"/>
      <c r="S20" s="43"/>
      <c r="T20" s="43"/>
      <c r="U20" s="43"/>
    </row>
    <row r="21" spans="1:21" s="11" customFormat="1" x14ac:dyDescent="0.25">
      <c r="A21" s="50" t="s">
        <v>720</v>
      </c>
      <c r="B21" s="58" t="s">
        <v>8</v>
      </c>
      <c r="C21" s="58" t="s">
        <v>8</v>
      </c>
      <c r="D21" s="58" t="s">
        <v>8</v>
      </c>
      <c r="E21" s="51">
        <v>33.1</v>
      </c>
      <c r="F21" s="51">
        <v>34.549999999999997</v>
      </c>
      <c r="G21" s="51">
        <v>89.45</v>
      </c>
      <c r="H21" s="51">
        <v>37.35</v>
      </c>
      <c r="I21" s="51">
        <v>4.08</v>
      </c>
      <c r="J21" s="51">
        <v>1.5</v>
      </c>
      <c r="K21" s="51">
        <v>348.61</v>
      </c>
      <c r="L21" s="51">
        <v>38.020000000000003</v>
      </c>
      <c r="M21" s="51">
        <v>13.56</v>
      </c>
      <c r="N21" s="51">
        <v>820.3</v>
      </c>
      <c r="O21" s="51">
        <v>0</v>
      </c>
      <c r="P21" s="51">
        <v>0.81</v>
      </c>
      <c r="Q21" s="51">
        <v>9.5299999999999994</v>
      </c>
      <c r="R21" s="43"/>
      <c r="S21" s="43"/>
      <c r="T21" s="43"/>
      <c r="U21" s="43"/>
    </row>
    <row r="22" spans="1:21" s="11" customFormat="1" x14ac:dyDescent="0.25">
      <c r="A22" s="50" t="s">
        <v>721</v>
      </c>
      <c r="B22" s="58" t="s">
        <v>8</v>
      </c>
      <c r="C22" s="58" t="s">
        <v>8</v>
      </c>
      <c r="D22" s="58" t="s">
        <v>8</v>
      </c>
      <c r="E22" s="51">
        <v>30.51</v>
      </c>
      <c r="F22" s="51">
        <v>31.48</v>
      </c>
      <c r="G22" s="51">
        <v>73.040000000000006</v>
      </c>
      <c r="H22" s="51">
        <v>32.58</v>
      </c>
      <c r="I22" s="51">
        <v>4.1399999999999997</v>
      </c>
      <c r="J22" s="51">
        <v>2.41</v>
      </c>
      <c r="K22" s="51">
        <v>346.31</v>
      </c>
      <c r="L22" s="51">
        <v>38.06</v>
      </c>
      <c r="M22" s="51">
        <v>12.98</v>
      </c>
      <c r="N22" s="51">
        <v>747.8</v>
      </c>
      <c r="O22" s="51">
        <v>0</v>
      </c>
      <c r="P22" s="51">
        <v>0.81</v>
      </c>
      <c r="Q22" s="51">
        <v>9.39</v>
      </c>
      <c r="R22" s="43"/>
      <c r="S22" s="43"/>
      <c r="T22" s="43"/>
      <c r="U22" s="43"/>
    </row>
    <row r="23" spans="1:21" s="11" customFormat="1" x14ac:dyDescent="0.25">
      <c r="A23" s="50" t="s">
        <v>722</v>
      </c>
      <c r="B23" s="58" t="s">
        <v>8</v>
      </c>
      <c r="C23" s="58" t="s">
        <v>8</v>
      </c>
      <c r="D23" s="58" t="s">
        <v>8</v>
      </c>
      <c r="E23" s="51">
        <v>19.420000000000002</v>
      </c>
      <c r="F23" s="51">
        <v>37.57</v>
      </c>
      <c r="G23" s="51">
        <v>73.41</v>
      </c>
      <c r="H23" s="51">
        <v>29.43</v>
      </c>
      <c r="I23" s="51">
        <v>4.08</v>
      </c>
      <c r="J23" s="51">
        <v>2</v>
      </c>
      <c r="K23" s="51">
        <v>358.44</v>
      </c>
      <c r="L23" s="51">
        <v>37.53</v>
      </c>
      <c r="M23" s="51">
        <v>11.99</v>
      </c>
      <c r="N23" s="51">
        <v>512</v>
      </c>
      <c r="O23" s="51">
        <v>0</v>
      </c>
      <c r="P23" s="51">
        <v>0.69</v>
      </c>
      <c r="Q23" s="51">
        <v>9.33</v>
      </c>
      <c r="R23" s="43"/>
      <c r="S23" s="43"/>
      <c r="T23" s="43"/>
      <c r="U23" s="43"/>
    </row>
    <row r="24" spans="1:21" s="11" customFormat="1" x14ac:dyDescent="0.25">
      <c r="A24" s="50" t="s">
        <v>723</v>
      </c>
      <c r="B24" s="58" t="s">
        <v>8</v>
      </c>
      <c r="C24" s="58" t="s">
        <v>8</v>
      </c>
      <c r="D24" s="58" t="s">
        <v>8</v>
      </c>
      <c r="E24" s="51">
        <v>29.6</v>
      </c>
      <c r="F24" s="51">
        <v>42.28</v>
      </c>
      <c r="G24" s="51">
        <v>64.22</v>
      </c>
      <c r="H24" s="51">
        <v>23.07</v>
      </c>
      <c r="I24" s="51">
        <v>4.05</v>
      </c>
      <c r="J24" s="51">
        <v>1.06</v>
      </c>
      <c r="K24" s="51">
        <v>347.52</v>
      </c>
      <c r="L24" s="51">
        <v>36.19</v>
      </c>
      <c r="M24" s="51">
        <v>12.45</v>
      </c>
      <c r="N24" s="51">
        <v>333.9</v>
      </c>
      <c r="O24" s="51">
        <v>0</v>
      </c>
      <c r="P24" s="51">
        <v>0.57999999999999996</v>
      </c>
      <c r="Q24" s="51">
        <v>9.32</v>
      </c>
      <c r="R24" s="43"/>
      <c r="S24" s="43"/>
      <c r="T24" s="43"/>
      <c r="U24" s="43"/>
    </row>
    <row r="25" spans="1:21" s="11" customFormat="1" x14ac:dyDescent="0.25">
      <c r="A25" s="50" t="s">
        <v>724</v>
      </c>
      <c r="B25" s="58" t="s">
        <v>8</v>
      </c>
      <c r="C25" s="58" t="s">
        <v>8</v>
      </c>
      <c r="D25" s="58" t="s">
        <v>8</v>
      </c>
      <c r="E25" s="51">
        <v>19.579999999999998</v>
      </c>
      <c r="F25" s="51">
        <v>38.299999999999997</v>
      </c>
      <c r="G25" s="51">
        <v>57.41</v>
      </c>
      <c r="H25" s="51">
        <v>21.49</v>
      </c>
      <c r="I25" s="51">
        <v>4.09</v>
      </c>
      <c r="J25" s="51">
        <v>1.6</v>
      </c>
      <c r="K25" s="51">
        <v>358.36</v>
      </c>
      <c r="L25" s="51">
        <v>34.69</v>
      </c>
      <c r="M25" s="51">
        <v>14.73</v>
      </c>
      <c r="N25" s="51">
        <v>160.4</v>
      </c>
      <c r="O25" s="51">
        <v>0</v>
      </c>
      <c r="P25" s="51">
        <v>0.94</v>
      </c>
      <c r="Q25" s="51">
        <v>9.2899999999999991</v>
      </c>
      <c r="R25" s="43"/>
      <c r="S25" s="43"/>
      <c r="T25" s="43"/>
      <c r="U25" s="43"/>
    </row>
    <row r="26" spans="1:21" s="11" customFormat="1" x14ac:dyDescent="0.25">
      <c r="A26" s="50" t="s">
        <v>725</v>
      </c>
      <c r="B26" s="58" t="s">
        <v>8</v>
      </c>
      <c r="C26" s="58" t="s">
        <v>8</v>
      </c>
      <c r="D26" s="58" t="s">
        <v>8</v>
      </c>
      <c r="E26" s="51">
        <v>18.91</v>
      </c>
      <c r="F26" s="51">
        <v>30.35</v>
      </c>
      <c r="G26" s="51">
        <v>63.8</v>
      </c>
      <c r="H26" s="51">
        <v>23.64</v>
      </c>
      <c r="I26" s="51">
        <v>4.16</v>
      </c>
      <c r="J26" s="51">
        <v>0.67</v>
      </c>
      <c r="K26" s="51">
        <v>346.62</v>
      </c>
      <c r="L26" s="51">
        <v>32.89</v>
      </c>
      <c r="M26" s="51">
        <v>24.14</v>
      </c>
      <c r="N26" s="51">
        <v>104.9</v>
      </c>
      <c r="O26" s="51">
        <v>0</v>
      </c>
      <c r="P26" s="51">
        <v>2.74</v>
      </c>
      <c r="Q26" s="51">
        <v>9.4600000000000009</v>
      </c>
      <c r="R26" s="43"/>
      <c r="S26" s="43"/>
      <c r="T26" s="43"/>
      <c r="U26" s="43"/>
    </row>
    <row r="27" spans="1:21" s="11" customFormat="1" x14ac:dyDescent="0.25">
      <c r="A27" s="50" t="s">
        <v>726</v>
      </c>
      <c r="B27" s="58" t="s">
        <v>8</v>
      </c>
      <c r="C27" s="58" t="s">
        <v>8</v>
      </c>
      <c r="D27" s="58" t="s">
        <v>8</v>
      </c>
      <c r="E27" s="51">
        <v>15.3</v>
      </c>
      <c r="F27" s="51">
        <v>9.33</v>
      </c>
      <c r="G27" s="51">
        <v>85.04</v>
      </c>
      <c r="H27" s="51">
        <v>23.3</v>
      </c>
      <c r="I27" s="51">
        <v>4.1100000000000003</v>
      </c>
      <c r="J27" s="51">
        <v>0.64</v>
      </c>
      <c r="K27" s="51">
        <v>350.85</v>
      </c>
      <c r="L27" s="51">
        <v>29.24</v>
      </c>
      <c r="M27" s="51">
        <v>32.24</v>
      </c>
      <c r="N27" s="51">
        <v>61.4</v>
      </c>
      <c r="O27" s="51">
        <v>0</v>
      </c>
      <c r="P27" s="51">
        <v>4.08</v>
      </c>
      <c r="Q27" s="51">
        <v>9.51</v>
      </c>
      <c r="R27" s="43"/>
      <c r="S27" s="43"/>
      <c r="T27" s="43"/>
      <c r="U27" s="43"/>
    </row>
    <row r="28" spans="1:21" s="11" customFormat="1" x14ac:dyDescent="0.25">
      <c r="A28" s="50" t="s">
        <v>727</v>
      </c>
      <c r="B28" s="58" t="s">
        <v>8</v>
      </c>
      <c r="C28" s="58" t="s">
        <v>8</v>
      </c>
      <c r="D28" s="58" t="s">
        <v>8</v>
      </c>
      <c r="E28" s="51">
        <v>14.67</v>
      </c>
      <c r="F28" s="51">
        <v>10.17</v>
      </c>
      <c r="G28" s="51">
        <v>131.86000000000001</v>
      </c>
      <c r="H28" s="51">
        <v>32.24</v>
      </c>
      <c r="I28" s="51">
        <v>4.0599999999999996</v>
      </c>
      <c r="J28" s="51">
        <v>0.64</v>
      </c>
      <c r="K28" s="51">
        <v>254.84</v>
      </c>
      <c r="L28" s="51">
        <v>26.87</v>
      </c>
      <c r="M28" s="51">
        <v>33.64</v>
      </c>
      <c r="N28" s="51">
        <v>57.8</v>
      </c>
      <c r="O28" s="51">
        <v>0</v>
      </c>
      <c r="P28" s="51">
        <v>3.66</v>
      </c>
      <c r="Q28" s="51">
        <v>9.61</v>
      </c>
      <c r="R28" s="43"/>
      <c r="S28" s="43"/>
      <c r="T28" s="43"/>
      <c r="U28" s="43"/>
    </row>
    <row r="29" spans="1:21" s="11" customFormat="1" x14ac:dyDescent="0.25">
      <c r="A29" s="50" t="s">
        <v>728</v>
      </c>
      <c r="B29" s="58" t="s">
        <v>8</v>
      </c>
      <c r="C29" s="58" t="s">
        <v>8</v>
      </c>
      <c r="D29" s="58" t="s">
        <v>8</v>
      </c>
      <c r="E29" s="51">
        <v>14.54</v>
      </c>
      <c r="F29" s="51">
        <v>10.06</v>
      </c>
      <c r="G29" s="51">
        <v>210.33</v>
      </c>
      <c r="H29" s="51">
        <v>41.75</v>
      </c>
      <c r="I29" s="51">
        <v>4.1399999999999997</v>
      </c>
      <c r="J29" s="51">
        <v>0.69</v>
      </c>
      <c r="K29" s="51">
        <v>353.74</v>
      </c>
      <c r="L29" s="51">
        <v>26.1</v>
      </c>
      <c r="M29" s="51">
        <v>40.549999999999997</v>
      </c>
      <c r="N29" s="51">
        <v>57.9</v>
      </c>
      <c r="O29" s="51">
        <v>0</v>
      </c>
      <c r="P29" s="51">
        <v>6.26</v>
      </c>
      <c r="Q29" s="51">
        <v>9.6999999999999993</v>
      </c>
      <c r="R29" s="43"/>
      <c r="S29" s="43"/>
      <c r="T29" s="43"/>
      <c r="U29" s="43"/>
    </row>
    <row r="30" spans="1:21" s="11" customFormat="1" x14ac:dyDescent="0.25">
      <c r="A30" s="50" t="s">
        <v>729</v>
      </c>
      <c r="B30" s="58" t="s">
        <v>8</v>
      </c>
      <c r="C30" s="58" t="s">
        <v>8</v>
      </c>
      <c r="D30" s="58" t="s">
        <v>8</v>
      </c>
      <c r="E30" s="51">
        <v>13.11</v>
      </c>
      <c r="F30" s="51">
        <v>10.210000000000001</v>
      </c>
      <c r="G30" s="51">
        <v>229.77</v>
      </c>
      <c r="H30" s="51">
        <v>51.79</v>
      </c>
      <c r="I30" s="51">
        <v>4.08</v>
      </c>
      <c r="J30" s="51">
        <v>0.62</v>
      </c>
      <c r="K30" s="51">
        <v>330.35</v>
      </c>
      <c r="L30" s="51">
        <v>24.37</v>
      </c>
      <c r="M30" s="51">
        <v>43.13</v>
      </c>
      <c r="N30" s="51">
        <v>57.8</v>
      </c>
      <c r="O30" s="51">
        <v>0</v>
      </c>
      <c r="P30" s="51">
        <v>5.07</v>
      </c>
      <c r="Q30" s="51">
        <v>9.8800000000000008</v>
      </c>
      <c r="R30" s="43"/>
      <c r="S30" s="43"/>
      <c r="T30" s="43"/>
      <c r="U30" s="43"/>
    </row>
    <row r="31" spans="1:21" s="11" customFormat="1" x14ac:dyDescent="0.25">
      <c r="A31" s="50" t="s">
        <v>730</v>
      </c>
      <c r="B31" s="58" t="s">
        <v>8</v>
      </c>
      <c r="C31" s="58" t="s">
        <v>8</v>
      </c>
      <c r="D31" s="58" t="s">
        <v>8</v>
      </c>
      <c r="E31" s="51">
        <v>11.43</v>
      </c>
      <c r="F31" s="51">
        <v>9.98</v>
      </c>
      <c r="G31" s="51">
        <v>212.13</v>
      </c>
      <c r="H31" s="51">
        <v>52.69</v>
      </c>
      <c r="I31" s="51">
        <v>4.03</v>
      </c>
      <c r="J31" s="51">
        <v>0.66</v>
      </c>
      <c r="K31" s="51">
        <v>353.21</v>
      </c>
      <c r="L31" s="51">
        <v>23.7</v>
      </c>
      <c r="M31" s="51">
        <v>50.68</v>
      </c>
      <c r="N31" s="51">
        <v>57.7</v>
      </c>
      <c r="O31" s="51">
        <v>0</v>
      </c>
      <c r="P31" s="51">
        <v>4.38</v>
      </c>
      <c r="Q31" s="51">
        <v>10.039999999999999</v>
      </c>
      <c r="R31" s="43"/>
      <c r="S31" s="43"/>
      <c r="T31" s="43"/>
      <c r="U31" s="43"/>
    </row>
    <row r="32" spans="1:21" s="11" customFormat="1" x14ac:dyDescent="0.25">
      <c r="A32" s="50" t="s">
        <v>731</v>
      </c>
      <c r="B32" s="58" t="s">
        <v>8</v>
      </c>
      <c r="C32" s="58" t="s">
        <v>8</v>
      </c>
      <c r="D32" s="58" t="s">
        <v>8</v>
      </c>
      <c r="E32" s="51">
        <v>19.72</v>
      </c>
      <c r="F32" s="51">
        <v>8.92</v>
      </c>
      <c r="G32" s="51">
        <v>183.27</v>
      </c>
      <c r="H32" s="51">
        <v>52.67</v>
      </c>
      <c r="I32" s="51">
        <v>4.01</v>
      </c>
      <c r="J32" s="51">
        <v>0.47</v>
      </c>
      <c r="K32" s="51">
        <v>339.9</v>
      </c>
      <c r="L32" s="51">
        <v>23.73</v>
      </c>
      <c r="M32" s="51">
        <v>52.1</v>
      </c>
      <c r="N32" s="51">
        <v>57.5</v>
      </c>
      <c r="O32" s="51">
        <v>0</v>
      </c>
      <c r="P32" s="51">
        <v>3.92</v>
      </c>
      <c r="Q32" s="51">
        <v>10.130000000000001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4.04</v>
      </c>
      <c r="F34" s="28">
        <f t="shared" si="0"/>
        <v>7.23</v>
      </c>
      <c r="G34" s="28">
        <f t="shared" si="0"/>
        <v>57.41</v>
      </c>
      <c r="H34" s="28">
        <f t="shared" si="0"/>
        <v>21.49</v>
      </c>
      <c r="I34" s="28">
        <f t="shared" si="0"/>
        <v>4.01</v>
      </c>
      <c r="J34" s="28">
        <f t="shared" si="0"/>
        <v>0.37</v>
      </c>
      <c r="K34" s="28">
        <f t="shared" si="0"/>
        <v>106.04</v>
      </c>
      <c r="L34" s="28">
        <f t="shared" si="0"/>
        <v>18.39</v>
      </c>
      <c r="M34" s="28">
        <f t="shared" si="0"/>
        <v>11.99</v>
      </c>
      <c r="N34" s="28">
        <f t="shared" si="0"/>
        <v>57.5</v>
      </c>
      <c r="O34" s="28">
        <f t="shared" si="0"/>
        <v>0</v>
      </c>
      <c r="P34" s="28">
        <f t="shared" si="0"/>
        <v>0.57999999999999996</v>
      </c>
      <c r="Q34" s="28">
        <f t="shared" si="0"/>
        <v>9.2899999999999991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45.52</v>
      </c>
      <c r="F35" s="29">
        <f t="shared" si="1"/>
        <v>42.28</v>
      </c>
      <c r="G35" s="29">
        <f t="shared" si="1"/>
        <v>229.77</v>
      </c>
      <c r="H35" s="29">
        <f t="shared" si="1"/>
        <v>52.69</v>
      </c>
      <c r="I35" s="29">
        <f t="shared" si="1"/>
        <v>4.16</v>
      </c>
      <c r="J35" s="29">
        <f t="shared" si="1"/>
        <v>2.41</v>
      </c>
      <c r="K35" s="29">
        <f t="shared" si="1"/>
        <v>358.44</v>
      </c>
      <c r="L35" s="29">
        <f t="shared" si="1"/>
        <v>38.06</v>
      </c>
      <c r="M35" s="29">
        <f t="shared" si="1"/>
        <v>65.88</v>
      </c>
      <c r="N35" s="29">
        <f t="shared" si="1"/>
        <v>820.3</v>
      </c>
      <c r="O35" s="29">
        <f t="shared" si="1"/>
        <v>0</v>
      </c>
      <c r="P35" s="29">
        <f t="shared" si="1"/>
        <v>6.26</v>
      </c>
      <c r="Q35" s="29">
        <f t="shared" si="1"/>
        <v>10.130000000000001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16.771250000000006</v>
      </c>
      <c r="F36" s="28">
        <f t="shared" si="2"/>
        <v>19.507500000000004</v>
      </c>
      <c r="G36" s="28">
        <f t="shared" si="2"/>
        <v>116.93958333333335</v>
      </c>
      <c r="H36" s="28">
        <f t="shared" si="2"/>
        <v>37.115416666666668</v>
      </c>
      <c r="I36" s="28">
        <f t="shared" si="2"/>
        <v>4.0912500000000005</v>
      </c>
      <c r="J36" s="28">
        <f t="shared" si="2"/>
        <v>1.0200000000000002</v>
      </c>
      <c r="K36" s="28">
        <f t="shared" si="2"/>
        <v>313.42250000000001</v>
      </c>
      <c r="L36" s="28">
        <f t="shared" si="2"/>
        <v>28.25791666666667</v>
      </c>
      <c r="M36" s="28">
        <f t="shared" si="2"/>
        <v>36.295000000000002</v>
      </c>
      <c r="N36" s="28">
        <f t="shared" si="2"/>
        <v>275.32083333333327</v>
      </c>
      <c r="O36" s="28">
        <f t="shared" si="2"/>
        <v>0</v>
      </c>
      <c r="P36" s="28">
        <f t="shared" si="2"/>
        <v>2.0720833333333335</v>
      </c>
      <c r="Q36" s="28">
        <f t="shared" si="2"/>
        <v>9.6204166666666655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11.490298105074478</v>
      </c>
      <c r="F37" s="28">
        <f t="shared" si="3"/>
        <v>11.901266008651998</v>
      </c>
      <c r="G37" s="28">
        <f t="shared" si="3"/>
        <v>50.079593907157395</v>
      </c>
      <c r="H37" s="28">
        <f t="shared" si="3"/>
        <v>9.1909823381714428</v>
      </c>
      <c r="I37" s="28">
        <f t="shared" si="3"/>
        <v>4.326988108021159E-2</v>
      </c>
      <c r="J37" s="28">
        <f t="shared" si="3"/>
        <v>0.57037744939873669</v>
      </c>
      <c r="K37" s="28">
        <f t="shared" si="3"/>
        <v>69.947531718268934</v>
      </c>
      <c r="L37" s="28">
        <f t="shared" si="3"/>
        <v>6.9036839435734283</v>
      </c>
      <c r="M37" s="28">
        <f t="shared" si="3"/>
        <v>18.510166889060446</v>
      </c>
      <c r="N37" s="28">
        <f t="shared" si="3"/>
        <v>289.26076091991979</v>
      </c>
      <c r="O37" s="28">
        <f t="shared" si="3"/>
        <v>0</v>
      </c>
      <c r="P37" s="28">
        <f t="shared" si="3"/>
        <v>1.5895609980955956</v>
      </c>
      <c r="Q37" s="28">
        <f t="shared" si="3"/>
        <v>0.20022767837740565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D38" si="4">COUNT(C9:C32)+24</f>
        <v>24</v>
      </c>
      <c r="D38" s="32">
        <f t="shared" si="4"/>
        <v>24</v>
      </c>
      <c r="E38" s="32">
        <f t="shared" ref="E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732</v>
      </c>
      <c r="B9" s="58" t="s">
        <v>8</v>
      </c>
      <c r="C9" s="58" t="s">
        <v>8</v>
      </c>
      <c r="D9" s="58" t="s">
        <v>8</v>
      </c>
      <c r="E9" s="51">
        <v>30.97</v>
      </c>
      <c r="F9" s="51">
        <v>11.01</v>
      </c>
      <c r="G9" s="51">
        <v>160.47</v>
      </c>
      <c r="H9" s="51">
        <v>52.56</v>
      </c>
      <c r="I9" s="51">
        <v>4.21</v>
      </c>
      <c r="J9" s="51">
        <v>0.45</v>
      </c>
      <c r="K9" s="51">
        <v>328.88</v>
      </c>
      <c r="L9" s="51">
        <v>23.55</v>
      </c>
      <c r="M9" s="51">
        <v>39.200000000000003</v>
      </c>
      <c r="N9" s="51">
        <v>57.7</v>
      </c>
      <c r="O9" s="51">
        <v>0</v>
      </c>
      <c r="P9" s="51">
        <v>3.04</v>
      </c>
      <c r="Q9" s="51">
        <v>10.07</v>
      </c>
      <c r="R9" s="43"/>
      <c r="S9" s="43"/>
      <c r="T9" s="43"/>
      <c r="U9" s="43"/>
    </row>
    <row r="10" spans="1:21" s="11" customFormat="1" x14ac:dyDescent="0.25">
      <c r="A10" s="50" t="s">
        <v>733</v>
      </c>
      <c r="B10" s="58" t="s">
        <v>8</v>
      </c>
      <c r="C10" s="58" t="s">
        <v>8</v>
      </c>
      <c r="D10" s="58" t="s">
        <v>8</v>
      </c>
      <c r="E10" s="51">
        <v>24.4</v>
      </c>
      <c r="F10" s="51">
        <v>15.63</v>
      </c>
      <c r="G10" s="51">
        <v>173.31</v>
      </c>
      <c r="H10" s="51">
        <v>59.57</v>
      </c>
      <c r="I10" s="51">
        <v>4.0999999999999996</v>
      </c>
      <c r="J10" s="51">
        <v>1.08</v>
      </c>
      <c r="K10" s="51">
        <v>19.93</v>
      </c>
      <c r="L10" s="51">
        <v>24.04</v>
      </c>
      <c r="M10" s="51">
        <v>35.71</v>
      </c>
      <c r="N10" s="51">
        <v>57.7</v>
      </c>
      <c r="O10" s="51">
        <v>0</v>
      </c>
      <c r="P10" s="51">
        <v>2.44</v>
      </c>
      <c r="Q10" s="51">
        <v>10</v>
      </c>
      <c r="R10" s="43"/>
      <c r="S10" s="43"/>
      <c r="T10" s="43"/>
      <c r="U10" s="43"/>
    </row>
    <row r="11" spans="1:21" s="11" customFormat="1" x14ac:dyDescent="0.25">
      <c r="A11" s="50" t="s">
        <v>734</v>
      </c>
      <c r="B11" s="58" t="s">
        <v>8</v>
      </c>
      <c r="C11" s="58" t="s">
        <v>8</v>
      </c>
      <c r="D11" s="58" t="s">
        <v>8</v>
      </c>
      <c r="E11" s="51">
        <v>11.23</v>
      </c>
      <c r="F11" s="51">
        <v>14.55</v>
      </c>
      <c r="G11" s="51">
        <v>182.53</v>
      </c>
      <c r="H11" s="51">
        <v>56.35</v>
      </c>
      <c r="I11" s="51">
        <v>4.0999999999999996</v>
      </c>
      <c r="J11" s="51">
        <v>1.45</v>
      </c>
      <c r="K11" s="51">
        <v>359.53</v>
      </c>
      <c r="L11" s="51">
        <v>24.14</v>
      </c>
      <c r="M11" s="51">
        <v>35.29</v>
      </c>
      <c r="N11" s="51">
        <v>57.7</v>
      </c>
      <c r="O11" s="51">
        <v>0</v>
      </c>
      <c r="P11" s="51">
        <v>1.98</v>
      </c>
      <c r="Q11" s="51">
        <v>9.9600000000000009</v>
      </c>
      <c r="R11" s="43"/>
      <c r="S11" s="43"/>
      <c r="T11" s="43"/>
      <c r="U11" s="43"/>
    </row>
    <row r="12" spans="1:21" s="11" customFormat="1" x14ac:dyDescent="0.25">
      <c r="A12" s="50" t="s">
        <v>735</v>
      </c>
      <c r="B12" s="58" t="s">
        <v>8</v>
      </c>
      <c r="C12" s="58" t="s">
        <v>8</v>
      </c>
      <c r="D12" s="58" t="s">
        <v>8</v>
      </c>
      <c r="E12" s="51">
        <v>25.07</v>
      </c>
      <c r="F12" s="51">
        <v>22.37</v>
      </c>
      <c r="G12" s="51">
        <v>73.87</v>
      </c>
      <c r="H12" s="51">
        <v>45.95</v>
      </c>
      <c r="I12" s="51">
        <v>4.12</v>
      </c>
      <c r="J12" s="51">
        <v>1.38</v>
      </c>
      <c r="K12" s="51">
        <v>17.61</v>
      </c>
      <c r="L12" s="51">
        <v>23.09</v>
      </c>
      <c r="M12" s="51">
        <v>36.090000000000003</v>
      </c>
      <c r="N12" s="51">
        <v>58.1</v>
      </c>
      <c r="O12" s="51">
        <v>0</v>
      </c>
      <c r="P12" s="51">
        <v>1.3</v>
      </c>
      <c r="Q12" s="51">
        <v>9.8699999999999992</v>
      </c>
      <c r="R12" s="43"/>
      <c r="S12" s="43"/>
      <c r="T12" s="43"/>
      <c r="U12" s="43"/>
    </row>
    <row r="13" spans="1:21" s="11" customFormat="1" x14ac:dyDescent="0.25">
      <c r="A13" s="50" t="s">
        <v>736</v>
      </c>
      <c r="B13" s="58" t="s">
        <v>8</v>
      </c>
      <c r="C13" s="58" t="s">
        <v>8</v>
      </c>
      <c r="D13" s="58" t="s">
        <v>8</v>
      </c>
      <c r="E13" s="51">
        <v>31.76</v>
      </c>
      <c r="F13" s="51">
        <v>17.899999999999999</v>
      </c>
      <c r="G13" s="51">
        <v>78.86</v>
      </c>
      <c r="H13" s="51">
        <v>36.5</v>
      </c>
      <c r="I13" s="51">
        <v>4.1500000000000004</v>
      </c>
      <c r="J13" s="51">
        <v>1.71</v>
      </c>
      <c r="K13" s="51">
        <v>6.82</v>
      </c>
      <c r="L13" s="51">
        <v>23.02</v>
      </c>
      <c r="M13" s="51">
        <v>35.47</v>
      </c>
      <c r="N13" s="51">
        <v>57.4</v>
      </c>
      <c r="O13" s="51">
        <v>0</v>
      </c>
      <c r="P13" s="51">
        <v>1.1000000000000001</v>
      </c>
      <c r="Q13" s="51">
        <v>9.77</v>
      </c>
      <c r="R13" s="43"/>
      <c r="S13" s="43"/>
      <c r="T13" s="43"/>
      <c r="U13" s="43"/>
    </row>
    <row r="14" spans="1:21" s="11" customFormat="1" x14ac:dyDescent="0.25">
      <c r="A14" s="50" t="s">
        <v>737</v>
      </c>
      <c r="B14" s="58" t="s">
        <v>8</v>
      </c>
      <c r="C14" s="58" t="s">
        <v>8</v>
      </c>
      <c r="D14" s="58" t="s">
        <v>8</v>
      </c>
      <c r="E14" s="51">
        <v>25.23</v>
      </c>
      <c r="F14" s="51">
        <v>11.28</v>
      </c>
      <c r="G14" s="51">
        <v>96.54</v>
      </c>
      <c r="H14" s="51">
        <v>36.700000000000003</v>
      </c>
      <c r="I14" s="51">
        <v>4.12</v>
      </c>
      <c r="J14" s="51">
        <v>1.5</v>
      </c>
      <c r="K14" s="51">
        <v>8.57</v>
      </c>
      <c r="L14" s="51">
        <v>22.81</v>
      </c>
      <c r="M14" s="51">
        <v>36.76</v>
      </c>
      <c r="N14" s="51">
        <v>59.9</v>
      </c>
      <c r="O14" s="51">
        <v>0</v>
      </c>
      <c r="P14" s="51">
        <v>1.1499999999999999</v>
      </c>
      <c r="Q14" s="51">
        <v>9.6999999999999993</v>
      </c>
      <c r="R14" s="43"/>
      <c r="S14" s="43"/>
      <c r="T14" s="43"/>
      <c r="U14" s="43"/>
    </row>
    <row r="15" spans="1:21" s="11" customFormat="1" x14ac:dyDescent="0.25">
      <c r="A15" s="50" t="s">
        <v>738</v>
      </c>
      <c r="B15" s="58" t="s">
        <v>8</v>
      </c>
      <c r="C15" s="58" t="s">
        <v>8</v>
      </c>
      <c r="D15" s="58" t="s">
        <v>8</v>
      </c>
      <c r="E15" s="51">
        <v>16.100000000000001</v>
      </c>
      <c r="F15" s="51">
        <v>7.99</v>
      </c>
      <c r="G15" s="51">
        <v>124.55</v>
      </c>
      <c r="H15" s="51">
        <v>37.1</v>
      </c>
      <c r="I15" s="51">
        <v>4.16</v>
      </c>
      <c r="J15" s="51">
        <v>1.68</v>
      </c>
      <c r="K15" s="51">
        <v>6.56</v>
      </c>
      <c r="L15" s="51">
        <v>23.11</v>
      </c>
      <c r="M15" s="51">
        <v>38.729999999999997</v>
      </c>
      <c r="N15" s="51">
        <v>143.30000000000001</v>
      </c>
      <c r="O15" s="51">
        <v>0</v>
      </c>
      <c r="P15" s="51">
        <v>1.1000000000000001</v>
      </c>
      <c r="Q15" s="51">
        <v>9.64</v>
      </c>
      <c r="R15" s="43"/>
      <c r="S15" s="43"/>
      <c r="T15" s="43"/>
      <c r="U15" s="43"/>
    </row>
    <row r="16" spans="1:21" s="11" customFormat="1" x14ac:dyDescent="0.25">
      <c r="A16" s="50" t="s">
        <v>739</v>
      </c>
      <c r="B16" s="58" t="s">
        <v>8</v>
      </c>
      <c r="C16" s="58" t="s">
        <v>8</v>
      </c>
      <c r="D16" s="58" t="s">
        <v>8</v>
      </c>
      <c r="E16" s="51">
        <v>16.72</v>
      </c>
      <c r="F16" s="51">
        <v>14.07</v>
      </c>
      <c r="G16" s="51">
        <v>140.93</v>
      </c>
      <c r="H16" s="51">
        <v>38.270000000000003</v>
      </c>
      <c r="I16" s="51">
        <v>4.07</v>
      </c>
      <c r="J16" s="51">
        <v>1.47</v>
      </c>
      <c r="K16" s="51">
        <v>31.18</v>
      </c>
      <c r="L16" s="51">
        <v>26.42</v>
      </c>
      <c r="M16" s="51">
        <v>34.31</v>
      </c>
      <c r="N16" s="51">
        <v>298.10000000000002</v>
      </c>
      <c r="O16" s="51">
        <v>0</v>
      </c>
      <c r="P16" s="51">
        <v>1.35</v>
      </c>
      <c r="Q16" s="51">
        <v>9.6300000000000008</v>
      </c>
      <c r="R16" s="43"/>
      <c r="S16" s="43"/>
      <c r="T16" s="43"/>
      <c r="U16" s="43"/>
    </row>
    <row r="17" spans="1:21" s="11" customFormat="1" x14ac:dyDescent="0.25">
      <c r="A17" s="50" t="s">
        <v>740</v>
      </c>
      <c r="B17" s="58" t="s">
        <v>8</v>
      </c>
      <c r="C17" s="58" t="s">
        <v>8</v>
      </c>
      <c r="D17" s="58" t="s">
        <v>8</v>
      </c>
      <c r="E17" s="51">
        <v>24.6</v>
      </c>
      <c r="F17" s="51">
        <v>18.53</v>
      </c>
      <c r="G17" s="51">
        <v>131.76</v>
      </c>
      <c r="H17" s="51">
        <v>35.659999999999997</v>
      </c>
      <c r="I17" s="51">
        <v>4.09</v>
      </c>
      <c r="J17" s="51">
        <v>1.65</v>
      </c>
      <c r="K17" s="51">
        <v>8.9499999999999993</v>
      </c>
      <c r="L17" s="51">
        <v>30.04</v>
      </c>
      <c r="M17" s="51">
        <v>25.09</v>
      </c>
      <c r="N17" s="51">
        <v>469.8</v>
      </c>
      <c r="O17" s="51">
        <v>0</v>
      </c>
      <c r="P17" s="51">
        <v>1.1200000000000001</v>
      </c>
      <c r="Q17" s="51">
        <v>9.65</v>
      </c>
      <c r="R17" s="43"/>
      <c r="S17" s="43"/>
      <c r="T17" s="43"/>
      <c r="U17" s="43"/>
    </row>
    <row r="18" spans="1:21" s="11" customFormat="1" x14ac:dyDescent="0.25">
      <c r="A18" s="50" t="s">
        <v>741</v>
      </c>
      <c r="B18" s="58" t="s">
        <v>8</v>
      </c>
      <c r="C18" s="58" t="s">
        <v>8</v>
      </c>
      <c r="D18" s="58" t="s">
        <v>8</v>
      </c>
      <c r="E18" s="51">
        <v>13.73</v>
      </c>
      <c r="F18" s="51">
        <v>17.940000000000001</v>
      </c>
      <c r="G18" s="51">
        <v>97.42</v>
      </c>
      <c r="H18" s="51">
        <v>35.340000000000003</v>
      </c>
      <c r="I18" s="51">
        <v>4.1500000000000004</v>
      </c>
      <c r="J18" s="51">
        <v>1.54</v>
      </c>
      <c r="K18" s="51">
        <v>13.69</v>
      </c>
      <c r="L18" s="51">
        <v>31.8</v>
      </c>
      <c r="M18" s="51">
        <v>20.23</v>
      </c>
      <c r="N18" s="51">
        <v>627.9</v>
      </c>
      <c r="O18" s="51">
        <v>0</v>
      </c>
      <c r="P18" s="51">
        <v>0.91</v>
      </c>
      <c r="Q18" s="51">
        <v>9.59</v>
      </c>
      <c r="R18" s="43"/>
      <c r="S18" s="43"/>
      <c r="T18" s="43"/>
      <c r="U18" s="43"/>
    </row>
    <row r="19" spans="1:21" s="11" customFormat="1" x14ac:dyDescent="0.25">
      <c r="A19" s="50" t="s">
        <v>742</v>
      </c>
      <c r="B19" s="58" t="s">
        <v>8</v>
      </c>
      <c r="C19" s="58" t="s">
        <v>8</v>
      </c>
      <c r="D19" s="58" t="s">
        <v>8</v>
      </c>
      <c r="E19" s="51">
        <v>16.010000000000002</v>
      </c>
      <c r="F19" s="51">
        <v>14.46</v>
      </c>
      <c r="G19" s="51">
        <v>89.13</v>
      </c>
      <c r="H19" s="51">
        <v>23.4</v>
      </c>
      <c r="I19" s="51">
        <v>4.0999999999999996</v>
      </c>
      <c r="J19" s="51">
        <v>1.62</v>
      </c>
      <c r="K19" s="51">
        <v>358.54</v>
      </c>
      <c r="L19" s="51">
        <v>33.75</v>
      </c>
      <c r="M19" s="51">
        <v>18.96</v>
      </c>
      <c r="N19" s="51">
        <v>694.9</v>
      </c>
      <c r="O19" s="51">
        <v>0</v>
      </c>
      <c r="P19" s="51">
        <v>0.83</v>
      </c>
      <c r="Q19" s="51">
        <v>9.56</v>
      </c>
      <c r="R19" s="43"/>
      <c r="S19" s="43"/>
      <c r="T19" s="43"/>
      <c r="U19" s="43"/>
    </row>
    <row r="20" spans="1:21" s="11" customFormat="1" x14ac:dyDescent="0.25">
      <c r="A20" s="50" t="s">
        <v>743</v>
      </c>
      <c r="B20" s="58" t="s">
        <v>8</v>
      </c>
      <c r="C20" s="58" t="s">
        <v>8</v>
      </c>
      <c r="D20" s="58" t="s">
        <v>8</v>
      </c>
      <c r="E20" s="51">
        <v>16.86</v>
      </c>
      <c r="F20" s="51">
        <v>15.76</v>
      </c>
      <c r="G20" s="51">
        <v>84.74</v>
      </c>
      <c r="H20" s="51">
        <v>24.5</v>
      </c>
      <c r="I20" s="51">
        <v>4.09</v>
      </c>
      <c r="J20" s="51">
        <v>1.84</v>
      </c>
      <c r="K20" s="51">
        <v>99.41</v>
      </c>
      <c r="L20" s="51">
        <v>33.090000000000003</v>
      </c>
      <c r="M20" s="51">
        <v>19.239999999999998</v>
      </c>
      <c r="N20" s="51">
        <v>756.8</v>
      </c>
      <c r="O20" s="51">
        <v>0</v>
      </c>
      <c r="P20" s="51">
        <v>0.68</v>
      </c>
      <c r="Q20" s="51">
        <v>9.51</v>
      </c>
      <c r="R20" s="43"/>
      <c r="S20" s="43"/>
      <c r="T20" s="43"/>
      <c r="U20" s="43"/>
    </row>
    <row r="21" spans="1:21" s="11" customFormat="1" x14ac:dyDescent="0.25">
      <c r="A21" s="50" t="s">
        <v>744</v>
      </c>
      <c r="B21" s="58" t="s">
        <v>8</v>
      </c>
      <c r="C21" s="58" t="s">
        <v>8</v>
      </c>
      <c r="D21" s="58" t="s">
        <v>8</v>
      </c>
      <c r="E21" s="51">
        <v>29.5</v>
      </c>
      <c r="F21" s="51">
        <v>23.27</v>
      </c>
      <c r="G21" s="51">
        <v>68.03</v>
      </c>
      <c r="H21" s="51">
        <v>23.18</v>
      </c>
      <c r="I21" s="51">
        <v>4.1399999999999997</v>
      </c>
      <c r="J21" s="51">
        <v>1.6</v>
      </c>
      <c r="K21" s="51">
        <v>354.1</v>
      </c>
      <c r="L21" s="51">
        <v>36.020000000000003</v>
      </c>
      <c r="M21" s="51">
        <v>16.87</v>
      </c>
      <c r="N21" s="51">
        <v>783.3</v>
      </c>
      <c r="O21" s="51">
        <v>0</v>
      </c>
      <c r="P21" s="51">
        <v>0.59</v>
      </c>
      <c r="Q21" s="51">
        <v>9.4700000000000006</v>
      </c>
      <c r="R21" s="43"/>
      <c r="S21" s="43"/>
      <c r="T21" s="43"/>
      <c r="U21" s="43"/>
    </row>
    <row r="22" spans="1:21" s="11" customFormat="1" x14ac:dyDescent="0.25">
      <c r="A22" s="50" t="s">
        <v>745</v>
      </c>
      <c r="B22" s="58" t="s">
        <v>8</v>
      </c>
      <c r="C22" s="58" t="s">
        <v>8</v>
      </c>
      <c r="D22" s="58" t="s">
        <v>8</v>
      </c>
      <c r="E22" s="51">
        <v>17.97</v>
      </c>
      <c r="F22" s="51">
        <v>34.07</v>
      </c>
      <c r="G22" s="51">
        <v>78.63</v>
      </c>
      <c r="H22" s="51">
        <v>14.83</v>
      </c>
      <c r="I22" s="51">
        <v>4.03</v>
      </c>
      <c r="J22" s="51">
        <v>1.72</v>
      </c>
      <c r="K22" s="51">
        <v>345.06</v>
      </c>
      <c r="L22" s="51">
        <v>36.67</v>
      </c>
      <c r="M22" s="51">
        <v>17.78</v>
      </c>
      <c r="N22" s="51">
        <v>771.9</v>
      </c>
      <c r="O22" s="51">
        <v>0</v>
      </c>
      <c r="P22" s="51">
        <v>0.6</v>
      </c>
      <c r="Q22" s="51">
        <v>9.48</v>
      </c>
      <c r="R22" s="43"/>
      <c r="S22" s="43"/>
      <c r="T22" s="43"/>
      <c r="U22" s="43"/>
    </row>
    <row r="23" spans="1:21" s="11" customFormat="1" x14ac:dyDescent="0.25">
      <c r="A23" s="50" t="s">
        <v>746</v>
      </c>
      <c r="B23" s="58" t="s">
        <v>8</v>
      </c>
      <c r="C23" s="58" t="s">
        <v>8</v>
      </c>
      <c r="D23" s="58" t="s">
        <v>8</v>
      </c>
      <c r="E23" s="51">
        <v>17.3</v>
      </c>
      <c r="F23" s="51">
        <v>40.159999999999997</v>
      </c>
      <c r="G23" s="51">
        <v>74.13</v>
      </c>
      <c r="H23" s="51">
        <v>12.14</v>
      </c>
      <c r="I23" s="51">
        <v>4.0599999999999996</v>
      </c>
      <c r="J23" s="51">
        <v>1.57</v>
      </c>
      <c r="K23" s="51">
        <v>172.41</v>
      </c>
      <c r="L23" s="51">
        <v>35.049999999999997</v>
      </c>
      <c r="M23" s="51">
        <v>18.07</v>
      </c>
      <c r="N23" s="51">
        <v>475.1</v>
      </c>
      <c r="O23" s="51">
        <v>0</v>
      </c>
      <c r="P23" s="51">
        <v>0.55000000000000004</v>
      </c>
      <c r="Q23" s="51">
        <v>9.41</v>
      </c>
      <c r="R23" s="43"/>
      <c r="S23" s="43"/>
      <c r="T23" s="43"/>
      <c r="U23" s="43"/>
    </row>
    <row r="24" spans="1:21" s="11" customFormat="1" x14ac:dyDescent="0.25">
      <c r="A24" s="50" t="s">
        <v>747</v>
      </c>
      <c r="B24" s="58" t="s">
        <v>8</v>
      </c>
      <c r="C24" s="58" t="s">
        <v>8</v>
      </c>
      <c r="D24" s="58" t="s">
        <v>8</v>
      </c>
      <c r="E24" s="51">
        <v>23.41</v>
      </c>
      <c r="F24" s="51">
        <v>49.41</v>
      </c>
      <c r="G24" s="51">
        <v>66.38</v>
      </c>
      <c r="H24" s="51">
        <v>20.73</v>
      </c>
      <c r="I24" s="51">
        <v>4.13</v>
      </c>
      <c r="J24" s="51">
        <v>0.97</v>
      </c>
      <c r="K24" s="51">
        <v>351.22</v>
      </c>
      <c r="L24" s="51">
        <v>34.32</v>
      </c>
      <c r="M24" s="51">
        <v>17.850000000000001</v>
      </c>
      <c r="N24" s="51">
        <v>332.8</v>
      </c>
      <c r="O24" s="51">
        <v>0</v>
      </c>
      <c r="P24" s="51">
        <v>0.59</v>
      </c>
      <c r="Q24" s="51">
        <v>9.3000000000000007</v>
      </c>
      <c r="R24" s="43"/>
      <c r="S24" s="43"/>
      <c r="T24" s="43"/>
      <c r="U24" s="43"/>
    </row>
    <row r="25" spans="1:21" s="11" customFormat="1" x14ac:dyDescent="0.25">
      <c r="A25" s="50" t="s">
        <v>748</v>
      </c>
      <c r="B25" s="58" t="s">
        <v>8</v>
      </c>
      <c r="C25" s="58" t="s">
        <v>8</v>
      </c>
      <c r="D25" s="58" t="s">
        <v>8</v>
      </c>
      <c r="E25" s="51">
        <v>52.4</v>
      </c>
      <c r="F25" s="51">
        <v>47.71</v>
      </c>
      <c r="G25" s="51">
        <v>72.91</v>
      </c>
      <c r="H25" s="51">
        <v>22.33</v>
      </c>
      <c r="I25" s="51">
        <v>3.95</v>
      </c>
      <c r="J25" s="51">
        <v>1.03</v>
      </c>
      <c r="K25" s="51">
        <v>358.28</v>
      </c>
      <c r="L25" s="51">
        <v>34.31</v>
      </c>
      <c r="M25" s="51">
        <v>18.170000000000002</v>
      </c>
      <c r="N25" s="51">
        <v>164.4</v>
      </c>
      <c r="O25" s="51">
        <v>0</v>
      </c>
      <c r="P25" s="51">
        <v>0.95</v>
      </c>
      <c r="Q25" s="51">
        <v>9.23</v>
      </c>
      <c r="R25" s="43"/>
      <c r="S25" s="43"/>
      <c r="T25" s="43"/>
      <c r="U25" s="43"/>
    </row>
    <row r="26" spans="1:21" s="11" customFormat="1" x14ac:dyDescent="0.25">
      <c r="A26" s="50" t="s">
        <v>749</v>
      </c>
      <c r="B26" s="58" t="s">
        <v>8</v>
      </c>
      <c r="C26" s="58" t="s">
        <v>8</v>
      </c>
      <c r="D26" s="58" t="s">
        <v>8</v>
      </c>
      <c r="E26" s="51">
        <v>57.89</v>
      </c>
      <c r="F26" s="51">
        <v>36.06</v>
      </c>
      <c r="G26" s="51">
        <v>77.91</v>
      </c>
      <c r="H26" s="51">
        <v>23.71</v>
      </c>
      <c r="I26" s="51">
        <v>4.12</v>
      </c>
      <c r="J26" s="51">
        <v>0.94</v>
      </c>
      <c r="K26" s="51">
        <v>346.83</v>
      </c>
      <c r="L26" s="51">
        <v>32.520000000000003</v>
      </c>
      <c r="M26" s="51">
        <v>23.45</v>
      </c>
      <c r="N26" s="51">
        <v>105.9</v>
      </c>
      <c r="O26" s="51">
        <v>0</v>
      </c>
      <c r="P26" s="51">
        <v>1.21</v>
      </c>
      <c r="Q26" s="51">
        <v>9.32</v>
      </c>
      <c r="R26" s="43"/>
      <c r="S26" s="43"/>
      <c r="T26" s="43"/>
      <c r="U26" s="43"/>
    </row>
    <row r="27" spans="1:21" s="11" customFormat="1" x14ac:dyDescent="0.25">
      <c r="A27" s="50" t="s">
        <v>750</v>
      </c>
      <c r="B27" s="58" t="s">
        <v>8</v>
      </c>
      <c r="C27" s="58" t="s">
        <v>8</v>
      </c>
      <c r="D27" s="58" t="s">
        <v>8</v>
      </c>
      <c r="E27" s="51">
        <v>27.55</v>
      </c>
      <c r="F27" s="51">
        <v>9.76</v>
      </c>
      <c r="G27" s="51">
        <v>115.44</v>
      </c>
      <c r="H27" s="51">
        <v>25.78</v>
      </c>
      <c r="I27" s="51">
        <v>4.09</v>
      </c>
      <c r="J27" s="51">
        <v>0.71</v>
      </c>
      <c r="K27" s="51">
        <v>357.43</v>
      </c>
      <c r="L27" s="51">
        <v>29.78</v>
      </c>
      <c r="M27" s="51">
        <v>35.96</v>
      </c>
      <c r="N27" s="51">
        <v>60.4</v>
      </c>
      <c r="O27" s="51">
        <v>0</v>
      </c>
      <c r="P27" s="51">
        <v>3.5</v>
      </c>
      <c r="Q27" s="51">
        <v>9.49</v>
      </c>
      <c r="R27" s="43"/>
      <c r="S27" s="43"/>
      <c r="T27" s="43"/>
      <c r="U27" s="43"/>
    </row>
    <row r="28" spans="1:21" s="11" customFormat="1" x14ac:dyDescent="0.25">
      <c r="A28" s="50" t="s">
        <v>751</v>
      </c>
      <c r="B28" s="58" t="s">
        <v>8</v>
      </c>
      <c r="C28" s="58" t="s">
        <v>8</v>
      </c>
      <c r="D28" s="58" t="s">
        <v>8</v>
      </c>
      <c r="E28" s="51">
        <v>24.58</v>
      </c>
      <c r="F28" s="51">
        <v>9.91</v>
      </c>
      <c r="G28" s="51">
        <v>192.14</v>
      </c>
      <c r="H28" s="51">
        <v>28.39</v>
      </c>
      <c r="I28" s="51">
        <v>3.94</v>
      </c>
      <c r="J28" s="51">
        <v>0.39</v>
      </c>
      <c r="K28" s="51">
        <v>353.9</v>
      </c>
      <c r="L28" s="51">
        <v>26.79</v>
      </c>
      <c r="M28" s="51">
        <v>37.159999999999997</v>
      </c>
      <c r="N28" s="51">
        <v>56.7</v>
      </c>
      <c r="O28" s="51">
        <v>0</v>
      </c>
      <c r="P28" s="51">
        <v>3.69</v>
      </c>
      <c r="Q28" s="51">
        <v>9.52</v>
      </c>
      <c r="R28" s="43"/>
      <c r="S28" s="43"/>
      <c r="T28" s="43"/>
      <c r="U28" s="43"/>
    </row>
    <row r="29" spans="1:21" s="11" customFormat="1" x14ac:dyDescent="0.25">
      <c r="A29" s="50" t="s">
        <v>752</v>
      </c>
      <c r="B29" s="58" t="s">
        <v>8</v>
      </c>
      <c r="C29" s="58" t="s">
        <v>8</v>
      </c>
      <c r="D29" s="58" t="s">
        <v>8</v>
      </c>
      <c r="E29" s="51">
        <v>20.73</v>
      </c>
      <c r="F29" s="51">
        <v>8.64</v>
      </c>
      <c r="G29" s="51">
        <v>209.28</v>
      </c>
      <c r="H29" s="51">
        <v>23.46</v>
      </c>
      <c r="I29" s="51">
        <v>4.12</v>
      </c>
      <c r="J29" s="51">
        <v>0.47</v>
      </c>
      <c r="K29" s="51">
        <v>316.57</v>
      </c>
      <c r="L29" s="51">
        <v>25.72</v>
      </c>
      <c r="M29" s="51">
        <v>47.61</v>
      </c>
      <c r="N29" s="51">
        <v>56.7</v>
      </c>
      <c r="O29" s="51">
        <v>0</v>
      </c>
      <c r="P29" s="51">
        <v>4.8099999999999996</v>
      </c>
      <c r="Q29" s="51">
        <v>9.73</v>
      </c>
      <c r="R29" s="43"/>
      <c r="S29" s="43"/>
      <c r="T29" s="43"/>
      <c r="U29" s="43"/>
    </row>
    <row r="30" spans="1:21" s="11" customFormat="1" x14ac:dyDescent="0.25">
      <c r="A30" s="50" t="s">
        <v>753</v>
      </c>
      <c r="B30" s="58" t="s">
        <v>8</v>
      </c>
      <c r="C30" s="58" t="s">
        <v>8</v>
      </c>
      <c r="D30" s="58" t="s">
        <v>8</v>
      </c>
      <c r="E30" s="51">
        <v>23.33</v>
      </c>
      <c r="F30" s="51">
        <v>13.51</v>
      </c>
      <c r="G30" s="51">
        <v>207.68</v>
      </c>
      <c r="H30" s="51">
        <v>40.68</v>
      </c>
      <c r="I30" s="51">
        <v>4.01</v>
      </c>
      <c r="J30" s="51">
        <v>1.71</v>
      </c>
      <c r="K30" s="51">
        <v>344.52</v>
      </c>
      <c r="L30" s="51">
        <v>25.67</v>
      </c>
      <c r="M30" s="51">
        <v>44.35</v>
      </c>
      <c r="N30" s="51">
        <v>56.4</v>
      </c>
      <c r="O30" s="51">
        <v>0</v>
      </c>
      <c r="P30" s="51">
        <v>5.51</v>
      </c>
      <c r="Q30" s="51">
        <v>9.93</v>
      </c>
      <c r="R30" s="43"/>
      <c r="S30" s="43"/>
      <c r="T30" s="43"/>
      <c r="U30" s="43"/>
    </row>
    <row r="31" spans="1:21" s="11" customFormat="1" x14ac:dyDescent="0.25">
      <c r="A31" s="50" t="s">
        <v>754</v>
      </c>
      <c r="B31" s="58" t="s">
        <v>8</v>
      </c>
      <c r="C31" s="58" t="s">
        <v>8</v>
      </c>
      <c r="D31" s="58" t="s">
        <v>8</v>
      </c>
      <c r="E31" s="51">
        <v>46.05</v>
      </c>
      <c r="F31" s="51">
        <v>15.87</v>
      </c>
      <c r="G31" s="51">
        <v>188.28</v>
      </c>
      <c r="H31" s="51">
        <v>39.549999999999997</v>
      </c>
      <c r="I31" s="51">
        <v>4.1500000000000004</v>
      </c>
      <c r="J31" s="51">
        <v>1.51</v>
      </c>
      <c r="K31" s="51">
        <v>9.18</v>
      </c>
      <c r="L31" s="51">
        <v>25.98</v>
      </c>
      <c r="M31" s="51">
        <v>28.72</v>
      </c>
      <c r="N31" s="51">
        <v>56.2</v>
      </c>
      <c r="O31" s="51">
        <v>0</v>
      </c>
      <c r="P31" s="51">
        <v>2.02</v>
      </c>
      <c r="Q31" s="51">
        <v>9.98</v>
      </c>
      <c r="R31" s="43"/>
      <c r="S31" s="43"/>
      <c r="T31" s="43"/>
      <c r="U31" s="43"/>
    </row>
    <row r="32" spans="1:21" s="11" customFormat="1" x14ac:dyDescent="0.25">
      <c r="A32" s="50" t="s">
        <v>755</v>
      </c>
      <c r="B32" s="58" t="s">
        <v>8</v>
      </c>
      <c r="C32" s="58" t="s">
        <v>8</v>
      </c>
      <c r="D32" s="58" t="s">
        <v>8</v>
      </c>
      <c r="E32" s="51">
        <v>22.61</v>
      </c>
      <c r="F32" s="51">
        <v>15.95</v>
      </c>
      <c r="G32" s="51">
        <v>100.51</v>
      </c>
      <c r="H32" s="51">
        <v>90.4</v>
      </c>
      <c r="I32" s="51">
        <v>4.0199999999999996</v>
      </c>
      <c r="J32" s="51">
        <v>1.66</v>
      </c>
      <c r="K32" s="51">
        <v>15.86</v>
      </c>
      <c r="L32" s="51">
        <v>25.4</v>
      </c>
      <c r="M32" s="51">
        <v>25.32</v>
      </c>
      <c r="N32" s="51">
        <v>56.2</v>
      </c>
      <c r="O32" s="51">
        <v>0</v>
      </c>
      <c r="P32" s="51">
        <v>2.0299999999999998</v>
      </c>
      <c r="Q32" s="51">
        <v>9.92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11.23</v>
      </c>
      <c r="F34" s="28">
        <f t="shared" si="0"/>
        <v>7.99</v>
      </c>
      <c r="G34" s="28">
        <f t="shared" si="0"/>
        <v>66.38</v>
      </c>
      <c r="H34" s="28">
        <f t="shared" si="0"/>
        <v>12.14</v>
      </c>
      <c r="I34" s="28">
        <f t="shared" si="0"/>
        <v>3.94</v>
      </c>
      <c r="J34" s="28">
        <f t="shared" si="0"/>
        <v>0.39</v>
      </c>
      <c r="K34" s="28">
        <f t="shared" si="0"/>
        <v>6.56</v>
      </c>
      <c r="L34" s="28">
        <f t="shared" si="0"/>
        <v>22.81</v>
      </c>
      <c r="M34" s="28">
        <f t="shared" si="0"/>
        <v>16.87</v>
      </c>
      <c r="N34" s="28">
        <f t="shared" si="0"/>
        <v>56.2</v>
      </c>
      <c r="O34" s="28">
        <f t="shared" si="0"/>
        <v>0</v>
      </c>
      <c r="P34" s="28">
        <f t="shared" si="0"/>
        <v>0.55000000000000004</v>
      </c>
      <c r="Q34" s="28">
        <f t="shared" si="0"/>
        <v>9.23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57.89</v>
      </c>
      <c r="F35" s="29">
        <f t="shared" si="1"/>
        <v>49.41</v>
      </c>
      <c r="G35" s="29">
        <f t="shared" si="1"/>
        <v>209.28</v>
      </c>
      <c r="H35" s="29">
        <f t="shared" si="1"/>
        <v>90.4</v>
      </c>
      <c r="I35" s="29">
        <f t="shared" si="1"/>
        <v>4.21</v>
      </c>
      <c r="J35" s="29">
        <f t="shared" si="1"/>
        <v>1.84</v>
      </c>
      <c r="K35" s="29">
        <f t="shared" si="1"/>
        <v>359.53</v>
      </c>
      <c r="L35" s="29">
        <f t="shared" si="1"/>
        <v>36.67</v>
      </c>
      <c r="M35" s="29">
        <f t="shared" si="1"/>
        <v>47.61</v>
      </c>
      <c r="N35" s="29">
        <f t="shared" si="1"/>
        <v>783.3</v>
      </c>
      <c r="O35" s="29">
        <f t="shared" si="1"/>
        <v>0</v>
      </c>
      <c r="P35" s="29">
        <f t="shared" si="1"/>
        <v>5.51</v>
      </c>
      <c r="Q35" s="29">
        <f t="shared" si="1"/>
        <v>10.07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25.666666666666668</v>
      </c>
      <c r="F36" s="28">
        <f t="shared" si="2"/>
        <v>20.24208333333333</v>
      </c>
      <c r="G36" s="28">
        <f t="shared" si="2"/>
        <v>120.22625000000004</v>
      </c>
      <c r="H36" s="28">
        <f t="shared" si="2"/>
        <v>35.294999999999995</v>
      </c>
      <c r="I36" s="28">
        <f t="shared" si="2"/>
        <v>4.0925000000000011</v>
      </c>
      <c r="J36" s="28">
        <f t="shared" si="2"/>
        <v>1.3187500000000003</v>
      </c>
      <c r="K36" s="28">
        <f t="shared" si="2"/>
        <v>191.04291666666666</v>
      </c>
      <c r="L36" s="28">
        <f t="shared" si="2"/>
        <v>28.628749999999997</v>
      </c>
      <c r="M36" s="28">
        <f t="shared" si="2"/>
        <v>29.432916666666671</v>
      </c>
      <c r="N36" s="28">
        <f t="shared" si="2"/>
        <v>263.13749999999993</v>
      </c>
      <c r="O36" s="28">
        <f t="shared" si="2"/>
        <v>0</v>
      </c>
      <c r="P36" s="28">
        <f t="shared" si="2"/>
        <v>1.7937500000000002</v>
      </c>
      <c r="Q36" s="28">
        <f t="shared" si="2"/>
        <v>9.6554166666666656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11.653027099415425</v>
      </c>
      <c r="F37" s="28">
        <f t="shared" si="3"/>
        <v>12.097162793189471</v>
      </c>
      <c r="G37" s="28">
        <f t="shared" si="3"/>
        <v>49.064638449657856</v>
      </c>
      <c r="H37" s="28">
        <f t="shared" si="3"/>
        <v>17.062573841216242</v>
      </c>
      <c r="I37" s="28">
        <f t="shared" si="3"/>
        <v>6.4689895723332697E-2</v>
      </c>
      <c r="J37" s="28">
        <f t="shared" si="3"/>
        <v>0.44743046581466678</v>
      </c>
      <c r="K37" s="28">
        <f t="shared" si="3"/>
        <v>164.24623737280311</v>
      </c>
      <c r="L37" s="28">
        <f t="shared" si="3"/>
        <v>4.8283675452655936</v>
      </c>
      <c r="M37" s="28">
        <f t="shared" si="3"/>
        <v>9.6077701702802702</v>
      </c>
      <c r="N37" s="28">
        <f t="shared" si="3"/>
        <v>275.21829251088803</v>
      </c>
      <c r="O37" s="28">
        <f t="shared" si="3"/>
        <v>0</v>
      </c>
      <c r="P37" s="28">
        <f t="shared" si="3"/>
        <v>1.3779689291000785</v>
      </c>
      <c r="Q37" s="28">
        <f t="shared" si="3"/>
        <v>0.2402169158628647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COUNT(B9:B32)+24</f>
        <v>24</v>
      </c>
      <c r="C38" s="32">
        <f t="shared" ref="C38:D38" si="4">COUNT(C9:C32)+24</f>
        <v>24</v>
      </c>
      <c r="D38" s="32">
        <f t="shared" si="4"/>
        <v>24</v>
      </c>
      <c r="E38" s="32">
        <f t="shared" ref="E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B38" sqref="B38:D3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756</v>
      </c>
      <c r="B9" s="58" t="s">
        <v>8</v>
      </c>
      <c r="C9" s="58" t="s">
        <v>8</v>
      </c>
      <c r="D9" s="58" t="s">
        <v>8</v>
      </c>
      <c r="E9" s="51">
        <v>33.93</v>
      </c>
      <c r="F9" s="51">
        <v>13.24</v>
      </c>
      <c r="G9" s="51">
        <v>69.7</v>
      </c>
      <c r="H9" s="51">
        <v>0.83</v>
      </c>
      <c r="I9" s="51">
        <v>4.13</v>
      </c>
      <c r="J9" s="51">
        <v>1.53</v>
      </c>
      <c r="K9" s="51">
        <v>11.32</v>
      </c>
      <c r="L9" s="51">
        <v>24.9</v>
      </c>
      <c r="M9" s="51">
        <v>23.83</v>
      </c>
      <c r="N9" s="51">
        <v>56.7</v>
      </c>
      <c r="O9" s="51">
        <v>0</v>
      </c>
      <c r="P9" s="51">
        <v>1.84</v>
      </c>
      <c r="Q9" s="51">
        <v>9.8699999999999992</v>
      </c>
      <c r="R9" s="43"/>
      <c r="S9" s="43"/>
      <c r="T9" s="43"/>
      <c r="U9" s="43"/>
    </row>
    <row r="10" spans="1:21" s="11" customFormat="1" x14ac:dyDescent="0.25">
      <c r="A10" s="50" t="s">
        <v>757</v>
      </c>
      <c r="B10" s="58" t="s">
        <v>8</v>
      </c>
      <c r="C10" s="58" t="s">
        <v>8</v>
      </c>
      <c r="D10" s="58" t="s">
        <v>8</v>
      </c>
      <c r="E10" s="51">
        <v>56.18</v>
      </c>
      <c r="F10" s="51">
        <v>17.86</v>
      </c>
      <c r="G10" s="51">
        <v>103.72</v>
      </c>
      <c r="H10" s="51">
        <v>9.19</v>
      </c>
      <c r="I10" s="51">
        <v>4.1500000000000004</v>
      </c>
      <c r="J10" s="51">
        <v>1.25</v>
      </c>
      <c r="K10" s="51">
        <v>12.17</v>
      </c>
      <c r="L10" s="51">
        <v>23.88</v>
      </c>
      <c r="M10" s="51">
        <v>27.08</v>
      </c>
      <c r="N10" s="51">
        <v>56.8</v>
      </c>
      <c r="O10" s="51">
        <v>0</v>
      </c>
      <c r="P10" s="51">
        <v>1.49</v>
      </c>
      <c r="Q10" s="51">
        <v>9.76</v>
      </c>
      <c r="R10" s="43"/>
      <c r="S10" s="43"/>
      <c r="T10" s="43"/>
      <c r="U10" s="43"/>
    </row>
    <row r="11" spans="1:21" s="11" customFormat="1" x14ac:dyDescent="0.25">
      <c r="A11" s="50" t="s">
        <v>758</v>
      </c>
      <c r="B11" s="58" t="s">
        <v>8</v>
      </c>
      <c r="C11" s="58" t="s">
        <v>8</v>
      </c>
      <c r="D11" s="58" t="s">
        <v>8</v>
      </c>
      <c r="E11" s="51">
        <v>27.25</v>
      </c>
      <c r="F11" s="51">
        <v>21.51</v>
      </c>
      <c r="G11" s="51">
        <v>135.24</v>
      </c>
      <c r="H11" s="51">
        <v>39.31</v>
      </c>
      <c r="I11" s="51">
        <v>4.09</v>
      </c>
      <c r="J11" s="51">
        <v>0.94</v>
      </c>
      <c r="K11" s="51">
        <v>359.66</v>
      </c>
      <c r="L11" s="51">
        <v>22.76</v>
      </c>
      <c r="M11" s="51">
        <v>26.86</v>
      </c>
      <c r="N11" s="51">
        <v>56.5</v>
      </c>
      <c r="O11" s="51">
        <v>0</v>
      </c>
      <c r="P11" s="51">
        <v>1.07</v>
      </c>
      <c r="Q11" s="51">
        <v>9.7100000000000009</v>
      </c>
      <c r="R11" s="43"/>
      <c r="S11" s="43"/>
      <c r="T11" s="43"/>
      <c r="U11" s="43"/>
    </row>
    <row r="12" spans="1:21" s="11" customFormat="1" x14ac:dyDescent="0.25">
      <c r="A12" s="50" t="s">
        <v>759</v>
      </c>
      <c r="B12" s="58" t="s">
        <v>8</v>
      </c>
      <c r="C12" s="58" t="s">
        <v>8</v>
      </c>
      <c r="D12" s="58" t="s">
        <v>8</v>
      </c>
      <c r="E12" s="51">
        <v>19.93</v>
      </c>
      <c r="F12" s="51">
        <v>19.14</v>
      </c>
      <c r="G12" s="51">
        <v>119.45</v>
      </c>
      <c r="H12" s="51">
        <v>8.8800000000000008</v>
      </c>
      <c r="I12" s="51">
        <v>4.2</v>
      </c>
      <c r="J12" s="51">
        <v>0.52</v>
      </c>
      <c r="K12" s="51">
        <v>320.49</v>
      </c>
      <c r="L12" s="51">
        <v>21.93</v>
      </c>
      <c r="M12" s="51">
        <v>36.89</v>
      </c>
      <c r="N12" s="51">
        <v>57.1</v>
      </c>
      <c r="O12" s="51">
        <v>0</v>
      </c>
      <c r="P12" s="51">
        <v>1.29</v>
      </c>
      <c r="Q12" s="51">
        <v>9.64</v>
      </c>
      <c r="R12" s="43"/>
      <c r="S12" s="43"/>
      <c r="T12" s="43"/>
      <c r="U12" s="43"/>
    </row>
    <row r="13" spans="1:21" s="11" customFormat="1" x14ac:dyDescent="0.25">
      <c r="A13" s="50" t="s">
        <v>760</v>
      </c>
      <c r="B13" s="58" t="s">
        <v>8</v>
      </c>
      <c r="C13" s="58" t="s">
        <v>8</v>
      </c>
      <c r="D13" s="58" t="s">
        <v>8</v>
      </c>
      <c r="E13" s="51">
        <v>17.16</v>
      </c>
      <c r="F13" s="51">
        <v>8.7200000000000006</v>
      </c>
      <c r="G13" s="51">
        <v>136.62</v>
      </c>
      <c r="H13" s="51">
        <v>30.32</v>
      </c>
      <c r="I13" s="51">
        <v>3.98</v>
      </c>
      <c r="J13" s="51">
        <v>0.77</v>
      </c>
      <c r="K13" s="51">
        <v>312.76</v>
      </c>
      <c r="L13" s="51">
        <v>19.91</v>
      </c>
      <c r="M13" s="51">
        <v>40.39</v>
      </c>
      <c r="N13" s="51">
        <v>56.8</v>
      </c>
      <c r="O13" s="51">
        <v>0</v>
      </c>
      <c r="P13" s="51">
        <v>1.33</v>
      </c>
      <c r="Q13" s="51">
        <v>9.6</v>
      </c>
      <c r="R13" s="43"/>
      <c r="S13" s="43"/>
      <c r="T13" s="43"/>
      <c r="U13" s="43"/>
    </row>
    <row r="14" spans="1:21" s="11" customFormat="1" x14ac:dyDescent="0.25">
      <c r="A14" s="50" t="s">
        <v>761</v>
      </c>
      <c r="B14" s="58" t="s">
        <v>8</v>
      </c>
      <c r="C14" s="58" t="s">
        <v>8</v>
      </c>
      <c r="D14" s="58" t="s">
        <v>8</v>
      </c>
      <c r="E14" s="51">
        <v>48.98</v>
      </c>
      <c r="F14" s="51">
        <v>9.1300000000000008</v>
      </c>
      <c r="G14" s="51">
        <v>170.25</v>
      </c>
      <c r="H14" s="51">
        <v>21.8</v>
      </c>
      <c r="I14" s="51">
        <v>4.16</v>
      </c>
      <c r="J14" s="51">
        <v>1.07</v>
      </c>
      <c r="K14" s="51">
        <v>353.06</v>
      </c>
      <c r="L14" s="51">
        <v>20.05</v>
      </c>
      <c r="M14" s="51">
        <v>39.72</v>
      </c>
      <c r="N14" s="51">
        <v>59.3</v>
      </c>
      <c r="O14" s="51">
        <v>0</v>
      </c>
      <c r="P14" s="51">
        <v>1.4</v>
      </c>
      <c r="Q14" s="51">
        <v>9.6199999999999992</v>
      </c>
      <c r="R14" s="43"/>
      <c r="S14" s="43"/>
      <c r="T14" s="43"/>
      <c r="U14" s="43"/>
    </row>
    <row r="15" spans="1:21" s="11" customFormat="1" x14ac:dyDescent="0.25">
      <c r="A15" s="50" t="s">
        <v>762</v>
      </c>
      <c r="B15" s="58" t="s">
        <v>8</v>
      </c>
      <c r="C15" s="58" t="s">
        <v>8</v>
      </c>
      <c r="D15" s="58" t="s">
        <v>8</v>
      </c>
      <c r="E15" s="51">
        <v>56.75</v>
      </c>
      <c r="F15" s="51">
        <v>14.64</v>
      </c>
      <c r="G15" s="51">
        <v>176.97</v>
      </c>
      <c r="H15" s="51">
        <v>7.79</v>
      </c>
      <c r="I15" s="51">
        <v>3.96</v>
      </c>
      <c r="J15" s="51">
        <v>0.74</v>
      </c>
      <c r="K15" s="51">
        <v>80.959999999999994</v>
      </c>
      <c r="L15" s="51">
        <v>22.22</v>
      </c>
      <c r="M15" s="51">
        <v>34.799999999999997</v>
      </c>
      <c r="N15" s="51">
        <v>154</v>
      </c>
      <c r="O15" s="51">
        <v>0</v>
      </c>
      <c r="P15" s="51">
        <v>1.44</v>
      </c>
      <c r="Q15" s="51">
        <v>9.6300000000000008</v>
      </c>
      <c r="R15" s="43"/>
      <c r="S15" s="43"/>
      <c r="T15" s="43"/>
      <c r="U15" s="43"/>
    </row>
    <row r="16" spans="1:21" s="11" customFormat="1" x14ac:dyDescent="0.25">
      <c r="A16" s="50" t="s">
        <v>763</v>
      </c>
      <c r="B16" s="58" t="s">
        <v>8</v>
      </c>
      <c r="C16" s="58" t="s">
        <v>8</v>
      </c>
      <c r="D16" s="58" t="s">
        <v>8</v>
      </c>
      <c r="E16" s="51">
        <v>9.84</v>
      </c>
      <c r="F16" s="51">
        <v>11.81</v>
      </c>
      <c r="G16" s="51">
        <v>174.17</v>
      </c>
      <c r="H16" s="51">
        <v>26.67</v>
      </c>
      <c r="I16" s="51">
        <v>4.04</v>
      </c>
      <c r="J16" s="51">
        <v>1.01</v>
      </c>
      <c r="K16" s="51">
        <v>84.14</v>
      </c>
      <c r="L16" s="51">
        <v>25.5</v>
      </c>
      <c r="M16" s="51">
        <v>24.5</v>
      </c>
      <c r="N16" s="51">
        <v>331.2</v>
      </c>
      <c r="O16" s="51">
        <v>0</v>
      </c>
      <c r="P16" s="51">
        <v>1.19</v>
      </c>
      <c r="Q16" s="51">
        <v>9.6199999999999992</v>
      </c>
      <c r="R16" s="43"/>
      <c r="S16" s="43"/>
      <c r="T16" s="43"/>
      <c r="U16" s="43"/>
    </row>
    <row r="17" spans="1:21" s="11" customFormat="1" x14ac:dyDescent="0.25">
      <c r="A17" s="50" t="s">
        <v>764</v>
      </c>
      <c r="B17" s="58" t="s">
        <v>8</v>
      </c>
      <c r="C17" s="58" t="s">
        <v>8</v>
      </c>
      <c r="D17" s="58" t="s">
        <v>8</v>
      </c>
      <c r="E17" s="51">
        <v>6.92</v>
      </c>
      <c r="F17" s="51">
        <v>12.13</v>
      </c>
      <c r="G17" s="51">
        <v>94.43</v>
      </c>
      <c r="H17" s="51">
        <v>40.049999999999997</v>
      </c>
      <c r="I17" s="51">
        <v>4</v>
      </c>
      <c r="J17" s="51">
        <v>0.86</v>
      </c>
      <c r="K17" s="51">
        <v>67.319999999999993</v>
      </c>
      <c r="L17" s="51">
        <v>28.09</v>
      </c>
      <c r="M17" s="51">
        <v>20.58</v>
      </c>
      <c r="N17" s="51">
        <v>496.5</v>
      </c>
      <c r="O17" s="51">
        <v>0</v>
      </c>
      <c r="P17" s="51">
        <v>1.1200000000000001</v>
      </c>
      <c r="Q17" s="51">
        <v>9.58</v>
      </c>
      <c r="R17" s="43"/>
      <c r="S17" s="43"/>
      <c r="T17" s="43"/>
      <c r="U17" s="43"/>
    </row>
    <row r="18" spans="1:21" s="11" customFormat="1" x14ac:dyDescent="0.25">
      <c r="A18" s="50" t="s">
        <v>765</v>
      </c>
      <c r="B18" s="51">
        <v>20.329999999999998</v>
      </c>
      <c r="C18" s="51">
        <v>366.15</v>
      </c>
      <c r="D18" s="51">
        <v>207.61</v>
      </c>
      <c r="E18" s="51">
        <v>19.21</v>
      </c>
      <c r="F18" s="51">
        <v>27.76</v>
      </c>
      <c r="G18" s="51">
        <v>118</v>
      </c>
      <c r="H18" s="51">
        <v>32.47</v>
      </c>
      <c r="I18" s="51">
        <v>4.1900000000000004</v>
      </c>
      <c r="J18" s="51">
        <v>2.19</v>
      </c>
      <c r="K18" s="51">
        <v>66.709999999999994</v>
      </c>
      <c r="L18" s="51">
        <v>32.93</v>
      </c>
      <c r="M18" s="51">
        <v>17.89</v>
      </c>
      <c r="N18" s="51">
        <v>664.1</v>
      </c>
      <c r="O18" s="51">
        <v>0</v>
      </c>
      <c r="P18" s="51">
        <v>0.96</v>
      </c>
      <c r="Q18" s="51">
        <v>9.5500000000000007</v>
      </c>
      <c r="R18" s="43"/>
      <c r="S18" s="43"/>
      <c r="T18" s="43"/>
      <c r="U18" s="43"/>
    </row>
    <row r="19" spans="1:21" s="11" customFormat="1" x14ac:dyDescent="0.25">
      <c r="A19" s="50" t="s">
        <v>766</v>
      </c>
      <c r="B19" s="51">
        <v>4.76</v>
      </c>
      <c r="C19" s="51">
        <v>224</v>
      </c>
      <c r="D19" s="51">
        <v>120.06</v>
      </c>
      <c r="E19" s="51">
        <v>15.3</v>
      </c>
      <c r="F19" s="51">
        <v>28.58</v>
      </c>
      <c r="G19" s="51">
        <v>75.8</v>
      </c>
      <c r="H19" s="51">
        <v>38.76</v>
      </c>
      <c r="I19" s="51">
        <v>4.17</v>
      </c>
      <c r="J19" s="51">
        <v>1.51</v>
      </c>
      <c r="K19" s="51">
        <v>19.66</v>
      </c>
      <c r="L19" s="51">
        <v>33.729999999999997</v>
      </c>
      <c r="M19" s="51">
        <v>14.08</v>
      </c>
      <c r="N19" s="51">
        <v>738.9</v>
      </c>
      <c r="O19" s="51">
        <v>0</v>
      </c>
      <c r="P19" s="51">
        <v>0.77</v>
      </c>
      <c r="Q19" s="51">
        <v>9.4600000000000009</v>
      </c>
      <c r="R19" s="43"/>
      <c r="S19" s="43"/>
      <c r="T19" s="43"/>
      <c r="U19" s="43"/>
    </row>
    <row r="20" spans="1:21" s="11" customFormat="1" x14ac:dyDescent="0.25">
      <c r="A20" s="50" t="s">
        <v>767</v>
      </c>
      <c r="B20" s="51">
        <v>7.31</v>
      </c>
      <c r="C20" s="51">
        <v>187.63</v>
      </c>
      <c r="D20" s="51">
        <v>102.58</v>
      </c>
      <c r="E20" s="51">
        <v>24.67</v>
      </c>
      <c r="F20" s="51">
        <v>22.84</v>
      </c>
      <c r="G20" s="51">
        <v>103.92</v>
      </c>
      <c r="H20" s="51">
        <v>36.31</v>
      </c>
      <c r="I20" s="51">
        <v>4.0199999999999996</v>
      </c>
      <c r="J20" s="51">
        <v>1.75</v>
      </c>
      <c r="K20" s="51">
        <v>103.55</v>
      </c>
      <c r="L20" s="51">
        <v>34.74</v>
      </c>
      <c r="M20" s="51">
        <v>13.32</v>
      </c>
      <c r="N20" s="51">
        <v>795.1</v>
      </c>
      <c r="O20" s="51">
        <v>0</v>
      </c>
      <c r="P20" s="51">
        <v>0.71</v>
      </c>
      <c r="Q20" s="51">
        <v>9.5</v>
      </c>
      <c r="R20" s="43"/>
      <c r="S20" s="43"/>
      <c r="T20" s="43"/>
      <c r="U20" s="43"/>
    </row>
    <row r="21" spans="1:21" s="11" customFormat="1" x14ac:dyDescent="0.25">
      <c r="A21" s="50" t="s">
        <v>768</v>
      </c>
      <c r="B21" s="51">
        <v>2.57</v>
      </c>
      <c r="C21" s="51">
        <v>149.94999999999999</v>
      </c>
      <c r="D21" s="51">
        <v>80.400000000000006</v>
      </c>
      <c r="E21" s="51">
        <v>34.76</v>
      </c>
      <c r="F21" s="51">
        <v>21.91</v>
      </c>
      <c r="G21" s="51">
        <v>98.56</v>
      </c>
      <c r="H21" s="51">
        <v>25.44</v>
      </c>
      <c r="I21" s="51">
        <v>4.12</v>
      </c>
      <c r="J21" s="51">
        <v>1.61</v>
      </c>
      <c r="K21" s="51">
        <v>104.25</v>
      </c>
      <c r="L21" s="51">
        <v>33.700000000000003</v>
      </c>
      <c r="M21" s="51">
        <v>12.59</v>
      </c>
      <c r="N21" s="51">
        <v>820.1</v>
      </c>
      <c r="O21" s="51">
        <v>0</v>
      </c>
      <c r="P21" s="51">
        <v>0.64</v>
      </c>
      <c r="Q21" s="51">
        <v>9.5299999999999994</v>
      </c>
      <c r="R21" s="43"/>
      <c r="S21" s="43"/>
      <c r="T21" s="43"/>
      <c r="U21" s="43"/>
    </row>
    <row r="22" spans="1:21" s="11" customFormat="1" x14ac:dyDescent="0.25">
      <c r="A22" s="50" t="s">
        <v>769</v>
      </c>
      <c r="B22" s="51">
        <v>2.14</v>
      </c>
      <c r="C22" s="51">
        <v>115.8</v>
      </c>
      <c r="D22" s="51">
        <v>62.22</v>
      </c>
      <c r="E22" s="51">
        <v>21</v>
      </c>
      <c r="F22" s="51">
        <v>24.39</v>
      </c>
      <c r="G22" s="51">
        <v>73.23</v>
      </c>
      <c r="H22" s="51">
        <v>34.46</v>
      </c>
      <c r="I22" s="51">
        <v>4.1900000000000004</v>
      </c>
      <c r="J22" s="51">
        <v>2.06</v>
      </c>
      <c r="K22" s="51">
        <v>351.18</v>
      </c>
      <c r="L22" s="51">
        <v>37.57</v>
      </c>
      <c r="M22" s="51">
        <v>11.67</v>
      </c>
      <c r="N22" s="51">
        <v>781.8</v>
      </c>
      <c r="O22" s="51">
        <v>0</v>
      </c>
      <c r="P22" s="51">
        <v>0.72</v>
      </c>
      <c r="Q22" s="51">
        <v>9.65</v>
      </c>
      <c r="R22" s="43"/>
      <c r="S22" s="43"/>
      <c r="T22" s="43"/>
      <c r="U22" s="43"/>
    </row>
    <row r="23" spans="1:21" s="11" customFormat="1" x14ac:dyDescent="0.25">
      <c r="A23" s="50" t="s">
        <v>770</v>
      </c>
      <c r="B23" s="51">
        <v>3.44</v>
      </c>
      <c r="C23" s="51">
        <v>90.73</v>
      </c>
      <c r="D23" s="51">
        <v>48.6</v>
      </c>
      <c r="E23" s="51">
        <v>30.44</v>
      </c>
      <c r="F23" s="51">
        <v>36.229999999999997</v>
      </c>
      <c r="G23" s="51">
        <v>97.61</v>
      </c>
      <c r="H23" s="51">
        <v>36.54</v>
      </c>
      <c r="I23" s="51">
        <v>4.05</v>
      </c>
      <c r="J23" s="51">
        <v>2.0499999999999998</v>
      </c>
      <c r="K23" s="51">
        <v>358.04</v>
      </c>
      <c r="L23" s="51">
        <v>37.229999999999997</v>
      </c>
      <c r="M23" s="51">
        <v>13</v>
      </c>
      <c r="N23" s="51">
        <v>503.5</v>
      </c>
      <c r="O23" s="51">
        <v>0</v>
      </c>
      <c r="P23" s="51">
        <v>0.71</v>
      </c>
      <c r="Q23" s="51">
        <v>9.81</v>
      </c>
      <c r="R23" s="43"/>
      <c r="S23" s="43"/>
      <c r="T23" s="43"/>
      <c r="U23" s="43"/>
    </row>
    <row r="24" spans="1:21" s="11" customFormat="1" x14ac:dyDescent="0.25">
      <c r="A24" s="50" t="s">
        <v>771</v>
      </c>
      <c r="B24" s="51">
        <v>4.12</v>
      </c>
      <c r="C24" s="51">
        <v>77.38</v>
      </c>
      <c r="D24" s="51">
        <v>42.78</v>
      </c>
      <c r="E24" s="51">
        <v>41.68</v>
      </c>
      <c r="F24" s="51">
        <v>41.18</v>
      </c>
      <c r="G24" s="51">
        <v>100.75</v>
      </c>
      <c r="H24" s="51">
        <v>30.28</v>
      </c>
      <c r="I24" s="51">
        <v>4.09</v>
      </c>
      <c r="J24" s="51">
        <v>2.04</v>
      </c>
      <c r="K24" s="51">
        <v>355.94</v>
      </c>
      <c r="L24" s="51">
        <v>35.36</v>
      </c>
      <c r="M24" s="51">
        <v>13.87</v>
      </c>
      <c r="N24" s="51">
        <v>371.2</v>
      </c>
      <c r="O24" s="51">
        <v>0</v>
      </c>
      <c r="P24" s="51">
        <v>0.67</v>
      </c>
      <c r="Q24" s="51">
        <v>10</v>
      </c>
      <c r="R24" s="43"/>
      <c r="S24" s="43"/>
      <c r="T24" s="43"/>
      <c r="U24" s="43"/>
    </row>
    <row r="25" spans="1:21" s="11" customFormat="1" x14ac:dyDescent="0.25">
      <c r="A25" s="50" t="s">
        <v>772</v>
      </c>
      <c r="B25" s="51">
        <v>4.58</v>
      </c>
      <c r="C25" s="51">
        <v>80.37</v>
      </c>
      <c r="D25" s="51">
        <v>45.5</v>
      </c>
      <c r="E25" s="51">
        <v>58.99</v>
      </c>
      <c r="F25" s="51">
        <v>42.28</v>
      </c>
      <c r="G25" s="51">
        <v>83.96</v>
      </c>
      <c r="H25" s="51">
        <v>22.49</v>
      </c>
      <c r="I25" s="51">
        <v>4.1900000000000004</v>
      </c>
      <c r="J25" s="51">
        <v>1.29</v>
      </c>
      <c r="K25" s="51">
        <v>349.4</v>
      </c>
      <c r="L25" s="51">
        <v>33.950000000000003</v>
      </c>
      <c r="M25" s="51">
        <v>14.76</v>
      </c>
      <c r="N25" s="51">
        <v>161.19999999999999</v>
      </c>
      <c r="O25" s="51">
        <v>0</v>
      </c>
      <c r="P25" s="51">
        <v>0.79</v>
      </c>
      <c r="Q25" s="51">
        <v>10.11</v>
      </c>
      <c r="R25" s="43"/>
      <c r="S25" s="43"/>
      <c r="T25" s="43"/>
      <c r="U25" s="43"/>
    </row>
    <row r="26" spans="1:21" s="11" customFormat="1" x14ac:dyDescent="0.25">
      <c r="A26" s="50" t="s">
        <v>773</v>
      </c>
      <c r="B26" s="51">
        <v>33.86</v>
      </c>
      <c r="C26" s="51">
        <v>154.69</v>
      </c>
      <c r="D26" s="51">
        <v>107.97</v>
      </c>
      <c r="E26" s="51">
        <v>54.74</v>
      </c>
      <c r="F26" s="51">
        <v>32.99</v>
      </c>
      <c r="G26" s="51">
        <v>95.3</v>
      </c>
      <c r="H26" s="51">
        <v>27.46</v>
      </c>
      <c r="I26" s="51">
        <v>4</v>
      </c>
      <c r="J26" s="51">
        <v>0.69</v>
      </c>
      <c r="K26" s="51">
        <v>44.91</v>
      </c>
      <c r="L26" s="51">
        <v>31.69</v>
      </c>
      <c r="M26" s="51">
        <v>21.54</v>
      </c>
      <c r="N26" s="51">
        <v>101.7</v>
      </c>
      <c r="O26" s="51">
        <v>0</v>
      </c>
      <c r="P26" s="51">
        <v>2.16</v>
      </c>
      <c r="Q26" s="51">
        <v>10.19</v>
      </c>
      <c r="R26" s="43"/>
      <c r="S26" s="43"/>
      <c r="T26" s="43"/>
      <c r="U26" s="43"/>
    </row>
    <row r="27" spans="1:21" s="11" customFormat="1" x14ac:dyDescent="0.25">
      <c r="A27" s="50" t="s">
        <v>774</v>
      </c>
      <c r="B27" s="51">
        <v>80.03</v>
      </c>
      <c r="C27" s="51">
        <v>170.16</v>
      </c>
      <c r="D27" s="51">
        <v>151.62</v>
      </c>
      <c r="E27" s="51">
        <v>42.63</v>
      </c>
      <c r="F27" s="51">
        <v>12.63</v>
      </c>
      <c r="G27" s="51">
        <v>116.41</v>
      </c>
      <c r="H27" s="51">
        <v>33.46</v>
      </c>
      <c r="I27" s="51">
        <v>4.12</v>
      </c>
      <c r="J27" s="51">
        <v>0.73</v>
      </c>
      <c r="K27" s="51">
        <v>358.53</v>
      </c>
      <c r="L27" s="51">
        <v>28.75</v>
      </c>
      <c r="M27" s="51">
        <v>30.95</v>
      </c>
      <c r="N27" s="51">
        <v>59.8</v>
      </c>
      <c r="O27" s="51">
        <v>0</v>
      </c>
      <c r="P27" s="51">
        <v>3.45</v>
      </c>
      <c r="Q27" s="51">
        <v>10.199999999999999</v>
      </c>
      <c r="R27" s="43"/>
      <c r="S27" s="43"/>
      <c r="T27" s="43"/>
      <c r="U27" s="43"/>
    </row>
    <row r="28" spans="1:21" s="11" customFormat="1" x14ac:dyDescent="0.25">
      <c r="A28" s="50" t="s">
        <v>775</v>
      </c>
      <c r="B28" s="51">
        <v>187.69</v>
      </c>
      <c r="C28" s="51">
        <v>174.31</v>
      </c>
      <c r="D28" s="51">
        <v>238.55</v>
      </c>
      <c r="E28" s="51">
        <v>33.44</v>
      </c>
      <c r="F28" s="51">
        <v>7.69</v>
      </c>
      <c r="G28" s="51">
        <v>154.01</v>
      </c>
      <c r="H28" s="51">
        <v>38.89</v>
      </c>
      <c r="I28" s="51">
        <v>4.07</v>
      </c>
      <c r="J28" s="51">
        <v>0.81</v>
      </c>
      <c r="K28" s="51">
        <v>354.15</v>
      </c>
      <c r="L28" s="51">
        <v>25.8</v>
      </c>
      <c r="M28" s="51">
        <v>36.340000000000003</v>
      </c>
      <c r="N28" s="51">
        <v>55.7</v>
      </c>
      <c r="O28" s="51">
        <v>0</v>
      </c>
      <c r="P28" s="51">
        <v>3.75</v>
      </c>
      <c r="Q28" s="51">
        <v>10.29</v>
      </c>
      <c r="R28" s="43"/>
      <c r="S28" s="43"/>
      <c r="T28" s="43"/>
      <c r="U28" s="43"/>
    </row>
    <row r="29" spans="1:21" s="11" customFormat="1" x14ac:dyDescent="0.25">
      <c r="A29" s="50" t="s">
        <v>776</v>
      </c>
      <c r="B29" s="51">
        <v>87.95</v>
      </c>
      <c r="C29" s="51">
        <v>161.35</v>
      </c>
      <c r="D29" s="51">
        <v>154.80000000000001</v>
      </c>
      <c r="E29" s="51">
        <v>32.18</v>
      </c>
      <c r="F29" s="51">
        <v>10.89</v>
      </c>
      <c r="G29" s="51">
        <v>184.68</v>
      </c>
      <c r="H29" s="51">
        <v>36.99</v>
      </c>
      <c r="I29" s="51">
        <v>4.12</v>
      </c>
      <c r="J29" s="51">
        <v>0.75</v>
      </c>
      <c r="K29" s="51">
        <v>60.12</v>
      </c>
      <c r="L29" s="51">
        <v>25.76</v>
      </c>
      <c r="M29" s="51">
        <v>35.369999999999997</v>
      </c>
      <c r="N29" s="51">
        <v>55</v>
      </c>
      <c r="O29" s="51">
        <v>0</v>
      </c>
      <c r="P29" s="51">
        <v>4.4000000000000004</v>
      </c>
      <c r="Q29" s="51">
        <v>10.33</v>
      </c>
      <c r="R29" s="43"/>
      <c r="S29" s="43"/>
      <c r="T29" s="43"/>
      <c r="U29" s="43"/>
    </row>
    <row r="30" spans="1:21" s="11" customFormat="1" x14ac:dyDescent="0.25">
      <c r="A30" s="50" t="s">
        <v>777</v>
      </c>
      <c r="B30" s="51">
        <v>84.19</v>
      </c>
      <c r="C30" s="51">
        <v>140.80000000000001</v>
      </c>
      <c r="D30" s="51">
        <v>141.07</v>
      </c>
      <c r="E30" s="51">
        <v>18.97</v>
      </c>
      <c r="F30" s="51">
        <v>10.15</v>
      </c>
      <c r="G30" s="51">
        <v>147.03</v>
      </c>
      <c r="H30" s="51">
        <v>45.06</v>
      </c>
      <c r="I30" s="51">
        <v>4</v>
      </c>
      <c r="J30" s="51">
        <v>0.7</v>
      </c>
      <c r="K30" s="51">
        <v>28.93</v>
      </c>
      <c r="L30" s="51">
        <v>25.64</v>
      </c>
      <c r="M30" s="51">
        <v>24.11</v>
      </c>
      <c r="N30" s="51">
        <v>55.7</v>
      </c>
      <c r="O30" s="51">
        <v>0</v>
      </c>
      <c r="P30" s="51">
        <v>2.2599999999999998</v>
      </c>
      <c r="Q30" s="51">
        <v>10.27</v>
      </c>
      <c r="R30" s="43"/>
      <c r="S30" s="43"/>
      <c r="T30" s="43"/>
      <c r="U30" s="43"/>
    </row>
    <row r="31" spans="1:21" s="11" customFormat="1" x14ac:dyDescent="0.25">
      <c r="A31" s="50" t="s">
        <v>778</v>
      </c>
      <c r="B31" s="51">
        <v>58.11</v>
      </c>
      <c r="C31" s="51">
        <v>130.9</v>
      </c>
      <c r="D31" s="51">
        <v>108.85</v>
      </c>
      <c r="E31" s="51">
        <v>27.88</v>
      </c>
      <c r="F31" s="51">
        <v>11.84</v>
      </c>
      <c r="G31" s="51">
        <v>118.64</v>
      </c>
      <c r="H31" s="51">
        <v>43.16</v>
      </c>
      <c r="I31" s="51">
        <v>4.1100000000000003</v>
      </c>
      <c r="J31" s="51">
        <v>0.84</v>
      </c>
      <c r="K31" s="51">
        <v>359.78</v>
      </c>
      <c r="L31" s="51">
        <v>24.75</v>
      </c>
      <c r="M31" s="51">
        <v>30.17</v>
      </c>
      <c r="N31" s="51">
        <v>55.7</v>
      </c>
      <c r="O31" s="51">
        <v>0</v>
      </c>
      <c r="P31" s="51">
        <v>2.17</v>
      </c>
      <c r="Q31" s="51">
        <v>10.199999999999999</v>
      </c>
      <c r="R31" s="43"/>
      <c r="S31" s="43"/>
      <c r="T31" s="43"/>
      <c r="U31" s="43"/>
    </row>
    <row r="32" spans="1:21" s="11" customFormat="1" x14ac:dyDescent="0.25">
      <c r="A32" s="50" t="s">
        <v>779</v>
      </c>
      <c r="B32" s="51">
        <v>30.45</v>
      </c>
      <c r="C32" s="51">
        <v>109.9</v>
      </c>
      <c r="D32" s="51">
        <v>81.47</v>
      </c>
      <c r="E32" s="51">
        <v>31.64</v>
      </c>
      <c r="F32" s="51">
        <v>16.36</v>
      </c>
      <c r="G32" s="51">
        <v>110.81</v>
      </c>
      <c r="H32" s="51">
        <v>38.35</v>
      </c>
      <c r="I32" s="51">
        <v>4.16</v>
      </c>
      <c r="J32" s="51">
        <v>0.56999999999999995</v>
      </c>
      <c r="K32" s="51">
        <v>266.32</v>
      </c>
      <c r="L32" s="51">
        <v>23.77</v>
      </c>
      <c r="M32" s="51">
        <v>28.92</v>
      </c>
      <c r="N32" s="51">
        <v>55.9</v>
      </c>
      <c r="O32" s="51">
        <v>0</v>
      </c>
      <c r="P32" s="51">
        <v>1.53</v>
      </c>
      <c r="Q32" s="51">
        <v>10.119999999999999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2.14</v>
      </c>
      <c r="C34" s="28">
        <f t="shared" si="0"/>
        <v>77.38</v>
      </c>
      <c r="D34" s="28">
        <f t="shared" si="0"/>
        <v>42.78</v>
      </c>
      <c r="E34" s="28">
        <f t="shared" si="0"/>
        <v>6.92</v>
      </c>
      <c r="F34" s="28">
        <f t="shared" si="0"/>
        <v>7.69</v>
      </c>
      <c r="G34" s="28">
        <f t="shared" si="0"/>
        <v>69.7</v>
      </c>
      <c r="H34" s="28">
        <f t="shared" si="0"/>
        <v>0.83</v>
      </c>
      <c r="I34" s="28">
        <f t="shared" si="0"/>
        <v>3.96</v>
      </c>
      <c r="J34" s="28">
        <f t="shared" si="0"/>
        <v>0.52</v>
      </c>
      <c r="K34" s="28">
        <f t="shared" si="0"/>
        <v>11.32</v>
      </c>
      <c r="L34" s="28">
        <f t="shared" si="0"/>
        <v>19.91</v>
      </c>
      <c r="M34" s="28">
        <f t="shared" si="0"/>
        <v>11.67</v>
      </c>
      <c r="N34" s="28">
        <f t="shared" si="0"/>
        <v>55</v>
      </c>
      <c r="O34" s="28">
        <f t="shared" si="0"/>
        <v>0</v>
      </c>
      <c r="P34" s="28">
        <f t="shared" si="0"/>
        <v>0.64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187.69</v>
      </c>
      <c r="C35" s="29">
        <f t="shared" si="1"/>
        <v>366.15</v>
      </c>
      <c r="D35" s="29">
        <f t="shared" si="1"/>
        <v>238.55</v>
      </c>
      <c r="E35" s="29">
        <f t="shared" si="1"/>
        <v>58.99</v>
      </c>
      <c r="F35" s="29">
        <f t="shared" si="1"/>
        <v>42.28</v>
      </c>
      <c r="G35" s="29">
        <f t="shared" si="1"/>
        <v>184.68</v>
      </c>
      <c r="H35" s="29">
        <f t="shared" si="1"/>
        <v>45.06</v>
      </c>
      <c r="I35" s="29">
        <f t="shared" si="1"/>
        <v>4.2</v>
      </c>
      <c r="J35" s="29">
        <f t="shared" si="1"/>
        <v>2.19</v>
      </c>
      <c r="K35" s="29">
        <f t="shared" si="1"/>
        <v>359.78</v>
      </c>
      <c r="L35" s="29">
        <f t="shared" si="1"/>
        <v>37.57</v>
      </c>
      <c r="M35" s="29">
        <f t="shared" si="1"/>
        <v>40.39</v>
      </c>
      <c r="N35" s="29">
        <f t="shared" si="1"/>
        <v>820.1</v>
      </c>
      <c r="O35" s="29">
        <f t="shared" si="1"/>
        <v>0</v>
      </c>
      <c r="P35" s="29">
        <f t="shared" si="1"/>
        <v>4.4000000000000004</v>
      </c>
      <c r="Q35" s="29">
        <f t="shared" si="1"/>
        <v>10.33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40.768666666666675</v>
      </c>
      <c r="C36" s="28">
        <f t="shared" si="2"/>
        <v>155.608</v>
      </c>
      <c r="D36" s="28">
        <f t="shared" si="2"/>
        <v>112.93866666666666</v>
      </c>
      <c r="E36" s="28">
        <f t="shared" si="2"/>
        <v>31.852916666666662</v>
      </c>
      <c r="F36" s="28">
        <f t="shared" si="2"/>
        <v>19.829166666666666</v>
      </c>
      <c r="G36" s="28">
        <f t="shared" si="2"/>
        <v>119.13583333333334</v>
      </c>
      <c r="H36" s="28">
        <f t="shared" si="2"/>
        <v>29.373333333333335</v>
      </c>
      <c r="I36" s="28">
        <f t="shared" si="2"/>
        <v>4.0962499999999995</v>
      </c>
      <c r="J36" s="28">
        <f t="shared" si="2"/>
        <v>1.1783333333333332</v>
      </c>
      <c r="K36" s="28">
        <f t="shared" si="2"/>
        <v>199.30625000000001</v>
      </c>
      <c r="L36" s="28">
        <f t="shared" si="2"/>
        <v>28.108750000000001</v>
      </c>
      <c r="M36" s="28">
        <f t="shared" si="2"/>
        <v>24.717916666666664</v>
      </c>
      <c r="N36" s="28">
        <f t="shared" si="2"/>
        <v>275.01249999999999</v>
      </c>
      <c r="O36" s="28">
        <f t="shared" si="2"/>
        <v>0</v>
      </c>
      <c r="P36" s="28">
        <f t="shared" si="2"/>
        <v>1.5774999999999999</v>
      </c>
      <c r="Q36" s="28">
        <f t="shared" si="2"/>
        <v>9.8433333333333319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51.772219918003266</v>
      </c>
      <c r="C37" s="28">
        <f t="shared" ref="C37:Q37" si="3">STDEV(C9:C32)</f>
        <v>71.28982668355583</v>
      </c>
      <c r="D37" s="28">
        <f t="shared" si="3"/>
        <v>58.071002459632723</v>
      </c>
      <c r="E37" s="28">
        <f t="shared" si="3"/>
        <v>15.131047976340534</v>
      </c>
      <c r="F37" s="28">
        <f t="shared" si="3"/>
        <v>10.349124691685674</v>
      </c>
      <c r="G37" s="28">
        <f t="shared" si="3"/>
        <v>33.917421189484955</v>
      </c>
      <c r="H37" s="28">
        <f t="shared" si="3"/>
        <v>12.084099026214668</v>
      </c>
      <c r="I37" s="28">
        <f t="shared" si="3"/>
        <v>7.4705945284626332E-2</v>
      </c>
      <c r="J37" s="28">
        <f t="shared" si="3"/>
        <v>0.53283219209009558</v>
      </c>
      <c r="K37" s="28">
        <f t="shared" si="3"/>
        <v>148.49292250188947</v>
      </c>
      <c r="L37" s="28">
        <f t="shared" si="3"/>
        <v>5.588756813227012</v>
      </c>
      <c r="M37" s="28">
        <f t="shared" si="3"/>
        <v>9.4524452687106972</v>
      </c>
      <c r="N37" s="28">
        <f t="shared" si="3"/>
        <v>289.97884677349657</v>
      </c>
      <c r="O37" s="28">
        <f t="shared" si="3"/>
        <v>0</v>
      </c>
      <c r="P37" s="28">
        <f t="shared" si="3"/>
        <v>1.017995686332366</v>
      </c>
      <c r="Q37" s="28">
        <f t="shared" si="3"/>
        <v>0.29439202887759464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COUNT(B9:B32)+9</f>
        <v>24</v>
      </c>
      <c r="C38" s="32">
        <f t="shared" ref="C38:D38" si="4">COUNT(C9:C32)+9</f>
        <v>24</v>
      </c>
      <c r="D38" s="32">
        <f t="shared" si="4"/>
        <v>24</v>
      </c>
      <c r="E38" s="32">
        <f t="shared" ref="E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31/03/2025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0" t="s">
        <v>780</v>
      </c>
      <c r="B9" s="51">
        <v>33.119999999999997</v>
      </c>
      <c r="C9" s="51">
        <v>105.45</v>
      </c>
      <c r="D9" s="51">
        <v>81.66</v>
      </c>
      <c r="E9" s="51">
        <v>32.770000000000003</v>
      </c>
      <c r="F9" s="51">
        <v>16.079999999999998</v>
      </c>
      <c r="G9" s="51">
        <v>94.95</v>
      </c>
      <c r="H9" s="51">
        <v>35.299999999999997</v>
      </c>
      <c r="I9" s="51">
        <v>4.03</v>
      </c>
      <c r="J9" s="51">
        <v>0.63</v>
      </c>
      <c r="K9" s="51">
        <v>355.74</v>
      </c>
      <c r="L9" s="51">
        <v>21.92</v>
      </c>
      <c r="M9" s="51">
        <v>34.64</v>
      </c>
      <c r="N9" s="51">
        <v>56</v>
      </c>
      <c r="O9" s="51">
        <v>0</v>
      </c>
      <c r="P9" s="51">
        <v>1.44</v>
      </c>
      <c r="Q9" s="51">
        <v>10.06</v>
      </c>
      <c r="R9" s="43"/>
      <c r="S9" s="43"/>
      <c r="T9" s="43"/>
      <c r="U9" s="43"/>
    </row>
    <row r="10" spans="1:21" s="11" customFormat="1" x14ac:dyDescent="0.25">
      <c r="A10" s="50" t="s">
        <v>781</v>
      </c>
      <c r="B10" s="51">
        <v>27.06</v>
      </c>
      <c r="C10" s="51">
        <v>81.11</v>
      </c>
      <c r="D10" s="51">
        <v>63.85</v>
      </c>
      <c r="E10" s="51">
        <v>41.9</v>
      </c>
      <c r="F10" s="51">
        <v>20.2</v>
      </c>
      <c r="G10" s="51">
        <v>103.64</v>
      </c>
      <c r="H10" s="51">
        <v>32.630000000000003</v>
      </c>
      <c r="I10" s="51">
        <v>4.13</v>
      </c>
      <c r="J10" s="51">
        <v>0.88</v>
      </c>
      <c r="K10" s="51">
        <v>359.15</v>
      </c>
      <c r="L10" s="51">
        <v>21.97</v>
      </c>
      <c r="M10" s="51">
        <v>36.08</v>
      </c>
      <c r="N10" s="51">
        <v>55.8</v>
      </c>
      <c r="O10" s="51">
        <v>0</v>
      </c>
      <c r="P10" s="51">
        <v>1.5</v>
      </c>
      <c r="Q10" s="51">
        <v>10.02</v>
      </c>
      <c r="R10" s="43"/>
      <c r="S10" s="43"/>
      <c r="T10" s="43"/>
      <c r="U10" s="43"/>
    </row>
    <row r="11" spans="1:21" s="11" customFormat="1" x14ac:dyDescent="0.25">
      <c r="A11" s="50" t="s">
        <v>782</v>
      </c>
      <c r="B11" s="51">
        <v>22.91</v>
      </c>
      <c r="C11" s="51">
        <v>85.07</v>
      </c>
      <c r="D11" s="51">
        <v>62.07</v>
      </c>
      <c r="E11" s="51">
        <v>39.659999999999997</v>
      </c>
      <c r="F11" s="51">
        <v>13.54</v>
      </c>
      <c r="G11" s="51">
        <v>114.7</v>
      </c>
      <c r="H11" s="51">
        <v>33.799999999999997</v>
      </c>
      <c r="I11" s="51">
        <v>4.1100000000000003</v>
      </c>
      <c r="J11" s="51">
        <v>1.21</v>
      </c>
      <c r="K11" s="51">
        <v>5.44</v>
      </c>
      <c r="L11" s="51">
        <v>22.34</v>
      </c>
      <c r="M11" s="51">
        <v>31.27</v>
      </c>
      <c r="N11" s="51">
        <v>54.9</v>
      </c>
      <c r="O11" s="51">
        <v>0</v>
      </c>
      <c r="P11" s="51">
        <v>1.55</v>
      </c>
      <c r="Q11" s="51">
        <v>9.9499999999999993</v>
      </c>
      <c r="R11" s="43"/>
      <c r="S11" s="43"/>
      <c r="T11" s="43"/>
      <c r="U11" s="43"/>
    </row>
    <row r="12" spans="1:21" s="11" customFormat="1" x14ac:dyDescent="0.25">
      <c r="A12" s="50" t="s">
        <v>783</v>
      </c>
      <c r="B12" s="51">
        <v>20.89</v>
      </c>
      <c r="C12" s="51">
        <v>75.989999999999995</v>
      </c>
      <c r="D12" s="51">
        <v>56.25</v>
      </c>
      <c r="E12" s="51">
        <v>24.35</v>
      </c>
      <c r="F12" s="51">
        <v>15.65</v>
      </c>
      <c r="G12" s="51">
        <v>187.63</v>
      </c>
      <c r="H12" s="51">
        <v>45.49</v>
      </c>
      <c r="I12" s="51">
        <v>4.01</v>
      </c>
      <c r="J12" s="51">
        <v>1.33</v>
      </c>
      <c r="K12" s="51">
        <v>5.57</v>
      </c>
      <c r="L12" s="51">
        <v>22.27</v>
      </c>
      <c r="M12" s="51">
        <v>24.21</v>
      </c>
      <c r="N12" s="51">
        <v>55.4</v>
      </c>
      <c r="O12" s="51">
        <v>0</v>
      </c>
      <c r="P12" s="51">
        <v>1.42</v>
      </c>
      <c r="Q12" s="51">
        <v>9.89</v>
      </c>
      <c r="R12" s="43"/>
      <c r="S12" s="43"/>
      <c r="T12" s="43"/>
      <c r="U12" s="43"/>
    </row>
    <row r="13" spans="1:21" s="11" customFormat="1" x14ac:dyDescent="0.25">
      <c r="A13" s="50" t="s">
        <v>784</v>
      </c>
      <c r="B13" s="51">
        <v>11.97</v>
      </c>
      <c r="C13" s="51">
        <v>63.84</v>
      </c>
      <c r="D13" s="51">
        <v>42.95</v>
      </c>
      <c r="E13" s="51">
        <v>44.28</v>
      </c>
      <c r="F13" s="51">
        <v>18.079999999999998</v>
      </c>
      <c r="G13" s="51">
        <v>100.94</v>
      </c>
      <c r="H13" s="51">
        <v>114.82</v>
      </c>
      <c r="I13" s="51">
        <v>4.16</v>
      </c>
      <c r="J13" s="51">
        <v>1.51</v>
      </c>
      <c r="K13" s="51">
        <v>39.72</v>
      </c>
      <c r="L13" s="51">
        <v>21.9</v>
      </c>
      <c r="M13" s="51">
        <v>21.41</v>
      </c>
      <c r="N13" s="51">
        <v>55.6</v>
      </c>
      <c r="O13" s="51">
        <v>0</v>
      </c>
      <c r="P13" s="51">
        <v>1.1000000000000001</v>
      </c>
      <c r="Q13" s="51">
        <v>9.85</v>
      </c>
      <c r="R13" s="43"/>
      <c r="S13" s="43"/>
      <c r="T13" s="43"/>
      <c r="U13" s="43"/>
    </row>
    <row r="14" spans="1:21" s="11" customFormat="1" x14ac:dyDescent="0.25">
      <c r="A14" s="50" t="s">
        <v>785</v>
      </c>
      <c r="B14" s="51">
        <v>11.79</v>
      </c>
      <c r="C14" s="51">
        <v>68.959999999999994</v>
      </c>
      <c r="D14" s="51">
        <v>45.29</v>
      </c>
      <c r="E14" s="51">
        <v>28.79</v>
      </c>
      <c r="F14" s="51">
        <v>16.440000000000001</v>
      </c>
      <c r="G14" s="51">
        <v>72.7</v>
      </c>
      <c r="H14" s="51">
        <v>23.5</v>
      </c>
      <c r="I14" s="51">
        <v>4.0599999999999996</v>
      </c>
      <c r="J14" s="51">
        <v>1.02</v>
      </c>
      <c r="K14" s="51">
        <v>194.75</v>
      </c>
      <c r="L14" s="51">
        <v>21.14</v>
      </c>
      <c r="M14" s="51">
        <v>48.34</v>
      </c>
      <c r="N14" s="51">
        <v>59.2</v>
      </c>
      <c r="O14" s="51">
        <v>0</v>
      </c>
      <c r="P14" s="51">
        <v>1.1599999999999999</v>
      </c>
      <c r="Q14" s="51">
        <v>9.81</v>
      </c>
      <c r="R14" s="43"/>
      <c r="S14" s="43"/>
      <c r="T14" s="43"/>
      <c r="U14" s="43"/>
    </row>
    <row r="15" spans="1:21" s="11" customFormat="1" x14ac:dyDescent="0.25">
      <c r="A15" s="50" t="s">
        <v>786</v>
      </c>
      <c r="B15" s="51">
        <v>17.66</v>
      </c>
      <c r="C15" s="51">
        <v>67.66</v>
      </c>
      <c r="D15" s="51">
        <v>49.5</v>
      </c>
      <c r="E15" s="51">
        <v>4.76</v>
      </c>
      <c r="F15" s="51">
        <v>6.71</v>
      </c>
      <c r="G15" s="51">
        <v>105.4</v>
      </c>
      <c r="H15" s="51">
        <v>34.21</v>
      </c>
      <c r="I15" s="51">
        <v>4.07</v>
      </c>
      <c r="J15" s="51">
        <v>0.6</v>
      </c>
      <c r="K15" s="51">
        <v>327.68</v>
      </c>
      <c r="L15" s="51">
        <v>19.79</v>
      </c>
      <c r="M15" s="51">
        <v>53.2</v>
      </c>
      <c r="N15" s="51">
        <v>150.30000000000001</v>
      </c>
      <c r="O15" s="51">
        <v>0</v>
      </c>
      <c r="P15" s="51">
        <v>1.1499999999999999</v>
      </c>
      <c r="Q15" s="51">
        <v>9.82</v>
      </c>
      <c r="R15" s="43"/>
      <c r="S15" s="43"/>
      <c r="T15" s="43"/>
      <c r="U15" s="43"/>
    </row>
    <row r="16" spans="1:21" s="11" customFormat="1" x14ac:dyDescent="0.25">
      <c r="A16" s="50" t="s">
        <v>787</v>
      </c>
      <c r="B16" s="51">
        <v>25.84</v>
      </c>
      <c r="C16" s="51">
        <v>71.03</v>
      </c>
      <c r="D16" s="51">
        <v>57.74</v>
      </c>
      <c r="E16" s="51">
        <v>5.01</v>
      </c>
      <c r="F16" s="51">
        <v>8.1199999999999992</v>
      </c>
      <c r="G16" s="51">
        <v>154.38999999999999</v>
      </c>
      <c r="H16" s="51">
        <v>46.49</v>
      </c>
      <c r="I16" s="51">
        <v>4.03</v>
      </c>
      <c r="J16" s="51">
        <v>0.9</v>
      </c>
      <c r="K16" s="51">
        <v>341.44</v>
      </c>
      <c r="L16" s="51">
        <v>26.01</v>
      </c>
      <c r="M16" s="51">
        <v>42.81</v>
      </c>
      <c r="N16" s="51">
        <v>308</v>
      </c>
      <c r="O16" s="51">
        <v>0</v>
      </c>
      <c r="P16" s="51">
        <v>1.26</v>
      </c>
      <c r="Q16" s="51">
        <v>9.92</v>
      </c>
      <c r="R16" s="43"/>
      <c r="S16" s="43"/>
      <c r="T16" s="43"/>
      <c r="U16" s="43"/>
    </row>
    <row r="17" spans="1:21" s="11" customFormat="1" x14ac:dyDescent="0.25">
      <c r="A17" s="50" t="s">
        <v>788</v>
      </c>
      <c r="B17" s="58" t="s">
        <v>8</v>
      </c>
      <c r="C17" s="58" t="s">
        <v>8</v>
      </c>
      <c r="D17" s="58" t="s">
        <v>8</v>
      </c>
      <c r="E17" s="51">
        <v>21.12</v>
      </c>
      <c r="F17" s="51">
        <v>13.82</v>
      </c>
      <c r="G17" s="51">
        <v>127.63</v>
      </c>
      <c r="H17" s="51">
        <v>16.739999999999998</v>
      </c>
      <c r="I17" s="51">
        <v>4.07</v>
      </c>
      <c r="J17" s="51">
        <v>1.75</v>
      </c>
      <c r="K17" s="51">
        <v>358.08</v>
      </c>
      <c r="L17" s="51">
        <v>29.23</v>
      </c>
      <c r="M17" s="51">
        <v>23.54</v>
      </c>
      <c r="N17" s="51">
        <v>482.8</v>
      </c>
      <c r="O17" s="51">
        <v>0</v>
      </c>
      <c r="P17" s="51">
        <v>1.27</v>
      </c>
      <c r="Q17" s="51">
        <v>9.94</v>
      </c>
      <c r="R17" s="43"/>
      <c r="S17" s="43"/>
      <c r="T17" s="43"/>
      <c r="U17" s="43"/>
    </row>
    <row r="18" spans="1:21" s="11" customFormat="1" x14ac:dyDescent="0.25">
      <c r="A18" s="50" t="s">
        <v>789</v>
      </c>
      <c r="B18" s="58" t="s">
        <v>8</v>
      </c>
      <c r="C18" s="58" t="s">
        <v>8</v>
      </c>
      <c r="D18" s="58" t="s">
        <v>8</v>
      </c>
      <c r="E18" s="51">
        <v>30.62</v>
      </c>
      <c r="F18" s="51">
        <v>19.91</v>
      </c>
      <c r="G18" s="51">
        <v>118.05</v>
      </c>
      <c r="H18" s="51">
        <v>62.59</v>
      </c>
      <c r="I18" s="51">
        <v>4.05</v>
      </c>
      <c r="J18" s="51">
        <v>1.25</v>
      </c>
      <c r="K18" s="51">
        <v>21.08</v>
      </c>
      <c r="L18" s="51">
        <v>31.18</v>
      </c>
      <c r="M18" s="51">
        <v>14.68</v>
      </c>
      <c r="N18" s="51">
        <v>642.6</v>
      </c>
      <c r="O18" s="51">
        <v>0</v>
      </c>
      <c r="P18" s="51">
        <v>1.22</v>
      </c>
      <c r="Q18" s="51">
        <v>9.93</v>
      </c>
      <c r="R18" s="43"/>
      <c r="S18" s="43"/>
      <c r="T18" s="43"/>
      <c r="U18" s="43"/>
    </row>
    <row r="19" spans="1:21" s="11" customFormat="1" x14ac:dyDescent="0.25">
      <c r="A19" s="50" t="s">
        <v>790</v>
      </c>
      <c r="B19" s="58" t="s">
        <v>8</v>
      </c>
      <c r="C19" s="58" t="s">
        <v>8</v>
      </c>
      <c r="D19" s="58" t="s">
        <v>8</v>
      </c>
      <c r="E19" s="51">
        <v>11.3</v>
      </c>
      <c r="F19" s="51">
        <v>17.809999999999999</v>
      </c>
      <c r="G19" s="51">
        <v>102.27</v>
      </c>
      <c r="H19" s="51">
        <v>46.48</v>
      </c>
      <c r="I19" s="51">
        <v>4.12</v>
      </c>
      <c r="J19" s="51">
        <v>1.21</v>
      </c>
      <c r="K19" s="51">
        <v>41.97</v>
      </c>
      <c r="L19" s="51">
        <v>33.31</v>
      </c>
      <c r="M19" s="51">
        <v>13.74</v>
      </c>
      <c r="N19" s="51">
        <v>708.6</v>
      </c>
      <c r="O19" s="51">
        <v>0</v>
      </c>
      <c r="P19" s="51">
        <v>1.21</v>
      </c>
      <c r="Q19" s="51">
        <v>9.91</v>
      </c>
      <c r="R19" s="43"/>
      <c r="S19" s="43"/>
      <c r="T19" s="43"/>
      <c r="U19" s="43"/>
    </row>
    <row r="20" spans="1:21" s="11" customFormat="1" x14ac:dyDescent="0.25">
      <c r="A20" s="50" t="s">
        <v>791</v>
      </c>
      <c r="B20" s="58" t="s">
        <v>8</v>
      </c>
      <c r="C20" s="58" t="s">
        <v>8</v>
      </c>
      <c r="D20" s="58" t="s">
        <v>8</v>
      </c>
      <c r="E20" s="51">
        <v>21.34</v>
      </c>
      <c r="F20" s="51">
        <v>23.74</v>
      </c>
      <c r="G20" s="51">
        <v>102.07</v>
      </c>
      <c r="H20" s="51">
        <v>39.49</v>
      </c>
      <c r="I20" s="51">
        <v>4.0999999999999996</v>
      </c>
      <c r="J20" s="51">
        <v>1.6</v>
      </c>
      <c r="K20" s="51">
        <v>38.89</v>
      </c>
      <c r="L20" s="51">
        <v>35.119999999999997</v>
      </c>
      <c r="M20" s="51">
        <v>11.47</v>
      </c>
      <c r="N20" s="51">
        <v>747.2</v>
      </c>
      <c r="O20" s="51">
        <v>0</v>
      </c>
      <c r="P20" s="51">
        <v>1.1599999999999999</v>
      </c>
      <c r="Q20" s="51">
        <v>9.8800000000000008</v>
      </c>
      <c r="R20" s="43"/>
      <c r="S20" s="43"/>
      <c r="T20" s="43"/>
      <c r="U20" s="43"/>
    </row>
    <row r="21" spans="1:21" s="11" customFormat="1" x14ac:dyDescent="0.25">
      <c r="A21" s="50" t="s">
        <v>792</v>
      </c>
      <c r="B21" s="58" t="s">
        <v>8</v>
      </c>
      <c r="C21" s="58" t="s">
        <v>8</v>
      </c>
      <c r="D21" s="58" t="s">
        <v>8</v>
      </c>
      <c r="E21" s="51">
        <v>61.17</v>
      </c>
      <c r="F21" s="51">
        <v>46.41</v>
      </c>
      <c r="G21" s="51">
        <v>99.59</v>
      </c>
      <c r="H21" s="51">
        <v>30.75</v>
      </c>
      <c r="I21" s="51">
        <v>4.0999999999999996</v>
      </c>
      <c r="J21" s="51">
        <v>1.71</v>
      </c>
      <c r="K21" s="51">
        <v>357.11</v>
      </c>
      <c r="L21" s="51">
        <v>37.270000000000003</v>
      </c>
      <c r="M21" s="51">
        <v>9.74</v>
      </c>
      <c r="N21" s="51">
        <v>782.6</v>
      </c>
      <c r="O21" s="51">
        <v>0</v>
      </c>
      <c r="P21" s="51">
        <v>1.1299999999999999</v>
      </c>
      <c r="Q21" s="51">
        <v>9.85</v>
      </c>
      <c r="R21" s="43"/>
      <c r="S21" s="43"/>
      <c r="T21" s="43"/>
      <c r="U21" s="43"/>
    </row>
    <row r="22" spans="1:21" s="11" customFormat="1" x14ac:dyDescent="0.25">
      <c r="A22" s="50" t="s">
        <v>793</v>
      </c>
      <c r="B22" s="58" t="s">
        <v>8</v>
      </c>
      <c r="C22" s="58" t="s">
        <v>8</v>
      </c>
      <c r="D22" s="58" t="s">
        <v>8</v>
      </c>
      <c r="E22" s="51">
        <v>55.43</v>
      </c>
      <c r="F22" s="51">
        <v>40.700000000000003</v>
      </c>
      <c r="G22" s="51">
        <v>85.17</v>
      </c>
      <c r="H22" s="51">
        <v>33.549999999999997</v>
      </c>
      <c r="I22" s="51">
        <v>4.09</v>
      </c>
      <c r="J22" s="51">
        <v>1.08</v>
      </c>
      <c r="K22" s="51">
        <v>347.84</v>
      </c>
      <c r="L22" s="51">
        <v>36.6</v>
      </c>
      <c r="M22" s="51">
        <v>11.24</v>
      </c>
      <c r="N22" s="51">
        <v>751.3</v>
      </c>
      <c r="O22" s="51">
        <v>0</v>
      </c>
      <c r="P22" s="51">
        <v>0.9</v>
      </c>
      <c r="Q22" s="51">
        <v>9.84</v>
      </c>
      <c r="R22" s="43"/>
      <c r="S22" s="43"/>
      <c r="T22" s="43"/>
      <c r="U22" s="43"/>
    </row>
    <row r="23" spans="1:21" s="11" customFormat="1" x14ac:dyDescent="0.25">
      <c r="A23" s="50" t="s">
        <v>794</v>
      </c>
      <c r="B23" s="58" t="s">
        <v>8</v>
      </c>
      <c r="C23" s="58" t="s">
        <v>8</v>
      </c>
      <c r="D23" s="58" t="s">
        <v>8</v>
      </c>
      <c r="E23" s="51">
        <v>64.650000000000006</v>
      </c>
      <c r="F23" s="51">
        <v>45.82</v>
      </c>
      <c r="G23" s="51">
        <v>73.17</v>
      </c>
      <c r="H23" s="51">
        <v>44.5</v>
      </c>
      <c r="I23" s="51">
        <v>4.1399999999999997</v>
      </c>
      <c r="J23" s="51">
        <v>1.35</v>
      </c>
      <c r="K23" s="51">
        <v>358.42</v>
      </c>
      <c r="L23" s="51">
        <v>37.700000000000003</v>
      </c>
      <c r="M23" s="51">
        <v>11.28</v>
      </c>
      <c r="N23" s="51">
        <v>475</v>
      </c>
      <c r="O23" s="51">
        <v>0</v>
      </c>
      <c r="P23" s="51">
        <v>0.93</v>
      </c>
      <c r="Q23" s="51">
        <v>9.8699999999999992</v>
      </c>
      <c r="R23" s="43"/>
      <c r="S23" s="43"/>
      <c r="T23" s="43"/>
      <c r="U23" s="43"/>
    </row>
    <row r="24" spans="1:21" s="11" customFormat="1" x14ac:dyDescent="0.25">
      <c r="A24" s="50" t="s">
        <v>795</v>
      </c>
      <c r="B24" s="58" t="s">
        <v>8</v>
      </c>
      <c r="C24" s="58" t="s">
        <v>8</v>
      </c>
      <c r="D24" s="58" t="s">
        <v>8</v>
      </c>
      <c r="E24" s="51">
        <v>54.26</v>
      </c>
      <c r="F24" s="51">
        <v>41.36</v>
      </c>
      <c r="G24" s="51">
        <v>75.13</v>
      </c>
      <c r="H24" s="51">
        <v>51.71</v>
      </c>
      <c r="I24" s="51">
        <v>4.0199999999999996</v>
      </c>
      <c r="J24" s="51">
        <v>2.29</v>
      </c>
      <c r="K24" s="51">
        <v>349.86</v>
      </c>
      <c r="L24" s="51">
        <v>34.64</v>
      </c>
      <c r="M24" s="51">
        <v>14.01</v>
      </c>
      <c r="N24" s="51">
        <v>346.1</v>
      </c>
      <c r="O24" s="51">
        <v>0</v>
      </c>
      <c r="P24" s="51">
        <v>0.85</v>
      </c>
      <c r="Q24" s="51">
        <v>9.9</v>
      </c>
      <c r="R24" s="43"/>
      <c r="S24" s="43"/>
      <c r="T24" s="43"/>
      <c r="U24" s="43"/>
    </row>
    <row r="25" spans="1:21" s="11" customFormat="1" x14ac:dyDescent="0.25">
      <c r="A25" s="50" t="s">
        <v>796</v>
      </c>
      <c r="B25" s="58" t="s">
        <v>8</v>
      </c>
      <c r="C25" s="58" t="s">
        <v>8</v>
      </c>
      <c r="D25" s="58" t="s">
        <v>8</v>
      </c>
      <c r="E25" s="51">
        <v>27.69</v>
      </c>
      <c r="F25" s="51">
        <v>22.67</v>
      </c>
      <c r="G25" s="51">
        <v>93.9</v>
      </c>
      <c r="H25" s="51">
        <v>62.45</v>
      </c>
      <c r="I25" s="51">
        <v>4.09</v>
      </c>
      <c r="J25" s="51">
        <v>2.2599999999999998</v>
      </c>
      <c r="K25" s="51">
        <v>356.1</v>
      </c>
      <c r="L25" s="51">
        <v>33.22</v>
      </c>
      <c r="M25" s="51">
        <v>15.69</v>
      </c>
      <c r="N25" s="51">
        <v>170.4</v>
      </c>
      <c r="O25" s="51">
        <v>0</v>
      </c>
      <c r="P25" s="51">
        <v>0.89</v>
      </c>
      <c r="Q25" s="51">
        <v>9.93</v>
      </c>
      <c r="R25" s="43"/>
      <c r="S25" s="43"/>
      <c r="T25" s="43"/>
      <c r="U25" s="43"/>
    </row>
    <row r="26" spans="1:21" s="11" customFormat="1" x14ac:dyDescent="0.25">
      <c r="A26" s="50" t="s">
        <v>797</v>
      </c>
      <c r="B26" s="58" t="s">
        <v>8</v>
      </c>
      <c r="C26" s="58" t="s">
        <v>8</v>
      </c>
      <c r="D26" s="58" t="s">
        <v>8</v>
      </c>
      <c r="E26" s="51">
        <v>73.22</v>
      </c>
      <c r="F26" s="51">
        <v>37.14</v>
      </c>
      <c r="G26" s="51">
        <v>122.07</v>
      </c>
      <c r="H26" s="51">
        <v>54.85</v>
      </c>
      <c r="I26" s="51">
        <v>4.05</v>
      </c>
      <c r="J26" s="51">
        <v>1.92</v>
      </c>
      <c r="K26" s="51">
        <v>359.12</v>
      </c>
      <c r="L26" s="51">
        <v>31.38</v>
      </c>
      <c r="M26" s="51">
        <v>18.170000000000002</v>
      </c>
      <c r="N26" s="51">
        <v>100.6</v>
      </c>
      <c r="O26" s="51">
        <v>0</v>
      </c>
      <c r="P26" s="51">
        <v>1.58</v>
      </c>
      <c r="Q26" s="51">
        <v>9.9499999999999993</v>
      </c>
      <c r="R26" s="43"/>
      <c r="S26" s="43"/>
      <c r="T26" s="43"/>
      <c r="U26" s="43"/>
    </row>
    <row r="27" spans="1:21" s="11" customFormat="1" x14ac:dyDescent="0.25">
      <c r="A27" s="50" t="s">
        <v>798</v>
      </c>
      <c r="B27" s="58" t="s">
        <v>8</v>
      </c>
      <c r="C27" s="58" t="s">
        <v>8</v>
      </c>
      <c r="D27" s="58" t="s">
        <v>8</v>
      </c>
      <c r="E27" s="51">
        <v>66.489999999999995</v>
      </c>
      <c r="F27" s="51">
        <v>18.21</v>
      </c>
      <c r="G27" s="51">
        <v>138.66</v>
      </c>
      <c r="H27" s="51">
        <v>25.89</v>
      </c>
      <c r="I27" s="51">
        <v>4.13</v>
      </c>
      <c r="J27" s="51">
        <v>0.9</v>
      </c>
      <c r="K27" s="51">
        <v>359.52</v>
      </c>
      <c r="L27" s="51">
        <v>28.8</v>
      </c>
      <c r="M27" s="51">
        <v>23.56</v>
      </c>
      <c r="N27" s="51">
        <v>58.1</v>
      </c>
      <c r="O27" s="51">
        <v>0</v>
      </c>
      <c r="P27" s="51">
        <v>2.35</v>
      </c>
      <c r="Q27" s="51">
        <v>9.99</v>
      </c>
      <c r="R27" s="43"/>
      <c r="S27" s="43"/>
      <c r="T27" s="43"/>
      <c r="U27" s="43"/>
    </row>
    <row r="28" spans="1:21" s="11" customFormat="1" x14ac:dyDescent="0.25">
      <c r="A28" s="50" t="s">
        <v>799</v>
      </c>
      <c r="B28" s="58" t="s">
        <v>8</v>
      </c>
      <c r="C28" s="58" t="s">
        <v>8</v>
      </c>
      <c r="D28" s="58" t="s">
        <v>8</v>
      </c>
      <c r="E28" s="51">
        <v>50.48</v>
      </c>
      <c r="F28" s="51">
        <v>10.95</v>
      </c>
      <c r="G28" s="51">
        <v>173.21</v>
      </c>
      <c r="H28" s="51">
        <v>33.82</v>
      </c>
      <c r="I28" s="51">
        <v>4.1100000000000003</v>
      </c>
      <c r="J28" s="51">
        <v>0.7</v>
      </c>
      <c r="K28" s="51">
        <v>356.64</v>
      </c>
      <c r="L28" s="51">
        <v>26.54</v>
      </c>
      <c r="M28" s="51">
        <v>33.51</v>
      </c>
      <c r="N28" s="51">
        <v>55</v>
      </c>
      <c r="O28" s="51">
        <v>0</v>
      </c>
      <c r="P28" s="51">
        <v>3.85</v>
      </c>
      <c r="Q28" s="51">
        <v>10</v>
      </c>
      <c r="R28" s="43"/>
      <c r="S28" s="43"/>
      <c r="T28" s="43"/>
      <c r="U28" s="43"/>
    </row>
    <row r="29" spans="1:21" s="11" customFormat="1" x14ac:dyDescent="0.25">
      <c r="A29" s="50" t="s">
        <v>800</v>
      </c>
      <c r="B29" s="58" t="s">
        <v>8</v>
      </c>
      <c r="C29" s="58" t="s">
        <v>8</v>
      </c>
      <c r="D29" s="58" t="s">
        <v>8</v>
      </c>
      <c r="E29" s="51">
        <v>25.02</v>
      </c>
      <c r="F29" s="51">
        <v>15.98</v>
      </c>
      <c r="G29" s="51">
        <v>193.53</v>
      </c>
      <c r="H29" s="51">
        <v>49.7</v>
      </c>
      <c r="I29" s="51">
        <v>4.09</v>
      </c>
      <c r="J29" s="51">
        <v>0.84</v>
      </c>
      <c r="K29" s="51">
        <v>28.42</v>
      </c>
      <c r="L29" s="51">
        <v>25.67</v>
      </c>
      <c r="M29" s="51">
        <v>35.53</v>
      </c>
      <c r="N29" s="51">
        <v>54.6</v>
      </c>
      <c r="O29" s="51">
        <v>0</v>
      </c>
      <c r="P29" s="51">
        <v>4.0599999999999996</v>
      </c>
      <c r="Q29" s="51">
        <v>10.15</v>
      </c>
      <c r="R29" s="43"/>
      <c r="S29" s="43"/>
      <c r="T29" s="43"/>
      <c r="U29" s="43"/>
    </row>
    <row r="30" spans="1:21" s="11" customFormat="1" x14ac:dyDescent="0.25">
      <c r="A30" s="50" t="s">
        <v>801</v>
      </c>
      <c r="B30" s="58" t="s">
        <v>8</v>
      </c>
      <c r="C30" s="58" t="s">
        <v>8</v>
      </c>
      <c r="D30" s="58" t="s">
        <v>8</v>
      </c>
      <c r="E30" s="51">
        <v>32.89</v>
      </c>
      <c r="F30" s="51">
        <v>17.59</v>
      </c>
      <c r="G30" s="51">
        <v>168.93</v>
      </c>
      <c r="H30" s="51">
        <v>58.78</v>
      </c>
      <c r="I30" s="51">
        <v>4.12</v>
      </c>
      <c r="J30" s="51">
        <v>0.64</v>
      </c>
      <c r="K30" s="51">
        <v>26.39</v>
      </c>
      <c r="L30" s="51">
        <v>25.62</v>
      </c>
      <c r="M30" s="51">
        <v>18.98</v>
      </c>
      <c r="N30" s="51">
        <v>54.6</v>
      </c>
      <c r="O30" s="51">
        <v>0</v>
      </c>
      <c r="P30" s="51">
        <v>2.52</v>
      </c>
      <c r="Q30" s="51">
        <v>10.130000000000001</v>
      </c>
      <c r="R30" s="43"/>
      <c r="S30" s="43"/>
      <c r="T30" s="43"/>
      <c r="U30" s="43"/>
    </row>
    <row r="31" spans="1:21" s="11" customFormat="1" x14ac:dyDescent="0.25">
      <c r="A31" s="50" t="s">
        <v>802</v>
      </c>
      <c r="B31" s="58" t="s">
        <v>8</v>
      </c>
      <c r="C31" s="58" t="s">
        <v>8</v>
      </c>
      <c r="D31" s="58" t="s">
        <v>8</v>
      </c>
      <c r="E31" s="51">
        <v>42.5</v>
      </c>
      <c r="F31" s="51">
        <v>20.22</v>
      </c>
      <c r="G31" s="51">
        <v>120.48</v>
      </c>
      <c r="H31" s="51">
        <v>44.24</v>
      </c>
      <c r="I31" s="51">
        <v>4.13</v>
      </c>
      <c r="J31" s="51">
        <v>0.68</v>
      </c>
      <c r="K31" s="51">
        <v>28.06</v>
      </c>
      <c r="L31" s="51">
        <v>24.83</v>
      </c>
      <c r="M31" s="51">
        <v>19.760000000000002</v>
      </c>
      <c r="N31" s="51">
        <v>54.3</v>
      </c>
      <c r="O31" s="51">
        <v>0</v>
      </c>
      <c r="P31" s="51">
        <v>2.31</v>
      </c>
      <c r="Q31" s="51">
        <v>10.09</v>
      </c>
      <c r="R31" s="43"/>
      <c r="S31" s="43"/>
      <c r="T31" s="43"/>
      <c r="U31" s="43"/>
    </row>
    <row r="32" spans="1:21" s="11" customFormat="1" x14ac:dyDescent="0.25">
      <c r="A32" s="50" t="s">
        <v>803</v>
      </c>
      <c r="B32" s="58" t="s">
        <v>8</v>
      </c>
      <c r="C32" s="58" t="s">
        <v>8</v>
      </c>
      <c r="D32" s="58" t="s">
        <v>8</v>
      </c>
      <c r="E32" s="51">
        <v>36.93</v>
      </c>
      <c r="F32" s="51">
        <v>22.81</v>
      </c>
      <c r="G32" s="51">
        <v>127.24</v>
      </c>
      <c r="H32" s="51">
        <v>42.04</v>
      </c>
      <c r="I32" s="51">
        <v>4.04</v>
      </c>
      <c r="J32" s="51">
        <v>0.57999999999999996</v>
      </c>
      <c r="K32" s="51">
        <v>53.52</v>
      </c>
      <c r="L32" s="51">
        <v>24.63</v>
      </c>
      <c r="M32" s="51">
        <v>19.649999999999999</v>
      </c>
      <c r="N32" s="51">
        <v>54.4</v>
      </c>
      <c r="O32" s="51">
        <v>0</v>
      </c>
      <c r="P32" s="51">
        <v>1.51</v>
      </c>
      <c r="Q32" s="51">
        <v>10.039999999999999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11.79</v>
      </c>
      <c r="C34" s="28">
        <f t="shared" si="0"/>
        <v>63.84</v>
      </c>
      <c r="D34" s="28">
        <f t="shared" si="0"/>
        <v>42.95</v>
      </c>
      <c r="E34" s="28">
        <f t="shared" si="0"/>
        <v>4.76</v>
      </c>
      <c r="F34" s="28">
        <f t="shared" si="0"/>
        <v>6.71</v>
      </c>
      <c r="G34" s="28">
        <f t="shared" si="0"/>
        <v>72.7</v>
      </c>
      <c r="H34" s="28">
        <f t="shared" si="0"/>
        <v>16.739999999999998</v>
      </c>
      <c r="I34" s="28">
        <f t="shared" si="0"/>
        <v>4.01</v>
      </c>
      <c r="J34" s="28">
        <f t="shared" si="0"/>
        <v>0.57999999999999996</v>
      </c>
      <c r="K34" s="28">
        <f t="shared" si="0"/>
        <v>5.44</v>
      </c>
      <c r="L34" s="28">
        <f t="shared" si="0"/>
        <v>19.79</v>
      </c>
      <c r="M34" s="28">
        <f t="shared" si="0"/>
        <v>9.74</v>
      </c>
      <c r="N34" s="28">
        <f t="shared" si="0"/>
        <v>54.3</v>
      </c>
      <c r="O34" s="28">
        <f t="shared" si="0"/>
        <v>0</v>
      </c>
      <c r="P34" s="28">
        <f t="shared" si="0"/>
        <v>0.85</v>
      </c>
      <c r="Q34" s="28">
        <f t="shared" si="0"/>
        <v>9.81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33.119999999999997</v>
      </c>
      <c r="C35" s="29">
        <f t="shared" si="1"/>
        <v>105.45</v>
      </c>
      <c r="D35" s="29">
        <f t="shared" si="1"/>
        <v>81.66</v>
      </c>
      <c r="E35" s="29">
        <f t="shared" si="1"/>
        <v>73.22</v>
      </c>
      <c r="F35" s="29">
        <f t="shared" si="1"/>
        <v>46.41</v>
      </c>
      <c r="G35" s="29">
        <f t="shared" si="1"/>
        <v>193.53</v>
      </c>
      <c r="H35" s="29">
        <f t="shared" si="1"/>
        <v>114.82</v>
      </c>
      <c r="I35" s="29">
        <f t="shared" si="1"/>
        <v>4.16</v>
      </c>
      <c r="J35" s="29">
        <f t="shared" si="1"/>
        <v>2.29</v>
      </c>
      <c r="K35" s="29">
        <f t="shared" si="1"/>
        <v>359.52</v>
      </c>
      <c r="L35" s="29">
        <f t="shared" si="1"/>
        <v>37.700000000000003</v>
      </c>
      <c r="M35" s="29">
        <f t="shared" si="1"/>
        <v>53.2</v>
      </c>
      <c r="N35" s="29">
        <f t="shared" si="1"/>
        <v>782.6</v>
      </c>
      <c r="O35" s="29">
        <f t="shared" si="1"/>
        <v>0</v>
      </c>
      <c r="P35" s="29">
        <f t="shared" si="1"/>
        <v>4.0599999999999996</v>
      </c>
      <c r="Q35" s="29">
        <f t="shared" si="1"/>
        <v>10.15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21.404999999999998</v>
      </c>
      <c r="C36" s="28">
        <f t="shared" si="2"/>
        <v>77.388750000000002</v>
      </c>
      <c r="D36" s="28">
        <f t="shared" si="2"/>
        <v>57.41375</v>
      </c>
      <c r="E36" s="28">
        <f t="shared" si="2"/>
        <v>37.359583333333333</v>
      </c>
      <c r="F36" s="28">
        <f t="shared" si="2"/>
        <v>22.081666666666663</v>
      </c>
      <c r="G36" s="28">
        <f t="shared" si="2"/>
        <v>118.97708333333333</v>
      </c>
      <c r="H36" s="28">
        <f t="shared" si="2"/>
        <v>44.325833333333343</v>
      </c>
      <c r="I36" s="28">
        <f t="shared" si="2"/>
        <v>4.0854166666666663</v>
      </c>
      <c r="J36" s="28">
        <f t="shared" si="2"/>
        <v>1.2016666666666664</v>
      </c>
      <c r="K36" s="28">
        <f t="shared" si="2"/>
        <v>211.27125000000004</v>
      </c>
      <c r="L36" s="28">
        <f t="shared" si="2"/>
        <v>28.044999999999998</v>
      </c>
      <c r="M36" s="28">
        <f t="shared" si="2"/>
        <v>24.437916666666666</v>
      </c>
      <c r="N36" s="28">
        <f t="shared" si="2"/>
        <v>263.89166666666671</v>
      </c>
      <c r="O36" s="28">
        <f t="shared" si="2"/>
        <v>0</v>
      </c>
      <c r="P36" s="28">
        <f t="shared" si="2"/>
        <v>1.5966666666666667</v>
      </c>
      <c r="Q36" s="28">
        <f t="shared" si="2"/>
        <v>9.9466666666666672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7.4345928892288056</v>
      </c>
      <c r="C37" s="28">
        <f t="shared" ref="C37:Q37" si="3">STDEV(C9:C32)</f>
        <v>13.373397300504491</v>
      </c>
      <c r="D37" s="28">
        <f t="shared" si="3"/>
        <v>12.370819279370997</v>
      </c>
      <c r="E37" s="28">
        <f t="shared" si="3"/>
        <v>18.898549168875522</v>
      </c>
      <c r="F37" s="28">
        <f t="shared" si="3"/>
        <v>11.473961700365289</v>
      </c>
      <c r="G37" s="28">
        <f t="shared" si="3"/>
        <v>34.716692198568495</v>
      </c>
      <c r="H37" s="28">
        <f t="shared" si="3"/>
        <v>19.16820054983879</v>
      </c>
      <c r="I37" s="28">
        <f t="shared" si="3"/>
        <v>4.1908717228163243E-2</v>
      </c>
      <c r="J37" s="28">
        <f t="shared" si="3"/>
        <v>0.51300196343947269</v>
      </c>
      <c r="K37" s="28">
        <f t="shared" si="3"/>
        <v>161.04437493551126</v>
      </c>
      <c r="L37" s="28">
        <f t="shared" si="3"/>
        <v>5.7343844671761941</v>
      </c>
      <c r="M37" s="28">
        <f t="shared" si="3"/>
        <v>12.298562298148894</v>
      </c>
      <c r="N37" s="28">
        <f t="shared" si="3"/>
        <v>275.93759363252792</v>
      </c>
      <c r="O37" s="28">
        <f t="shared" si="3"/>
        <v>0</v>
      </c>
      <c r="P37" s="28">
        <f t="shared" si="3"/>
        <v>0.85192705682172565</v>
      </c>
      <c r="Q37" s="28">
        <f t="shared" si="3"/>
        <v>9.5629114480015404E-2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COUNT(B9:B32)+16</f>
        <v>24</v>
      </c>
      <c r="C38" s="32">
        <f t="shared" ref="C38:D38" si="4">COUNT(C9:C32)+16</f>
        <v>24</v>
      </c>
      <c r="D38" s="32">
        <f t="shared" si="4"/>
        <v>24</v>
      </c>
      <c r="E38" s="32">
        <f t="shared" ref="E38:Q38" si="5">COUNT(E9:E32)</f>
        <v>24</v>
      </c>
      <c r="F38" s="32">
        <f t="shared" si="5"/>
        <v>24</v>
      </c>
      <c r="G38" s="32">
        <f t="shared" si="5"/>
        <v>24</v>
      </c>
      <c r="H38" s="32">
        <f t="shared" si="5"/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zoomScale="90" zoomScaleNormal="90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6" sqref="G56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01/03/2025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01/03/2025 01:00</v>
      </c>
      <c r="B9" s="24">
        <f>'01'!B36</f>
        <v>59.307083333333331</v>
      </c>
      <c r="C9" s="24">
        <f>'01'!C36</f>
        <v>90.407500000000013</v>
      </c>
      <c r="D9" s="24">
        <f>'01'!D36</f>
        <v>92.511250000000018</v>
      </c>
      <c r="E9" s="24">
        <f>'01'!E36</f>
        <v>7.66</v>
      </c>
      <c r="F9" s="24">
        <f>'01'!F36</f>
        <v>13.510416666666666</v>
      </c>
      <c r="G9" s="24">
        <f>'01'!G36</f>
        <v>92.667916666666656</v>
      </c>
      <c r="H9" s="24">
        <f>'01'!H36</f>
        <v>34.761666666666663</v>
      </c>
      <c r="I9" s="24">
        <f>'01'!I36</f>
        <v>4.0979166666666655</v>
      </c>
      <c r="J9" s="24">
        <f>'01'!J36</f>
        <v>0.84833333333333327</v>
      </c>
      <c r="K9" s="24">
        <f>'01'!K36</f>
        <v>295.37041666666659</v>
      </c>
      <c r="L9" s="24">
        <f>'01'!L36</f>
        <v>24.247500000000002</v>
      </c>
      <c r="M9" s="24">
        <f>'01'!M36</f>
        <v>46.97999999999999</v>
      </c>
      <c r="N9" s="24">
        <f>'01'!N36</f>
        <v>286.09583333333336</v>
      </c>
      <c r="O9" s="24">
        <f>'01'!O36</f>
        <v>0</v>
      </c>
      <c r="P9" s="30">
        <f>'01'!$P$36</f>
        <v>1.2108333333333332</v>
      </c>
      <c r="Q9" s="24">
        <f>'01'!Q36</f>
        <v>9.6087500000000006</v>
      </c>
      <c r="R9" s="44"/>
      <c r="S9" s="44"/>
      <c r="T9" s="44"/>
      <c r="U9" s="45"/>
    </row>
    <row r="10" spans="1:21" s="34" customFormat="1" x14ac:dyDescent="0.25">
      <c r="A10" s="36" t="str">
        <f>'02'!$B$2</f>
        <v>02/03/2025 01:00</v>
      </c>
      <c r="B10" s="33">
        <f>'02'!B36</f>
        <v>39.798749999999998</v>
      </c>
      <c r="C10" s="33">
        <f>'02'!C36</f>
        <v>84.20708333333333</v>
      </c>
      <c r="D10" s="33">
        <f>'02'!D36</f>
        <v>73.77791666666667</v>
      </c>
      <c r="E10" s="33">
        <f>'02'!E36</f>
        <v>7.8224999999999989</v>
      </c>
      <c r="F10" s="33">
        <f>'02'!F36</f>
        <v>14.077083333333336</v>
      </c>
      <c r="G10" s="33">
        <f>'02'!G36</f>
        <v>83.572083333333339</v>
      </c>
      <c r="H10" s="33">
        <f>'02'!H36</f>
        <v>29.207083333333333</v>
      </c>
      <c r="I10" s="33">
        <f>'02'!I36</f>
        <v>4.0862499999999997</v>
      </c>
      <c r="J10" s="33">
        <f>'02'!J36</f>
        <v>0.95791666666666675</v>
      </c>
      <c r="K10" s="33">
        <f>'02'!K36</f>
        <v>282.32541666666668</v>
      </c>
      <c r="L10" s="33">
        <f>'02'!L36</f>
        <v>24.445000000000004</v>
      </c>
      <c r="M10" s="33">
        <f>'02'!M36</f>
        <v>49.28</v>
      </c>
      <c r="N10" s="33">
        <f>'02'!N36</f>
        <v>268.12083333333334</v>
      </c>
      <c r="O10" s="33">
        <f>'02'!O36</f>
        <v>0</v>
      </c>
      <c r="P10" s="30">
        <f>'02'!$P$36</f>
        <v>0.99375000000000002</v>
      </c>
      <c r="Q10" s="33">
        <f>'02'!Q36</f>
        <v>9.4212499999999988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03/03/2025 01:00</v>
      </c>
      <c r="B11" s="33">
        <f>'03'!B36</f>
        <v>49.355416666666663</v>
      </c>
      <c r="C11" s="33">
        <f>'03'!C36</f>
        <v>84.900416666666672</v>
      </c>
      <c r="D11" s="33">
        <f>'03'!D36</f>
        <v>82.035416666666677</v>
      </c>
      <c r="E11" s="33">
        <f>'03'!E36</f>
        <v>8.6295833333333327</v>
      </c>
      <c r="F11" s="33">
        <f>'03'!F36</f>
        <v>14.961250000000001</v>
      </c>
      <c r="G11" s="33">
        <f>'03'!G36</f>
        <v>92.185416666666654</v>
      </c>
      <c r="H11" s="33">
        <f>'03'!H36</f>
        <v>29.103750000000005</v>
      </c>
      <c r="I11" s="33">
        <f>'03'!I36</f>
        <v>4.0966666666666667</v>
      </c>
      <c r="J11" s="33">
        <f>'03'!J36</f>
        <v>1.1749999999999998</v>
      </c>
      <c r="K11" s="33">
        <f>'03'!K36</f>
        <v>306.38541666666669</v>
      </c>
      <c r="L11" s="33">
        <f>'03'!L36</f>
        <v>25.614166666666666</v>
      </c>
      <c r="M11" s="33">
        <f>'03'!M36</f>
        <v>43.762916666666683</v>
      </c>
      <c r="N11" s="33">
        <f>'03'!N36</f>
        <v>285.625</v>
      </c>
      <c r="O11" s="33">
        <f>'03'!O36</f>
        <v>0</v>
      </c>
      <c r="P11" s="30">
        <f>'03'!$P$36</f>
        <v>1.0279166666666668</v>
      </c>
      <c r="Q11" s="33">
        <f>'03'!Q36</f>
        <v>9.4441666666666659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04/03/2025 01:00</v>
      </c>
      <c r="B12" s="33">
        <f>'04'!B36</f>
        <v>26.168333333333326</v>
      </c>
      <c r="C12" s="33">
        <f>'04'!C36</f>
        <v>72.229166666666671</v>
      </c>
      <c r="D12" s="33">
        <f>'04'!D36</f>
        <v>60.012083333333329</v>
      </c>
      <c r="E12" s="33">
        <f>'04'!E36</f>
        <v>7.8486956521739133</v>
      </c>
      <c r="F12" s="33">
        <f>'04'!F36</f>
        <v>20.124583333333337</v>
      </c>
      <c r="G12" s="33">
        <f>'04'!G36</f>
        <v>73.540909090909096</v>
      </c>
      <c r="H12" s="33">
        <f>'04'!H36</f>
        <v>22.955454545454547</v>
      </c>
      <c r="I12" s="33">
        <f>'04'!I36</f>
        <v>4.1204166666666673</v>
      </c>
      <c r="J12" s="33">
        <f>'04'!J36</f>
        <v>1.3283333333333334</v>
      </c>
      <c r="K12" s="33">
        <f>'04'!K36</f>
        <v>243.93375000000006</v>
      </c>
      <c r="L12" s="33">
        <f>'04'!L36</f>
        <v>25.452916666666667</v>
      </c>
      <c r="M12" s="33">
        <f>'04'!M36</f>
        <v>37.585833333333333</v>
      </c>
      <c r="N12" s="33">
        <f>'04'!N36</f>
        <v>294.19583333333338</v>
      </c>
      <c r="O12" s="33">
        <f>'04'!O36</f>
        <v>0</v>
      </c>
      <c r="P12" s="30">
        <f>'04'!$P$36</f>
        <v>0.89652173913043465</v>
      </c>
      <c r="Q12" s="33">
        <f>'04'!Q36</f>
        <v>9.6266666666666669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05/03/2025 01:00</v>
      </c>
      <c r="B13" s="33">
        <f>'05'!B36</f>
        <v>9.8016666666666676</v>
      </c>
      <c r="C13" s="33">
        <f>'05'!C36</f>
        <v>62.879166666666663</v>
      </c>
      <c r="D13" s="33">
        <f>'05'!D36</f>
        <v>40.456666666666671</v>
      </c>
      <c r="E13" s="33">
        <f>'05'!E36</f>
        <v>3.0295833333333331</v>
      </c>
      <c r="F13" s="33">
        <f>'05'!F36</f>
        <v>10.3575</v>
      </c>
      <c r="G13" s="33">
        <f>'05'!G36</f>
        <v>65.972499999999982</v>
      </c>
      <c r="H13" s="33">
        <f>'05'!H36</f>
        <v>36.220833333333331</v>
      </c>
      <c r="I13" s="33">
        <f>'05'!I36</f>
        <v>4.09375</v>
      </c>
      <c r="J13" s="33">
        <f>'05'!J36</f>
        <v>2.2245833333333338</v>
      </c>
      <c r="K13" s="33">
        <f>'05'!K36</f>
        <v>343.25125000000003</v>
      </c>
      <c r="L13" s="33">
        <f>'05'!L36</f>
        <v>23.537083333333339</v>
      </c>
      <c r="M13" s="33">
        <f>'05'!M36</f>
        <v>27.553333333333327</v>
      </c>
      <c r="N13" s="33">
        <f>'05'!N36</f>
        <v>318.58333333333326</v>
      </c>
      <c r="O13" s="33">
        <f>'05'!O36</f>
        <v>0</v>
      </c>
      <c r="P13" s="30">
        <f>'05'!$P$36</f>
        <v>0.67416666666666647</v>
      </c>
      <c r="Q13" s="33">
        <f>'05'!Q36</f>
        <v>9.7566666666666659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06/03/2025 01:00</v>
      </c>
      <c r="B14" s="33">
        <f>'06'!B36</f>
        <v>36.288333333333327</v>
      </c>
      <c r="C14" s="33">
        <f>'06'!C36</f>
        <v>68.909166666666678</v>
      </c>
      <c r="D14" s="33">
        <f>'06'!D36</f>
        <v>64.215000000000003</v>
      </c>
      <c r="E14" s="33">
        <f>'06'!E36</f>
        <v>13.792916666666665</v>
      </c>
      <c r="F14" s="33">
        <f>'06'!F36</f>
        <v>18.205833333333334</v>
      </c>
      <c r="G14" s="33">
        <f>'06'!G36</f>
        <v>77.293749999999974</v>
      </c>
      <c r="H14" s="33">
        <f>'06'!H36</f>
        <v>24.189999999999994</v>
      </c>
      <c r="I14" s="33">
        <f>'06'!I36</f>
        <v>4.0924999999999985</v>
      </c>
      <c r="J14" s="33">
        <f>'06'!J36</f>
        <v>1.4229166666666666</v>
      </c>
      <c r="K14" s="33">
        <f>'06'!K36</f>
        <v>336.57958333333329</v>
      </c>
      <c r="L14" s="33">
        <f>'06'!L36</f>
        <v>21.662083333333332</v>
      </c>
      <c r="M14" s="33">
        <f>'06'!M36</f>
        <v>23.703749999999999</v>
      </c>
      <c r="N14" s="33">
        <f>'06'!N36</f>
        <v>315.02916666666664</v>
      </c>
      <c r="O14" s="33">
        <f>'06'!O36</f>
        <v>0</v>
      </c>
      <c r="P14" s="30">
        <f>'06'!$P$36</f>
        <v>0.88916666666666655</v>
      </c>
      <c r="Q14" s="33">
        <f>'06'!Q36</f>
        <v>9.4104166666666647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07/03/2025 01:00</v>
      </c>
      <c r="B15" s="33">
        <f>'07'!B36</f>
        <v>46.723749999999995</v>
      </c>
      <c r="C15" s="33">
        <f>'07'!C36</f>
        <v>79.126666666666679</v>
      </c>
      <c r="D15" s="33">
        <f>'07'!D36</f>
        <v>78.139166666666668</v>
      </c>
      <c r="E15" s="33">
        <f>'07'!E36</f>
        <v>6.5041666666666673</v>
      </c>
      <c r="F15" s="33">
        <f>'07'!F36</f>
        <v>13.816250000000002</v>
      </c>
      <c r="G15" s="33">
        <f>'07'!G36</f>
        <v>86.987499999999997</v>
      </c>
      <c r="H15" s="33">
        <f>'07'!H36</f>
        <v>23.771666666666665</v>
      </c>
      <c r="I15" s="33">
        <f>'07'!I36</f>
        <v>4.0741666666666676</v>
      </c>
      <c r="J15" s="33">
        <f>'07'!J36</f>
        <v>1.0304166666666665</v>
      </c>
      <c r="K15" s="33">
        <f>'07'!K36</f>
        <v>311.22083333333336</v>
      </c>
      <c r="L15" s="33">
        <f>'07'!L36</f>
        <v>22.052083333333332</v>
      </c>
      <c r="M15" s="33">
        <f>'07'!M36</f>
        <v>28.946250000000006</v>
      </c>
      <c r="N15" s="33">
        <f>'07'!N36</f>
        <v>323.55833333333334</v>
      </c>
      <c r="O15" s="33">
        <f>'07'!O36</f>
        <v>0</v>
      </c>
      <c r="P15" s="33">
        <f>'07'!P36</f>
        <v>1.0437500000000002</v>
      </c>
      <c r="Q15" s="33">
        <f>'07'!Q36</f>
        <v>9.5324999999999989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08/03/2025 01:00</v>
      </c>
      <c r="B16" s="33">
        <f>'08'!B36</f>
        <v>49.872083333333329</v>
      </c>
      <c r="C16" s="33">
        <f>'08'!C36</f>
        <v>84.370833333333323</v>
      </c>
      <c r="D16" s="33">
        <f>'08'!D36</f>
        <v>83.65916666666665</v>
      </c>
      <c r="E16" s="33">
        <f>'08'!E36</f>
        <v>7.3637500000000005</v>
      </c>
      <c r="F16" s="33">
        <f>'08'!F36</f>
        <v>16.609166666666663</v>
      </c>
      <c r="G16" s="33">
        <f>'08'!G36</f>
        <v>86.171250000000001</v>
      </c>
      <c r="H16" s="33">
        <f>'08'!H36</f>
        <v>37.690000000000005</v>
      </c>
      <c r="I16" s="33">
        <f>'08'!I36</f>
        <v>4.0849999999999991</v>
      </c>
      <c r="J16" s="33">
        <f>'08'!J36</f>
        <v>0.98291666666666666</v>
      </c>
      <c r="K16" s="33">
        <f>'08'!K36</f>
        <v>292.97166666666669</v>
      </c>
      <c r="L16" s="33">
        <f>'08'!L36</f>
        <v>23.608750000000001</v>
      </c>
      <c r="M16" s="33">
        <f>'08'!M36</f>
        <v>30.463333333333328</v>
      </c>
      <c r="N16" s="33">
        <f>'08'!N36</f>
        <v>301.52083333333331</v>
      </c>
      <c r="O16" s="33">
        <f>'08'!O36</f>
        <v>0</v>
      </c>
      <c r="P16" s="30">
        <f>'08'!$P$36</f>
        <v>1.1491666666666667</v>
      </c>
      <c r="Q16" s="33">
        <f>'08'!Q36</f>
        <v>9.5362499999999972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09/03/2025 01:00</v>
      </c>
      <c r="B17" s="33">
        <f>'09'!B36</f>
        <v>44.16500000000002</v>
      </c>
      <c r="C17" s="33">
        <f>'09'!C36</f>
        <v>83.873333333333349</v>
      </c>
      <c r="D17" s="33">
        <f>'09'!D36</f>
        <v>78.440833333333345</v>
      </c>
      <c r="E17" s="33">
        <f>'09'!E36</f>
        <v>11.305</v>
      </c>
      <c r="F17" s="33">
        <f>'09'!F36</f>
        <v>21.677499999999995</v>
      </c>
      <c r="G17" s="33">
        <f>'09'!G36</f>
        <v>99.387916666666669</v>
      </c>
      <c r="H17" s="33">
        <f>'09'!H36</f>
        <v>30.41791666666667</v>
      </c>
      <c r="I17" s="33">
        <f>'09'!I36</f>
        <v>4.1054166666666676</v>
      </c>
      <c r="J17" s="33">
        <f>'09'!J36</f>
        <v>1.1062500000000002</v>
      </c>
      <c r="K17" s="33">
        <f>'09'!K36</f>
        <v>237.22874999999999</v>
      </c>
      <c r="L17" s="33">
        <f>'09'!L36</f>
        <v>24.865833333333331</v>
      </c>
      <c r="M17" s="33">
        <f>'09'!M36</f>
        <v>31.469583333333329</v>
      </c>
      <c r="N17" s="33">
        <f>'09'!N36</f>
        <v>270.5291666666667</v>
      </c>
      <c r="O17" s="33">
        <f>'09'!O36</f>
        <v>0</v>
      </c>
      <c r="P17" s="33">
        <f>'09'!P36</f>
        <v>1.16875</v>
      </c>
      <c r="Q17" s="33">
        <f>'09'!Q36</f>
        <v>9.6254166666666663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10/03/2025 01:00</v>
      </c>
      <c r="B18" s="33">
        <f>'10'!B36</f>
        <v>48.833750000000002</v>
      </c>
      <c r="C18" s="33">
        <f>'10'!C36</f>
        <v>99.063333333333333</v>
      </c>
      <c r="D18" s="33">
        <f>'10'!D36</f>
        <v>90.17916666666666</v>
      </c>
      <c r="E18" s="33">
        <f>'10'!E36</f>
        <v>14.078333333333333</v>
      </c>
      <c r="F18" s="33">
        <f>'10'!F36</f>
        <v>18.753333333333334</v>
      </c>
      <c r="G18" s="33">
        <f>'10'!G36</f>
        <v>115.66250000000001</v>
      </c>
      <c r="H18" s="33">
        <f>'10'!H36</f>
        <v>37.926249999999989</v>
      </c>
      <c r="I18" s="33">
        <f>'10'!I36</f>
        <v>4.0862500000000006</v>
      </c>
      <c r="J18" s="33">
        <f>'10'!J36</f>
        <v>1.2</v>
      </c>
      <c r="K18" s="33">
        <f>'10'!K36</f>
        <v>217.12291666666661</v>
      </c>
      <c r="L18" s="33">
        <f>'10'!L36</f>
        <v>25.038333333333338</v>
      </c>
      <c r="M18" s="33">
        <f>'10'!M36</f>
        <v>35.06</v>
      </c>
      <c r="N18" s="33">
        <f>'10'!N36</f>
        <v>254.2208333333333</v>
      </c>
      <c r="O18" s="33">
        <f>'10'!O36</f>
        <v>0</v>
      </c>
      <c r="P18" s="30">
        <f>'10'!$P$36</f>
        <v>1.6504166666666666</v>
      </c>
      <c r="Q18" s="33">
        <f>'10'!Q36</f>
        <v>9.5612499999999994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11/03/2025 01:00</v>
      </c>
      <c r="B19" s="33">
        <f>'11'!B36</f>
        <v>96.64791666666666</v>
      </c>
      <c r="C19" s="33">
        <f>'11'!C36</f>
        <v>88.777499999999989</v>
      </c>
      <c r="D19" s="33">
        <f>'11'!D36</f>
        <v>123.05874999999999</v>
      </c>
      <c r="E19" s="33">
        <f>'11'!E36</f>
        <v>9.2774999999999999</v>
      </c>
      <c r="F19" s="33">
        <f>'11'!F36</f>
        <v>12.555416666666666</v>
      </c>
      <c r="G19" s="33">
        <f>'11'!G36</f>
        <v>96.236249999999998</v>
      </c>
      <c r="H19" s="33">
        <f>'11'!H36</f>
        <v>23.570833333333336</v>
      </c>
      <c r="I19" s="33">
        <f>'11'!I36</f>
        <v>4.0966666666666658</v>
      </c>
      <c r="J19" s="33">
        <f>'11'!J36</f>
        <v>1.2733333333333332</v>
      </c>
      <c r="K19" s="33">
        <f>'11'!K36</f>
        <v>259.91833333333324</v>
      </c>
      <c r="L19" s="33">
        <f>'11'!L36</f>
        <v>25.204166666666669</v>
      </c>
      <c r="M19" s="33">
        <f>'11'!M36</f>
        <v>31.440416666666664</v>
      </c>
      <c r="N19" s="33">
        <f>'11'!N36</f>
        <v>299.61249999999995</v>
      </c>
      <c r="O19" s="33">
        <f>'11'!O36</f>
        <v>0</v>
      </c>
      <c r="P19" s="33">
        <f>'11'!P36</f>
        <v>1.7024999999999999</v>
      </c>
      <c r="Q19" s="33">
        <f>'11'!Q36</f>
        <v>9.7362499999999983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12/03/2025 01:00</v>
      </c>
      <c r="B20" s="33">
        <f>'12'!B36</f>
        <v>100.20041666666664</v>
      </c>
      <c r="C20" s="33">
        <f>'12'!C36</f>
        <v>94.21916666666668</v>
      </c>
      <c r="D20" s="33">
        <f>'12'!D36</f>
        <v>128.10291666666669</v>
      </c>
      <c r="E20" s="33">
        <f>'12'!E36</f>
        <v>8.5166666666666657</v>
      </c>
      <c r="F20" s="33">
        <f>'12'!F36</f>
        <v>14.177500000000002</v>
      </c>
      <c r="G20" s="33">
        <f>'12'!G36</f>
        <v>95.080833333333331</v>
      </c>
      <c r="H20" s="33">
        <f>'12'!H36</f>
        <v>30.323333333333338</v>
      </c>
      <c r="I20" s="33">
        <f>'12'!I36</f>
        <v>4.0983333333333327</v>
      </c>
      <c r="J20" s="33">
        <f>'12'!J36</f>
        <v>0.95541666666666669</v>
      </c>
      <c r="K20" s="33">
        <f>'12'!K36</f>
        <v>314.9325</v>
      </c>
      <c r="L20" s="33">
        <f>'12'!L36</f>
        <v>25.926666666666673</v>
      </c>
      <c r="M20" s="33">
        <f>'12'!M36</f>
        <v>38.192499999999995</v>
      </c>
      <c r="N20" s="33">
        <f>'12'!N36</f>
        <v>289.17916666666673</v>
      </c>
      <c r="O20" s="33">
        <f>'12'!O36</f>
        <v>0</v>
      </c>
      <c r="P20" s="33">
        <f>'12'!P36</f>
        <v>1.5608333333333337</v>
      </c>
      <c r="Q20" s="33">
        <f>'12'!Q36</f>
        <v>9.7837500000000031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13/03/2025 01:00</v>
      </c>
      <c r="B21" s="33">
        <f>'13'!B36</f>
        <v>57.730833333333329</v>
      </c>
      <c r="C21" s="33">
        <f>'13'!C36</f>
        <v>86.143750000000011</v>
      </c>
      <c r="D21" s="33">
        <f>'13'!D36</f>
        <v>90.647499999999994</v>
      </c>
      <c r="E21" s="33">
        <f>'13'!E36</f>
        <v>6.5987499999999999</v>
      </c>
      <c r="F21" s="33">
        <f>'13'!F36</f>
        <v>14.444166666666666</v>
      </c>
      <c r="G21" s="33">
        <f>'13'!G36</f>
        <v>88.28166666666668</v>
      </c>
      <c r="H21" s="33">
        <f>'13'!H36</f>
        <v>32.098750000000003</v>
      </c>
      <c r="I21" s="33">
        <f>'13'!I36</f>
        <v>4.0770833333333334</v>
      </c>
      <c r="J21" s="33">
        <f>'13'!J36</f>
        <v>0.91708333333333314</v>
      </c>
      <c r="K21" s="33">
        <f>'13'!K36</f>
        <v>293.89291666666668</v>
      </c>
      <c r="L21" s="33">
        <f>'13'!L36</f>
        <v>26.715833333333332</v>
      </c>
      <c r="M21" s="33">
        <f>'13'!M36</f>
        <v>33.842083333333335</v>
      </c>
      <c r="N21" s="33">
        <f>'13'!N36</f>
        <v>269.75833333333333</v>
      </c>
      <c r="O21" s="33">
        <f>'13'!O36</f>
        <v>0</v>
      </c>
      <c r="P21" s="33">
        <f>'13'!P36</f>
        <v>1.4275000000000002</v>
      </c>
      <c r="Q21" s="33">
        <f>'13'!Q36</f>
        <v>9.5762499999999999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14/03/2025 01:00</v>
      </c>
      <c r="B22" s="30">
        <f>'14'!B36</f>
        <v>22.874166666666667</v>
      </c>
      <c r="C22" s="30">
        <f>'14'!C36</f>
        <v>69.394583333333316</v>
      </c>
      <c r="D22" s="30">
        <f>'14'!D36</f>
        <v>54.17499999999999</v>
      </c>
      <c r="E22" s="30">
        <f>'14'!E36</f>
        <v>8.279166666666665</v>
      </c>
      <c r="F22" s="30">
        <f>'14'!F36</f>
        <v>20.649583333333332</v>
      </c>
      <c r="G22" s="30">
        <f>'14'!G36</f>
        <v>71.750000000000014</v>
      </c>
      <c r="H22" s="30">
        <f>'14'!H36</f>
        <v>27.384583333333342</v>
      </c>
      <c r="I22" s="30">
        <f>'14'!I36</f>
        <v>4.1079166666666653</v>
      </c>
      <c r="J22" s="30">
        <f>'14'!J36</f>
        <v>0.91416666666666657</v>
      </c>
      <c r="K22" s="30">
        <f>'14'!K36</f>
        <v>295.67083333333335</v>
      </c>
      <c r="L22" s="30">
        <f>'14'!L36</f>
        <v>27.469166666666666</v>
      </c>
      <c r="M22" s="30">
        <f>'14'!M36</f>
        <v>32.641250000000007</v>
      </c>
      <c r="N22" s="30">
        <f>'14'!N36</f>
        <v>266.50833333333338</v>
      </c>
      <c r="O22" s="30">
        <f>'14'!O36</f>
        <v>0</v>
      </c>
      <c r="P22" s="30">
        <f>'14'!P36</f>
        <v>1.4424999999999999</v>
      </c>
      <c r="Q22" s="30">
        <f>'14'!Q36</f>
        <v>9.4079166666666669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15/03/2025 01:00</v>
      </c>
      <c r="B23" s="33">
        <f>'15'!B36</f>
        <v>39.185833333333335</v>
      </c>
      <c r="C23" s="33">
        <f>'15'!C36</f>
        <v>77.141666666666666</v>
      </c>
      <c r="D23" s="33">
        <f>'15'!D36</f>
        <v>71.148333333333326</v>
      </c>
      <c r="E23" s="33">
        <f>'15'!E36</f>
        <v>7.66</v>
      </c>
      <c r="F23" s="33">
        <f>'15'!F36</f>
        <v>17.695</v>
      </c>
      <c r="G23" s="33">
        <f>'15'!G36</f>
        <v>59.817083333333329</v>
      </c>
      <c r="H23" s="33">
        <f>'15'!H36</f>
        <v>23.741666666666664</v>
      </c>
      <c r="I23" s="33">
        <f>'15'!I36</f>
        <v>4.0879166666666675</v>
      </c>
      <c r="J23" s="33">
        <f>'15'!J36</f>
        <v>0.85124999999999995</v>
      </c>
      <c r="K23" s="33">
        <f>'15'!K36</f>
        <v>314.43374999999997</v>
      </c>
      <c r="L23" s="33">
        <f>'15'!L36</f>
        <v>26.837500000000002</v>
      </c>
      <c r="M23" s="33">
        <f>'15'!M36</f>
        <v>41.739999999999981</v>
      </c>
      <c r="N23" s="33">
        <f>'15'!N36</f>
        <v>256.22916666666669</v>
      </c>
      <c r="O23" s="33">
        <f>'15'!O36</f>
        <v>0</v>
      </c>
      <c r="P23" s="30">
        <f>'15'!P36</f>
        <v>1.3312499999999998</v>
      </c>
      <c r="Q23" s="30">
        <f>'15'!Q36</f>
        <v>9.4020833333333336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16/03/2025 01:00</v>
      </c>
      <c r="B24" s="33">
        <f>'16'!B36</f>
        <v>44.713750000000005</v>
      </c>
      <c r="C24" s="33">
        <f>'16'!C36</f>
        <v>84.028333333333322</v>
      </c>
      <c r="D24" s="33">
        <f>'16'!D36</f>
        <v>79.449999999999989</v>
      </c>
      <c r="E24" s="33">
        <f>'16'!E36</f>
        <v>6.8529166666666663</v>
      </c>
      <c r="F24" s="33">
        <f>'16'!F36</f>
        <v>16.950833333333332</v>
      </c>
      <c r="G24" s="33">
        <f>'16'!G36</f>
        <v>80.632500000000007</v>
      </c>
      <c r="H24" s="33">
        <f>'16'!H36</f>
        <v>26.151249999999994</v>
      </c>
      <c r="I24" s="33">
        <f>'16'!I36</f>
        <v>4.0841666666666665</v>
      </c>
      <c r="J24" s="33">
        <f>'16'!J36</f>
        <v>0.96208333333333329</v>
      </c>
      <c r="K24" s="33">
        <f>'16'!K36</f>
        <v>306.38499999999993</v>
      </c>
      <c r="L24" s="33">
        <f>'16'!L36</f>
        <v>26.934583333333336</v>
      </c>
      <c r="M24" s="33">
        <f>'16'!M36</f>
        <v>43.293333333333329</v>
      </c>
      <c r="N24" s="33">
        <f>'16'!N36</f>
        <v>246.0958333333333</v>
      </c>
      <c r="O24" s="33">
        <f>'16'!O36</f>
        <v>0</v>
      </c>
      <c r="P24" s="30">
        <f>'16'!P36</f>
        <v>1.2866666666666668</v>
      </c>
      <c r="Q24" s="30">
        <f>'16'!Q36</f>
        <v>9.3808333333333351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17/03/2025 01:00</v>
      </c>
      <c r="B25" s="33">
        <f>'17'!B36</f>
        <v>17.709166666666668</v>
      </c>
      <c r="C25" s="33">
        <f>'17'!C36</f>
        <v>72.890416666666667</v>
      </c>
      <c r="D25" s="33">
        <f>'17'!D36</f>
        <v>51.505416666666669</v>
      </c>
      <c r="E25" s="33">
        <f>'17'!E36</f>
        <v>9.3058333333333358</v>
      </c>
      <c r="F25" s="33">
        <f>'17'!F36</f>
        <v>17.409166666666664</v>
      </c>
      <c r="G25" s="33">
        <f>'17'!G36</f>
        <v>65.06874999999998</v>
      </c>
      <c r="H25" s="33">
        <f>'17'!H36</f>
        <v>27.026250000000008</v>
      </c>
      <c r="I25" s="33">
        <f>'17'!I36</f>
        <v>4.095416666666666</v>
      </c>
      <c r="J25" s="33">
        <f>'17'!J36</f>
        <v>1.2250000000000001</v>
      </c>
      <c r="K25" s="33">
        <f>'17'!K36</f>
        <v>311.09499999999997</v>
      </c>
      <c r="L25" s="33">
        <f>'17'!L36</f>
        <v>27.640416666666667</v>
      </c>
      <c r="M25" s="33">
        <f>'17'!M36</f>
        <v>33.986666666666672</v>
      </c>
      <c r="N25" s="33">
        <f>'17'!N36</f>
        <v>254.40833333333333</v>
      </c>
      <c r="O25" s="33">
        <f>'17'!O36</f>
        <v>0</v>
      </c>
      <c r="P25" s="30">
        <f>'17'!P36</f>
        <v>0.98208333333333353</v>
      </c>
      <c r="Q25" s="30">
        <f>'17'!Q36</f>
        <v>9.4020833333333318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18/03/2025 01:00</v>
      </c>
      <c r="B26" s="33">
        <f>'18'!B36</f>
        <v>10.756086956521738</v>
      </c>
      <c r="C26" s="33">
        <f>'18'!C36</f>
        <v>67.778695652173951</v>
      </c>
      <c r="D26" s="33">
        <f>'18'!D36</f>
        <v>62.378695652173924</v>
      </c>
      <c r="E26" s="33">
        <f>'18'!E36</f>
        <v>16.468260869565214</v>
      </c>
      <c r="F26" s="33">
        <f>'18'!F36</f>
        <v>17.972916666666666</v>
      </c>
      <c r="G26" s="33">
        <f>'18'!G36</f>
        <v>91.268571428571434</v>
      </c>
      <c r="H26" s="33">
        <f>'18'!H36</f>
        <v>23.003809523809526</v>
      </c>
      <c r="I26" s="33">
        <f>'18'!I36</f>
        <v>4.0874999999999995</v>
      </c>
      <c r="J26" s="33">
        <f>'18'!J36</f>
        <v>1.0829166666666665</v>
      </c>
      <c r="K26" s="33">
        <f>'18'!K36</f>
        <v>231.78916666666672</v>
      </c>
      <c r="L26" s="33">
        <f>'18'!L36</f>
        <v>26.700416666666669</v>
      </c>
      <c r="M26" s="33">
        <f>'18'!M36</f>
        <v>36.468749999999993</v>
      </c>
      <c r="N26" s="33">
        <f>'18'!N36</f>
        <v>280.74583333333345</v>
      </c>
      <c r="O26" s="33">
        <f>'18'!O36</f>
        <v>0</v>
      </c>
      <c r="P26" s="30">
        <f>'18'!P36</f>
        <v>0.6641666666666669</v>
      </c>
      <c r="Q26" s="30">
        <f>'18'!Q36</f>
        <v>9.6658333333333335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19/03/2025 01:00</v>
      </c>
      <c r="B27" s="33">
        <f>'19'!B36</f>
        <v>27.755416666666672</v>
      </c>
      <c r="C27" s="33">
        <f>'19'!C36</f>
        <v>91.696250000000006</v>
      </c>
      <c r="D27" s="33">
        <f>'19'!D36</f>
        <v>118.84208333333332</v>
      </c>
      <c r="E27" s="33">
        <f>'19'!E36</f>
        <v>16.221666666666668</v>
      </c>
      <c r="F27" s="33">
        <f>'19'!F36</f>
        <v>25.900833333333335</v>
      </c>
      <c r="G27" s="33">
        <f>'19'!G36</f>
        <v>86.702500000000001</v>
      </c>
      <c r="H27" s="33">
        <f>'19'!H36</f>
        <v>32.905833333333341</v>
      </c>
      <c r="I27" s="33">
        <f>'19'!I36</f>
        <v>4.1012499999999994</v>
      </c>
      <c r="J27" s="33">
        <f>'19'!J36</f>
        <v>1.0587500000000001</v>
      </c>
      <c r="K27" s="33">
        <f>'19'!K36</f>
        <v>225.20499999999996</v>
      </c>
      <c r="L27" s="33">
        <f>'19'!L36</f>
        <v>27.696249999999992</v>
      </c>
      <c r="M27" s="33">
        <f>'19'!M36</f>
        <v>36.210833333333319</v>
      </c>
      <c r="N27" s="33">
        <f>'19'!N36</f>
        <v>233.40416666666667</v>
      </c>
      <c r="O27" s="33">
        <f>'19'!O36</f>
        <v>0</v>
      </c>
      <c r="P27" s="30">
        <f>'19'!P36</f>
        <v>1.4337500000000001</v>
      </c>
      <c r="Q27" s="30">
        <f>'19'!Q36</f>
        <v>9.555416666666666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20/03/2025 01:00</v>
      </c>
      <c r="B28" s="33">
        <f>'20'!B36</f>
        <v>26.215416666666666</v>
      </c>
      <c r="C28" s="33">
        <f>'20'!C36</f>
        <v>80.913333333333341</v>
      </c>
      <c r="D28" s="33">
        <f>'20'!D36</f>
        <v>106.17624999999998</v>
      </c>
      <c r="E28" s="33">
        <f>'20'!E36</f>
        <v>8.9733333333333345</v>
      </c>
      <c r="F28" s="33">
        <f>'20'!F36</f>
        <v>17.344583333333336</v>
      </c>
      <c r="G28" s="33">
        <f>'20'!G36</f>
        <v>56.567083333333336</v>
      </c>
      <c r="H28" s="33">
        <f>'20'!H36</f>
        <v>23.497083333333332</v>
      </c>
      <c r="I28" s="33">
        <f>'20'!I36</f>
        <v>4.0808333333333335</v>
      </c>
      <c r="J28" s="33">
        <f>'20'!J36</f>
        <v>1.0116666666666667</v>
      </c>
      <c r="K28" s="33">
        <f>'20'!K36</f>
        <v>285.18916666666672</v>
      </c>
      <c r="L28" s="33">
        <f>'20'!L36</f>
        <v>27.280000000000005</v>
      </c>
      <c r="M28" s="33">
        <f>'20'!M36</f>
        <v>42.877083333333331</v>
      </c>
      <c r="N28" s="33">
        <f>'20'!N36</f>
        <v>257.70833333333326</v>
      </c>
      <c r="O28" s="33">
        <f>'20'!O36</f>
        <v>0</v>
      </c>
      <c r="P28" s="30">
        <f>'20'!P36</f>
        <v>1.1324999999999998</v>
      </c>
      <c r="Q28" s="30">
        <f>'20'!Q36</f>
        <v>9.0116666666666649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21/03/2025 01:00</v>
      </c>
      <c r="B29" s="33">
        <f>'21'!B36</f>
        <v>12.892916666666666</v>
      </c>
      <c r="C29" s="33">
        <f>'21'!C36</f>
        <v>68.22208333333333</v>
      </c>
      <c r="D29" s="33">
        <f>'21'!D36</f>
        <v>80.693749999999994</v>
      </c>
      <c r="E29" s="33">
        <f>'21'!E36</f>
        <v>7.552083333333333</v>
      </c>
      <c r="F29" s="33">
        <f>'21'!F36</f>
        <v>14.58</v>
      </c>
      <c r="G29" s="33">
        <f>'21'!G36</f>
        <v>65.5</v>
      </c>
      <c r="H29" s="33">
        <f>'21'!H36</f>
        <v>22.233750000000001</v>
      </c>
      <c r="I29" s="33">
        <f>'21'!I36</f>
        <v>4.1066666666666665</v>
      </c>
      <c r="J29" s="33">
        <f>'21'!J36</f>
        <v>1.5258333333333332</v>
      </c>
      <c r="K29" s="33">
        <f>'21'!K36</f>
        <v>209.73541666666668</v>
      </c>
      <c r="L29" s="33">
        <f>'21'!L36</f>
        <v>25.595833333333335</v>
      </c>
      <c r="M29" s="33">
        <f>'21'!M36</f>
        <v>56.18041666666668</v>
      </c>
      <c r="N29" s="33">
        <f>'21'!N36</f>
        <v>239.95833333333334</v>
      </c>
      <c r="O29" s="33">
        <f>'21'!O36</f>
        <v>0</v>
      </c>
      <c r="P29" s="30">
        <f>'21'!P36</f>
        <v>0.73916666666666675</v>
      </c>
      <c r="Q29" s="30">
        <f>'21'!Q36</f>
        <v>9.0895833333333318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22/03/2025 01:00</v>
      </c>
      <c r="B30" s="33">
        <f>'22'!B36</f>
        <v>7.298333333333332</v>
      </c>
      <c r="C30" s="33">
        <f>'22'!C36</f>
        <v>58.324166666666663</v>
      </c>
      <c r="D30" s="33">
        <f>'22'!D36</f>
        <v>65.277500000000003</v>
      </c>
      <c r="E30" s="33">
        <f>'22'!E36</f>
        <v>5.274166666666666</v>
      </c>
      <c r="F30" s="33">
        <f>'22'!F36</f>
        <v>19.497083333333329</v>
      </c>
      <c r="G30" s="33">
        <f>'22'!G36</f>
        <v>33.505833333333335</v>
      </c>
      <c r="H30" s="33">
        <f>'22'!H36</f>
        <v>14.565</v>
      </c>
      <c r="I30" s="33">
        <f>'22'!I36</f>
        <v>4.0912499999999996</v>
      </c>
      <c r="J30" s="33">
        <f>'22'!J36</f>
        <v>1.4858333333333331</v>
      </c>
      <c r="K30" s="33">
        <f>'22'!K36</f>
        <v>191.99458333333337</v>
      </c>
      <c r="L30" s="33">
        <f>'22'!L36</f>
        <v>24.012083333333333</v>
      </c>
      <c r="M30" s="33">
        <f>'22'!M36</f>
        <v>66.581666666666663</v>
      </c>
      <c r="N30" s="33">
        <f>'22'!N36</f>
        <v>284.98750000000001</v>
      </c>
      <c r="O30" s="33">
        <f>'22'!O36</f>
        <v>0</v>
      </c>
      <c r="P30" s="30">
        <f>'22'!P36</f>
        <v>0.58708333333333329</v>
      </c>
      <c r="Q30" s="30">
        <f>'22'!Q36</f>
        <v>8.9662500000000005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23/03/2025 01:00</v>
      </c>
      <c r="B31" s="33">
        <f>'23'!B36</f>
        <v>12.624166666666667</v>
      </c>
      <c r="C31" s="33">
        <f>'23'!C36</f>
        <v>61.555833333333332</v>
      </c>
      <c r="D31" s="33">
        <f>'23'!D36</f>
        <v>73.73666666666665</v>
      </c>
      <c r="E31" s="33">
        <f>'23'!E36</f>
        <v>4.3354166666666663</v>
      </c>
      <c r="F31" s="33">
        <f>'23'!F36</f>
        <v>17.967083333333335</v>
      </c>
      <c r="G31" s="33">
        <f>'23'!G36</f>
        <v>41.937083333333327</v>
      </c>
      <c r="H31" s="33">
        <f>'23'!H36</f>
        <v>16.346666666666668</v>
      </c>
      <c r="I31" s="33">
        <f>'23'!I36</f>
        <v>4.1108333333333329</v>
      </c>
      <c r="J31" s="33">
        <f>'23'!J36</f>
        <v>1.2362499999999998</v>
      </c>
      <c r="K31" s="33">
        <f>'23'!K36</f>
        <v>211.05083333333334</v>
      </c>
      <c r="L31" s="33">
        <f>'23'!L36</f>
        <v>24.128333333333334</v>
      </c>
      <c r="M31" s="33">
        <f>'23'!M36</f>
        <v>69.425416666666649</v>
      </c>
      <c r="N31" s="33">
        <f>'23'!N36</f>
        <v>249.41249999999999</v>
      </c>
      <c r="O31" s="33">
        <f>'23'!O36</f>
        <v>8.3333333333333332E-3</v>
      </c>
      <c r="P31" s="33">
        <f>'23'!P36</f>
        <v>0.70708333333333329</v>
      </c>
      <c r="Q31" s="33">
        <f>'23'!Q36</f>
        <v>9.142083333333332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24/03/2025 01:00</v>
      </c>
      <c r="B32" s="33">
        <f>'24'!B36</f>
        <v>30.05083333333333</v>
      </c>
      <c r="C32" s="33">
        <f>'24'!C36</f>
        <v>69.027500000000003</v>
      </c>
      <c r="D32" s="33">
        <f>'24'!D36</f>
        <v>78.426249999999996</v>
      </c>
      <c r="E32" s="33">
        <f>'24'!E36</f>
        <v>4.2908333333333326</v>
      </c>
      <c r="F32" s="33">
        <f>'24'!F36</f>
        <v>16.108750000000004</v>
      </c>
      <c r="G32" s="33">
        <f>'24'!G36</f>
        <v>59.040833333333332</v>
      </c>
      <c r="H32" s="33">
        <f>'24'!H36</f>
        <v>16.786666666666665</v>
      </c>
      <c r="I32" s="33">
        <f>'24'!I36</f>
        <v>4.0995833333333325</v>
      </c>
      <c r="J32" s="33">
        <f>'24'!J36</f>
        <v>1.2908333333333333</v>
      </c>
      <c r="K32" s="33">
        <f>'24'!K36</f>
        <v>207.83541666666667</v>
      </c>
      <c r="L32" s="33">
        <f>'24'!L36</f>
        <v>25.455000000000002</v>
      </c>
      <c r="M32" s="33">
        <f>'24'!M36</f>
        <v>55.636249999999997</v>
      </c>
      <c r="N32" s="33">
        <f>'24'!N36</f>
        <v>300.56249999999994</v>
      </c>
      <c r="O32" s="33">
        <f>'24'!O36</f>
        <v>0</v>
      </c>
      <c r="P32" s="33">
        <f>'24'!P36</f>
        <v>0.98666666666666647</v>
      </c>
      <c r="Q32" s="33">
        <f>'24'!Q36</f>
        <v>9.2799999999999994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25/03/2025 01:00</v>
      </c>
      <c r="B33" s="33">
        <f>'25'!B36</f>
        <v>27.084166666666672</v>
      </c>
      <c r="C33" s="33">
        <f>'25'!C36</f>
        <v>79.978750000000005</v>
      </c>
      <c r="D33" s="33">
        <f>'25'!D36</f>
        <v>63.103333333333325</v>
      </c>
      <c r="E33" s="33">
        <f>'25'!E36</f>
        <v>10.616666666666667</v>
      </c>
      <c r="F33" s="33">
        <f>'25'!F36</f>
        <v>20.171666666666667</v>
      </c>
      <c r="G33" s="33">
        <f>'25'!G36</f>
        <v>86.404583333333335</v>
      </c>
      <c r="H33" s="33">
        <f>'25'!H36</f>
        <v>30.21916666666667</v>
      </c>
      <c r="I33" s="33">
        <f>'25'!I36</f>
        <v>4.0975000000000001</v>
      </c>
      <c r="J33" s="33">
        <f>'25'!J36</f>
        <v>1.0633333333333332</v>
      </c>
      <c r="K33" s="33">
        <f>'25'!K36</f>
        <v>276.26249999999993</v>
      </c>
      <c r="L33" s="33">
        <f>'25'!L36</f>
        <v>26.138333333333335</v>
      </c>
      <c r="M33" s="33">
        <f>'25'!M36</f>
        <v>40.954166666666666</v>
      </c>
      <c r="N33" s="33">
        <f>'25'!N36</f>
        <v>306.74583333333334</v>
      </c>
      <c r="O33" s="33">
        <f>'25'!O36</f>
        <v>0</v>
      </c>
      <c r="P33" s="33">
        <f>'25'!P36</f>
        <v>0.9833333333333335</v>
      </c>
      <c r="Q33" s="33">
        <f>'25'!Q36</f>
        <v>9.3091666666666644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26/03/2025 01:00</v>
      </c>
      <c r="B34" s="33">
        <f>'26'!B36</f>
        <v>49.460833333333319</v>
      </c>
      <c r="C34" s="33">
        <f>'26'!C36</f>
        <v>91.520833333333357</v>
      </c>
      <c r="D34" s="33">
        <f>'26'!D36</f>
        <v>85.791666666666671</v>
      </c>
      <c r="E34" s="33">
        <f>'26'!E36</f>
        <v>9.6329166666666648</v>
      </c>
      <c r="F34" s="33">
        <f>'26'!F36</f>
        <v>18.68375</v>
      </c>
      <c r="G34" s="33">
        <f>'26'!G36</f>
        <v>121.23000000000002</v>
      </c>
      <c r="H34" s="33">
        <f>'26'!H36</f>
        <v>44.059583333333343</v>
      </c>
      <c r="I34" s="33">
        <f>'26'!I36</f>
        <v>4.1124999999999998</v>
      </c>
      <c r="J34" s="33">
        <f>'26'!J36</f>
        <v>0.91333333333333344</v>
      </c>
      <c r="K34" s="33">
        <f>'26'!K36</f>
        <v>290.29833333333335</v>
      </c>
      <c r="L34" s="33">
        <f>'26'!L36</f>
        <v>26.280416666666667</v>
      </c>
      <c r="M34" s="33">
        <f>'26'!M36</f>
        <v>39.259166666666658</v>
      </c>
      <c r="N34" s="33">
        <f>'26'!N36</f>
        <v>297.47083333333336</v>
      </c>
      <c r="O34" s="33">
        <f>'26'!O36</f>
        <v>0</v>
      </c>
      <c r="P34" s="33">
        <f>'26'!P36</f>
        <v>1.3904166666666666</v>
      </c>
      <c r="Q34" s="33">
        <f>'26'!Q36</f>
        <v>9.387083333333333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27/03/2025 01:00</v>
      </c>
      <c r="B35" s="33">
        <f>'27'!B36</f>
        <v>39.509166666666665</v>
      </c>
      <c r="C35" s="33">
        <f>'27'!C36</f>
        <v>80.222500000000011</v>
      </c>
      <c r="D35" s="33">
        <f>'27'!D36</f>
        <v>72.167500000000004</v>
      </c>
      <c r="E35" s="33">
        <f>'27'!E36</f>
        <v>9.8056521739130442</v>
      </c>
      <c r="F35" s="33">
        <f>'27'!F36</f>
        <v>20.223913043478259</v>
      </c>
      <c r="G35" s="33">
        <f>'27'!G36</f>
        <v>107.40565217391304</v>
      </c>
      <c r="H35" s="33">
        <f>'27'!H36</f>
        <v>39.033043478260872</v>
      </c>
      <c r="I35" s="33">
        <f>'27'!I36</f>
        <v>4.0991304347826079</v>
      </c>
      <c r="J35" s="33">
        <f>'27'!J36</f>
        <v>0.86608695652173895</v>
      </c>
      <c r="K35" s="33">
        <f>'27'!K36</f>
        <v>304.47043478260872</v>
      </c>
      <c r="L35" s="33">
        <f>'27'!L36</f>
        <v>27.041304347826088</v>
      </c>
      <c r="M35" s="33">
        <f>'27'!M36</f>
        <v>35.488260869565217</v>
      </c>
      <c r="N35" s="33">
        <f>'27'!N36</f>
        <v>260.0130434782609</v>
      </c>
      <c r="O35" s="33">
        <f>'27'!O36</f>
        <v>0</v>
      </c>
      <c r="P35" s="30">
        <f>'27'!P36</f>
        <v>1.3104347826086955</v>
      </c>
      <c r="Q35" s="33">
        <f>'27'!Q36</f>
        <v>9.4854545454545445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28/03/2025 01:00</v>
      </c>
      <c r="B36" s="58" t="s">
        <v>8</v>
      </c>
      <c r="C36" s="58" t="s">
        <v>8</v>
      </c>
      <c r="D36" s="58" t="s">
        <v>8</v>
      </c>
      <c r="E36" s="33">
        <f>'28'!E36</f>
        <v>16.771250000000006</v>
      </c>
      <c r="F36" s="33">
        <f>'28'!F36</f>
        <v>19.507500000000004</v>
      </c>
      <c r="G36" s="33">
        <f>'28'!G36</f>
        <v>116.93958333333335</v>
      </c>
      <c r="H36" s="33">
        <f>'28'!H36</f>
        <v>37.115416666666668</v>
      </c>
      <c r="I36" s="33">
        <f>'28'!I36</f>
        <v>4.0912500000000005</v>
      </c>
      <c r="J36" s="33">
        <f>'28'!J36</f>
        <v>1.0200000000000002</v>
      </c>
      <c r="K36" s="33">
        <f>'28'!K36</f>
        <v>313.42250000000001</v>
      </c>
      <c r="L36" s="33">
        <f>'28'!L36</f>
        <v>28.25791666666667</v>
      </c>
      <c r="M36" s="33">
        <f>'28'!M36</f>
        <v>36.295000000000002</v>
      </c>
      <c r="N36" s="33">
        <f>'28'!N36</f>
        <v>275.32083333333327</v>
      </c>
      <c r="O36" s="33">
        <f>'28'!O36</f>
        <v>0</v>
      </c>
      <c r="P36" s="30">
        <f>'28'!P36</f>
        <v>2.0720833333333335</v>
      </c>
      <c r="Q36" s="33">
        <f>'28'!Q36</f>
        <v>9.6204166666666655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29/03/2025 01:00</v>
      </c>
      <c r="B37" s="58" t="s">
        <v>8</v>
      </c>
      <c r="C37" s="58" t="s">
        <v>8</v>
      </c>
      <c r="D37" s="58" t="s">
        <v>8</v>
      </c>
      <c r="E37" s="33">
        <f>'29'!E36</f>
        <v>25.666666666666668</v>
      </c>
      <c r="F37" s="33">
        <f>'29'!F36</f>
        <v>20.24208333333333</v>
      </c>
      <c r="G37" s="33">
        <f>'29'!G36</f>
        <v>120.22625000000004</v>
      </c>
      <c r="H37" s="33">
        <f>'29'!H36</f>
        <v>35.294999999999995</v>
      </c>
      <c r="I37" s="33">
        <f>'29'!I36</f>
        <v>4.0925000000000011</v>
      </c>
      <c r="J37" s="33">
        <f>'29'!J36</f>
        <v>1.3187500000000003</v>
      </c>
      <c r="K37" s="33">
        <f>'29'!K36</f>
        <v>191.04291666666666</v>
      </c>
      <c r="L37" s="33">
        <f>'29'!L36</f>
        <v>28.628749999999997</v>
      </c>
      <c r="M37" s="33">
        <f>'29'!M36</f>
        <v>29.432916666666671</v>
      </c>
      <c r="N37" s="33">
        <f>'29'!N36</f>
        <v>263.13749999999993</v>
      </c>
      <c r="O37" s="33">
        <f>'29'!O36</f>
        <v>0</v>
      </c>
      <c r="P37" s="33">
        <f>'29'!P36</f>
        <v>1.7937500000000002</v>
      </c>
      <c r="Q37" s="33">
        <f>'29'!Q36</f>
        <v>9.6554166666666656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30/03/2025 01:00</v>
      </c>
      <c r="B38" s="33">
        <f>'30'!B36</f>
        <v>40.768666666666675</v>
      </c>
      <c r="C38" s="33">
        <f>'30'!C36</f>
        <v>155.608</v>
      </c>
      <c r="D38" s="33">
        <f>'30'!D36</f>
        <v>112.93866666666666</v>
      </c>
      <c r="E38" s="33">
        <f>'30'!E36</f>
        <v>31.852916666666662</v>
      </c>
      <c r="F38" s="33">
        <f>'30'!F36</f>
        <v>19.829166666666666</v>
      </c>
      <c r="G38" s="33">
        <f>'30'!G36</f>
        <v>119.13583333333334</v>
      </c>
      <c r="H38" s="33">
        <f>'30'!H36</f>
        <v>29.373333333333335</v>
      </c>
      <c r="I38" s="33">
        <f>'30'!I36</f>
        <v>4.0962499999999995</v>
      </c>
      <c r="J38" s="33">
        <f>'30'!J36</f>
        <v>1.1783333333333332</v>
      </c>
      <c r="K38" s="33">
        <f>'30'!K36</f>
        <v>199.30625000000001</v>
      </c>
      <c r="L38" s="33">
        <f>'30'!L36</f>
        <v>28.108750000000001</v>
      </c>
      <c r="M38" s="33">
        <f>'30'!M36</f>
        <v>24.717916666666664</v>
      </c>
      <c r="N38" s="33">
        <f>'30'!N36</f>
        <v>275.01249999999999</v>
      </c>
      <c r="O38" s="33">
        <f>'30'!O36</f>
        <v>0</v>
      </c>
      <c r="P38" s="33">
        <f>'30'!P36</f>
        <v>1.5774999999999999</v>
      </c>
      <c r="Q38" s="33">
        <f>'30'!Q36</f>
        <v>9.8433333333333319</v>
      </c>
      <c r="R38" s="46"/>
      <c r="S38" s="46"/>
      <c r="T38" s="46"/>
      <c r="U38" s="46"/>
    </row>
    <row r="39" spans="1:21" s="34" customFormat="1" x14ac:dyDescent="0.25">
      <c r="A39" s="36" t="str">
        <f>'31'!$B$2</f>
        <v>31/03/2025 01:00</v>
      </c>
      <c r="B39" s="33">
        <f>'31'!B36</f>
        <v>21.404999999999998</v>
      </c>
      <c r="C39" s="33">
        <f>'31'!C36</f>
        <v>77.388750000000002</v>
      </c>
      <c r="D39" s="33">
        <f>'31'!D36</f>
        <v>57.41375</v>
      </c>
      <c r="E39" s="33">
        <f>'31'!E36</f>
        <v>37.359583333333333</v>
      </c>
      <c r="F39" s="33">
        <f>'31'!F36</f>
        <v>22.081666666666663</v>
      </c>
      <c r="G39" s="33">
        <f>'31'!G36</f>
        <v>118.97708333333333</v>
      </c>
      <c r="H39" s="33">
        <f>'31'!H36</f>
        <v>44.325833333333343</v>
      </c>
      <c r="I39" s="33">
        <f>'31'!I36</f>
        <v>4.0854166666666663</v>
      </c>
      <c r="J39" s="33">
        <f>'31'!J36</f>
        <v>1.2016666666666664</v>
      </c>
      <c r="K39" s="33">
        <f>'31'!K36</f>
        <v>211.27125000000004</v>
      </c>
      <c r="L39" s="33">
        <f>'31'!L36</f>
        <v>28.044999999999998</v>
      </c>
      <c r="M39" s="33">
        <f>'31'!M36</f>
        <v>24.437916666666666</v>
      </c>
      <c r="N39" s="33">
        <f>'31'!N36</f>
        <v>263.89166666666671</v>
      </c>
      <c r="O39" s="33">
        <f>'31'!O36</f>
        <v>0</v>
      </c>
      <c r="P39" s="33">
        <f>'31'!P36</f>
        <v>1.5966666666666667</v>
      </c>
      <c r="Q39" s="33">
        <f>'31'!Q36</f>
        <v>9.9466666666666672</v>
      </c>
      <c r="R39" s="46"/>
      <c r="S39" s="46"/>
      <c r="T39" s="46"/>
      <c r="U39" s="46"/>
    </row>
    <row r="40" spans="1:21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0"/>
      <c r="S40" s="20"/>
      <c r="T40" s="20"/>
      <c r="U40" s="48"/>
    </row>
    <row r="41" spans="1:21" s="21" customFormat="1" x14ac:dyDescent="0.25">
      <c r="A41" s="14" t="s">
        <v>30</v>
      </c>
      <c r="B41" s="15">
        <f t="shared" ref="B41:Q41" si="0">MIN(B9:B38)</f>
        <v>7.298333333333332</v>
      </c>
      <c r="C41" s="15">
        <f t="shared" si="0"/>
        <v>58.324166666666663</v>
      </c>
      <c r="D41" s="15">
        <f t="shared" si="0"/>
        <v>40.456666666666671</v>
      </c>
      <c r="E41" s="15">
        <f t="shared" si="0"/>
        <v>3.0295833333333331</v>
      </c>
      <c r="F41" s="15">
        <f t="shared" si="0"/>
        <v>10.3575</v>
      </c>
      <c r="G41" s="15">
        <f t="shared" si="0"/>
        <v>33.505833333333335</v>
      </c>
      <c r="H41" s="15">
        <f t="shared" si="0"/>
        <v>14.565</v>
      </c>
      <c r="I41" s="15">
        <f t="shared" si="0"/>
        <v>4.0741666666666676</v>
      </c>
      <c r="J41" s="15">
        <f t="shared" si="0"/>
        <v>0.84833333333333327</v>
      </c>
      <c r="K41" s="15">
        <f t="shared" si="0"/>
        <v>191.04291666666666</v>
      </c>
      <c r="L41" s="15">
        <f t="shared" si="0"/>
        <v>21.662083333333332</v>
      </c>
      <c r="M41" s="15">
        <f t="shared" si="0"/>
        <v>23.703749999999999</v>
      </c>
      <c r="N41" s="15">
        <f t="shared" si="0"/>
        <v>233.40416666666667</v>
      </c>
      <c r="O41" s="15">
        <f t="shared" si="0"/>
        <v>0</v>
      </c>
      <c r="P41" s="15">
        <f t="shared" si="0"/>
        <v>0.58708333333333329</v>
      </c>
      <c r="Q41" s="15">
        <f t="shared" si="0"/>
        <v>8.9662500000000005</v>
      </c>
      <c r="R41" s="28"/>
      <c r="S41" s="28"/>
      <c r="T41" s="28"/>
      <c r="U41" s="28"/>
    </row>
    <row r="42" spans="1:21" s="21" customFormat="1" x14ac:dyDescent="0.25">
      <c r="A42" s="14" t="s">
        <v>31</v>
      </c>
      <c r="B42" s="15">
        <f t="shared" ref="B42:Q42" si="1">MAX(B9:B38)</f>
        <v>100.20041666666664</v>
      </c>
      <c r="C42" s="15">
        <f t="shared" si="1"/>
        <v>155.608</v>
      </c>
      <c r="D42" s="15">
        <f t="shared" si="1"/>
        <v>128.10291666666669</v>
      </c>
      <c r="E42" s="15">
        <f t="shared" si="1"/>
        <v>31.852916666666662</v>
      </c>
      <c r="F42" s="15">
        <f t="shared" si="1"/>
        <v>25.900833333333335</v>
      </c>
      <c r="G42" s="15">
        <f t="shared" si="1"/>
        <v>121.23000000000002</v>
      </c>
      <c r="H42" s="15">
        <f t="shared" si="1"/>
        <v>44.059583333333343</v>
      </c>
      <c r="I42" s="15">
        <f t="shared" si="1"/>
        <v>4.1204166666666673</v>
      </c>
      <c r="J42" s="15">
        <f t="shared" si="1"/>
        <v>2.2245833333333338</v>
      </c>
      <c r="K42" s="15">
        <f t="shared" si="1"/>
        <v>343.25125000000003</v>
      </c>
      <c r="L42" s="15">
        <f t="shared" si="1"/>
        <v>28.628749999999997</v>
      </c>
      <c r="M42" s="15">
        <f t="shared" si="1"/>
        <v>69.425416666666649</v>
      </c>
      <c r="N42" s="15">
        <f t="shared" si="1"/>
        <v>323.55833333333334</v>
      </c>
      <c r="O42" s="15">
        <f t="shared" si="1"/>
        <v>8.3333333333333332E-3</v>
      </c>
      <c r="P42" s="15">
        <f t="shared" si="1"/>
        <v>2.0720833333333335</v>
      </c>
      <c r="Q42" s="15">
        <f t="shared" si="1"/>
        <v>9.8433333333333319</v>
      </c>
      <c r="R42" s="28"/>
      <c r="S42" s="28"/>
      <c r="T42" s="28"/>
      <c r="U42" s="28"/>
    </row>
    <row r="43" spans="1:21" s="21" customFormat="1" x14ac:dyDescent="0.25">
      <c r="A43" s="14" t="s">
        <v>32</v>
      </c>
      <c r="B43" s="15">
        <f t="shared" ref="B43:Q43" si="2">AVERAGE(B9:B38)</f>
        <v>38.349723343685291</v>
      </c>
      <c r="C43" s="15">
        <f t="shared" si="2"/>
        <v>81.69321532091098</v>
      </c>
      <c r="D43" s="15">
        <f t="shared" si="2"/>
        <v>80.751676630434758</v>
      </c>
      <c r="E43" s="15">
        <f t="shared" si="2"/>
        <v>10.399573067632849</v>
      </c>
      <c r="F43" s="15">
        <f t="shared" si="2"/>
        <v>17.466797101449274</v>
      </c>
      <c r="G43" s="15">
        <f t="shared" si="2"/>
        <v>84.539087756446449</v>
      </c>
      <c r="H43" s="15">
        <f t="shared" si="2"/>
        <v>28.699188029361942</v>
      </c>
      <c r="I43" s="15">
        <f t="shared" si="2"/>
        <v>4.0950960144927526</v>
      </c>
      <c r="J43" s="15">
        <f t="shared" si="2"/>
        <v>1.1475640096618356</v>
      </c>
      <c r="K43" s="15">
        <f t="shared" si="2"/>
        <v>270.01069504830917</v>
      </c>
      <c r="L43" s="15">
        <f t="shared" si="2"/>
        <v>25.752515700483098</v>
      </c>
      <c r="M43" s="15">
        <f t="shared" si="2"/>
        <v>39.315636473429961</v>
      </c>
      <c r="N43" s="15">
        <f t="shared" si="2"/>
        <v>277.45835144927537</v>
      </c>
      <c r="O43" s="15">
        <f t="shared" si="2"/>
        <v>2.7777777777777778E-4</v>
      </c>
      <c r="P43" s="15">
        <f t="shared" si="2"/>
        <v>1.1938568840579711</v>
      </c>
      <c r="Q43" s="15">
        <f t="shared" si="2"/>
        <v>9.4741401515151491</v>
      </c>
      <c r="R43" s="28"/>
      <c r="S43" s="28"/>
      <c r="T43" s="28"/>
      <c r="U43" s="28"/>
    </row>
    <row r="44" spans="1:21" s="21" customFormat="1" x14ac:dyDescent="0.25">
      <c r="A44" s="14" t="s">
        <v>38</v>
      </c>
      <c r="B44" s="15">
        <f t="shared" ref="B44:Q44" si="3">STDEV(B9:B38)</f>
        <v>22.611528586115249</v>
      </c>
      <c r="C44" s="15">
        <f t="shared" si="3"/>
        <v>17.903479342478381</v>
      </c>
      <c r="D44" s="15">
        <f t="shared" si="3"/>
        <v>21.590777331295381</v>
      </c>
      <c r="E44" s="15">
        <f t="shared" si="3"/>
        <v>6.1294458102281553</v>
      </c>
      <c r="F44" s="15">
        <f t="shared" si="3"/>
        <v>3.2128520078018195</v>
      </c>
      <c r="G44" s="15">
        <f t="shared" si="3"/>
        <v>22.689639544040322</v>
      </c>
      <c r="H44" s="15">
        <f t="shared" si="3"/>
        <v>7.1666620654184658</v>
      </c>
      <c r="I44" s="15">
        <f t="shared" si="3"/>
        <v>1.0503282255112907E-2</v>
      </c>
      <c r="J44" s="15">
        <f t="shared" si="3"/>
        <v>0.27747021329282123</v>
      </c>
      <c r="K44" s="15">
        <f t="shared" si="3"/>
        <v>46.439440223919291</v>
      </c>
      <c r="L44" s="15">
        <f t="shared" si="3"/>
        <v>1.7678464022204425</v>
      </c>
      <c r="M44" s="15">
        <f t="shared" si="3"/>
        <v>11.11817024376529</v>
      </c>
      <c r="N44" s="15">
        <f t="shared" si="3"/>
        <v>23.910625285214078</v>
      </c>
      <c r="O44" s="15">
        <f t="shared" si="3"/>
        <v>1.5214515486254615E-3</v>
      </c>
      <c r="P44" s="15">
        <f t="shared" si="3"/>
        <v>0.36702423866282768</v>
      </c>
      <c r="Q44" s="15">
        <f t="shared" si="3"/>
        <v>0.21984849793489067</v>
      </c>
      <c r="R44" s="28"/>
      <c r="S44" s="28"/>
      <c r="T44" s="28"/>
      <c r="U44" s="28"/>
    </row>
    <row r="45" spans="1:21" s="21" customFormat="1" x14ac:dyDescent="0.25">
      <c r="A45" s="14" t="s">
        <v>33</v>
      </c>
      <c r="B45" s="15">
        <f>COUNT(B9:B39)+2</f>
        <v>31</v>
      </c>
      <c r="C45" s="15">
        <f>COUNT(C9:C39)+2</f>
        <v>31</v>
      </c>
      <c r="D45" s="15">
        <f>COUNT(D9:D39)+2</f>
        <v>31</v>
      </c>
      <c r="E45" s="12">
        <f t="shared" ref="E45:Q45" si="4">COUNT(E9:E39)</f>
        <v>31</v>
      </c>
      <c r="F45" s="12">
        <f t="shared" si="4"/>
        <v>31</v>
      </c>
      <c r="G45" s="12">
        <f t="shared" si="4"/>
        <v>31</v>
      </c>
      <c r="H45" s="12">
        <f t="shared" si="4"/>
        <v>31</v>
      </c>
      <c r="I45" s="12">
        <f t="shared" si="4"/>
        <v>31</v>
      </c>
      <c r="J45" s="12">
        <f t="shared" si="4"/>
        <v>31</v>
      </c>
      <c r="K45" s="12">
        <f t="shared" si="4"/>
        <v>31</v>
      </c>
      <c r="L45" s="12">
        <f t="shared" si="4"/>
        <v>31</v>
      </c>
      <c r="M45" s="12">
        <f t="shared" si="4"/>
        <v>31</v>
      </c>
      <c r="N45" s="12">
        <f t="shared" si="4"/>
        <v>31</v>
      </c>
      <c r="O45" s="12">
        <f t="shared" si="4"/>
        <v>31</v>
      </c>
      <c r="P45" s="12">
        <f t="shared" si="4"/>
        <v>31</v>
      </c>
      <c r="Q45" s="12">
        <f t="shared" si="4"/>
        <v>31</v>
      </c>
      <c r="R45" s="29"/>
      <c r="S45" s="29"/>
      <c r="T45" s="29"/>
      <c r="U45" s="29"/>
    </row>
    <row r="46" spans="1:21" s="21" customFormat="1" x14ac:dyDescent="0.25">
      <c r="A46" s="14" t="s">
        <v>34</v>
      </c>
      <c r="B46" s="12" t="str">
        <f>IF(B45&gt;=28,"&gt;90%",IF(B45&lt;=28,"&lt;90%"))</f>
        <v>&gt;90%</v>
      </c>
      <c r="C46" s="12" t="str">
        <f t="shared" ref="C46:Q46" si="5">IF(C45&gt;=28,"&gt;90%",IF(C45&lt;=28,"&lt;90%"))</f>
        <v>&gt;90%</v>
      </c>
      <c r="D46" s="12" t="str">
        <f t="shared" si="5"/>
        <v>&gt;90%</v>
      </c>
      <c r="E46" s="12" t="str">
        <f t="shared" si="5"/>
        <v>&gt;90%</v>
      </c>
      <c r="F46" s="12" t="str">
        <f t="shared" si="5"/>
        <v>&gt;90%</v>
      </c>
      <c r="G46" s="12" t="str">
        <f t="shared" si="5"/>
        <v>&gt;90%</v>
      </c>
      <c r="H46" s="12" t="str">
        <f t="shared" si="5"/>
        <v>&gt;90%</v>
      </c>
      <c r="I46" s="12" t="str">
        <f t="shared" si="5"/>
        <v>&gt;90%</v>
      </c>
      <c r="J46" s="12" t="str">
        <f t="shared" si="5"/>
        <v>&gt;90%</v>
      </c>
      <c r="K46" s="12" t="str">
        <f t="shared" si="5"/>
        <v>&gt;90%</v>
      </c>
      <c r="L46" s="12" t="str">
        <f t="shared" si="5"/>
        <v>&gt;90%</v>
      </c>
      <c r="M46" s="12" t="str">
        <f t="shared" si="5"/>
        <v>&gt;90%</v>
      </c>
      <c r="N46" s="12" t="str">
        <f t="shared" si="5"/>
        <v>&gt;90%</v>
      </c>
      <c r="O46" s="12" t="str">
        <f t="shared" si="5"/>
        <v>&gt;90%</v>
      </c>
      <c r="P46" s="12" t="str">
        <f t="shared" si="5"/>
        <v>&gt;90%</v>
      </c>
      <c r="Q46" s="12" t="str">
        <f t="shared" si="5"/>
        <v>&gt;90%</v>
      </c>
      <c r="R46" s="29"/>
      <c r="S46" s="29"/>
      <c r="T46" s="29"/>
      <c r="U46" s="29"/>
    </row>
    <row r="47" spans="1:21" s="21" customFormat="1" x14ac:dyDescent="0.25">
      <c r="A47" s="14" t="s">
        <v>1</v>
      </c>
      <c r="B47" s="12" t="str">
        <f>IF(B45&gt;=28,"OK",IF(B45&lt;=28,"LESS"))</f>
        <v>OK</v>
      </c>
      <c r="C47" s="12" t="str">
        <f t="shared" ref="C47:Q47" si="6">IF(C45&gt;=28,"OK",IF(C45&lt;=28,"LESS"))</f>
        <v>OK</v>
      </c>
      <c r="D47" s="12" t="str">
        <f t="shared" si="6"/>
        <v>OK</v>
      </c>
      <c r="E47" s="12" t="str">
        <f t="shared" si="6"/>
        <v>OK</v>
      </c>
      <c r="F47" s="12" t="str">
        <f t="shared" si="6"/>
        <v>OK</v>
      </c>
      <c r="G47" s="12" t="str">
        <f t="shared" si="6"/>
        <v>OK</v>
      </c>
      <c r="H47" s="12" t="str">
        <f t="shared" si="6"/>
        <v>OK</v>
      </c>
      <c r="I47" s="12" t="str">
        <f t="shared" si="6"/>
        <v>OK</v>
      </c>
      <c r="J47" s="12" t="str">
        <f t="shared" si="6"/>
        <v>OK</v>
      </c>
      <c r="K47" s="12" t="str">
        <f t="shared" si="6"/>
        <v>OK</v>
      </c>
      <c r="L47" s="12" t="str">
        <f t="shared" si="6"/>
        <v>OK</v>
      </c>
      <c r="M47" s="12" t="str">
        <f t="shared" si="6"/>
        <v>OK</v>
      </c>
      <c r="N47" s="12" t="str">
        <f t="shared" si="6"/>
        <v>OK</v>
      </c>
      <c r="O47" s="12" t="str">
        <f t="shared" si="6"/>
        <v>OK</v>
      </c>
      <c r="P47" s="12" t="str">
        <f t="shared" si="6"/>
        <v>OK</v>
      </c>
      <c r="Q47" s="12" t="str">
        <f t="shared" si="6"/>
        <v>OK</v>
      </c>
      <c r="R47" s="29"/>
      <c r="S47" s="29"/>
      <c r="T47" s="29"/>
      <c r="U47" s="29"/>
    </row>
    <row r="48" spans="1:21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</row>
    <row r="50" spans="1:16" x14ac:dyDescent="0.25">
      <c r="A50" s="14" t="s">
        <v>35</v>
      </c>
      <c r="B50" s="40" t="s">
        <v>41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x14ac:dyDescent="0.25">
      <c r="A51" s="13"/>
      <c r="B51" s="21"/>
      <c r="C51" s="21"/>
      <c r="D51" s="1"/>
      <c r="E51" s="1"/>
      <c r="F51" s="1"/>
      <c r="G51" s="1"/>
      <c r="H51" s="1"/>
      <c r="I51" s="1"/>
      <c r="J51" s="21"/>
      <c r="K51" s="21"/>
      <c r="L51" s="21"/>
      <c r="M51" s="21"/>
      <c r="N51" s="21"/>
      <c r="O51" s="21"/>
      <c r="P51" s="21"/>
    </row>
    <row r="52" spans="1:16" ht="15.75" x14ac:dyDescent="0.25">
      <c r="A52" s="17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x14ac:dyDescent="0.25">
      <c r="A55" s="1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</sheetData>
  <mergeCells count="1">
    <mergeCell ref="B52:P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2025-04-22T11:47:22Z</dcterms:modified>
  <cp:category/>
</cp:coreProperties>
</file>