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8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C45" i="39" l="1"/>
  <c r="D45" i="39"/>
  <c r="B45" i="39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9" i="39"/>
  <c r="A34" i="39"/>
  <c r="I110" i="44"/>
  <c r="C110" i="44"/>
  <c r="D110" i="44"/>
  <c r="D112" i="44" s="1"/>
  <c r="B110" i="44"/>
  <c r="B111" i="44" s="1"/>
  <c r="I110" i="41"/>
  <c r="C110" i="41"/>
  <c r="D110" i="41"/>
  <c r="B110" i="4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C112" i="44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I110" i="40"/>
  <c r="C110" i="40"/>
  <c r="D110" i="40"/>
  <c r="B110" i="40"/>
  <c r="G110" i="33"/>
  <c r="H110" i="33"/>
  <c r="I110" i="33"/>
  <c r="J110" i="33"/>
  <c r="C110" i="33"/>
  <c r="D110" i="33"/>
  <c r="B110" i="33"/>
  <c r="Q110" i="32"/>
  <c r="G110" i="32"/>
  <c r="H110" i="32"/>
  <c r="I110" i="32"/>
  <c r="J110" i="32"/>
  <c r="K110" i="32"/>
  <c r="L110" i="32"/>
  <c r="M110" i="32"/>
  <c r="N110" i="32"/>
  <c r="O110" i="32"/>
  <c r="P110" i="32"/>
  <c r="F110" i="32"/>
  <c r="E110" i="32"/>
  <c r="C110" i="32"/>
  <c r="D110" i="32"/>
  <c r="B110" i="32"/>
  <c r="Q110" i="31"/>
  <c r="G110" i="31"/>
  <c r="H110" i="31"/>
  <c r="I110" i="31"/>
  <c r="I110" i="30"/>
  <c r="J110" i="29"/>
  <c r="H110" i="29"/>
  <c r="G110" i="29"/>
  <c r="J110" i="28"/>
  <c r="I110" i="27"/>
  <c r="H110" i="23"/>
  <c r="G110" i="23"/>
  <c r="E110" i="23"/>
  <c r="C110" i="23"/>
  <c r="D110" i="23"/>
  <c r="B110" i="23"/>
  <c r="P110" i="23"/>
  <c r="G110" i="22"/>
  <c r="H110" i="22"/>
  <c r="H110" i="20"/>
  <c r="Q110" i="19"/>
  <c r="H110" i="19"/>
  <c r="H110" i="18"/>
  <c r="I110" i="18"/>
  <c r="J110" i="18"/>
  <c r="Q110" i="17"/>
  <c r="Q110" i="16"/>
  <c r="Q110" i="15"/>
  <c r="H110" i="15"/>
  <c r="F110" i="12"/>
  <c r="G110" i="12"/>
  <c r="H110" i="12"/>
  <c r="I110" i="12"/>
  <c r="C110" i="11"/>
  <c r="D110" i="11"/>
  <c r="B110" i="11"/>
  <c r="I110" i="11"/>
  <c r="G110" i="11"/>
  <c r="P110" i="9"/>
  <c r="H110" i="9"/>
  <c r="G110" i="9"/>
  <c r="E110" i="9"/>
  <c r="C110" i="9"/>
  <c r="D110" i="9"/>
  <c r="B110" i="9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B112" i="44" l="1"/>
  <c r="C111" i="44"/>
  <c r="D111" i="44"/>
  <c r="E111" i="44"/>
  <c r="F111" i="44"/>
  <c r="G111" i="44"/>
  <c r="H111" i="44"/>
  <c r="I111" i="44"/>
  <c r="J111" i="44"/>
  <c r="K111" i="44"/>
  <c r="L111" i="44"/>
  <c r="M111" i="44"/>
  <c r="N111" i="44"/>
  <c r="O111" i="44"/>
  <c r="P111" i="44"/>
  <c r="Q111" i="44"/>
  <c r="C110" i="26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M112" i="26" s="1"/>
  <c r="N110" i="26"/>
  <c r="N111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1" i="33"/>
  <c r="J112" i="33"/>
  <c r="J111" i="32"/>
  <c r="I112" i="32"/>
  <c r="H111" i="32"/>
  <c r="H112" i="31"/>
  <c r="I111" i="31"/>
  <c r="J110" i="31"/>
  <c r="J111" i="31" s="1"/>
  <c r="G112" i="31"/>
  <c r="J110" i="30"/>
  <c r="J111" i="30" s="1"/>
  <c r="I112" i="30"/>
  <c r="H110" i="30"/>
  <c r="H112" i="30" s="1"/>
  <c r="J112" i="29"/>
  <c r="I110" i="29"/>
  <c r="I112" i="29" s="1"/>
  <c r="H112" i="29"/>
  <c r="J111" i="28"/>
  <c r="I110" i="28"/>
  <c r="I112" i="28" s="1"/>
  <c r="H110" i="28"/>
  <c r="H111" i="28" s="1"/>
  <c r="I112" i="27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/>
  <c r="M110" i="27"/>
  <c r="N110" i="27"/>
  <c r="O110" i="27"/>
  <c r="P110" i="27"/>
  <c r="P112" i="27" s="1"/>
  <c r="Q110" i="27"/>
  <c r="Q111" i="26"/>
  <c r="Q111" i="25"/>
  <c r="O112" i="25"/>
  <c r="N111" i="25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2" i="20"/>
  <c r="I110" i="20"/>
  <c r="I111" i="20" s="1"/>
  <c r="J110" i="20"/>
  <c r="J112" i="20" s="1"/>
  <c r="Q112" i="19"/>
  <c r="J110" i="19"/>
  <c r="J111" i="19" s="1"/>
  <c r="I110" i="19"/>
  <c r="I112" i="19" s="1"/>
  <c r="H112" i="19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H111" i="15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0" i="13"/>
  <c r="H112" i="13" s="1"/>
  <c r="F111" i="12"/>
  <c r="J110" i="12"/>
  <c r="J112" i="12" s="1"/>
  <c r="H111" i="12"/>
  <c r="I112" i="12"/>
  <c r="J110" i="11"/>
  <c r="J111" i="11"/>
  <c r="I111" i="11"/>
  <c r="H110" i="11"/>
  <c r="H111" i="11" s="1"/>
  <c r="G112" i="11"/>
  <c r="J110" i="10"/>
  <c r="J112" i="10" s="1"/>
  <c r="I110" i="10"/>
  <c r="I111" i="10" s="1"/>
  <c r="H110" i="10"/>
  <c r="H112" i="10" s="1"/>
  <c r="J110" i="9"/>
  <c r="J111" i="9" s="1"/>
  <c r="I110" i="9"/>
  <c r="I111" i="9" s="1"/>
  <c r="H111" i="9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E110" i="2"/>
  <c r="E111" i="2" s="1"/>
  <c r="F110" i="2"/>
  <c r="F111" i="2" s="1"/>
  <c r="G110" i="2"/>
  <c r="G112" i="2" s="1"/>
  <c r="H110" i="2"/>
  <c r="H112" i="2" s="1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2" i="41"/>
  <c r="C112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D38" i="39" s="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2" i="40"/>
  <c r="C111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 s="1"/>
  <c r="E108" i="40"/>
  <c r="E37" i="39" s="1"/>
  <c r="D108" i="40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/>
  <c r="K110" i="33"/>
  <c r="K111" i="33" s="1"/>
  <c r="F110" i="33"/>
  <c r="F112" i="33" s="1"/>
  <c r="E110" i="33"/>
  <c r="E112" i="33" s="1"/>
  <c r="D112" i="33"/>
  <c r="C112" i="33"/>
  <c r="B111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2" i="32"/>
  <c r="P112" i="32"/>
  <c r="O112" i="32"/>
  <c r="N111" i="32"/>
  <c r="M112" i="32"/>
  <c r="L111" i="32"/>
  <c r="K112" i="32"/>
  <c r="G111" i="32"/>
  <c r="F112" i="32"/>
  <c r="E111" i="32"/>
  <c r="D112" i="32"/>
  <c r="C111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K34" i="39" s="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1" i="29"/>
  <c r="F110" i="29"/>
  <c r="F111" i="29" s="1"/>
  <c r="E110" i="29"/>
  <c r="E112" i="29" s="1"/>
  <c r="D110" i="29"/>
  <c r="D112" i="29"/>
  <c r="C110" i="29"/>
  <c r="C112" i="29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E32" i="39" s="1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O112" i="27"/>
  <c r="N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 s="1"/>
  <c r="D108" i="27"/>
  <c r="D30" i="39" s="1"/>
  <c r="C108" i="27"/>
  <c r="C30" i="39" s="1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2" i="24" s="1"/>
  <c r="K110" i="24"/>
  <c r="K111" i="24" s="1"/>
  <c r="G110" i="24"/>
  <c r="G112" i="24" s="1"/>
  <c r="F110" i="24"/>
  <c r="F112" i="24"/>
  <c r="E110" i="24"/>
  <c r="E112" i="24"/>
  <c r="D110" i="24"/>
  <c r="D112" i="24"/>
  <c r="C110" i="24"/>
  <c r="C111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 s="1"/>
  <c r="J108" i="24"/>
  <c r="I108" i="24"/>
  <c r="H108" i="24"/>
  <c r="H27" i="39" s="1"/>
  <c r="G108" i="24"/>
  <c r="F108" i="24"/>
  <c r="F27" i="39" s="1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2" i="23"/>
  <c r="O110" i="23"/>
  <c r="O112" i="23" s="1"/>
  <c r="N110" i="23"/>
  <c r="N112" i="23" s="1"/>
  <c r="N111" i="23"/>
  <c r="M110" i="23"/>
  <c r="M112" i="23" s="1"/>
  <c r="L110" i="23"/>
  <c r="L112" i="23" s="1"/>
  <c r="K110" i="23"/>
  <c r="K112" i="23" s="1"/>
  <c r="H112" i="23"/>
  <c r="G111" i="23"/>
  <c r="F110" i="23"/>
  <c r="F111" i="23"/>
  <c r="E112" i="23"/>
  <c r="D112" i="23"/>
  <c r="C112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E26" i="39" s="1"/>
  <c r="D108" i="23"/>
  <c r="D26" i="39" s="1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1" i="21" s="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 s="1"/>
  <c r="D110" i="21"/>
  <c r="D111" i="21" s="1"/>
  <c r="C110" i="21"/>
  <c r="C112" i="2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O108" i="21"/>
  <c r="O24" i="39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G24" i="39" s="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P23" i="39" s="1"/>
  <c r="O108" i="20"/>
  <c r="N108" i="20"/>
  <c r="M108" i="20"/>
  <c r="L108" i="20"/>
  <c r="K108" i="20"/>
  <c r="J108" i="20"/>
  <c r="J23" i="39"/>
  <c r="I108" i="20"/>
  <c r="I23" i="39" s="1"/>
  <c r="H108" i="20"/>
  <c r="G108" i="20"/>
  <c r="F108" i="20"/>
  <c r="F23" i="39" s="1"/>
  <c r="E108" i="20"/>
  <c r="D108" i="20"/>
  <c r="D23" i="39"/>
  <c r="C108" i="20"/>
  <c r="C23" i="39" s="1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/>
  <c r="K110" i="19"/>
  <c r="K111" i="19" s="1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2" i="18" s="1"/>
  <c r="O111" i="18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1" i="18" s="1"/>
  <c r="F112" i="18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1" i="16"/>
  <c r="P110" i="16"/>
  <c r="P112" i="16" s="1"/>
  <c r="O110" i="16"/>
  <c r="O112" i="16" s="1"/>
  <c r="N110" i="16"/>
  <c r="N111" i="16" s="1"/>
  <c r="N112" i="16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 s="1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/>
  <c r="O108" i="15"/>
  <c r="O18" i="39" s="1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H17" i="39" s="1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 s="1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2" i="12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2" i="9"/>
  <c r="O110" i="9"/>
  <c r="O112" i="9" s="1"/>
  <c r="N110" i="9"/>
  <c r="N112" i="9" s="1"/>
  <c r="M110" i="9"/>
  <c r="M112" i="9" s="1"/>
  <c r="L110" i="9"/>
  <c r="L112" i="9" s="1"/>
  <c r="K110" i="9"/>
  <c r="K112" i="9" s="1"/>
  <c r="G112" i="9"/>
  <c r="F110" i="9"/>
  <c r="F111" i="9" s="1"/>
  <c r="E112" i="9"/>
  <c r="D111" i="9"/>
  <c r="C112" i="9"/>
  <c r="B111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/>
  <c r="L108" i="9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/>
  <c r="L108" i="8"/>
  <c r="L11" i="39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J27" i="39"/>
  <c r="I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C38" i="39"/>
  <c r="O37" i="39"/>
  <c r="N37" i="39"/>
  <c r="M37" i="39"/>
  <c r="L37" i="39"/>
  <c r="J37" i="39"/>
  <c r="I37" i="39"/>
  <c r="A37" i="39"/>
  <c r="A26" i="39"/>
  <c r="C26" i="39"/>
  <c r="I26" i="39"/>
  <c r="L26" i="39"/>
  <c r="O25" i="39"/>
  <c r="N25" i="39"/>
  <c r="L25" i="39"/>
  <c r="K25" i="39"/>
  <c r="J25" i="39"/>
  <c r="H25" i="39"/>
  <c r="E25" i="39"/>
  <c r="D25" i="39"/>
  <c r="C25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E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A36" i="39"/>
  <c r="P35" i="39"/>
  <c r="G35" i="39"/>
  <c r="C35" i="39"/>
  <c r="M34" i="39"/>
  <c r="J34" i="39"/>
  <c r="I34" i="39"/>
  <c r="H34" i="39"/>
  <c r="F34" i="39"/>
  <c r="L33" i="39"/>
  <c r="J33" i="39"/>
  <c r="I33" i="39"/>
  <c r="H33" i="39"/>
  <c r="F33" i="39"/>
  <c r="B33" i="39"/>
  <c r="Q32" i="39"/>
  <c r="O32" i="39"/>
  <c r="N32" i="39"/>
  <c r="K32" i="39"/>
  <c r="I32" i="39"/>
  <c r="G32" i="39"/>
  <c r="F32" i="39"/>
  <c r="B32" i="39"/>
  <c r="Q31" i="39"/>
  <c r="M31" i="39"/>
  <c r="J31" i="39"/>
  <c r="I31" i="39"/>
  <c r="F31" i="39"/>
  <c r="P30" i="39"/>
  <c r="M30" i="39"/>
  <c r="L30" i="39"/>
  <c r="I30" i="39"/>
  <c r="F30" i="39"/>
  <c r="B30" i="39"/>
  <c r="Q29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G27" i="39"/>
  <c r="B27" i="39"/>
  <c r="O26" i="39"/>
  <c r="G26" i="39"/>
  <c r="I25" i="39"/>
  <c r="P24" i="39"/>
  <c r="H24" i="39"/>
  <c r="N23" i="39"/>
  <c r="O22" i="39"/>
  <c r="D22" i="39"/>
  <c r="P20" i="39"/>
  <c r="D20" i="39"/>
  <c r="F18" i="39"/>
  <c r="E17" i="39"/>
  <c r="M16" i="39"/>
  <c r="K16" i="39"/>
  <c r="Q12" i="39"/>
  <c r="B12" i="39"/>
  <c r="P10" i="39"/>
  <c r="P36" i="39"/>
  <c r="E34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G34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J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B111" i="41"/>
  <c r="O111" i="40"/>
  <c r="M111" i="40"/>
  <c r="K111" i="40"/>
  <c r="G111" i="40"/>
  <c r="F111" i="40"/>
  <c r="B111" i="40"/>
  <c r="P111" i="33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E111" i="29"/>
  <c r="D111" i="29"/>
  <c r="C111" i="29"/>
  <c r="B111" i="29"/>
  <c r="O111" i="28"/>
  <c r="N111" i="28"/>
  <c r="M111" i="28"/>
  <c r="L111" i="28"/>
  <c r="G111" i="28"/>
  <c r="E111" i="28"/>
  <c r="D111" i="28"/>
  <c r="C111" i="28"/>
  <c r="N111" i="27"/>
  <c r="M111" i="27"/>
  <c r="E111" i="27"/>
  <c r="L111" i="26"/>
  <c r="K111" i="26"/>
  <c r="P111" i="24"/>
  <c r="O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Q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E111" i="18"/>
  <c r="D111" i="18"/>
  <c r="O111" i="17"/>
  <c r="O111" i="16"/>
  <c r="L111" i="16"/>
  <c r="F111" i="16"/>
  <c r="E111" i="16"/>
  <c r="D111" i="16"/>
  <c r="P111" i="15"/>
  <c r="O111" i="15"/>
  <c r="M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N111" i="10"/>
  <c r="K111" i="10"/>
  <c r="G111" i="10"/>
  <c r="C111" i="10"/>
  <c r="B111" i="10"/>
  <c r="P111" i="9"/>
  <c r="N111" i="9"/>
  <c r="M111" i="9"/>
  <c r="K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O111" i="9"/>
  <c r="D111" i="10"/>
  <c r="O112" i="10"/>
  <c r="H111" i="10"/>
  <c r="M112" i="12"/>
  <c r="K112" i="12"/>
  <c r="D112" i="13"/>
  <c r="O112" i="13"/>
  <c r="B112" i="13"/>
  <c r="M112" i="13"/>
  <c r="F112" i="14"/>
  <c r="O112" i="14"/>
  <c r="L112" i="15"/>
  <c r="G112" i="15"/>
  <c r="H112" i="15"/>
  <c r="H112" i="16"/>
  <c r="B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F111" i="27"/>
  <c r="P112" i="28"/>
  <c r="F112" i="29"/>
  <c r="Q112" i="29"/>
  <c r="K111" i="30"/>
  <c r="M112" i="31"/>
  <c r="H111" i="31"/>
  <c r="K112" i="31"/>
  <c r="J112" i="31"/>
  <c r="E112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H112" i="33"/>
  <c r="G112" i="13"/>
  <c r="B112" i="21"/>
  <c r="B112" i="22"/>
  <c r="N112" i="22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6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L112" i="41"/>
  <c r="O112" i="8"/>
  <c r="J112" i="9"/>
  <c r="I111" i="12"/>
  <c r="I111" i="23"/>
  <c r="E111" i="25"/>
  <c r="M112" i="25"/>
  <c r="F112" i="26"/>
  <c r="J112" i="30"/>
  <c r="D44" i="5" l="1"/>
  <c r="C111" i="41"/>
  <c r="Q111" i="40"/>
  <c r="J111" i="33"/>
  <c r="P111" i="32"/>
  <c r="L111" i="31"/>
  <c r="B111" i="27"/>
  <c r="P111" i="27"/>
  <c r="C112" i="27"/>
  <c r="M111" i="26"/>
  <c r="N112" i="26"/>
  <c r="M111" i="24"/>
  <c r="J112" i="24"/>
  <c r="C111" i="22"/>
  <c r="D111" i="22"/>
  <c r="N112" i="21"/>
  <c r="I112" i="20"/>
  <c r="B111" i="17"/>
  <c r="M111" i="16"/>
  <c r="K111" i="15"/>
  <c r="I112" i="15"/>
  <c r="D111" i="14"/>
  <c r="H111" i="13"/>
  <c r="N111" i="13"/>
  <c r="B112" i="11"/>
  <c r="E111" i="11"/>
  <c r="H112" i="11"/>
  <c r="P111" i="10"/>
  <c r="E111" i="9"/>
  <c r="J43" i="39"/>
  <c r="D112" i="9"/>
  <c r="J42" i="39"/>
  <c r="K44" i="39"/>
  <c r="K41" i="39"/>
  <c r="K42" i="39"/>
  <c r="K43" i="39"/>
  <c r="K47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2" i="39"/>
  <c r="H44" i="39"/>
  <c r="H43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K46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<sst xmlns="http://schemas.openxmlformats.org/spreadsheetml/2006/main" count="7031" uniqueCount="3222">
  <si>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</si>
  <si>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</si>
  <si>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</si>
  <si>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</si>
  <si>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</si>
  <si>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</si>
  <si>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</si>
  <si>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</si>
  <si>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</si>
  <si>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</si>
  <si>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</si>
  <si>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</si>
  <si>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</si>
  <si>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</si>
  <si>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</si>
  <si>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</si>
  <si>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</si>
  <si>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</si>
  <si>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</si>
  <si>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</si>
  <si>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</si>
  <si>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</si>
  <si>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</si>
  <si>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</si>
  <si>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</si>
  <si>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</si>
  <si>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</si>
  <si>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</si>
  <si>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</si>
  <si>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</si>
  <si>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</si>
  <si>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</si>
  <si>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</si>
  <si>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</si>
  <si>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</si>
  <si>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</si>
  <si>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</si>
  <si>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</si>
  <si>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</si>
  <si>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</si>
  <si>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</si>
  <si>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</si>
  <si>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</si>
  <si>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</si>
  <si>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</si>
  <si>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</si>
  <si>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</si>
  <si>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</si>
  <si>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</si>
  <si>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</si>
  <si>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</si>
  <si>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</si>
  <si>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</si>
  <si>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</si>
  <si>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</si>
  <si>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</si>
  <si>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</si>
  <si>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</si>
  <si>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</si>
  <si>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</si>
  <si>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</si>
  <si>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</si>
  <si>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</si>
  <si>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</si>
  <si>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</si>
  <si>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</si>
  <si>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</si>
  <si>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</si>
  <si>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</si>
  <si>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</si>
  <si>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</si>
  <si>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</si>
  <si>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</si>
  <si>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</si>
  <si>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</si>
  <si>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</si>
  <si>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</si>
  <si>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</si>
  <si>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</si>
  <si>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</si>
  <si>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</si>
  <si>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</si>
  <si>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</si>
  <si>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</si>
  <si>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</si>
  <si>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</si>
  <si>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</si>
  <si>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</si>
  <si>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</si>
  <si>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</si>
  <si>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</si>
  <si>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</si>
  <si>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</si>
  <si>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</si>
  <si>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</si>
  <si>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</si>
  <si>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</si>
  <si>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</si>
  <si>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</si>
  <si>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</si>
  <si>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</si>
  <si>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</si>
  <si>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</si>
  <si>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</si>
  <si>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</si>
  <si>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</si>
  <si>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</si>
  <si>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</si>
  <si>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</si>
  <si>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</si>
  <si>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</si>
  <si>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</si>
  <si>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</si>
  <si>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</si>
  <si>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</si>
  <si>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</si>
  <si>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</si>
  <si>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</si>
  <si>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</si>
  <si>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</si>
  <si>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</si>
  <si>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</si>
  <si>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</si>
  <si>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</si>
  <si>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</si>
  <si>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</si>
  <si>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</si>
  <si>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</si>
  <si>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</si>
  <si>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</si>
  <si>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</si>
  <si>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</si>
  <si>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</si>
  <si>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</si>
  <si>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</si>
  <si>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</si>
  <si>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</si>
  <si>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</si>
  <si>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</si>
  <si>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</si>
  <si>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</si>
  <si>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</si>
  <si>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</si>
  <si>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</si>
  <si>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</si>
  <si>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</si>
  <si>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</si>
  <si>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</si>
  <si>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</si>
  <si>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</si>
  <si>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</si>
  <si>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</si>
  <si>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</si>
  <si>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</si>
  <si>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</si>
  <si>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</si>
  <si>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</si>
  <si>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</si>
  <si>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</si>
  <si>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</si>
  <si>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</si>
  <si>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</si>
  <si>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</si>
  <si>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</si>
  <si>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</si>
  <si>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</si>
  <si>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</si>
  <si>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</si>
  <si>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</si>
  <si>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</si>
  <si>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</si>
  <si>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</si>
  <si>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</si>
  <si>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</si>
  <si>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</si>
  <si>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</si>
  <si>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</si>
  <si>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</si>
  <si>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</si>
  <si>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</si>
  <si>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</si>
  <si>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</si>
  <si>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</si>
  <si>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</si>
  <si>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</si>
  <si>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</si>
  <si>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</si>
  <si>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</si>
  <si>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</si>
  <si>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</si>
  <si>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</si>
  <si>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</si>
  <si>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</si>
  <si>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</si>
  <si>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</si>
  <si>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</si>
  <si>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</si>
  <si>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</si>
  <si>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</si>
  <si>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</si>
  <si>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</si>
  <si>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</si>
  <si>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</si>
  <si>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</si>
  <si>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</si>
  <si>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</si>
  <si>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</si>
  <si>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</si>
  <si>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</si>
  <si>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</si>
  <si>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</si>
  <si>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</si>
  <si>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</si>
  <si>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</si>
  <si>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</si>
  <si>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</si>
  <si>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</si>
  <si>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</si>
  <si>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</si>
  <si>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</si>
  <si>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</si>
  <si>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</si>
  <si>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</si>
  <si>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</si>
  <si>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806 ug/cm2</t>
  </si>
  <si>
    <t>840 ug/cm2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</si>
  <si>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</si>
  <si>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</si>
  <si>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</si>
  <si>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</si>
  <si>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</si>
  <si>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</si>
  <si>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</si>
  <si>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</si>
  <si>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</si>
  <si>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</si>
  <si>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</si>
  <si>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</si>
  <si>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</si>
  <si>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</si>
  <si>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</si>
  <si>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</si>
  <si>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</si>
  <si>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</si>
  <si>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01/03/2025 00:15</t>
  </si>
  <si>
    <t>01/03/2025 00:30</t>
  </si>
  <si>
    <t>01/03/2025 00:45</t>
  </si>
  <si>
    <t>01/03/2025 01:00</t>
  </si>
  <si>
    <t>01/03/2025 01:15</t>
  </si>
  <si>
    <t>01/03/2025 01:30</t>
  </si>
  <si>
    <t>01/03/2025 01:45</t>
  </si>
  <si>
    <t>01/03/2025 02:00</t>
  </si>
  <si>
    <t>01/03/2025 02:15</t>
  </si>
  <si>
    <t>01/03/2025 02:30</t>
  </si>
  <si>
    <t>01/03/2025 02:45</t>
  </si>
  <si>
    <t>01/03/2025 03:00</t>
  </si>
  <si>
    <t>01/03/2025 03:15</t>
  </si>
  <si>
    <t>01/03/2025 03:30</t>
  </si>
  <si>
    <t>01/03/2025 03:45</t>
  </si>
  <si>
    <t>01/03/2025 04:00</t>
  </si>
  <si>
    <t>01/03/2025 04:15</t>
  </si>
  <si>
    <t>01/03/2025 04:30</t>
  </si>
  <si>
    <t>01/03/2025 04:45</t>
  </si>
  <si>
    <t>01/03/2025 05:00</t>
  </si>
  <si>
    <t>01/03/2025 05:15</t>
  </si>
  <si>
    <t>01/03/2025 05:30</t>
  </si>
  <si>
    <t>01/03/2025 05:45</t>
  </si>
  <si>
    <t>01/03/2025 06:00</t>
  </si>
  <si>
    <t>01/03/2025 06:15</t>
  </si>
  <si>
    <t>01/03/2025 06:30</t>
  </si>
  <si>
    <t>01/03/2025 06:45</t>
  </si>
  <si>
    <t>01/03/2025 07:00</t>
  </si>
  <si>
    <t>01/03/2025 07:15</t>
  </si>
  <si>
    <t>01/03/2025 07:30</t>
  </si>
  <si>
    <t>01/03/2025 07:45</t>
  </si>
  <si>
    <t>01/03/2025 08:00</t>
  </si>
  <si>
    <t>01/03/2025 08:15</t>
  </si>
  <si>
    <t>01/03/2025 08:30</t>
  </si>
  <si>
    <t>01/03/2025 08:45</t>
  </si>
  <si>
    <t>01/03/2025 09:00</t>
  </si>
  <si>
    <t>01/03/2025 09:15</t>
  </si>
  <si>
    <t>01/03/2025 09:30</t>
  </si>
  <si>
    <t>01/03/2025 09:45</t>
  </si>
  <si>
    <t>01/03/2025 10:00</t>
  </si>
  <si>
    <t>01/03/2025 10:15</t>
  </si>
  <si>
    <t>01/03/2025 10:30</t>
  </si>
  <si>
    <t>01/03/2025 10:45</t>
  </si>
  <si>
    <t>01/03/2025 11:00</t>
  </si>
  <si>
    <t>01/03/2025 11:15</t>
  </si>
  <si>
    <t>01/03/2025 11:30</t>
  </si>
  <si>
    <t>01/03/2025 11:45</t>
  </si>
  <si>
    <t>01/03/2025 12:00</t>
  </si>
  <si>
    <t>01/03/2025 12:15</t>
  </si>
  <si>
    <t>01/03/2025 12:30</t>
  </si>
  <si>
    <t>01/03/2025 12:45</t>
  </si>
  <si>
    <t>01/03/2025 13:00</t>
  </si>
  <si>
    <t>01/03/2025 13:15</t>
  </si>
  <si>
    <t>01/03/2025 13:30</t>
  </si>
  <si>
    <t>01/03/2025 13:45</t>
  </si>
  <si>
    <t>01/03/2025 14:00</t>
  </si>
  <si>
    <t>01/03/2025 14:15</t>
  </si>
  <si>
    <t>01/03/2025 14:30</t>
  </si>
  <si>
    <t>01/03/2025 14:45</t>
  </si>
  <si>
    <t>01/03/2025 15:00</t>
  </si>
  <si>
    <t>01/03/2025 15:15</t>
  </si>
  <si>
    <t>01/03/2025 15:30</t>
  </si>
  <si>
    <t>01/03/2025 15:45</t>
  </si>
  <si>
    <t>01/03/2025 16:00</t>
  </si>
  <si>
    <t>01/03/2025 16:15</t>
  </si>
  <si>
    <t>01/03/2025 16:30</t>
  </si>
  <si>
    <t>01/03/2025 16:45</t>
  </si>
  <si>
    <t>01/03/2025 17:00</t>
  </si>
  <si>
    <t>01/03/2025 17:15</t>
  </si>
  <si>
    <t>01/03/2025 17:30</t>
  </si>
  <si>
    <t>01/03/2025 17:45</t>
  </si>
  <si>
    <t>01/03/2025 18:00</t>
  </si>
  <si>
    <t>01/03/2025 18:15</t>
  </si>
  <si>
    <t>01/03/2025 18:30</t>
  </si>
  <si>
    <t>01/03/2025 18:45</t>
  </si>
  <si>
    <t>01/03/2025 19:00</t>
  </si>
  <si>
    <t>01/03/2025 19:15</t>
  </si>
  <si>
    <t>01/03/2025 19:30</t>
  </si>
  <si>
    <t>01/03/2025 19:45</t>
  </si>
  <si>
    <t>01/03/2025 20:00</t>
  </si>
  <si>
    <t>01/03/2025 20:15</t>
  </si>
  <si>
    <t>01/03/2025 20:30</t>
  </si>
  <si>
    <t>01/03/2025 20:45</t>
  </si>
  <si>
    <t>01/03/2025 21:00</t>
  </si>
  <si>
    <t>01/03/2025 21:15</t>
  </si>
  <si>
    <t>01/03/2025 21:30</t>
  </si>
  <si>
    <t>01/03/2025 21:45</t>
  </si>
  <si>
    <t>01/03/2025 22:00</t>
  </si>
  <si>
    <t>01/03/2025 22:15</t>
  </si>
  <si>
    <t>01/03/2025 22:30</t>
  </si>
  <si>
    <t>01/03/2025 22:45</t>
  </si>
  <si>
    <t>01/03/2025 23:00</t>
  </si>
  <si>
    <t>01/03/2025 23:15</t>
  </si>
  <si>
    <t>01/03/2025 23:30</t>
  </si>
  <si>
    <t>01/03/2025 23:45</t>
  </si>
  <si>
    <t>01/03/2025 24:00</t>
  </si>
  <si>
    <t>02/03/2025 00:15</t>
  </si>
  <si>
    <t>02/03/2025 00:30</t>
  </si>
  <si>
    <t>02/03/2025 00:45</t>
  </si>
  <si>
    <t>02/03/2025 01:00</t>
  </si>
  <si>
    <t>02/03/2025 01:15</t>
  </si>
  <si>
    <t>02/03/2025 01:30</t>
  </si>
  <si>
    <t>02/03/2025 01:45</t>
  </si>
  <si>
    <t>02/03/2025 02:00</t>
  </si>
  <si>
    <t>02/03/2025 02:15</t>
  </si>
  <si>
    <t>02/03/2025 02:30</t>
  </si>
  <si>
    <t>02/03/2025 02:45</t>
  </si>
  <si>
    <t>02/03/2025 03:00</t>
  </si>
  <si>
    <t>02/03/2025 03:15</t>
  </si>
  <si>
    <t>02/03/2025 03:30</t>
  </si>
  <si>
    <t>02/03/2025 03:45</t>
  </si>
  <si>
    <t>02/03/2025 04:00</t>
  </si>
  <si>
    <t>02/03/2025 04:15</t>
  </si>
  <si>
    <t>02/03/2025 04:30</t>
  </si>
  <si>
    <t>02/03/2025 04:45</t>
  </si>
  <si>
    <t>02/03/2025 05:00</t>
  </si>
  <si>
    <t>02/03/2025 05:15</t>
  </si>
  <si>
    <t>02/03/2025 05:30</t>
  </si>
  <si>
    <t>02/03/2025 05:45</t>
  </si>
  <si>
    <t>02/03/2025 06:00</t>
  </si>
  <si>
    <t>02/03/2025 06:15</t>
  </si>
  <si>
    <t>02/03/2025 06:30</t>
  </si>
  <si>
    <t>02/03/2025 06:45</t>
  </si>
  <si>
    <t>02/03/2025 07:00</t>
  </si>
  <si>
    <t>02/03/2025 07:15</t>
  </si>
  <si>
    <t>02/03/2025 07:30</t>
  </si>
  <si>
    <t>02/03/2025 07:45</t>
  </si>
  <si>
    <t>02/03/2025 08:00</t>
  </si>
  <si>
    <t>02/03/2025 08:15</t>
  </si>
  <si>
    <t>02/03/2025 08:30</t>
  </si>
  <si>
    <t>02/03/2025 08:45</t>
  </si>
  <si>
    <t>02/03/2025 09:00</t>
  </si>
  <si>
    <t>02/03/2025 09:15</t>
  </si>
  <si>
    <t>02/03/2025 09:30</t>
  </si>
  <si>
    <t>02/03/2025 09:45</t>
  </si>
  <si>
    <t>02/03/2025 10:00</t>
  </si>
  <si>
    <t>02/03/2025 10:15</t>
  </si>
  <si>
    <t>02/03/2025 10:30</t>
  </si>
  <si>
    <t>02/03/2025 10:45</t>
  </si>
  <si>
    <t>02/03/2025 11:00</t>
  </si>
  <si>
    <t>02/03/2025 11:15</t>
  </si>
  <si>
    <t>02/03/2025 11:30</t>
  </si>
  <si>
    <t>02/03/2025 11:45</t>
  </si>
  <si>
    <t>02/03/2025 12:00</t>
  </si>
  <si>
    <t>02/03/2025 12:15</t>
  </si>
  <si>
    <t>02/03/2025 12:30</t>
  </si>
  <si>
    <t>02/03/2025 12:45</t>
  </si>
  <si>
    <t>02/03/2025 13:00</t>
  </si>
  <si>
    <t>02/03/2025 13:15</t>
  </si>
  <si>
    <t>02/03/2025 13:30</t>
  </si>
  <si>
    <t>02/03/2025 13:45</t>
  </si>
  <si>
    <t>02/03/2025 14:00</t>
  </si>
  <si>
    <t>02/03/2025 14:15</t>
  </si>
  <si>
    <t>02/03/2025 14:30</t>
  </si>
  <si>
    <t>02/03/2025 14:45</t>
  </si>
  <si>
    <t>02/03/2025 15:00</t>
  </si>
  <si>
    <t>02/03/2025 15:15</t>
  </si>
  <si>
    <t>02/03/2025 15:30</t>
  </si>
  <si>
    <t>02/03/2025 15:45</t>
  </si>
  <si>
    <t>02/03/2025 16:00</t>
  </si>
  <si>
    <t>02/03/2025 16:15</t>
  </si>
  <si>
    <t>02/03/2025 16:30</t>
  </si>
  <si>
    <t>02/03/2025 16:45</t>
  </si>
  <si>
    <t>02/03/2025 17:00</t>
  </si>
  <si>
    <t>02/03/2025 17:15</t>
  </si>
  <si>
    <t>02/03/2025 17:30</t>
  </si>
  <si>
    <t>02/03/2025 17:45</t>
  </si>
  <si>
    <t>02/03/2025 18:00</t>
  </si>
  <si>
    <t>02/03/2025 18:15</t>
  </si>
  <si>
    <t>02/03/2025 18:30</t>
  </si>
  <si>
    <t>02/03/2025 18:45</t>
  </si>
  <si>
    <t>02/03/2025 19:00</t>
  </si>
  <si>
    <t>02/03/2025 19:15</t>
  </si>
  <si>
    <t>02/03/2025 19:30</t>
  </si>
  <si>
    <t>02/03/2025 19:45</t>
  </si>
  <si>
    <t>02/03/2025 20:00</t>
  </si>
  <si>
    <t>02/03/2025 20:15</t>
  </si>
  <si>
    <t>02/03/2025 20:30</t>
  </si>
  <si>
    <t>02/03/2025 20:45</t>
  </si>
  <si>
    <t>02/03/2025 21:00</t>
  </si>
  <si>
    <t>02/03/2025 21:15</t>
  </si>
  <si>
    <t>02/03/2025 21:30</t>
  </si>
  <si>
    <t>02/03/2025 21:45</t>
  </si>
  <si>
    <t>02/03/2025 22:00</t>
  </si>
  <si>
    <t>02/03/2025 22:15</t>
  </si>
  <si>
    <t>02/03/2025 22:30</t>
  </si>
  <si>
    <t>02/03/2025 22:45</t>
  </si>
  <si>
    <t>02/03/2025 23:00</t>
  </si>
  <si>
    <t>02/03/2025 23:15</t>
  </si>
  <si>
    <t>02/03/2025 23:30</t>
  </si>
  <si>
    <t>02/03/2025 23:45</t>
  </si>
  <si>
    <t>02/03/2025 24:00</t>
  </si>
  <si>
    <t>03/03/2025 00:15</t>
  </si>
  <si>
    <t>03/03/2025 00:30</t>
  </si>
  <si>
    <t>03/03/2025 00:45</t>
  </si>
  <si>
    <t>03/03/2025 01:00</t>
  </si>
  <si>
    <t>03/03/2025 01:15</t>
  </si>
  <si>
    <t>03/03/2025 01:30</t>
  </si>
  <si>
    <t>03/03/2025 01:45</t>
  </si>
  <si>
    <t>03/03/2025 02:00</t>
  </si>
  <si>
    <t>03/03/2025 02:15</t>
  </si>
  <si>
    <t>03/03/2025 02:30</t>
  </si>
  <si>
    <t>03/03/2025 02:45</t>
  </si>
  <si>
    <t>03/03/2025 03:00</t>
  </si>
  <si>
    <t>03/03/2025 03:15</t>
  </si>
  <si>
    <t>03/03/2025 03:30</t>
  </si>
  <si>
    <t>03/03/2025 03:45</t>
  </si>
  <si>
    <t>03/03/2025 04:00</t>
  </si>
  <si>
    <t>03/03/2025 04:15</t>
  </si>
  <si>
    <t>03/03/2025 04:30</t>
  </si>
  <si>
    <t>03/03/2025 04:45</t>
  </si>
  <si>
    <t>03/03/2025 05:00</t>
  </si>
  <si>
    <t>03/03/2025 05:15</t>
  </si>
  <si>
    <t>03/03/2025 05:30</t>
  </si>
  <si>
    <t>03/03/2025 05:45</t>
  </si>
  <si>
    <t>03/03/2025 06:00</t>
  </si>
  <si>
    <t>03/03/2025 06:15</t>
  </si>
  <si>
    <t>03/03/2025 06:30</t>
  </si>
  <si>
    <t>03/03/2025 06:45</t>
  </si>
  <si>
    <t>03/03/2025 07:00</t>
  </si>
  <si>
    <t>03/03/2025 07:15</t>
  </si>
  <si>
    <t>03/03/2025 07:30</t>
  </si>
  <si>
    <t>03/03/2025 07:45</t>
  </si>
  <si>
    <t>03/03/2025 08:00</t>
  </si>
  <si>
    <t>03/03/2025 08:15</t>
  </si>
  <si>
    <t>03/03/2025 08:30</t>
  </si>
  <si>
    <t>03/03/2025 08:45</t>
  </si>
  <si>
    <t>03/03/2025 09:00</t>
  </si>
  <si>
    <t>03/03/2025 09:15</t>
  </si>
  <si>
    <t>03/03/2025 09:30</t>
  </si>
  <si>
    <t>03/03/2025 09:45</t>
  </si>
  <si>
    <t>03/03/2025 10:00</t>
  </si>
  <si>
    <t>03/03/2025 10:15</t>
  </si>
  <si>
    <t>03/03/2025 10:30</t>
  </si>
  <si>
    <t>03/03/2025 10:45</t>
  </si>
  <si>
    <t>03/03/2025 11:00</t>
  </si>
  <si>
    <t>03/03/2025 11:15</t>
  </si>
  <si>
    <t>03/03/2025 11:30</t>
  </si>
  <si>
    <t>03/03/2025 11:45</t>
  </si>
  <si>
    <t>03/03/2025 12:00</t>
  </si>
  <si>
    <t>03/03/2025 12:15</t>
  </si>
  <si>
    <t>03/03/2025 12:30</t>
  </si>
  <si>
    <t>03/03/2025 12:45</t>
  </si>
  <si>
    <t>03/03/2025 13:00</t>
  </si>
  <si>
    <t>03/03/2025 13:15</t>
  </si>
  <si>
    <t>03/03/2025 13:30</t>
  </si>
  <si>
    <t>03/03/2025 13:45</t>
  </si>
  <si>
    <t>03/03/2025 14:00</t>
  </si>
  <si>
    <t>03/03/2025 14:15</t>
  </si>
  <si>
    <t>03/03/2025 14:30</t>
  </si>
  <si>
    <t>03/03/2025 14:45</t>
  </si>
  <si>
    <t>03/03/2025 15:00</t>
  </si>
  <si>
    <t>03/03/2025 15:15</t>
  </si>
  <si>
    <t>03/03/2025 15:30</t>
  </si>
  <si>
    <t>03/03/2025 15:45</t>
  </si>
  <si>
    <t>03/03/2025 16:00</t>
  </si>
  <si>
    <t>03/03/2025 16:15</t>
  </si>
  <si>
    <t>03/03/2025 16:30</t>
  </si>
  <si>
    <t>03/03/2025 16:45</t>
  </si>
  <si>
    <t>03/03/2025 17:00</t>
  </si>
  <si>
    <t>03/03/2025 17:15</t>
  </si>
  <si>
    <t>03/03/2025 17:30</t>
  </si>
  <si>
    <t>03/03/2025 17:45</t>
  </si>
  <si>
    <t>03/03/2025 18:00</t>
  </si>
  <si>
    <t>03/03/2025 18:15</t>
  </si>
  <si>
    <t>03/03/2025 18:30</t>
  </si>
  <si>
    <t>03/03/2025 18:45</t>
  </si>
  <si>
    <t>03/03/2025 19:00</t>
  </si>
  <si>
    <t>03/03/2025 19:15</t>
  </si>
  <si>
    <t>03/03/2025 19:30</t>
  </si>
  <si>
    <t>03/03/2025 19:45</t>
  </si>
  <si>
    <t>03/03/2025 20:00</t>
  </si>
  <si>
    <t>03/03/2025 20:15</t>
  </si>
  <si>
    <t>03/03/2025 20:30</t>
  </si>
  <si>
    <t>03/03/2025 20:45</t>
  </si>
  <si>
    <t>03/03/2025 21:00</t>
  </si>
  <si>
    <t>03/03/2025 21:15</t>
  </si>
  <si>
    <t>03/03/2025 21:30</t>
  </si>
  <si>
    <t>03/03/2025 21:45</t>
  </si>
  <si>
    <t>03/03/2025 22:00</t>
  </si>
  <si>
    <t>03/03/2025 22:15</t>
  </si>
  <si>
    <t>03/03/2025 22:30</t>
  </si>
  <si>
    <t>03/03/2025 22:45</t>
  </si>
  <si>
    <t>03/03/2025 23:00</t>
  </si>
  <si>
    <t>03/03/2025 23:15</t>
  </si>
  <si>
    <t>03/03/2025 23:30</t>
  </si>
  <si>
    <t>03/03/2025 23:45</t>
  </si>
  <si>
    <t>03/03/2025 24:00</t>
  </si>
  <si>
    <t>04/03/2025 00:15</t>
  </si>
  <si>
    <t>04/03/2025 00:30</t>
  </si>
  <si>
    <t>04/03/2025 00:45</t>
  </si>
  <si>
    <t>04/03/2025 01:00</t>
  </si>
  <si>
    <t>04/03/2025 01:15</t>
  </si>
  <si>
    <t>04/03/2025 01:30</t>
  </si>
  <si>
    <t>04/03/2025 01:45</t>
  </si>
  <si>
    <t>04/03/2025 02:00</t>
  </si>
  <si>
    <t>04/03/2025 02:15</t>
  </si>
  <si>
    <t>04/03/2025 02:30</t>
  </si>
  <si>
    <t>04/03/2025 02:45</t>
  </si>
  <si>
    <t>04/03/2025 03:00</t>
  </si>
  <si>
    <t>04/03/2025 03:15</t>
  </si>
  <si>
    <t>04/03/2025 03:30</t>
  </si>
  <si>
    <t>04/03/2025 03:45</t>
  </si>
  <si>
    <t>04/03/2025 04:00</t>
  </si>
  <si>
    <t>04/03/2025 04:15</t>
  </si>
  <si>
    <t>04/03/2025 04:30</t>
  </si>
  <si>
    <t>04/03/2025 04:45</t>
  </si>
  <si>
    <t>04/03/2025 05:00</t>
  </si>
  <si>
    <t>04/03/2025 05:15</t>
  </si>
  <si>
    <t>04/03/2025 05:30</t>
  </si>
  <si>
    <t>04/03/2025 05:45</t>
  </si>
  <si>
    <t>04/03/2025 06:00</t>
  </si>
  <si>
    <t>04/03/2025 06:15</t>
  </si>
  <si>
    <t>04/03/2025 06:30</t>
  </si>
  <si>
    <t>04/03/2025 06:45</t>
  </si>
  <si>
    <t>04/03/2025 07:00</t>
  </si>
  <si>
    <t>04/03/2025 07:15</t>
  </si>
  <si>
    <t>04/03/2025 07:30</t>
  </si>
  <si>
    <t>04/03/2025 07:45</t>
  </si>
  <si>
    <t>04/03/2025 08:00</t>
  </si>
  <si>
    <t>04/03/2025 08:15</t>
  </si>
  <si>
    <t>04/03/2025 08:30</t>
  </si>
  <si>
    <t>04/03/2025 08:45</t>
  </si>
  <si>
    <t>04/03/2025 09:00</t>
  </si>
  <si>
    <t>04/03/2025 09:15</t>
  </si>
  <si>
    <t>04/03/2025 09:30</t>
  </si>
  <si>
    <t>04/03/2025 09:45</t>
  </si>
  <si>
    <t>04/03/2025 10:00</t>
  </si>
  <si>
    <t>04/03/2025 10:15</t>
  </si>
  <si>
    <t>04/03/2025 10:30</t>
  </si>
  <si>
    <t>04/03/2025 10:45</t>
  </si>
  <si>
    <t>04/03/2025 11:00</t>
  </si>
  <si>
    <t>04/03/2025 11:15</t>
  </si>
  <si>
    <t>04/03/2025 11:30</t>
  </si>
  <si>
    <t>04/03/2025 11:45</t>
  </si>
  <si>
    <t>04/03/2025 12:00</t>
  </si>
  <si>
    <t>04/03/2025 12:15</t>
  </si>
  <si>
    <t>04/03/2025 12:30</t>
  </si>
  <si>
    <t>04/03/2025 12:45</t>
  </si>
  <si>
    <t>04/03/2025 13:00</t>
  </si>
  <si>
    <t>04/03/2025 13:15</t>
  </si>
  <si>
    <t>04/03/2025 13:30</t>
  </si>
  <si>
    <t>04/03/2025 13:45</t>
  </si>
  <si>
    <t>04/03/2025 14:00</t>
  </si>
  <si>
    <t>04/03/2025 14:15</t>
  </si>
  <si>
    <t>04/03/2025 14:30</t>
  </si>
  <si>
    <t>04/03/2025 14:45</t>
  </si>
  <si>
    <t>04/03/2025 15:00</t>
  </si>
  <si>
    <t>04/03/2025 15:15</t>
  </si>
  <si>
    <t>04/03/2025 15:30</t>
  </si>
  <si>
    <t>04/03/2025 15:45</t>
  </si>
  <si>
    <t>04/03/2025 16:00</t>
  </si>
  <si>
    <t>04/03/2025 16:15</t>
  </si>
  <si>
    <t>04/03/2025 16:30</t>
  </si>
  <si>
    <t>04/03/2025 16:45</t>
  </si>
  <si>
    <t>04/03/2025 17:00</t>
  </si>
  <si>
    <t>04/03/2025 17:15</t>
  </si>
  <si>
    <t>04/03/2025 17:30</t>
  </si>
  <si>
    <t>04/03/2025 17:45</t>
  </si>
  <si>
    <t>04/03/2025 18:00</t>
  </si>
  <si>
    <t>04/03/2025 18:15</t>
  </si>
  <si>
    <t>04/03/2025 18:30</t>
  </si>
  <si>
    <t>04/03/2025 18:45</t>
  </si>
  <si>
    <t>04/03/2025 19:00</t>
  </si>
  <si>
    <t>04/03/2025 19:15</t>
  </si>
  <si>
    <t>04/03/2025 19:30</t>
  </si>
  <si>
    <t>04/03/2025 19:45</t>
  </si>
  <si>
    <t>04/03/2025 20:00</t>
  </si>
  <si>
    <t>04/03/2025 20:15</t>
  </si>
  <si>
    <t>04/03/2025 20:30</t>
  </si>
  <si>
    <t>04/03/2025 20:45</t>
  </si>
  <si>
    <t>04/03/2025 21:00</t>
  </si>
  <si>
    <t>04/03/2025 21:15</t>
  </si>
  <si>
    <t>04/03/2025 21:30</t>
  </si>
  <si>
    <t>04/03/2025 21:45</t>
  </si>
  <si>
    <t>04/03/2025 22:00</t>
  </si>
  <si>
    <t>04/03/2025 22:15</t>
  </si>
  <si>
    <t>04/03/2025 22:30</t>
  </si>
  <si>
    <t>04/03/2025 22:45</t>
  </si>
  <si>
    <t>04/03/2025 23:00</t>
  </si>
  <si>
    <t>04/03/2025 23:15</t>
  </si>
  <si>
    <t>04/03/2025 23:30</t>
  </si>
  <si>
    <t>04/03/2025 23:45</t>
  </si>
  <si>
    <t>04/03/2025 24:00</t>
  </si>
  <si>
    <t>05/03/2025 00:15</t>
  </si>
  <si>
    <t>05/03/2025 00:30</t>
  </si>
  <si>
    <t>05/03/2025 00:45</t>
  </si>
  <si>
    <t>05/03/2025 01:00</t>
  </si>
  <si>
    <t>05/03/2025 01:15</t>
  </si>
  <si>
    <t>05/03/2025 01:30</t>
  </si>
  <si>
    <t>05/03/2025 01:45</t>
  </si>
  <si>
    <t>05/03/2025 02:00</t>
  </si>
  <si>
    <t>05/03/2025 02:15</t>
  </si>
  <si>
    <t>05/03/2025 02:30</t>
  </si>
  <si>
    <t>05/03/2025 02:45</t>
  </si>
  <si>
    <t>05/03/2025 03:00</t>
  </si>
  <si>
    <t>05/03/2025 03:15</t>
  </si>
  <si>
    <t>05/03/2025 03:30</t>
  </si>
  <si>
    <t>05/03/2025 03:45</t>
  </si>
  <si>
    <t>05/03/2025 04:00</t>
  </si>
  <si>
    <t>05/03/2025 04:15</t>
  </si>
  <si>
    <t>05/03/2025 04:30</t>
  </si>
  <si>
    <t>05/03/2025 04:45</t>
  </si>
  <si>
    <t>05/03/2025 05:00</t>
  </si>
  <si>
    <t>05/03/2025 05:15</t>
  </si>
  <si>
    <t>05/03/2025 05:30</t>
  </si>
  <si>
    <t>05/03/2025 05:45</t>
  </si>
  <si>
    <t>05/03/2025 06:00</t>
  </si>
  <si>
    <t>05/03/2025 06:15</t>
  </si>
  <si>
    <t>05/03/2025 06:30</t>
  </si>
  <si>
    <t>05/03/2025 06:45</t>
  </si>
  <si>
    <t>05/03/2025 07:00</t>
  </si>
  <si>
    <t>05/03/2025 07:15</t>
  </si>
  <si>
    <t>05/03/2025 07:30</t>
  </si>
  <si>
    <t>05/03/2025 07:45</t>
  </si>
  <si>
    <t>05/03/2025 08:00</t>
  </si>
  <si>
    <t>05/03/2025 08:15</t>
  </si>
  <si>
    <t>05/03/2025 08:30</t>
  </si>
  <si>
    <t>05/03/2025 08:45</t>
  </si>
  <si>
    <t>05/03/2025 09:00</t>
  </si>
  <si>
    <t>05/03/2025 09:15</t>
  </si>
  <si>
    <t>05/03/2025 09:30</t>
  </si>
  <si>
    <t>05/03/2025 09:45</t>
  </si>
  <si>
    <t>05/03/2025 10:00</t>
  </si>
  <si>
    <t>05/03/2025 10:15</t>
  </si>
  <si>
    <t>05/03/2025 10:30</t>
  </si>
  <si>
    <t>05/03/2025 10:45</t>
  </si>
  <si>
    <t>05/03/2025 11:00</t>
  </si>
  <si>
    <t>05/03/2025 11:15</t>
  </si>
  <si>
    <t>05/03/2025 11:30</t>
  </si>
  <si>
    <t>05/03/2025 11:45</t>
  </si>
  <si>
    <t>05/03/2025 12:00</t>
  </si>
  <si>
    <t>05/03/2025 12:15</t>
  </si>
  <si>
    <t>05/03/2025 12:30</t>
  </si>
  <si>
    <t>05/03/2025 12:45</t>
  </si>
  <si>
    <t>05/03/2025 13:00</t>
  </si>
  <si>
    <t>05/03/2025 13:15</t>
  </si>
  <si>
    <t>05/03/2025 13:30</t>
  </si>
  <si>
    <t>05/03/2025 13:45</t>
  </si>
  <si>
    <t>05/03/2025 14:00</t>
  </si>
  <si>
    <t>05/03/2025 14:15</t>
  </si>
  <si>
    <t>05/03/2025 14:30</t>
  </si>
  <si>
    <t>05/03/2025 14:45</t>
  </si>
  <si>
    <t>05/03/2025 15:00</t>
  </si>
  <si>
    <t>05/03/2025 15:15</t>
  </si>
  <si>
    <t>05/03/2025 15:30</t>
  </si>
  <si>
    <t>05/03/2025 15:45</t>
  </si>
  <si>
    <t>05/03/2025 16:00</t>
  </si>
  <si>
    <t>05/03/2025 16:15</t>
  </si>
  <si>
    <t>05/03/2025 16:30</t>
  </si>
  <si>
    <t>05/03/2025 16:45</t>
  </si>
  <si>
    <t>05/03/2025 17:00</t>
  </si>
  <si>
    <t>05/03/2025 17:15</t>
  </si>
  <si>
    <t>05/03/2025 17:30</t>
  </si>
  <si>
    <t>05/03/2025 17:45</t>
  </si>
  <si>
    <t>05/03/2025 18:00</t>
  </si>
  <si>
    <t>05/03/2025 18:15</t>
  </si>
  <si>
    <t>05/03/2025 18:30</t>
  </si>
  <si>
    <t>05/03/2025 18:45</t>
  </si>
  <si>
    <t>05/03/2025 19:00</t>
  </si>
  <si>
    <t>05/03/2025 19:15</t>
  </si>
  <si>
    <t>05/03/2025 19:30</t>
  </si>
  <si>
    <t>05/03/2025 19:45</t>
  </si>
  <si>
    <t>05/03/2025 20:00</t>
  </si>
  <si>
    <t>05/03/2025 20:15</t>
  </si>
  <si>
    <t>05/03/2025 20:30</t>
  </si>
  <si>
    <t>05/03/2025 20:45</t>
  </si>
  <si>
    <t>05/03/2025 21:00</t>
  </si>
  <si>
    <t>05/03/2025 21:15</t>
  </si>
  <si>
    <t>05/03/2025 21:30</t>
  </si>
  <si>
    <t>05/03/2025 21:45</t>
  </si>
  <si>
    <t>05/03/2025 22:00</t>
  </si>
  <si>
    <t>05/03/2025 22:15</t>
  </si>
  <si>
    <t>05/03/2025 22:30</t>
  </si>
  <si>
    <t>05/03/2025 22:45</t>
  </si>
  <si>
    <t>05/03/2025 23:00</t>
  </si>
  <si>
    <t>05/03/2025 23:15</t>
  </si>
  <si>
    <t>05/03/2025 23:30</t>
  </si>
  <si>
    <t>05/03/2025 23:45</t>
  </si>
  <si>
    <t>05/03/2025 24:00</t>
  </si>
  <si>
    <t>06/03/2025 00:15</t>
  </si>
  <si>
    <t>06/03/2025 00:30</t>
  </si>
  <si>
    <t>06/03/2025 00:45</t>
  </si>
  <si>
    <t>06/03/2025 01:00</t>
  </si>
  <si>
    <t>06/03/2025 01:15</t>
  </si>
  <si>
    <t>06/03/2025 01:30</t>
  </si>
  <si>
    <t>06/03/2025 01:45</t>
  </si>
  <si>
    <t>06/03/2025 02:00</t>
  </si>
  <si>
    <t>06/03/2025 02:15</t>
  </si>
  <si>
    <t>06/03/2025 02:30</t>
  </si>
  <si>
    <t>06/03/2025 02:45</t>
  </si>
  <si>
    <t>06/03/2025 03:00</t>
  </si>
  <si>
    <t>06/03/2025 03:15</t>
  </si>
  <si>
    <t>06/03/2025 03:30</t>
  </si>
  <si>
    <t>06/03/2025 03:45</t>
  </si>
  <si>
    <t>06/03/2025 04:00</t>
  </si>
  <si>
    <t>06/03/2025 04:15</t>
  </si>
  <si>
    <t>06/03/2025 04:30</t>
  </si>
  <si>
    <t>06/03/2025 04:45</t>
  </si>
  <si>
    <t>06/03/2025 05:00</t>
  </si>
  <si>
    <t>06/03/2025 05:15</t>
  </si>
  <si>
    <t>06/03/2025 05:30</t>
  </si>
  <si>
    <t>06/03/2025 05:45</t>
  </si>
  <si>
    <t>06/03/2025 06:00</t>
  </si>
  <si>
    <t>06/03/2025 06:15</t>
  </si>
  <si>
    <t>06/03/2025 06:30</t>
  </si>
  <si>
    <t>06/03/2025 06:45</t>
  </si>
  <si>
    <t>06/03/2025 07:00</t>
  </si>
  <si>
    <t>06/03/2025 07:15</t>
  </si>
  <si>
    <t>06/03/2025 07:30</t>
  </si>
  <si>
    <t>06/03/2025 07:45</t>
  </si>
  <si>
    <t>06/03/2025 08:00</t>
  </si>
  <si>
    <t>06/03/2025 08:15</t>
  </si>
  <si>
    <t>06/03/2025 08:30</t>
  </si>
  <si>
    <t>06/03/2025 08:45</t>
  </si>
  <si>
    <t>06/03/2025 09:00</t>
  </si>
  <si>
    <t>06/03/2025 09:15</t>
  </si>
  <si>
    <t>06/03/2025 09:30</t>
  </si>
  <si>
    <t>06/03/2025 09:45</t>
  </si>
  <si>
    <t>06/03/2025 10:00</t>
  </si>
  <si>
    <t>06/03/2025 10:15</t>
  </si>
  <si>
    <t>06/03/2025 10:30</t>
  </si>
  <si>
    <t>06/03/2025 10:45</t>
  </si>
  <si>
    <t>06/03/2025 11:00</t>
  </si>
  <si>
    <t>06/03/2025 11:15</t>
  </si>
  <si>
    <t>06/03/2025 11:30</t>
  </si>
  <si>
    <t>06/03/2025 11:45</t>
  </si>
  <si>
    <t>06/03/2025 12:00</t>
  </si>
  <si>
    <t>06/03/2025 12:15</t>
  </si>
  <si>
    <t>06/03/2025 12:30</t>
  </si>
  <si>
    <t>06/03/2025 12:45</t>
  </si>
  <si>
    <t>06/03/2025 13:00</t>
  </si>
  <si>
    <t>06/03/2025 13:15</t>
  </si>
  <si>
    <t>06/03/2025 13:30</t>
  </si>
  <si>
    <t>06/03/2025 13:45</t>
  </si>
  <si>
    <t>06/03/2025 14:00</t>
  </si>
  <si>
    <t>06/03/2025 14:15</t>
  </si>
  <si>
    <t>06/03/2025 14:30</t>
  </si>
  <si>
    <t>06/03/2025 14:45</t>
  </si>
  <si>
    <t>06/03/2025 15:00</t>
  </si>
  <si>
    <t>06/03/2025 15:15</t>
  </si>
  <si>
    <t>06/03/2025 15:30</t>
  </si>
  <si>
    <t>06/03/2025 15:45</t>
  </si>
  <si>
    <t>06/03/2025 16:00</t>
  </si>
  <si>
    <t>06/03/2025 16:15</t>
  </si>
  <si>
    <t>06/03/2025 16:30</t>
  </si>
  <si>
    <t>06/03/2025 16:45</t>
  </si>
  <si>
    <t>06/03/2025 17:00</t>
  </si>
  <si>
    <t>06/03/2025 17:15</t>
  </si>
  <si>
    <t>06/03/2025 17:30</t>
  </si>
  <si>
    <t>06/03/2025 17:45</t>
  </si>
  <si>
    <t>06/03/2025 18:00</t>
  </si>
  <si>
    <t>06/03/2025 18:15</t>
  </si>
  <si>
    <t>06/03/2025 18:30</t>
  </si>
  <si>
    <t>06/03/2025 18:45</t>
  </si>
  <si>
    <t>06/03/2025 19:00</t>
  </si>
  <si>
    <t>06/03/2025 19:15</t>
  </si>
  <si>
    <t>06/03/2025 19:30</t>
  </si>
  <si>
    <t>06/03/2025 19:45</t>
  </si>
  <si>
    <t>06/03/2025 20:00</t>
  </si>
  <si>
    <t>06/03/2025 20:15</t>
  </si>
  <si>
    <t>06/03/2025 20:30</t>
  </si>
  <si>
    <t>06/03/2025 20:45</t>
  </si>
  <si>
    <t>06/03/2025 21:00</t>
  </si>
  <si>
    <t>06/03/2025 21:15</t>
  </si>
  <si>
    <t>06/03/2025 21:30</t>
  </si>
  <si>
    <t>06/03/2025 21:45</t>
  </si>
  <si>
    <t>06/03/2025 22:00</t>
  </si>
  <si>
    <t>06/03/2025 22:15</t>
  </si>
  <si>
    <t>06/03/2025 22:30</t>
  </si>
  <si>
    <t>06/03/2025 22:45</t>
  </si>
  <si>
    <t>06/03/2025 23:00</t>
  </si>
  <si>
    <t>06/03/2025 23:15</t>
  </si>
  <si>
    <t>06/03/2025 23:30</t>
  </si>
  <si>
    <t>06/03/2025 23:45</t>
  </si>
  <si>
    <t>06/03/2025 24:00</t>
  </si>
  <si>
    <t>07/03/2025 00:15</t>
  </si>
  <si>
    <t>07/03/2025 00:30</t>
  </si>
  <si>
    <t>07/03/2025 00:45</t>
  </si>
  <si>
    <t>07/03/2025 01:00</t>
  </si>
  <si>
    <t>07/03/2025 01:15</t>
  </si>
  <si>
    <t>07/03/2025 01:30</t>
  </si>
  <si>
    <t>07/03/2025 01:45</t>
  </si>
  <si>
    <t>07/03/2025 02:00</t>
  </si>
  <si>
    <t>07/03/2025 02:15</t>
  </si>
  <si>
    <t>07/03/2025 02:30</t>
  </si>
  <si>
    <t>07/03/2025 02:45</t>
  </si>
  <si>
    <t>07/03/2025 03:00</t>
  </si>
  <si>
    <t>07/03/2025 03:15</t>
  </si>
  <si>
    <t>07/03/2025 03:30</t>
  </si>
  <si>
    <t>07/03/2025 03:45</t>
  </si>
  <si>
    <t>07/03/2025 04:00</t>
  </si>
  <si>
    <t>07/03/2025 04:15</t>
  </si>
  <si>
    <t>07/03/2025 04:30</t>
  </si>
  <si>
    <t>07/03/2025 04:45</t>
  </si>
  <si>
    <t>07/03/2025 05:00</t>
  </si>
  <si>
    <t>07/03/2025 05:15</t>
  </si>
  <si>
    <t>07/03/2025 05:30</t>
  </si>
  <si>
    <t>07/03/2025 05:45</t>
  </si>
  <si>
    <t>07/03/2025 06:00</t>
  </si>
  <si>
    <t>07/03/2025 06:15</t>
  </si>
  <si>
    <t>07/03/2025 06:30</t>
  </si>
  <si>
    <t>07/03/2025 06:45</t>
  </si>
  <si>
    <t>07/03/2025 07:00</t>
  </si>
  <si>
    <t>07/03/2025 07:15</t>
  </si>
  <si>
    <t>07/03/2025 07:30</t>
  </si>
  <si>
    <t>07/03/2025 07:45</t>
  </si>
  <si>
    <t>07/03/2025 08:00</t>
  </si>
  <si>
    <t>07/03/2025 08:15</t>
  </si>
  <si>
    <t>07/03/2025 08:30</t>
  </si>
  <si>
    <t>07/03/2025 08:45</t>
  </si>
  <si>
    <t>07/03/2025 09:00</t>
  </si>
  <si>
    <t>07/03/2025 09:15</t>
  </si>
  <si>
    <t>07/03/2025 09:30</t>
  </si>
  <si>
    <t>07/03/2025 09:45</t>
  </si>
  <si>
    <t>07/03/2025 10:00</t>
  </si>
  <si>
    <t>07/03/2025 10:15</t>
  </si>
  <si>
    <t>07/03/2025 10:30</t>
  </si>
  <si>
    <t>07/03/2025 10:45</t>
  </si>
  <si>
    <t>07/03/2025 11:00</t>
  </si>
  <si>
    <t>07/03/2025 11:15</t>
  </si>
  <si>
    <t>07/03/2025 11:30</t>
  </si>
  <si>
    <t>07/03/2025 11:45</t>
  </si>
  <si>
    <t>07/03/2025 12:00</t>
  </si>
  <si>
    <t>07/03/2025 12:15</t>
  </si>
  <si>
    <t>07/03/2025 12:30</t>
  </si>
  <si>
    <t>07/03/2025 12:45</t>
  </si>
  <si>
    <t>07/03/2025 13:00</t>
  </si>
  <si>
    <t>07/03/2025 13:15</t>
  </si>
  <si>
    <t>07/03/2025 13:30</t>
  </si>
  <si>
    <t>07/03/2025 13:45</t>
  </si>
  <si>
    <t>07/03/2025 14:00</t>
  </si>
  <si>
    <t>07/03/2025 14:15</t>
  </si>
  <si>
    <t>07/03/2025 14:30</t>
  </si>
  <si>
    <t>07/03/2025 14:45</t>
  </si>
  <si>
    <t>07/03/2025 15:00</t>
  </si>
  <si>
    <t>07/03/2025 15:15</t>
  </si>
  <si>
    <t>07/03/2025 15:30</t>
  </si>
  <si>
    <t>07/03/2025 15:45</t>
  </si>
  <si>
    <t>07/03/2025 16:00</t>
  </si>
  <si>
    <t>07/03/2025 16:15</t>
  </si>
  <si>
    <t>07/03/2025 16:30</t>
  </si>
  <si>
    <t>07/03/2025 16:45</t>
  </si>
  <si>
    <t>07/03/2025 17:00</t>
  </si>
  <si>
    <t>07/03/2025 17:15</t>
  </si>
  <si>
    <t>07/03/2025 17:30</t>
  </si>
  <si>
    <t>07/03/2025 17:45</t>
  </si>
  <si>
    <t>07/03/2025 18:00</t>
  </si>
  <si>
    <t>07/03/2025 18:15</t>
  </si>
  <si>
    <t>07/03/2025 18:30</t>
  </si>
  <si>
    <t>07/03/2025 18:45</t>
  </si>
  <si>
    <t>07/03/2025 19:00</t>
  </si>
  <si>
    <t>07/03/2025 19:15</t>
  </si>
  <si>
    <t>07/03/2025 19:30</t>
  </si>
  <si>
    <t>07/03/2025 19:45</t>
  </si>
  <si>
    <t>07/03/2025 20:00</t>
  </si>
  <si>
    <t>07/03/2025 20:15</t>
  </si>
  <si>
    <t>07/03/2025 20:30</t>
  </si>
  <si>
    <t>07/03/2025 20:45</t>
  </si>
  <si>
    <t>07/03/2025 21:00</t>
  </si>
  <si>
    <t>07/03/2025 21:15</t>
  </si>
  <si>
    <t>07/03/2025 21:30</t>
  </si>
  <si>
    <t>07/03/2025 21:45</t>
  </si>
  <si>
    <t>07/03/2025 22:00</t>
  </si>
  <si>
    <t>07/03/2025 22:15</t>
  </si>
  <si>
    <t>07/03/2025 22:30</t>
  </si>
  <si>
    <t>07/03/2025 22:45</t>
  </si>
  <si>
    <t>07/03/2025 23:00</t>
  </si>
  <si>
    <t>07/03/2025 23:15</t>
  </si>
  <si>
    <t>07/03/2025 23:30</t>
  </si>
  <si>
    <t>07/03/2025 23:45</t>
  </si>
  <si>
    <t>07/03/2025 24:00</t>
  </si>
  <si>
    <t>08/03/2025 00:15</t>
  </si>
  <si>
    <t>08/03/2025 00:30</t>
  </si>
  <si>
    <t>08/03/2025 00:45</t>
  </si>
  <si>
    <t>08/03/2025 01:00</t>
  </si>
  <si>
    <t>08/03/2025 01:15</t>
  </si>
  <si>
    <t>08/03/2025 01:30</t>
  </si>
  <si>
    <t>08/03/2025 01:45</t>
  </si>
  <si>
    <t>08/03/2025 02:00</t>
  </si>
  <si>
    <t>08/03/2025 02:15</t>
  </si>
  <si>
    <t>08/03/2025 02:30</t>
  </si>
  <si>
    <t>08/03/2025 02:45</t>
  </si>
  <si>
    <t>08/03/2025 03:00</t>
  </si>
  <si>
    <t>08/03/2025 03:15</t>
  </si>
  <si>
    <t>08/03/2025 03:30</t>
  </si>
  <si>
    <t>08/03/2025 03:45</t>
  </si>
  <si>
    <t>08/03/2025 04:00</t>
  </si>
  <si>
    <t>08/03/2025 04:15</t>
  </si>
  <si>
    <t>08/03/2025 04:30</t>
  </si>
  <si>
    <t>08/03/2025 04:45</t>
  </si>
  <si>
    <t>08/03/2025 05:00</t>
  </si>
  <si>
    <t>08/03/2025 05:15</t>
  </si>
  <si>
    <t>08/03/2025 05:30</t>
  </si>
  <si>
    <t>08/03/2025 05:45</t>
  </si>
  <si>
    <t>08/03/2025 06:00</t>
  </si>
  <si>
    <t>08/03/2025 06:15</t>
  </si>
  <si>
    <t>08/03/2025 06:30</t>
  </si>
  <si>
    <t>08/03/2025 06:45</t>
  </si>
  <si>
    <t>08/03/2025 07:00</t>
  </si>
  <si>
    <t>08/03/2025 07:15</t>
  </si>
  <si>
    <t>08/03/2025 07:30</t>
  </si>
  <si>
    <t>08/03/2025 07:45</t>
  </si>
  <si>
    <t>08/03/2025 08:00</t>
  </si>
  <si>
    <t>08/03/2025 08:15</t>
  </si>
  <si>
    <t>08/03/2025 08:30</t>
  </si>
  <si>
    <t>08/03/2025 08:45</t>
  </si>
  <si>
    <t>08/03/2025 09:00</t>
  </si>
  <si>
    <t>08/03/2025 09:15</t>
  </si>
  <si>
    <t>08/03/2025 09:30</t>
  </si>
  <si>
    <t>08/03/2025 09:45</t>
  </si>
  <si>
    <t>08/03/2025 10:00</t>
  </si>
  <si>
    <t>08/03/2025 10:15</t>
  </si>
  <si>
    <t>08/03/2025 10:30</t>
  </si>
  <si>
    <t>08/03/2025 10:45</t>
  </si>
  <si>
    <t>08/03/2025 11:00</t>
  </si>
  <si>
    <t>08/03/2025 11:15</t>
  </si>
  <si>
    <t>08/03/2025 11:30</t>
  </si>
  <si>
    <t>08/03/2025 11:45</t>
  </si>
  <si>
    <t>08/03/2025 12:00</t>
  </si>
  <si>
    <t>08/03/2025 12:15</t>
  </si>
  <si>
    <t>08/03/2025 12:30</t>
  </si>
  <si>
    <t>08/03/2025 12:45</t>
  </si>
  <si>
    <t>08/03/2025 13:00</t>
  </si>
  <si>
    <t>08/03/2025 13:15</t>
  </si>
  <si>
    <t>08/03/2025 13:30</t>
  </si>
  <si>
    <t>08/03/2025 13:45</t>
  </si>
  <si>
    <t>08/03/2025 14:00</t>
  </si>
  <si>
    <t>08/03/2025 14:15</t>
  </si>
  <si>
    <t>08/03/2025 14:30</t>
  </si>
  <si>
    <t>08/03/2025 14:45</t>
  </si>
  <si>
    <t>08/03/2025 15:00</t>
  </si>
  <si>
    <t>08/03/2025 15:15</t>
  </si>
  <si>
    <t>08/03/2025 15:30</t>
  </si>
  <si>
    <t>08/03/2025 15:45</t>
  </si>
  <si>
    <t>08/03/2025 16:00</t>
  </si>
  <si>
    <t>08/03/2025 16:15</t>
  </si>
  <si>
    <t>08/03/2025 16:30</t>
  </si>
  <si>
    <t>08/03/2025 16:45</t>
  </si>
  <si>
    <t>08/03/2025 17:00</t>
  </si>
  <si>
    <t>08/03/2025 17:15</t>
  </si>
  <si>
    <t>08/03/2025 17:30</t>
  </si>
  <si>
    <t>08/03/2025 17:45</t>
  </si>
  <si>
    <t>08/03/2025 18:00</t>
  </si>
  <si>
    <t>08/03/2025 18:15</t>
  </si>
  <si>
    <t>08/03/2025 18:30</t>
  </si>
  <si>
    <t>08/03/2025 18:45</t>
  </si>
  <si>
    <t>08/03/2025 19:00</t>
  </si>
  <si>
    <t>08/03/2025 19:15</t>
  </si>
  <si>
    <t>08/03/2025 19:30</t>
  </si>
  <si>
    <t>08/03/2025 19:45</t>
  </si>
  <si>
    <t>08/03/2025 20:00</t>
  </si>
  <si>
    <t>08/03/2025 20:15</t>
  </si>
  <si>
    <t>08/03/2025 20:30</t>
  </si>
  <si>
    <t>08/03/2025 20:45</t>
  </si>
  <si>
    <t>08/03/2025 21:00</t>
  </si>
  <si>
    <t>08/03/2025 21:15</t>
  </si>
  <si>
    <t>08/03/2025 21:30</t>
  </si>
  <si>
    <t>08/03/2025 21:45</t>
  </si>
  <si>
    <t>08/03/2025 22:00</t>
  </si>
  <si>
    <t>08/03/2025 22:15</t>
  </si>
  <si>
    <t>08/03/2025 22:30</t>
  </si>
  <si>
    <t>08/03/2025 22:45</t>
  </si>
  <si>
    <t>08/03/2025 23:00</t>
  </si>
  <si>
    <t>08/03/2025 23:15</t>
  </si>
  <si>
    <t>08/03/2025 23:30</t>
  </si>
  <si>
    <t>08/03/2025 23:45</t>
  </si>
  <si>
    <t>08/03/2025 24:00</t>
  </si>
  <si>
    <t>09/03/2025 00:15</t>
  </si>
  <si>
    <t>09/03/2025 00:30</t>
  </si>
  <si>
    <t>09/03/2025 00:45</t>
  </si>
  <si>
    <t>09/03/2025 01:00</t>
  </si>
  <si>
    <t>09/03/2025 01:15</t>
  </si>
  <si>
    <t>09/03/2025 01:30</t>
  </si>
  <si>
    <t>09/03/2025 01:45</t>
  </si>
  <si>
    <t>09/03/2025 02:00</t>
  </si>
  <si>
    <t>09/03/2025 02:15</t>
  </si>
  <si>
    <t>09/03/2025 02:30</t>
  </si>
  <si>
    <t>09/03/2025 02:45</t>
  </si>
  <si>
    <t>09/03/2025 03:00</t>
  </si>
  <si>
    <t>09/03/2025 03:15</t>
  </si>
  <si>
    <t>09/03/2025 03:30</t>
  </si>
  <si>
    <t>09/03/2025 03:45</t>
  </si>
  <si>
    <t>09/03/2025 04:00</t>
  </si>
  <si>
    <t>09/03/2025 04:15</t>
  </si>
  <si>
    <t>09/03/2025 04:30</t>
  </si>
  <si>
    <t>09/03/2025 04:45</t>
  </si>
  <si>
    <t>09/03/2025 05:00</t>
  </si>
  <si>
    <t>09/03/2025 05:15</t>
  </si>
  <si>
    <t>09/03/2025 05:30</t>
  </si>
  <si>
    <t>09/03/2025 05:45</t>
  </si>
  <si>
    <t>09/03/2025 06:00</t>
  </si>
  <si>
    <t>09/03/2025 06:15</t>
  </si>
  <si>
    <t>09/03/2025 06:30</t>
  </si>
  <si>
    <t>09/03/2025 06:45</t>
  </si>
  <si>
    <t>09/03/2025 07:00</t>
  </si>
  <si>
    <t>09/03/2025 07:15</t>
  </si>
  <si>
    <t>09/03/2025 07:30</t>
  </si>
  <si>
    <t>09/03/2025 07:45</t>
  </si>
  <si>
    <t>09/03/2025 08:00</t>
  </si>
  <si>
    <t>09/03/2025 08:15</t>
  </si>
  <si>
    <t>09/03/2025 08:30</t>
  </si>
  <si>
    <t>09/03/2025 08:45</t>
  </si>
  <si>
    <t>09/03/2025 09:00</t>
  </si>
  <si>
    <t>09/03/2025 09:15</t>
  </si>
  <si>
    <t>09/03/2025 09:30</t>
  </si>
  <si>
    <t>09/03/2025 09:45</t>
  </si>
  <si>
    <t>09/03/2025 10:00</t>
  </si>
  <si>
    <t>09/03/2025 10:15</t>
  </si>
  <si>
    <t>09/03/2025 10:30</t>
  </si>
  <si>
    <t>09/03/2025 10:45</t>
  </si>
  <si>
    <t>09/03/2025 11:00</t>
  </si>
  <si>
    <t>09/03/2025 11:15</t>
  </si>
  <si>
    <t>09/03/2025 11:30</t>
  </si>
  <si>
    <t>09/03/2025 11:45</t>
  </si>
  <si>
    <t>09/03/2025 12:00</t>
  </si>
  <si>
    <t>09/03/2025 12:15</t>
  </si>
  <si>
    <t>09/03/2025 12:30</t>
  </si>
  <si>
    <t>09/03/2025 12:45</t>
  </si>
  <si>
    <t>09/03/2025 13:00</t>
  </si>
  <si>
    <t>09/03/2025 13:15</t>
  </si>
  <si>
    <t>09/03/2025 13:30</t>
  </si>
  <si>
    <t>09/03/2025 13:45</t>
  </si>
  <si>
    <t>09/03/2025 14:00</t>
  </si>
  <si>
    <t>09/03/2025 14:15</t>
  </si>
  <si>
    <t>09/03/2025 14:30</t>
  </si>
  <si>
    <t>09/03/2025 14:45</t>
  </si>
  <si>
    <t>09/03/2025 15:00</t>
  </si>
  <si>
    <t>09/03/2025 15:15</t>
  </si>
  <si>
    <t>09/03/2025 15:30</t>
  </si>
  <si>
    <t>09/03/2025 15:45</t>
  </si>
  <si>
    <t>09/03/2025 16:00</t>
  </si>
  <si>
    <t>09/03/2025 16:15</t>
  </si>
  <si>
    <t>09/03/2025 16:30</t>
  </si>
  <si>
    <t>09/03/2025 16:45</t>
  </si>
  <si>
    <t>09/03/2025 17:00</t>
  </si>
  <si>
    <t>09/03/2025 17:15</t>
  </si>
  <si>
    <t>09/03/2025 17:30</t>
  </si>
  <si>
    <t>09/03/2025 17:45</t>
  </si>
  <si>
    <t>09/03/2025 18:00</t>
  </si>
  <si>
    <t>09/03/2025 18:15</t>
  </si>
  <si>
    <t>09/03/2025 18:30</t>
  </si>
  <si>
    <t>09/03/2025 18:45</t>
  </si>
  <si>
    <t>09/03/2025 19:00</t>
  </si>
  <si>
    <t>09/03/2025 19:15</t>
  </si>
  <si>
    <t>09/03/2025 19:30</t>
  </si>
  <si>
    <t>09/03/2025 19:45</t>
  </si>
  <si>
    <t>09/03/2025 20:00</t>
  </si>
  <si>
    <t>09/03/2025 20:15</t>
  </si>
  <si>
    <t>09/03/2025 20:30</t>
  </si>
  <si>
    <t>09/03/2025 20:45</t>
  </si>
  <si>
    <t>09/03/2025 21:00</t>
  </si>
  <si>
    <t>09/03/2025 21:15</t>
  </si>
  <si>
    <t>09/03/2025 21:30</t>
  </si>
  <si>
    <t>09/03/2025 21:45</t>
  </si>
  <si>
    <t>09/03/2025 22:00</t>
  </si>
  <si>
    <t>09/03/2025 22:15</t>
  </si>
  <si>
    <t>09/03/2025 22:30</t>
  </si>
  <si>
    <t>09/03/2025 22:45</t>
  </si>
  <si>
    <t>09/03/2025 23:00</t>
  </si>
  <si>
    <t>09/03/2025 23:15</t>
  </si>
  <si>
    <t>09/03/2025 23:30</t>
  </si>
  <si>
    <t>09/03/2025 23:45</t>
  </si>
  <si>
    <t>09/03/2025 24:00</t>
  </si>
  <si>
    <t>10/03/2025 00:15</t>
  </si>
  <si>
    <t>10/03/2025 00:30</t>
  </si>
  <si>
    <t>10/03/2025 00:45</t>
  </si>
  <si>
    <t>10/03/2025 01:00</t>
  </si>
  <si>
    <t>10/03/2025 01:15</t>
  </si>
  <si>
    <t>10/03/2025 01:30</t>
  </si>
  <si>
    <t>10/03/2025 01:45</t>
  </si>
  <si>
    <t>10/03/2025 02:00</t>
  </si>
  <si>
    <t>10/03/2025 02:15</t>
  </si>
  <si>
    <t>10/03/2025 02:30</t>
  </si>
  <si>
    <t>10/03/2025 02:45</t>
  </si>
  <si>
    <t>10/03/2025 03:00</t>
  </si>
  <si>
    <t>10/03/2025 03:15</t>
  </si>
  <si>
    <t>10/03/2025 03:30</t>
  </si>
  <si>
    <t>10/03/2025 03:45</t>
  </si>
  <si>
    <t>10/03/2025 04:00</t>
  </si>
  <si>
    <t>10/03/2025 04:15</t>
  </si>
  <si>
    <t>10/03/2025 04:30</t>
  </si>
  <si>
    <t>10/03/2025 04:45</t>
  </si>
  <si>
    <t>10/03/2025 05:00</t>
  </si>
  <si>
    <t>10/03/2025 05:15</t>
  </si>
  <si>
    <t>10/03/2025 05:30</t>
  </si>
  <si>
    <t>10/03/2025 05:45</t>
  </si>
  <si>
    <t>10/03/2025 06:00</t>
  </si>
  <si>
    <t>10/03/2025 06:15</t>
  </si>
  <si>
    <t>10/03/2025 06:30</t>
  </si>
  <si>
    <t>10/03/2025 06:45</t>
  </si>
  <si>
    <t>10/03/2025 07:00</t>
  </si>
  <si>
    <t>10/03/2025 07:15</t>
  </si>
  <si>
    <t>10/03/2025 07:30</t>
  </si>
  <si>
    <t>10/03/2025 07:45</t>
  </si>
  <si>
    <t>10/03/2025 08:00</t>
  </si>
  <si>
    <t>10/03/2025 08:15</t>
  </si>
  <si>
    <t>10/03/2025 08:30</t>
  </si>
  <si>
    <t>10/03/2025 08:45</t>
  </si>
  <si>
    <t>10/03/2025 09:00</t>
  </si>
  <si>
    <t>10/03/2025 09:15</t>
  </si>
  <si>
    <t>10/03/2025 09:30</t>
  </si>
  <si>
    <t>10/03/2025 09:45</t>
  </si>
  <si>
    <t>10/03/2025 10:00</t>
  </si>
  <si>
    <t>10/03/2025 10:15</t>
  </si>
  <si>
    <t>10/03/2025 10:30</t>
  </si>
  <si>
    <t>10/03/2025 10:45</t>
  </si>
  <si>
    <t>10/03/2025 11:00</t>
  </si>
  <si>
    <t>10/03/2025 11:15</t>
  </si>
  <si>
    <t>10/03/2025 11:30</t>
  </si>
  <si>
    <t>10/03/2025 11:45</t>
  </si>
  <si>
    <t>10/03/2025 12:00</t>
  </si>
  <si>
    <t>10/03/2025 12:15</t>
  </si>
  <si>
    <t>10/03/2025 12:30</t>
  </si>
  <si>
    <t>10/03/2025 12:45</t>
  </si>
  <si>
    <t>10/03/2025 13:00</t>
  </si>
  <si>
    <t>10/03/2025 13:15</t>
  </si>
  <si>
    <t>10/03/2025 13:30</t>
  </si>
  <si>
    <t>10/03/2025 13:45</t>
  </si>
  <si>
    <t>10/03/2025 14:00</t>
  </si>
  <si>
    <t>10/03/2025 14:15</t>
  </si>
  <si>
    <t>10/03/2025 14:30</t>
  </si>
  <si>
    <t>10/03/2025 14:45</t>
  </si>
  <si>
    <t>10/03/2025 15:00</t>
  </si>
  <si>
    <t>10/03/2025 15:15</t>
  </si>
  <si>
    <t>10/03/2025 15:30</t>
  </si>
  <si>
    <t>10/03/2025 15:45</t>
  </si>
  <si>
    <t>10/03/2025 16:00</t>
  </si>
  <si>
    <t>10/03/2025 16:15</t>
  </si>
  <si>
    <t>10/03/2025 16:30</t>
  </si>
  <si>
    <t>10/03/2025 16:45</t>
  </si>
  <si>
    <t>10/03/2025 17:00</t>
  </si>
  <si>
    <t>10/03/2025 17:15</t>
  </si>
  <si>
    <t>10/03/2025 17:30</t>
  </si>
  <si>
    <t>10/03/2025 17:45</t>
  </si>
  <si>
    <t>10/03/2025 18:00</t>
  </si>
  <si>
    <t>10/03/2025 18:15</t>
  </si>
  <si>
    <t>10/03/2025 18:30</t>
  </si>
  <si>
    <t>10/03/2025 18:45</t>
  </si>
  <si>
    <t>10/03/2025 19:00</t>
  </si>
  <si>
    <t>10/03/2025 19:15</t>
  </si>
  <si>
    <t>10/03/2025 19:30</t>
  </si>
  <si>
    <t>10/03/2025 19:45</t>
  </si>
  <si>
    <t>10/03/2025 20:00</t>
  </si>
  <si>
    <t>10/03/2025 20:15</t>
  </si>
  <si>
    <t>10/03/2025 20:30</t>
  </si>
  <si>
    <t>10/03/2025 20:45</t>
  </si>
  <si>
    <t>10/03/2025 21:00</t>
  </si>
  <si>
    <t>10/03/2025 21:15</t>
  </si>
  <si>
    <t>10/03/2025 21:30</t>
  </si>
  <si>
    <t>10/03/2025 21:45</t>
  </si>
  <si>
    <t>10/03/2025 22:00</t>
  </si>
  <si>
    <t>10/03/2025 22:15</t>
  </si>
  <si>
    <t>10/03/2025 22:30</t>
  </si>
  <si>
    <t>10/03/2025 22:45</t>
  </si>
  <si>
    <t>10/03/2025 23:00</t>
  </si>
  <si>
    <t>10/03/2025 23:15</t>
  </si>
  <si>
    <t>10/03/2025 23:30</t>
  </si>
  <si>
    <t>10/03/2025 23:45</t>
  </si>
  <si>
    <t>10/03/2025 24:00</t>
  </si>
  <si>
    <t>11/03/2025 00:15</t>
  </si>
  <si>
    <t>11/03/2025 00:30</t>
  </si>
  <si>
    <t>11/03/2025 00:45</t>
  </si>
  <si>
    <t>11/03/2025 01:00</t>
  </si>
  <si>
    <t>11/03/2025 01:15</t>
  </si>
  <si>
    <t>11/03/2025 01:30</t>
  </si>
  <si>
    <t>11/03/2025 01:45</t>
  </si>
  <si>
    <t>11/03/2025 02:00</t>
  </si>
  <si>
    <t>11/03/2025 02:15</t>
  </si>
  <si>
    <t>11/03/2025 02:30</t>
  </si>
  <si>
    <t>11/03/2025 02:45</t>
  </si>
  <si>
    <t>11/03/2025 03:00</t>
  </si>
  <si>
    <t>11/03/2025 03:15</t>
  </si>
  <si>
    <t>11/03/2025 03:30</t>
  </si>
  <si>
    <t>11/03/2025 03:45</t>
  </si>
  <si>
    <t>11/03/2025 04:00</t>
  </si>
  <si>
    <t>11/03/2025 04:15</t>
  </si>
  <si>
    <t>11/03/2025 04:30</t>
  </si>
  <si>
    <t>11/03/2025 04:45</t>
  </si>
  <si>
    <t>11/03/2025 05:00</t>
  </si>
  <si>
    <t>11/03/2025 05:15</t>
  </si>
  <si>
    <t>11/03/2025 05:30</t>
  </si>
  <si>
    <t>11/03/2025 05:45</t>
  </si>
  <si>
    <t>11/03/2025 06:00</t>
  </si>
  <si>
    <t>11/03/2025 06:15</t>
  </si>
  <si>
    <t>11/03/2025 06:30</t>
  </si>
  <si>
    <t>11/03/2025 06:45</t>
  </si>
  <si>
    <t>11/03/2025 07:00</t>
  </si>
  <si>
    <t>11/03/2025 07:15</t>
  </si>
  <si>
    <t>11/03/2025 07:30</t>
  </si>
  <si>
    <t>11/03/2025 07:45</t>
  </si>
  <si>
    <t>11/03/2025 08:00</t>
  </si>
  <si>
    <t>11/03/2025 08:15</t>
  </si>
  <si>
    <t>11/03/2025 08:30</t>
  </si>
  <si>
    <t>11/03/2025 08:45</t>
  </si>
  <si>
    <t>11/03/2025 09:00</t>
  </si>
  <si>
    <t>11/03/2025 09:15</t>
  </si>
  <si>
    <t>11/03/2025 09:30</t>
  </si>
  <si>
    <t>11/03/2025 09:45</t>
  </si>
  <si>
    <t>11/03/2025 10:00</t>
  </si>
  <si>
    <t>11/03/2025 10:15</t>
  </si>
  <si>
    <t>11/03/2025 10:30</t>
  </si>
  <si>
    <t>11/03/2025 10:45</t>
  </si>
  <si>
    <t>11/03/2025 11:00</t>
  </si>
  <si>
    <t>11/03/2025 11:15</t>
  </si>
  <si>
    <t>11/03/2025 11:30</t>
  </si>
  <si>
    <t>11/03/2025 11:45</t>
  </si>
  <si>
    <t>11/03/2025 12:00</t>
  </si>
  <si>
    <t>11/03/2025 12:15</t>
  </si>
  <si>
    <t>11/03/2025 12:30</t>
  </si>
  <si>
    <t>11/03/2025 12:45</t>
  </si>
  <si>
    <t>11/03/2025 13:00</t>
  </si>
  <si>
    <t>11/03/2025 13:15</t>
  </si>
  <si>
    <t>11/03/2025 13:30</t>
  </si>
  <si>
    <t>11/03/2025 13:45</t>
  </si>
  <si>
    <t>11/03/2025 14:00</t>
  </si>
  <si>
    <t>11/03/2025 14:15</t>
  </si>
  <si>
    <t>11/03/2025 14:30</t>
  </si>
  <si>
    <t>11/03/2025 14:45</t>
  </si>
  <si>
    <t>11/03/2025 15:00</t>
  </si>
  <si>
    <t>11/03/2025 15:15</t>
  </si>
  <si>
    <t>11/03/2025 15:30</t>
  </si>
  <si>
    <t>11/03/2025 15:45</t>
  </si>
  <si>
    <t>11/03/2025 16:00</t>
  </si>
  <si>
    <t>11/03/2025 16:15</t>
  </si>
  <si>
    <t>11/03/2025 16:30</t>
  </si>
  <si>
    <t>11/03/2025 16:45</t>
  </si>
  <si>
    <t>11/03/2025 17:00</t>
  </si>
  <si>
    <t>11/03/2025 17:15</t>
  </si>
  <si>
    <t>11/03/2025 17:30</t>
  </si>
  <si>
    <t>11/03/2025 17:45</t>
  </si>
  <si>
    <t>11/03/2025 18:00</t>
  </si>
  <si>
    <t>11/03/2025 18:15</t>
  </si>
  <si>
    <t>11/03/2025 18:30</t>
  </si>
  <si>
    <t>11/03/2025 18:45</t>
  </si>
  <si>
    <t>11/03/2025 19:00</t>
  </si>
  <si>
    <t>11/03/2025 19:15</t>
  </si>
  <si>
    <t>11/03/2025 19:30</t>
  </si>
  <si>
    <t>11/03/2025 19:45</t>
  </si>
  <si>
    <t>11/03/2025 20:00</t>
  </si>
  <si>
    <t>11/03/2025 20:15</t>
  </si>
  <si>
    <t>11/03/2025 20:30</t>
  </si>
  <si>
    <t>11/03/2025 20:45</t>
  </si>
  <si>
    <t>11/03/2025 21:00</t>
  </si>
  <si>
    <t>11/03/2025 21:15</t>
  </si>
  <si>
    <t>11/03/2025 21:30</t>
  </si>
  <si>
    <t>11/03/2025 21:45</t>
  </si>
  <si>
    <t>11/03/2025 22:00</t>
  </si>
  <si>
    <t>11/03/2025 22:15</t>
  </si>
  <si>
    <t>11/03/2025 22:30</t>
  </si>
  <si>
    <t>11/03/2025 22:45</t>
  </si>
  <si>
    <t>11/03/2025 23:00</t>
  </si>
  <si>
    <t>11/03/2025 23:15</t>
  </si>
  <si>
    <t>11/03/2025 23:30</t>
  </si>
  <si>
    <t>11/03/2025 23:45</t>
  </si>
  <si>
    <t>11/03/2025 24:00</t>
  </si>
  <si>
    <t>12/03/2025 00:15</t>
  </si>
  <si>
    <t>12/03/2025 00:30</t>
  </si>
  <si>
    <t>12/03/2025 00:45</t>
  </si>
  <si>
    <t>12/03/2025 01:00</t>
  </si>
  <si>
    <t>12/03/2025 01:15</t>
  </si>
  <si>
    <t>12/03/2025 01:30</t>
  </si>
  <si>
    <t>12/03/2025 01:45</t>
  </si>
  <si>
    <t>12/03/2025 02:00</t>
  </si>
  <si>
    <t>12/03/2025 02:15</t>
  </si>
  <si>
    <t>12/03/2025 02:30</t>
  </si>
  <si>
    <t>12/03/2025 02:45</t>
  </si>
  <si>
    <t>12/03/2025 03:00</t>
  </si>
  <si>
    <t>12/03/2025 03:15</t>
  </si>
  <si>
    <t>12/03/2025 03:30</t>
  </si>
  <si>
    <t>12/03/2025 03:45</t>
  </si>
  <si>
    <t>12/03/2025 04:00</t>
  </si>
  <si>
    <t>12/03/2025 04:15</t>
  </si>
  <si>
    <t>12/03/2025 04:30</t>
  </si>
  <si>
    <t>12/03/2025 04:45</t>
  </si>
  <si>
    <t>12/03/2025 05:00</t>
  </si>
  <si>
    <t>12/03/2025 05:15</t>
  </si>
  <si>
    <t>12/03/2025 05:30</t>
  </si>
  <si>
    <t>12/03/2025 05:45</t>
  </si>
  <si>
    <t>12/03/2025 06:00</t>
  </si>
  <si>
    <t>12/03/2025 06:15</t>
  </si>
  <si>
    <t>12/03/2025 06:30</t>
  </si>
  <si>
    <t>12/03/2025 06:45</t>
  </si>
  <si>
    <t>12/03/2025 07:00</t>
  </si>
  <si>
    <t>12/03/2025 07:15</t>
  </si>
  <si>
    <t>12/03/2025 07:30</t>
  </si>
  <si>
    <t>12/03/2025 07:45</t>
  </si>
  <si>
    <t>12/03/2025 08:00</t>
  </si>
  <si>
    <t>12/03/2025 08:15</t>
  </si>
  <si>
    <t>12/03/2025 08:30</t>
  </si>
  <si>
    <t>12/03/2025 08:45</t>
  </si>
  <si>
    <t>12/03/2025 09:00</t>
  </si>
  <si>
    <t>12/03/2025 09:15</t>
  </si>
  <si>
    <t>12/03/2025 09:30</t>
  </si>
  <si>
    <t>12/03/2025 09:45</t>
  </si>
  <si>
    <t>12/03/2025 10:00</t>
  </si>
  <si>
    <t>12/03/2025 10:15</t>
  </si>
  <si>
    <t>12/03/2025 10:30</t>
  </si>
  <si>
    <t>12/03/2025 10:45</t>
  </si>
  <si>
    <t>12/03/2025 11:00</t>
  </si>
  <si>
    <t>12/03/2025 11:15</t>
  </si>
  <si>
    <t>12/03/2025 11:30</t>
  </si>
  <si>
    <t>12/03/2025 11:45</t>
  </si>
  <si>
    <t>12/03/2025 12:00</t>
  </si>
  <si>
    <t>12/03/2025 12:15</t>
  </si>
  <si>
    <t>12/03/2025 12:30</t>
  </si>
  <si>
    <t>12/03/2025 12:45</t>
  </si>
  <si>
    <t>12/03/2025 13:00</t>
  </si>
  <si>
    <t>12/03/2025 13:15</t>
  </si>
  <si>
    <t>12/03/2025 13:30</t>
  </si>
  <si>
    <t>12/03/2025 13:45</t>
  </si>
  <si>
    <t>12/03/2025 14:00</t>
  </si>
  <si>
    <t>12/03/2025 14:15</t>
  </si>
  <si>
    <t>12/03/2025 14:30</t>
  </si>
  <si>
    <t>12/03/2025 14:45</t>
  </si>
  <si>
    <t>12/03/2025 15:00</t>
  </si>
  <si>
    <t>12/03/2025 15:15</t>
  </si>
  <si>
    <t>12/03/2025 15:30</t>
  </si>
  <si>
    <t>12/03/2025 15:45</t>
  </si>
  <si>
    <t>12/03/2025 16:00</t>
  </si>
  <si>
    <t>12/03/2025 16:15</t>
  </si>
  <si>
    <t>12/03/2025 16:30</t>
  </si>
  <si>
    <t>12/03/2025 16:45</t>
  </si>
  <si>
    <t>12/03/2025 17:00</t>
  </si>
  <si>
    <t>12/03/2025 17:15</t>
  </si>
  <si>
    <t>12/03/2025 17:30</t>
  </si>
  <si>
    <t>12/03/2025 17:45</t>
  </si>
  <si>
    <t>12/03/2025 18:00</t>
  </si>
  <si>
    <t>12/03/2025 18:15</t>
  </si>
  <si>
    <t>12/03/2025 18:30</t>
  </si>
  <si>
    <t>12/03/2025 18:45</t>
  </si>
  <si>
    <t>12/03/2025 19:00</t>
  </si>
  <si>
    <t>12/03/2025 19:15</t>
  </si>
  <si>
    <t>12/03/2025 19:30</t>
  </si>
  <si>
    <t>12/03/2025 19:45</t>
  </si>
  <si>
    <t>12/03/2025 20:00</t>
  </si>
  <si>
    <t>12/03/2025 20:15</t>
  </si>
  <si>
    <t>12/03/2025 20:30</t>
  </si>
  <si>
    <t>12/03/2025 20:45</t>
  </si>
  <si>
    <t>12/03/2025 21:00</t>
  </si>
  <si>
    <t>12/03/2025 21:15</t>
  </si>
  <si>
    <t>12/03/2025 21:30</t>
  </si>
  <si>
    <t>12/03/2025 21:45</t>
  </si>
  <si>
    <t>12/03/2025 22:00</t>
  </si>
  <si>
    <t>12/03/2025 22:15</t>
  </si>
  <si>
    <t>12/03/2025 22:30</t>
  </si>
  <si>
    <t>12/03/2025 22:45</t>
  </si>
  <si>
    <t>12/03/2025 23:00</t>
  </si>
  <si>
    <t>12/03/2025 23:15</t>
  </si>
  <si>
    <t>12/03/2025 23:30</t>
  </si>
  <si>
    <t>12/03/2025 23:45</t>
  </si>
  <si>
    <t>12/03/2025 24:00</t>
  </si>
  <si>
    <t>13/03/2025 00:15</t>
  </si>
  <si>
    <t>13/03/2025 00:30</t>
  </si>
  <si>
    <t>13/03/2025 00:45</t>
  </si>
  <si>
    <t>13/03/2025 01:00</t>
  </si>
  <si>
    <t>13/03/2025 01:15</t>
  </si>
  <si>
    <t>13/03/2025 01:30</t>
  </si>
  <si>
    <t>13/03/2025 01:45</t>
  </si>
  <si>
    <t>13/03/2025 02:00</t>
  </si>
  <si>
    <t>13/03/2025 02:15</t>
  </si>
  <si>
    <t>13/03/2025 02:30</t>
  </si>
  <si>
    <t>13/03/2025 02:45</t>
  </si>
  <si>
    <t>13/03/2025 03:00</t>
  </si>
  <si>
    <t>13/03/2025 03:15</t>
  </si>
  <si>
    <t>13/03/2025 03:30</t>
  </si>
  <si>
    <t>13/03/2025 03:45</t>
  </si>
  <si>
    <t>13/03/2025 04:00</t>
  </si>
  <si>
    <t>13/03/2025 04:15</t>
  </si>
  <si>
    <t>13/03/2025 04:30</t>
  </si>
  <si>
    <t>13/03/2025 04:45</t>
  </si>
  <si>
    <t>13/03/2025 05:00</t>
  </si>
  <si>
    <t>13/03/2025 05:15</t>
  </si>
  <si>
    <t>13/03/2025 05:30</t>
  </si>
  <si>
    <t>13/03/2025 05:45</t>
  </si>
  <si>
    <t>13/03/2025 06:00</t>
  </si>
  <si>
    <t>13/03/2025 06:15</t>
  </si>
  <si>
    <t>13/03/2025 06:30</t>
  </si>
  <si>
    <t>13/03/2025 06:45</t>
  </si>
  <si>
    <t>13/03/2025 07:00</t>
  </si>
  <si>
    <t>13/03/2025 07:15</t>
  </si>
  <si>
    <t>13/03/2025 07:30</t>
  </si>
  <si>
    <t>13/03/2025 07:45</t>
  </si>
  <si>
    <t>13/03/2025 08:00</t>
  </si>
  <si>
    <t>13/03/2025 08:15</t>
  </si>
  <si>
    <t>13/03/2025 08:30</t>
  </si>
  <si>
    <t>13/03/2025 08:45</t>
  </si>
  <si>
    <t>13/03/2025 09:00</t>
  </si>
  <si>
    <t>13/03/2025 09:15</t>
  </si>
  <si>
    <t>13/03/2025 09:30</t>
  </si>
  <si>
    <t>13/03/2025 09:45</t>
  </si>
  <si>
    <t>13/03/2025 10:00</t>
  </si>
  <si>
    <t>13/03/2025 10:15</t>
  </si>
  <si>
    <t>13/03/2025 10:30</t>
  </si>
  <si>
    <t>13/03/2025 10:45</t>
  </si>
  <si>
    <t>13/03/2025 11:00</t>
  </si>
  <si>
    <t>13/03/2025 11:15</t>
  </si>
  <si>
    <t>13/03/2025 11:30</t>
  </si>
  <si>
    <t>13/03/2025 11:45</t>
  </si>
  <si>
    <t>13/03/2025 12:00</t>
  </si>
  <si>
    <t>13/03/2025 12:15</t>
  </si>
  <si>
    <t>13/03/2025 12:30</t>
  </si>
  <si>
    <t>13/03/2025 12:45</t>
  </si>
  <si>
    <t>13/03/2025 13:00</t>
  </si>
  <si>
    <t>13/03/2025 13:15</t>
  </si>
  <si>
    <t>13/03/2025 13:30</t>
  </si>
  <si>
    <t>13/03/2025 13:45</t>
  </si>
  <si>
    <t>13/03/2025 14:00</t>
  </si>
  <si>
    <t>13/03/2025 14:15</t>
  </si>
  <si>
    <t>13/03/2025 14:30</t>
  </si>
  <si>
    <t>13/03/2025 14:45</t>
  </si>
  <si>
    <t>13/03/2025 15:00</t>
  </si>
  <si>
    <t>13/03/2025 15:15</t>
  </si>
  <si>
    <t>13/03/2025 15:30</t>
  </si>
  <si>
    <t>13/03/2025 15:45</t>
  </si>
  <si>
    <t>13/03/2025 16:00</t>
  </si>
  <si>
    <t>13/03/2025 16:15</t>
  </si>
  <si>
    <t>13/03/2025 16:30</t>
  </si>
  <si>
    <t>13/03/2025 16:45</t>
  </si>
  <si>
    <t>13/03/2025 17:00</t>
  </si>
  <si>
    <t>13/03/2025 17:15</t>
  </si>
  <si>
    <t>13/03/2025 17:30</t>
  </si>
  <si>
    <t>13/03/2025 17:45</t>
  </si>
  <si>
    <t>13/03/2025 18:00</t>
  </si>
  <si>
    <t>13/03/2025 18:15</t>
  </si>
  <si>
    <t>13/03/2025 18:30</t>
  </si>
  <si>
    <t>13/03/2025 18:45</t>
  </si>
  <si>
    <t>13/03/2025 19:00</t>
  </si>
  <si>
    <t>13/03/2025 19:15</t>
  </si>
  <si>
    <t>13/03/2025 19:30</t>
  </si>
  <si>
    <t>13/03/2025 19:45</t>
  </si>
  <si>
    <t>13/03/2025 20:00</t>
  </si>
  <si>
    <t>13/03/2025 20:15</t>
  </si>
  <si>
    <t>13/03/2025 20:30</t>
  </si>
  <si>
    <t>13/03/2025 20:45</t>
  </si>
  <si>
    <t>13/03/2025 21:00</t>
  </si>
  <si>
    <t>13/03/2025 21:15</t>
  </si>
  <si>
    <t>13/03/2025 21:30</t>
  </si>
  <si>
    <t>13/03/2025 21:45</t>
  </si>
  <si>
    <t>13/03/2025 22:00</t>
  </si>
  <si>
    <t>13/03/2025 22:15</t>
  </si>
  <si>
    <t>13/03/2025 22:30</t>
  </si>
  <si>
    <t>13/03/2025 22:45</t>
  </si>
  <si>
    <t>13/03/2025 23:00</t>
  </si>
  <si>
    <t>13/03/2025 23:15</t>
  </si>
  <si>
    <t>13/03/2025 23:30</t>
  </si>
  <si>
    <t>13/03/2025 23:45</t>
  </si>
  <si>
    <t>13/03/2025 24:00</t>
  </si>
  <si>
    <t>14/03/2025 00:15</t>
  </si>
  <si>
    <t>14/03/2025 00:30</t>
  </si>
  <si>
    <t>14/03/2025 00:45</t>
  </si>
  <si>
    <t>14/03/2025 01:00</t>
  </si>
  <si>
    <t>14/03/2025 01:15</t>
  </si>
  <si>
    <t>14/03/2025 01:30</t>
  </si>
  <si>
    <t>14/03/2025 01:45</t>
  </si>
  <si>
    <t>14/03/2025 02:00</t>
  </si>
  <si>
    <t>14/03/2025 02:15</t>
  </si>
  <si>
    <t>14/03/2025 02:30</t>
  </si>
  <si>
    <t>14/03/2025 02:45</t>
  </si>
  <si>
    <t>14/03/2025 03:00</t>
  </si>
  <si>
    <t>14/03/2025 03:15</t>
  </si>
  <si>
    <t>14/03/2025 03:30</t>
  </si>
  <si>
    <t>14/03/2025 03:45</t>
  </si>
  <si>
    <t>14/03/2025 04:00</t>
  </si>
  <si>
    <t>14/03/2025 04:15</t>
  </si>
  <si>
    <t>14/03/2025 04:30</t>
  </si>
  <si>
    <t>14/03/2025 04:45</t>
  </si>
  <si>
    <t>14/03/2025 05:00</t>
  </si>
  <si>
    <t>14/03/2025 05:15</t>
  </si>
  <si>
    <t>14/03/2025 05:30</t>
  </si>
  <si>
    <t>14/03/2025 05:45</t>
  </si>
  <si>
    <t>14/03/2025 06:00</t>
  </si>
  <si>
    <t>14/03/2025 06:15</t>
  </si>
  <si>
    <t>14/03/2025 06:30</t>
  </si>
  <si>
    <t>14/03/2025 06:45</t>
  </si>
  <si>
    <t>14/03/2025 07:00</t>
  </si>
  <si>
    <t>14/03/2025 07:15</t>
  </si>
  <si>
    <t>14/03/2025 07:30</t>
  </si>
  <si>
    <t>14/03/2025 07:45</t>
  </si>
  <si>
    <t>14/03/2025 08:00</t>
  </si>
  <si>
    <t>14/03/2025 08:15</t>
  </si>
  <si>
    <t>14/03/2025 08:30</t>
  </si>
  <si>
    <t>14/03/2025 08:45</t>
  </si>
  <si>
    <t>14/03/2025 09:00</t>
  </si>
  <si>
    <t>14/03/2025 09:15</t>
  </si>
  <si>
    <t>14/03/2025 09:30</t>
  </si>
  <si>
    <t>14/03/2025 09:45</t>
  </si>
  <si>
    <t>14/03/2025 10:00</t>
  </si>
  <si>
    <t>14/03/2025 10:15</t>
  </si>
  <si>
    <t>14/03/2025 10:30</t>
  </si>
  <si>
    <t>14/03/2025 10:45</t>
  </si>
  <si>
    <t>14/03/2025 11:00</t>
  </si>
  <si>
    <t>14/03/2025 11:15</t>
  </si>
  <si>
    <t>14/03/2025 11:30</t>
  </si>
  <si>
    <t>14/03/2025 11:45</t>
  </si>
  <si>
    <t>14/03/2025 12:00</t>
  </si>
  <si>
    <t>14/03/2025 12:15</t>
  </si>
  <si>
    <t>14/03/2025 12:30</t>
  </si>
  <si>
    <t>14/03/2025 12:45</t>
  </si>
  <si>
    <t>14/03/2025 13:00</t>
  </si>
  <si>
    <t>14/03/2025 13:15</t>
  </si>
  <si>
    <t>14/03/2025 13:30</t>
  </si>
  <si>
    <t>14/03/2025 13:45</t>
  </si>
  <si>
    <t>14/03/2025 14:00</t>
  </si>
  <si>
    <t>14/03/2025 14:15</t>
  </si>
  <si>
    <t>14/03/2025 14:30</t>
  </si>
  <si>
    <t>14/03/2025 14:45</t>
  </si>
  <si>
    <t>14/03/2025 15:00</t>
  </si>
  <si>
    <t>14/03/2025 15:15</t>
  </si>
  <si>
    <t>14/03/2025 15:30</t>
  </si>
  <si>
    <t>14/03/2025 15:45</t>
  </si>
  <si>
    <t>14/03/2025 16:00</t>
  </si>
  <si>
    <t>14/03/2025 16:15</t>
  </si>
  <si>
    <t>14/03/2025 16:30</t>
  </si>
  <si>
    <t>14/03/2025 16:45</t>
  </si>
  <si>
    <t>14/03/2025 17:00</t>
  </si>
  <si>
    <t>14/03/2025 17:15</t>
  </si>
  <si>
    <t>14/03/2025 17:30</t>
  </si>
  <si>
    <t>14/03/2025 17:45</t>
  </si>
  <si>
    <t>14/03/2025 18:00</t>
  </si>
  <si>
    <t>14/03/2025 18:15</t>
  </si>
  <si>
    <t>14/03/2025 18:30</t>
  </si>
  <si>
    <t>14/03/2025 18:45</t>
  </si>
  <si>
    <t>14/03/2025 19:00</t>
  </si>
  <si>
    <t>14/03/2025 19:15</t>
  </si>
  <si>
    <t>14/03/2025 19:30</t>
  </si>
  <si>
    <t>14/03/2025 19:45</t>
  </si>
  <si>
    <t>14/03/2025 20:00</t>
  </si>
  <si>
    <t>14/03/2025 20:15</t>
  </si>
  <si>
    <t>14/03/2025 20:30</t>
  </si>
  <si>
    <t>14/03/2025 20:45</t>
  </si>
  <si>
    <t>14/03/2025 21:00</t>
  </si>
  <si>
    <t>14/03/2025 21:15</t>
  </si>
  <si>
    <t>14/03/2025 21:30</t>
  </si>
  <si>
    <t>14/03/2025 21:45</t>
  </si>
  <si>
    <t>14/03/2025 22:00</t>
  </si>
  <si>
    <t>14/03/2025 22:15</t>
  </si>
  <si>
    <t>14/03/2025 22:30</t>
  </si>
  <si>
    <t>14/03/2025 22:45</t>
  </si>
  <si>
    <t>14/03/2025 23:00</t>
  </si>
  <si>
    <t>14/03/2025 23:15</t>
  </si>
  <si>
    <t>14/03/2025 23:30</t>
  </si>
  <si>
    <t>14/03/2025 23:45</t>
  </si>
  <si>
    <t>14/03/2025 24:00</t>
  </si>
  <si>
    <t>15/03/2025 00:15</t>
  </si>
  <si>
    <t>15/03/2025 00:30</t>
  </si>
  <si>
    <t>15/03/2025 00:45</t>
  </si>
  <si>
    <t>15/03/2025 01:00</t>
  </si>
  <si>
    <t>15/03/2025 01:15</t>
  </si>
  <si>
    <t>15/03/2025 01:30</t>
  </si>
  <si>
    <t>15/03/2025 01:45</t>
  </si>
  <si>
    <t>15/03/2025 02:00</t>
  </si>
  <si>
    <t>15/03/2025 02:15</t>
  </si>
  <si>
    <t>15/03/2025 02:30</t>
  </si>
  <si>
    <t>15/03/2025 02:45</t>
  </si>
  <si>
    <t>15/03/2025 03:00</t>
  </si>
  <si>
    <t>15/03/2025 03:15</t>
  </si>
  <si>
    <t>15/03/2025 03:30</t>
  </si>
  <si>
    <t>15/03/2025 03:45</t>
  </si>
  <si>
    <t>15/03/2025 04:00</t>
  </si>
  <si>
    <t>15/03/2025 04:15</t>
  </si>
  <si>
    <t>15/03/2025 04:30</t>
  </si>
  <si>
    <t>15/03/2025 04:45</t>
  </si>
  <si>
    <t>15/03/2025 05:00</t>
  </si>
  <si>
    <t>15/03/2025 05:15</t>
  </si>
  <si>
    <t>15/03/2025 05:30</t>
  </si>
  <si>
    <t>15/03/2025 05:45</t>
  </si>
  <si>
    <t>15/03/2025 06:00</t>
  </si>
  <si>
    <t>15/03/2025 06:15</t>
  </si>
  <si>
    <t>15/03/2025 06:30</t>
  </si>
  <si>
    <t>15/03/2025 06:45</t>
  </si>
  <si>
    <t>15/03/2025 07:00</t>
  </si>
  <si>
    <t>15/03/2025 07:15</t>
  </si>
  <si>
    <t>15/03/2025 07:30</t>
  </si>
  <si>
    <t>15/03/2025 07:45</t>
  </si>
  <si>
    <t>15/03/2025 08:00</t>
  </si>
  <si>
    <t>15/03/2025 08:15</t>
  </si>
  <si>
    <t>15/03/2025 08:30</t>
  </si>
  <si>
    <t>15/03/2025 08:45</t>
  </si>
  <si>
    <t>15/03/2025 09:00</t>
  </si>
  <si>
    <t>15/03/2025 09:15</t>
  </si>
  <si>
    <t>15/03/2025 09:30</t>
  </si>
  <si>
    <t>15/03/2025 09:45</t>
  </si>
  <si>
    <t>15/03/2025 10:00</t>
  </si>
  <si>
    <t>15/03/2025 10:15</t>
  </si>
  <si>
    <t>15/03/2025 10:30</t>
  </si>
  <si>
    <t>15/03/2025 10:45</t>
  </si>
  <si>
    <t>15/03/2025 11:00</t>
  </si>
  <si>
    <t>15/03/2025 11:15</t>
  </si>
  <si>
    <t>15/03/2025 11:30</t>
  </si>
  <si>
    <t>15/03/2025 11:45</t>
  </si>
  <si>
    <t>15/03/2025 12:00</t>
  </si>
  <si>
    <t>15/03/2025 12:15</t>
  </si>
  <si>
    <t>15/03/2025 12:30</t>
  </si>
  <si>
    <t>15/03/2025 12:45</t>
  </si>
  <si>
    <t>15/03/2025 13:00</t>
  </si>
  <si>
    <t>15/03/2025 13:15</t>
  </si>
  <si>
    <t>15/03/2025 13:30</t>
  </si>
  <si>
    <t>15/03/2025 13:45</t>
  </si>
  <si>
    <t>15/03/2025 14:00</t>
  </si>
  <si>
    <t>15/03/2025 14:15</t>
  </si>
  <si>
    <t>15/03/2025 14:30</t>
  </si>
  <si>
    <t>15/03/2025 14:45</t>
  </si>
  <si>
    <t>15/03/2025 15:00</t>
  </si>
  <si>
    <t>15/03/2025 15:15</t>
  </si>
  <si>
    <t>15/03/2025 15:30</t>
  </si>
  <si>
    <t>15/03/2025 15:45</t>
  </si>
  <si>
    <t>15/03/2025 16:00</t>
  </si>
  <si>
    <t>15/03/2025 16:15</t>
  </si>
  <si>
    <t>15/03/2025 16:30</t>
  </si>
  <si>
    <t>15/03/2025 16:45</t>
  </si>
  <si>
    <t>15/03/2025 17:00</t>
  </si>
  <si>
    <t>15/03/2025 17:15</t>
  </si>
  <si>
    <t>15/03/2025 17:30</t>
  </si>
  <si>
    <t>15/03/2025 17:45</t>
  </si>
  <si>
    <t>15/03/2025 18:00</t>
  </si>
  <si>
    <t>15/03/2025 18:15</t>
  </si>
  <si>
    <t>15/03/2025 18:30</t>
  </si>
  <si>
    <t>15/03/2025 18:45</t>
  </si>
  <si>
    <t>15/03/2025 19:00</t>
  </si>
  <si>
    <t>15/03/2025 19:15</t>
  </si>
  <si>
    <t>15/03/2025 19:30</t>
  </si>
  <si>
    <t>15/03/2025 19:45</t>
  </si>
  <si>
    <t>15/03/2025 20:00</t>
  </si>
  <si>
    <t>15/03/2025 20:15</t>
  </si>
  <si>
    <t>15/03/2025 20:30</t>
  </si>
  <si>
    <t>15/03/2025 20:45</t>
  </si>
  <si>
    <t>15/03/2025 21:00</t>
  </si>
  <si>
    <t>15/03/2025 21:15</t>
  </si>
  <si>
    <t>15/03/2025 21:30</t>
  </si>
  <si>
    <t>15/03/2025 21:45</t>
  </si>
  <si>
    <t>15/03/2025 22:00</t>
  </si>
  <si>
    <t>15/03/2025 22:15</t>
  </si>
  <si>
    <t>15/03/2025 22:30</t>
  </si>
  <si>
    <t>15/03/2025 22:45</t>
  </si>
  <si>
    <t>15/03/2025 23:00</t>
  </si>
  <si>
    <t>15/03/2025 23:15</t>
  </si>
  <si>
    <t>15/03/2025 23:30</t>
  </si>
  <si>
    <t>15/03/2025 23:45</t>
  </si>
  <si>
    <t>15/03/2025 24:00</t>
  </si>
  <si>
    <t>16/03/2025 00:15</t>
  </si>
  <si>
    <t>16/03/2025 00:30</t>
  </si>
  <si>
    <t>16/03/2025 00:45</t>
  </si>
  <si>
    <t>16/03/2025 01:00</t>
  </si>
  <si>
    <t>16/03/2025 01:15</t>
  </si>
  <si>
    <t>16/03/2025 01:30</t>
  </si>
  <si>
    <t>16/03/2025 01:45</t>
  </si>
  <si>
    <t>16/03/2025 02:00</t>
  </si>
  <si>
    <t>16/03/2025 02:15</t>
  </si>
  <si>
    <t>16/03/2025 02:30</t>
  </si>
  <si>
    <t>16/03/2025 02:45</t>
  </si>
  <si>
    <t>16/03/2025 03:00</t>
  </si>
  <si>
    <t>16/03/2025 03:15</t>
  </si>
  <si>
    <t>16/03/2025 03:30</t>
  </si>
  <si>
    <t>16/03/2025 03:45</t>
  </si>
  <si>
    <t>16/03/2025 04:00</t>
  </si>
  <si>
    <t>16/03/2025 04:15</t>
  </si>
  <si>
    <t>16/03/2025 04:30</t>
  </si>
  <si>
    <t>16/03/2025 04:45</t>
  </si>
  <si>
    <t>16/03/2025 05:00</t>
  </si>
  <si>
    <t>16/03/2025 05:15</t>
  </si>
  <si>
    <t>16/03/2025 05:30</t>
  </si>
  <si>
    <t>16/03/2025 05:45</t>
  </si>
  <si>
    <t>16/03/2025 06:00</t>
  </si>
  <si>
    <t>16/03/2025 06:15</t>
  </si>
  <si>
    <t>16/03/2025 06:30</t>
  </si>
  <si>
    <t>16/03/2025 06:45</t>
  </si>
  <si>
    <t>16/03/2025 07:00</t>
  </si>
  <si>
    <t>16/03/2025 07:15</t>
  </si>
  <si>
    <t>16/03/2025 07:30</t>
  </si>
  <si>
    <t>16/03/2025 07:45</t>
  </si>
  <si>
    <t>16/03/2025 08:00</t>
  </si>
  <si>
    <t>16/03/2025 08:15</t>
  </si>
  <si>
    <t>16/03/2025 08:30</t>
  </si>
  <si>
    <t>16/03/2025 08:45</t>
  </si>
  <si>
    <t>16/03/2025 09:00</t>
  </si>
  <si>
    <t>16/03/2025 09:15</t>
  </si>
  <si>
    <t>16/03/2025 09:30</t>
  </si>
  <si>
    <t>16/03/2025 09:45</t>
  </si>
  <si>
    <t>16/03/2025 10:00</t>
  </si>
  <si>
    <t>16/03/2025 10:15</t>
  </si>
  <si>
    <t>16/03/2025 10:30</t>
  </si>
  <si>
    <t>16/03/2025 10:45</t>
  </si>
  <si>
    <t>16/03/2025 11:00</t>
  </si>
  <si>
    <t>16/03/2025 11:15</t>
  </si>
  <si>
    <t>16/03/2025 11:30</t>
  </si>
  <si>
    <t>16/03/2025 11:45</t>
  </si>
  <si>
    <t>16/03/2025 12:00</t>
  </si>
  <si>
    <t>16/03/2025 12:15</t>
  </si>
  <si>
    <t>16/03/2025 12:30</t>
  </si>
  <si>
    <t>16/03/2025 12:45</t>
  </si>
  <si>
    <t>16/03/2025 13:00</t>
  </si>
  <si>
    <t>16/03/2025 13:15</t>
  </si>
  <si>
    <t>16/03/2025 13:30</t>
  </si>
  <si>
    <t>16/03/2025 13:45</t>
  </si>
  <si>
    <t>16/03/2025 14:00</t>
  </si>
  <si>
    <t>16/03/2025 14:15</t>
  </si>
  <si>
    <t>16/03/2025 14:30</t>
  </si>
  <si>
    <t>16/03/2025 14:45</t>
  </si>
  <si>
    <t>16/03/2025 15:00</t>
  </si>
  <si>
    <t>16/03/2025 15:15</t>
  </si>
  <si>
    <t>16/03/2025 15:30</t>
  </si>
  <si>
    <t>16/03/2025 15:45</t>
  </si>
  <si>
    <t>16/03/2025 16:00</t>
  </si>
  <si>
    <t>16/03/2025 16:15</t>
  </si>
  <si>
    <t>16/03/2025 16:30</t>
  </si>
  <si>
    <t>16/03/2025 16:45</t>
  </si>
  <si>
    <t>16/03/2025 17:00</t>
  </si>
  <si>
    <t>16/03/2025 17:15</t>
  </si>
  <si>
    <t>16/03/2025 17:30</t>
  </si>
  <si>
    <t>16/03/2025 17:45</t>
  </si>
  <si>
    <t>16/03/2025 18:00</t>
  </si>
  <si>
    <t>16/03/2025 18:15</t>
  </si>
  <si>
    <t>16/03/2025 18:30</t>
  </si>
  <si>
    <t>16/03/2025 18:45</t>
  </si>
  <si>
    <t>16/03/2025 19:00</t>
  </si>
  <si>
    <t>16/03/2025 19:15</t>
  </si>
  <si>
    <t>16/03/2025 19:30</t>
  </si>
  <si>
    <t>16/03/2025 19:45</t>
  </si>
  <si>
    <t>16/03/2025 20:00</t>
  </si>
  <si>
    <t>16/03/2025 20:15</t>
  </si>
  <si>
    <t>16/03/2025 20:30</t>
  </si>
  <si>
    <t>16/03/2025 20:45</t>
  </si>
  <si>
    <t>16/03/2025 21:00</t>
  </si>
  <si>
    <t>16/03/2025 21:15</t>
  </si>
  <si>
    <t>16/03/2025 21:30</t>
  </si>
  <si>
    <t>16/03/2025 21:45</t>
  </si>
  <si>
    <t>16/03/2025 22:00</t>
  </si>
  <si>
    <t>16/03/2025 22:15</t>
  </si>
  <si>
    <t>16/03/2025 22:30</t>
  </si>
  <si>
    <t>16/03/2025 22:45</t>
  </si>
  <si>
    <t>16/03/2025 23:00</t>
  </si>
  <si>
    <t>16/03/2025 23:15</t>
  </si>
  <si>
    <t>16/03/2025 23:30</t>
  </si>
  <si>
    <t>16/03/2025 23:45</t>
  </si>
  <si>
    <t>16/03/2025 24:00</t>
  </si>
  <si>
    <t>17/03/2025 00:15</t>
  </si>
  <si>
    <t>17/03/2025 00:30</t>
  </si>
  <si>
    <t>17/03/2025 00:45</t>
  </si>
  <si>
    <t>17/03/2025 01:00</t>
  </si>
  <si>
    <t>17/03/2025 01:15</t>
  </si>
  <si>
    <t>17/03/2025 01:30</t>
  </si>
  <si>
    <t>17/03/2025 01:45</t>
  </si>
  <si>
    <t>17/03/2025 02:00</t>
  </si>
  <si>
    <t>17/03/2025 02:15</t>
  </si>
  <si>
    <t>17/03/2025 02:30</t>
  </si>
  <si>
    <t>17/03/2025 02:45</t>
  </si>
  <si>
    <t>17/03/2025 03:00</t>
  </si>
  <si>
    <t>17/03/2025 03:15</t>
  </si>
  <si>
    <t>17/03/2025 03:30</t>
  </si>
  <si>
    <t>17/03/2025 03:45</t>
  </si>
  <si>
    <t>17/03/2025 04:00</t>
  </si>
  <si>
    <t>17/03/2025 04:15</t>
  </si>
  <si>
    <t>17/03/2025 04:30</t>
  </si>
  <si>
    <t>17/03/2025 04:45</t>
  </si>
  <si>
    <t>17/03/2025 05:00</t>
  </si>
  <si>
    <t>17/03/2025 05:15</t>
  </si>
  <si>
    <t>17/03/2025 05:30</t>
  </si>
  <si>
    <t>17/03/2025 05:45</t>
  </si>
  <si>
    <t>17/03/2025 06:00</t>
  </si>
  <si>
    <t>17/03/2025 06:15</t>
  </si>
  <si>
    <t>17/03/2025 06:30</t>
  </si>
  <si>
    <t>17/03/2025 06:45</t>
  </si>
  <si>
    <t>17/03/2025 07:00</t>
  </si>
  <si>
    <t>17/03/2025 07:15</t>
  </si>
  <si>
    <t>17/03/2025 07:30</t>
  </si>
  <si>
    <t>17/03/2025 07:45</t>
  </si>
  <si>
    <t>17/03/2025 08:00</t>
  </si>
  <si>
    <t>17/03/2025 08:15</t>
  </si>
  <si>
    <t>17/03/2025 08:30</t>
  </si>
  <si>
    <t>17/03/2025 08:45</t>
  </si>
  <si>
    <t>17/03/2025 09:00</t>
  </si>
  <si>
    <t>17/03/2025 09:15</t>
  </si>
  <si>
    <t>17/03/2025 09:30</t>
  </si>
  <si>
    <t>17/03/2025 09:45</t>
  </si>
  <si>
    <t>17/03/2025 10:00</t>
  </si>
  <si>
    <t>17/03/2025 10:15</t>
  </si>
  <si>
    <t>17/03/2025 10:30</t>
  </si>
  <si>
    <t>17/03/2025 10:45</t>
  </si>
  <si>
    <t>17/03/2025 11:00</t>
  </si>
  <si>
    <t>17/03/2025 11:15</t>
  </si>
  <si>
    <t>17/03/2025 11:30</t>
  </si>
  <si>
    <t>17/03/2025 11:45</t>
  </si>
  <si>
    <t>17/03/2025 12:00</t>
  </si>
  <si>
    <t>17/03/2025 12:15</t>
  </si>
  <si>
    <t>17/03/2025 12:30</t>
  </si>
  <si>
    <t>17/03/2025 12:45</t>
  </si>
  <si>
    <t>17/03/2025 13:00</t>
  </si>
  <si>
    <t>17/03/2025 13:15</t>
  </si>
  <si>
    <t>17/03/2025 13:30</t>
  </si>
  <si>
    <t>17/03/2025 13:45</t>
  </si>
  <si>
    <t>17/03/2025 14:00</t>
  </si>
  <si>
    <t>17/03/2025 14:15</t>
  </si>
  <si>
    <t>17/03/2025 14:30</t>
  </si>
  <si>
    <t>17/03/2025 14:45</t>
  </si>
  <si>
    <t>17/03/2025 15:00</t>
  </si>
  <si>
    <t>17/03/2025 15:15</t>
  </si>
  <si>
    <t>17/03/2025 15:30</t>
  </si>
  <si>
    <t>17/03/2025 15:45</t>
  </si>
  <si>
    <t>17/03/2025 16:00</t>
  </si>
  <si>
    <t>17/03/2025 16:15</t>
  </si>
  <si>
    <t>17/03/2025 16:30</t>
  </si>
  <si>
    <t>17/03/2025 16:45</t>
  </si>
  <si>
    <t>17/03/2025 17:00</t>
  </si>
  <si>
    <t>17/03/2025 17:15</t>
  </si>
  <si>
    <t>17/03/2025 17:30</t>
  </si>
  <si>
    <t>17/03/2025 17:45</t>
  </si>
  <si>
    <t>17/03/2025 18:00</t>
  </si>
  <si>
    <t>17/03/2025 18:15</t>
  </si>
  <si>
    <t>17/03/2025 18:30</t>
  </si>
  <si>
    <t>17/03/2025 18:45</t>
  </si>
  <si>
    <t>17/03/2025 19:00</t>
  </si>
  <si>
    <t>17/03/2025 19:15</t>
  </si>
  <si>
    <t>17/03/2025 19:30</t>
  </si>
  <si>
    <t>17/03/2025 19:45</t>
  </si>
  <si>
    <t>17/03/2025 20:00</t>
  </si>
  <si>
    <t>17/03/2025 20:15</t>
  </si>
  <si>
    <t>17/03/2025 20:30</t>
  </si>
  <si>
    <t>17/03/2025 20:45</t>
  </si>
  <si>
    <t>17/03/2025 21:00</t>
  </si>
  <si>
    <t>17/03/2025 21:15</t>
  </si>
  <si>
    <t>17/03/2025 21:30</t>
  </si>
  <si>
    <t>17/03/2025 21:45</t>
  </si>
  <si>
    <t>17/03/2025 22:00</t>
  </si>
  <si>
    <t>17/03/2025 22:15</t>
  </si>
  <si>
    <t>17/03/2025 22:30</t>
  </si>
  <si>
    <t>17/03/2025 22:45</t>
  </si>
  <si>
    <t>17/03/2025 23:00</t>
  </si>
  <si>
    <t>17/03/2025 23:15</t>
  </si>
  <si>
    <t>17/03/2025 23:30</t>
  </si>
  <si>
    <t>17/03/2025 23:45</t>
  </si>
  <si>
    <t>17/03/2025 24:00</t>
  </si>
  <si>
    <t>18/03/2025 00:15</t>
  </si>
  <si>
    <t>18/03/2025 00:30</t>
  </si>
  <si>
    <t>18/03/2025 00:45</t>
  </si>
  <si>
    <t>18/03/2025 01:00</t>
  </si>
  <si>
    <t>18/03/2025 01:15</t>
  </si>
  <si>
    <t>18/03/2025 01:30</t>
  </si>
  <si>
    <t>18/03/2025 01:45</t>
  </si>
  <si>
    <t>18/03/2025 02:00</t>
  </si>
  <si>
    <t>18/03/2025 02:15</t>
  </si>
  <si>
    <t>18/03/2025 02:30</t>
  </si>
  <si>
    <t>18/03/2025 02:45</t>
  </si>
  <si>
    <t>18/03/2025 03:00</t>
  </si>
  <si>
    <t>18/03/2025 03:15</t>
  </si>
  <si>
    <t>18/03/2025 03:30</t>
  </si>
  <si>
    <t>18/03/2025 03:45</t>
  </si>
  <si>
    <t>18/03/2025 04:00</t>
  </si>
  <si>
    <t>18/03/2025 04:15</t>
  </si>
  <si>
    <t>18/03/2025 04:30</t>
  </si>
  <si>
    <t>18/03/2025 04:45</t>
  </si>
  <si>
    <t>18/03/2025 05:00</t>
  </si>
  <si>
    <t>18/03/2025 05:15</t>
  </si>
  <si>
    <t>18/03/2025 05:30</t>
  </si>
  <si>
    <t>18/03/2025 05:45</t>
  </si>
  <si>
    <t>18/03/2025 06:00</t>
  </si>
  <si>
    <t>18/03/2025 06:15</t>
  </si>
  <si>
    <t>18/03/2025 06:30</t>
  </si>
  <si>
    <t>18/03/2025 06:45</t>
  </si>
  <si>
    <t>18/03/2025 07:00</t>
  </si>
  <si>
    <t>18/03/2025 07:15</t>
  </si>
  <si>
    <t>18/03/2025 07:30</t>
  </si>
  <si>
    <t>18/03/2025 07:45</t>
  </si>
  <si>
    <t>18/03/2025 08:00</t>
  </si>
  <si>
    <t>18/03/2025 08:15</t>
  </si>
  <si>
    <t>18/03/2025 08:30</t>
  </si>
  <si>
    <t>18/03/2025 08:45</t>
  </si>
  <si>
    <t>18/03/2025 09:00</t>
  </si>
  <si>
    <t>18/03/2025 09:15</t>
  </si>
  <si>
    <t>18/03/2025 09:30</t>
  </si>
  <si>
    <t>18/03/2025 09:45</t>
  </si>
  <si>
    <t>18/03/2025 10:00</t>
  </si>
  <si>
    <t>18/03/2025 10:15</t>
  </si>
  <si>
    <t>18/03/2025 10:30</t>
  </si>
  <si>
    <t>18/03/2025 10:45</t>
  </si>
  <si>
    <t>18/03/2025 11:00</t>
  </si>
  <si>
    <t>18/03/2025 11:15</t>
  </si>
  <si>
    <t>18/03/2025 11:30</t>
  </si>
  <si>
    <t>18/03/2025 11:45</t>
  </si>
  <si>
    <t>18/03/2025 12:00</t>
  </si>
  <si>
    <t>18/03/2025 12:15</t>
  </si>
  <si>
    <t>18/03/2025 12:30</t>
  </si>
  <si>
    <t>18/03/2025 12:45</t>
  </si>
  <si>
    <t>18/03/2025 13:00</t>
  </si>
  <si>
    <t>18/03/2025 13:15</t>
  </si>
  <si>
    <t>18/03/2025 13:30</t>
  </si>
  <si>
    <t>18/03/2025 13:45</t>
  </si>
  <si>
    <t>18/03/2025 14:00</t>
  </si>
  <si>
    <t>18/03/2025 14:15</t>
  </si>
  <si>
    <t>18/03/2025 14:30</t>
  </si>
  <si>
    <t>18/03/2025 14:45</t>
  </si>
  <si>
    <t>18/03/2025 15:00</t>
  </si>
  <si>
    <t>18/03/2025 15:15</t>
  </si>
  <si>
    <t>18/03/2025 15:30</t>
  </si>
  <si>
    <t>18/03/2025 15:45</t>
  </si>
  <si>
    <t>18/03/2025 16:00</t>
  </si>
  <si>
    <t>18/03/2025 16:15</t>
  </si>
  <si>
    <t>18/03/2025 16:30</t>
  </si>
  <si>
    <t>18/03/2025 16:45</t>
  </si>
  <si>
    <t>18/03/2025 17:00</t>
  </si>
  <si>
    <t>18/03/2025 17:15</t>
  </si>
  <si>
    <t>18/03/2025 17:30</t>
  </si>
  <si>
    <t>18/03/2025 17:45</t>
  </si>
  <si>
    <t>18/03/2025 18:00</t>
  </si>
  <si>
    <t>18/03/2025 18:15</t>
  </si>
  <si>
    <t>18/03/2025 18:30</t>
  </si>
  <si>
    <t>18/03/2025 18:45</t>
  </si>
  <si>
    <t>18/03/2025 19:00</t>
  </si>
  <si>
    <t>18/03/2025 19:15</t>
  </si>
  <si>
    <t>18/03/2025 19:30</t>
  </si>
  <si>
    <t>18/03/2025 19:45</t>
  </si>
  <si>
    <t>18/03/2025 20:00</t>
  </si>
  <si>
    <t>18/03/2025 20:15</t>
  </si>
  <si>
    <t>18/03/2025 20:30</t>
  </si>
  <si>
    <t>18/03/2025 20:45</t>
  </si>
  <si>
    <t>18/03/2025 21:00</t>
  </si>
  <si>
    <t>18/03/2025 21:15</t>
  </si>
  <si>
    <t>18/03/2025 21:30</t>
  </si>
  <si>
    <t>18/03/2025 21:45</t>
  </si>
  <si>
    <t>18/03/2025 22:00</t>
  </si>
  <si>
    <t>18/03/2025 22:15</t>
  </si>
  <si>
    <t>18/03/2025 22:30</t>
  </si>
  <si>
    <t>18/03/2025 22:45</t>
  </si>
  <si>
    <t>18/03/2025 23:00</t>
  </si>
  <si>
    <t>18/03/2025 23:15</t>
  </si>
  <si>
    <t>18/03/2025 23:30</t>
  </si>
  <si>
    <t>18/03/2025 23:45</t>
  </si>
  <si>
    <t>18/03/2025 24:00</t>
  </si>
  <si>
    <t>19/03/2025 00:15</t>
  </si>
  <si>
    <t>19/03/2025 00:30</t>
  </si>
  <si>
    <t>19/03/2025 00:45</t>
  </si>
  <si>
    <t>19/03/2025 01:00</t>
  </si>
  <si>
    <t>19/03/2025 01:15</t>
  </si>
  <si>
    <t>19/03/2025 01:30</t>
  </si>
  <si>
    <t>19/03/2025 01:45</t>
  </si>
  <si>
    <t>19/03/2025 02:00</t>
  </si>
  <si>
    <t>19/03/2025 02:15</t>
  </si>
  <si>
    <t>19/03/2025 02:30</t>
  </si>
  <si>
    <t>19/03/2025 02:45</t>
  </si>
  <si>
    <t>19/03/2025 03:00</t>
  </si>
  <si>
    <t>19/03/2025 03:15</t>
  </si>
  <si>
    <t>19/03/2025 03:30</t>
  </si>
  <si>
    <t>19/03/2025 03:45</t>
  </si>
  <si>
    <t>19/03/2025 04:00</t>
  </si>
  <si>
    <t>19/03/2025 04:15</t>
  </si>
  <si>
    <t>19/03/2025 04:30</t>
  </si>
  <si>
    <t>19/03/2025 04:45</t>
  </si>
  <si>
    <t>19/03/2025 05:00</t>
  </si>
  <si>
    <t>19/03/2025 05:15</t>
  </si>
  <si>
    <t>19/03/2025 05:30</t>
  </si>
  <si>
    <t>19/03/2025 05:45</t>
  </si>
  <si>
    <t>19/03/2025 06:00</t>
  </si>
  <si>
    <t>19/03/2025 06:15</t>
  </si>
  <si>
    <t>19/03/2025 06:30</t>
  </si>
  <si>
    <t>19/03/2025 06:45</t>
  </si>
  <si>
    <t>19/03/2025 07:00</t>
  </si>
  <si>
    <t>19/03/2025 07:15</t>
  </si>
  <si>
    <t>19/03/2025 07:30</t>
  </si>
  <si>
    <t>19/03/2025 07:45</t>
  </si>
  <si>
    <t>19/03/2025 08:00</t>
  </si>
  <si>
    <t>19/03/2025 08:15</t>
  </si>
  <si>
    <t>19/03/2025 08:30</t>
  </si>
  <si>
    <t>19/03/2025 08:45</t>
  </si>
  <si>
    <t>19/03/2025 09:00</t>
  </si>
  <si>
    <t>19/03/2025 09:15</t>
  </si>
  <si>
    <t>19/03/2025 09:30</t>
  </si>
  <si>
    <t>19/03/2025 09:45</t>
  </si>
  <si>
    <t>19/03/2025 10:00</t>
  </si>
  <si>
    <t>19/03/2025 10:15</t>
  </si>
  <si>
    <t>19/03/2025 10:30</t>
  </si>
  <si>
    <t>19/03/2025 10:45</t>
  </si>
  <si>
    <t>19/03/2025 11:00</t>
  </si>
  <si>
    <t>19/03/2025 11:15</t>
  </si>
  <si>
    <t>19/03/2025 11:30</t>
  </si>
  <si>
    <t>19/03/2025 11:45</t>
  </si>
  <si>
    <t>19/03/2025 12:00</t>
  </si>
  <si>
    <t>19/03/2025 12:15</t>
  </si>
  <si>
    <t>19/03/2025 12:30</t>
  </si>
  <si>
    <t>19/03/2025 12:45</t>
  </si>
  <si>
    <t>19/03/2025 13:00</t>
  </si>
  <si>
    <t>19/03/2025 13:15</t>
  </si>
  <si>
    <t>19/03/2025 13:30</t>
  </si>
  <si>
    <t>19/03/2025 13:45</t>
  </si>
  <si>
    <t>19/03/2025 14:00</t>
  </si>
  <si>
    <t>19/03/2025 14:15</t>
  </si>
  <si>
    <t>19/03/2025 14:30</t>
  </si>
  <si>
    <t>19/03/2025 14:45</t>
  </si>
  <si>
    <t>19/03/2025 15:00</t>
  </si>
  <si>
    <t>19/03/2025 15:15</t>
  </si>
  <si>
    <t>19/03/2025 15:30</t>
  </si>
  <si>
    <t>19/03/2025 15:45</t>
  </si>
  <si>
    <t>19/03/2025 16:00</t>
  </si>
  <si>
    <t>19/03/2025 16:15</t>
  </si>
  <si>
    <t>19/03/2025 16:30</t>
  </si>
  <si>
    <t>19/03/2025 16:45</t>
  </si>
  <si>
    <t>19/03/2025 17:00</t>
  </si>
  <si>
    <t>19/03/2025 17:15</t>
  </si>
  <si>
    <t>19/03/2025 17:30</t>
  </si>
  <si>
    <t>19/03/2025 17:45</t>
  </si>
  <si>
    <t>19/03/2025 18:00</t>
  </si>
  <si>
    <t>19/03/2025 18:15</t>
  </si>
  <si>
    <t>19/03/2025 18:30</t>
  </si>
  <si>
    <t>19/03/2025 18:45</t>
  </si>
  <si>
    <t>19/03/2025 19:00</t>
  </si>
  <si>
    <t>19/03/2025 19:15</t>
  </si>
  <si>
    <t>19/03/2025 19:30</t>
  </si>
  <si>
    <t>19/03/2025 19:45</t>
  </si>
  <si>
    <t>19/03/2025 20:00</t>
  </si>
  <si>
    <t>19/03/2025 20:15</t>
  </si>
  <si>
    <t>19/03/2025 20:30</t>
  </si>
  <si>
    <t>19/03/2025 20:45</t>
  </si>
  <si>
    <t>19/03/2025 21:00</t>
  </si>
  <si>
    <t>19/03/2025 21:15</t>
  </si>
  <si>
    <t>19/03/2025 21:30</t>
  </si>
  <si>
    <t>19/03/2025 21:45</t>
  </si>
  <si>
    <t>19/03/2025 22:00</t>
  </si>
  <si>
    <t>19/03/2025 22:15</t>
  </si>
  <si>
    <t>19/03/2025 22:30</t>
  </si>
  <si>
    <t>19/03/2025 22:45</t>
  </si>
  <si>
    <t>19/03/2025 23:00</t>
  </si>
  <si>
    <t>19/03/2025 23:15</t>
  </si>
  <si>
    <t>19/03/2025 23:30</t>
  </si>
  <si>
    <t>19/03/2025 23:45</t>
  </si>
  <si>
    <t>19/03/2025 24:00</t>
  </si>
  <si>
    <t>20/03/2025 00:15</t>
  </si>
  <si>
    <t>20/03/2025 00:30</t>
  </si>
  <si>
    <t>20/03/2025 00:45</t>
  </si>
  <si>
    <t>20/03/2025 01:00</t>
  </si>
  <si>
    <t>20/03/2025 01:15</t>
  </si>
  <si>
    <t>20/03/2025 01:30</t>
  </si>
  <si>
    <t>20/03/2025 01:45</t>
  </si>
  <si>
    <t>20/03/2025 02:00</t>
  </si>
  <si>
    <t>20/03/2025 02:15</t>
  </si>
  <si>
    <t>20/03/2025 02:30</t>
  </si>
  <si>
    <t>20/03/2025 02:45</t>
  </si>
  <si>
    <t>20/03/2025 03:00</t>
  </si>
  <si>
    <t>20/03/2025 03:15</t>
  </si>
  <si>
    <t>20/03/2025 03:30</t>
  </si>
  <si>
    <t>20/03/2025 03:45</t>
  </si>
  <si>
    <t>20/03/2025 04:00</t>
  </si>
  <si>
    <t>20/03/2025 04:15</t>
  </si>
  <si>
    <t>20/03/2025 04:30</t>
  </si>
  <si>
    <t>20/03/2025 04:45</t>
  </si>
  <si>
    <t>20/03/2025 05:00</t>
  </si>
  <si>
    <t>20/03/2025 05:15</t>
  </si>
  <si>
    <t>20/03/2025 05:30</t>
  </si>
  <si>
    <t>20/03/2025 05:45</t>
  </si>
  <si>
    <t>20/03/2025 06:00</t>
  </si>
  <si>
    <t>20/03/2025 06:15</t>
  </si>
  <si>
    <t>20/03/2025 06:30</t>
  </si>
  <si>
    <t>20/03/2025 06:45</t>
  </si>
  <si>
    <t>20/03/2025 07:00</t>
  </si>
  <si>
    <t>20/03/2025 07:15</t>
  </si>
  <si>
    <t>20/03/2025 07:30</t>
  </si>
  <si>
    <t>20/03/2025 07:45</t>
  </si>
  <si>
    <t>20/03/2025 08:00</t>
  </si>
  <si>
    <t>20/03/2025 08:15</t>
  </si>
  <si>
    <t>20/03/2025 08:30</t>
  </si>
  <si>
    <t>20/03/2025 08:45</t>
  </si>
  <si>
    <t>20/03/2025 09:00</t>
  </si>
  <si>
    <t>20/03/2025 09:15</t>
  </si>
  <si>
    <t>20/03/2025 09:30</t>
  </si>
  <si>
    <t>20/03/2025 09:45</t>
  </si>
  <si>
    <t>20/03/2025 10:00</t>
  </si>
  <si>
    <t>20/03/2025 10:15</t>
  </si>
  <si>
    <t>20/03/2025 10:30</t>
  </si>
  <si>
    <t>20/03/2025 10:45</t>
  </si>
  <si>
    <t>20/03/2025 11:00</t>
  </si>
  <si>
    <t>20/03/2025 11:15</t>
  </si>
  <si>
    <t>20/03/2025 11:30</t>
  </si>
  <si>
    <t>20/03/2025 11:45</t>
  </si>
  <si>
    <t>20/03/2025 12:00</t>
  </si>
  <si>
    <t>20/03/2025 12:15</t>
  </si>
  <si>
    <t>20/03/2025 12:30</t>
  </si>
  <si>
    <t>20/03/2025 12:45</t>
  </si>
  <si>
    <t>20/03/2025 13:00</t>
  </si>
  <si>
    <t>20/03/2025 13:15</t>
  </si>
  <si>
    <t>20/03/2025 13:30</t>
  </si>
  <si>
    <t>20/03/2025 13:45</t>
  </si>
  <si>
    <t>20/03/2025 14:00</t>
  </si>
  <si>
    <t>20/03/2025 14:15</t>
  </si>
  <si>
    <t>20/03/2025 14:30</t>
  </si>
  <si>
    <t>20/03/2025 14:45</t>
  </si>
  <si>
    <t>20/03/2025 15:00</t>
  </si>
  <si>
    <t>20/03/2025 15:15</t>
  </si>
  <si>
    <t>20/03/2025 15:30</t>
  </si>
  <si>
    <t>20/03/2025 15:45</t>
  </si>
  <si>
    <t>20/03/2025 16:00</t>
  </si>
  <si>
    <t>20/03/2025 16:15</t>
  </si>
  <si>
    <t>20/03/2025 16:30</t>
  </si>
  <si>
    <t>20/03/2025 16:45</t>
  </si>
  <si>
    <t>20/03/2025 17:00</t>
  </si>
  <si>
    <t>20/03/2025 17:15</t>
  </si>
  <si>
    <t>20/03/2025 17:30</t>
  </si>
  <si>
    <t>20/03/2025 17:45</t>
  </si>
  <si>
    <t>20/03/2025 18:00</t>
  </si>
  <si>
    <t>20/03/2025 18:15</t>
  </si>
  <si>
    <t>20/03/2025 18:30</t>
  </si>
  <si>
    <t>20/03/2025 18:45</t>
  </si>
  <si>
    <t>20/03/2025 19:00</t>
  </si>
  <si>
    <t>20/03/2025 19:15</t>
  </si>
  <si>
    <t>20/03/2025 19:30</t>
  </si>
  <si>
    <t>20/03/2025 19:45</t>
  </si>
  <si>
    <t>20/03/2025 20:00</t>
  </si>
  <si>
    <t>20/03/2025 20:15</t>
  </si>
  <si>
    <t>20/03/2025 20:30</t>
  </si>
  <si>
    <t>20/03/2025 20:45</t>
  </si>
  <si>
    <t>20/03/2025 21:00</t>
  </si>
  <si>
    <t>20/03/2025 21:15</t>
  </si>
  <si>
    <t>20/03/2025 21:30</t>
  </si>
  <si>
    <t>20/03/2025 21:45</t>
  </si>
  <si>
    <t>20/03/2025 22:00</t>
  </si>
  <si>
    <t>20/03/2025 22:15</t>
  </si>
  <si>
    <t>20/03/2025 22:30</t>
  </si>
  <si>
    <t>20/03/2025 22:45</t>
  </si>
  <si>
    <t>20/03/2025 23:00</t>
  </si>
  <si>
    <t>20/03/2025 23:15</t>
  </si>
  <si>
    <t>20/03/2025 23:30</t>
  </si>
  <si>
    <t>20/03/2025 23:45</t>
  </si>
  <si>
    <t>20/03/2025 24:00</t>
  </si>
  <si>
    <t>21/03/2025 00:15</t>
  </si>
  <si>
    <t>21/03/2025 00:30</t>
  </si>
  <si>
    <t>21/03/2025 00:45</t>
  </si>
  <si>
    <t>21/03/2025 01:00</t>
  </si>
  <si>
    <t>21/03/2025 01:15</t>
  </si>
  <si>
    <t>21/03/2025 01:30</t>
  </si>
  <si>
    <t>21/03/2025 01:45</t>
  </si>
  <si>
    <t>21/03/2025 02:00</t>
  </si>
  <si>
    <t>21/03/2025 02:15</t>
  </si>
  <si>
    <t>21/03/2025 02:30</t>
  </si>
  <si>
    <t>21/03/2025 02:45</t>
  </si>
  <si>
    <t>21/03/2025 03:00</t>
  </si>
  <si>
    <t>21/03/2025 03:15</t>
  </si>
  <si>
    <t>21/03/2025 03:30</t>
  </si>
  <si>
    <t>21/03/2025 03:45</t>
  </si>
  <si>
    <t>21/03/2025 04:00</t>
  </si>
  <si>
    <t>21/03/2025 04:15</t>
  </si>
  <si>
    <t>21/03/2025 04:30</t>
  </si>
  <si>
    <t>21/03/2025 04:45</t>
  </si>
  <si>
    <t>21/03/2025 05:00</t>
  </si>
  <si>
    <t>21/03/2025 05:15</t>
  </si>
  <si>
    <t>21/03/2025 05:30</t>
  </si>
  <si>
    <t>21/03/2025 05:45</t>
  </si>
  <si>
    <t>21/03/2025 06:00</t>
  </si>
  <si>
    <t>21/03/2025 06:15</t>
  </si>
  <si>
    <t>21/03/2025 06:30</t>
  </si>
  <si>
    <t>21/03/2025 06:45</t>
  </si>
  <si>
    <t>21/03/2025 07:00</t>
  </si>
  <si>
    <t>21/03/2025 07:15</t>
  </si>
  <si>
    <t>21/03/2025 07:30</t>
  </si>
  <si>
    <t>21/03/2025 07:45</t>
  </si>
  <si>
    <t>21/03/2025 08:00</t>
  </si>
  <si>
    <t>21/03/2025 08:15</t>
  </si>
  <si>
    <t>21/03/2025 08:30</t>
  </si>
  <si>
    <t>21/03/2025 08:45</t>
  </si>
  <si>
    <t>21/03/2025 09:00</t>
  </si>
  <si>
    <t>21/03/2025 09:15</t>
  </si>
  <si>
    <t>21/03/2025 09:30</t>
  </si>
  <si>
    <t>21/03/2025 09:45</t>
  </si>
  <si>
    <t>21/03/2025 10:00</t>
  </si>
  <si>
    <t>21/03/2025 10:15</t>
  </si>
  <si>
    <t>21/03/2025 10:30</t>
  </si>
  <si>
    <t>21/03/2025 10:45</t>
  </si>
  <si>
    <t>21/03/2025 11:00</t>
  </si>
  <si>
    <t>21/03/2025 11:15</t>
  </si>
  <si>
    <t>21/03/2025 11:30</t>
  </si>
  <si>
    <t>21/03/2025 11:45</t>
  </si>
  <si>
    <t>21/03/2025 12:00</t>
  </si>
  <si>
    <t>21/03/2025 12:15</t>
  </si>
  <si>
    <t>21/03/2025 12:30</t>
  </si>
  <si>
    <t>21/03/2025 12:45</t>
  </si>
  <si>
    <t>21/03/2025 13:00</t>
  </si>
  <si>
    <t>21/03/2025 13:15</t>
  </si>
  <si>
    <t>21/03/2025 13:30</t>
  </si>
  <si>
    <t>21/03/2025 13:45</t>
  </si>
  <si>
    <t>21/03/2025 14:00</t>
  </si>
  <si>
    <t>21/03/2025 14:15</t>
  </si>
  <si>
    <t>21/03/2025 14:30</t>
  </si>
  <si>
    <t>21/03/2025 14:45</t>
  </si>
  <si>
    <t>21/03/2025 15:00</t>
  </si>
  <si>
    <t>21/03/2025 15:15</t>
  </si>
  <si>
    <t>21/03/2025 15:30</t>
  </si>
  <si>
    <t>21/03/2025 15:45</t>
  </si>
  <si>
    <t>21/03/2025 16:00</t>
  </si>
  <si>
    <t>21/03/2025 16:15</t>
  </si>
  <si>
    <t>21/03/2025 16:30</t>
  </si>
  <si>
    <t>21/03/2025 16:45</t>
  </si>
  <si>
    <t>21/03/2025 17:00</t>
  </si>
  <si>
    <t>21/03/2025 17:15</t>
  </si>
  <si>
    <t>21/03/2025 17:30</t>
  </si>
  <si>
    <t>21/03/2025 17:45</t>
  </si>
  <si>
    <t>21/03/2025 18:00</t>
  </si>
  <si>
    <t>21/03/2025 18:15</t>
  </si>
  <si>
    <t>21/03/2025 18:30</t>
  </si>
  <si>
    <t>21/03/2025 18:45</t>
  </si>
  <si>
    <t>21/03/2025 19:00</t>
  </si>
  <si>
    <t>21/03/2025 19:15</t>
  </si>
  <si>
    <t>21/03/2025 19:30</t>
  </si>
  <si>
    <t>21/03/2025 19:45</t>
  </si>
  <si>
    <t>21/03/2025 20:00</t>
  </si>
  <si>
    <t>21/03/2025 20:15</t>
  </si>
  <si>
    <t>21/03/2025 20:30</t>
  </si>
  <si>
    <t>21/03/2025 20:45</t>
  </si>
  <si>
    <t>21/03/2025 21:00</t>
  </si>
  <si>
    <t>21/03/2025 21:15</t>
  </si>
  <si>
    <t>21/03/2025 21:30</t>
  </si>
  <si>
    <t>21/03/2025 21:45</t>
  </si>
  <si>
    <t>21/03/2025 22:00</t>
  </si>
  <si>
    <t>21/03/2025 22:15</t>
  </si>
  <si>
    <t>21/03/2025 22:30</t>
  </si>
  <si>
    <t>21/03/2025 22:45</t>
  </si>
  <si>
    <t>21/03/2025 23:00</t>
  </si>
  <si>
    <t>21/03/2025 23:15</t>
  </si>
  <si>
    <t>21/03/2025 23:30</t>
  </si>
  <si>
    <t>21/03/2025 23:45</t>
  </si>
  <si>
    <t>21/03/2025 24:00</t>
  </si>
  <si>
    <t>22/03/2025 00:15</t>
  </si>
  <si>
    <t>22/03/2025 00:30</t>
  </si>
  <si>
    <t>22/03/2025 00:45</t>
  </si>
  <si>
    <t>22/03/2025 01:00</t>
  </si>
  <si>
    <t>22/03/2025 01:15</t>
  </si>
  <si>
    <t>22/03/2025 01:30</t>
  </si>
  <si>
    <t>22/03/2025 01:45</t>
  </si>
  <si>
    <t>22/03/2025 02:00</t>
  </si>
  <si>
    <t>22/03/2025 02:15</t>
  </si>
  <si>
    <t>22/03/2025 02:30</t>
  </si>
  <si>
    <t>22/03/2025 02:45</t>
  </si>
  <si>
    <t>22/03/2025 03:00</t>
  </si>
  <si>
    <t>22/03/2025 03:15</t>
  </si>
  <si>
    <t>22/03/2025 03:30</t>
  </si>
  <si>
    <t>22/03/2025 03:45</t>
  </si>
  <si>
    <t>22/03/2025 04:00</t>
  </si>
  <si>
    <t>22/03/2025 04:15</t>
  </si>
  <si>
    <t>22/03/2025 04:30</t>
  </si>
  <si>
    <t>22/03/2025 04:45</t>
  </si>
  <si>
    <t>22/03/2025 05:00</t>
  </si>
  <si>
    <t>22/03/2025 05:15</t>
  </si>
  <si>
    <t>22/03/2025 05:30</t>
  </si>
  <si>
    <t>22/03/2025 05:45</t>
  </si>
  <si>
    <t>22/03/2025 06:00</t>
  </si>
  <si>
    <t>22/03/2025 06:15</t>
  </si>
  <si>
    <t>22/03/2025 06:30</t>
  </si>
  <si>
    <t>22/03/2025 06:45</t>
  </si>
  <si>
    <t>22/03/2025 07:00</t>
  </si>
  <si>
    <t>22/03/2025 07:15</t>
  </si>
  <si>
    <t>22/03/2025 07:30</t>
  </si>
  <si>
    <t>22/03/2025 07:45</t>
  </si>
  <si>
    <t>22/03/2025 08:00</t>
  </si>
  <si>
    <t>22/03/2025 08:15</t>
  </si>
  <si>
    <t>22/03/2025 08:30</t>
  </si>
  <si>
    <t>22/03/2025 08:45</t>
  </si>
  <si>
    <t>22/03/2025 09:00</t>
  </si>
  <si>
    <t>22/03/2025 09:15</t>
  </si>
  <si>
    <t>22/03/2025 09:30</t>
  </si>
  <si>
    <t>22/03/2025 09:45</t>
  </si>
  <si>
    <t>22/03/2025 10:00</t>
  </si>
  <si>
    <t>22/03/2025 10:15</t>
  </si>
  <si>
    <t>22/03/2025 10:30</t>
  </si>
  <si>
    <t>22/03/2025 10:45</t>
  </si>
  <si>
    <t>22/03/2025 11:00</t>
  </si>
  <si>
    <t>22/03/2025 11:15</t>
  </si>
  <si>
    <t>22/03/2025 11:30</t>
  </si>
  <si>
    <t>22/03/2025 11:45</t>
  </si>
  <si>
    <t>22/03/2025 12:00</t>
  </si>
  <si>
    <t>22/03/2025 12:15</t>
  </si>
  <si>
    <t>22/03/2025 12:30</t>
  </si>
  <si>
    <t>22/03/2025 12:45</t>
  </si>
  <si>
    <t>22/03/2025 13:00</t>
  </si>
  <si>
    <t>22/03/2025 13:15</t>
  </si>
  <si>
    <t>22/03/2025 13:30</t>
  </si>
  <si>
    <t>22/03/2025 13:45</t>
  </si>
  <si>
    <t>22/03/2025 14:00</t>
  </si>
  <si>
    <t>22/03/2025 14:15</t>
  </si>
  <si>
    <t>22/03/2025 14:30</t>
  </si>
  <si>
    <t>22/03/2025 14:45</t>
  </si>
  <si>
    <t>22/03/2025 15:00</t>
  </si>
  <si>
    <t>22/03/2025 15:15</t>
  </si>
  <si>
    <t>22/03/2025 15:30</t>
  </si>
  <si>
    <t>22/03/2025 15:45</t>
  </si>
  <si>
    <t>22/03/2025 16:00</t>
  </si>
  <si>
    <t>22/03/2025 16:15</t>
  </si>
  <si>
    <t>22/03/2025 16:30</t>
  </si>
  <si>
    <t>22/03/2025 16:45</t>
  </si>
  <si>
    <t>22/03/2025 17:00</t>
  </si>
  <si>
    <t>22/03/2025 17:15</t>
  </si>
  <si>
    <t>22/03/2025 17:30</t>
  </si>
  <si>
    <t>22/03/2025 17:45</t>
  </si>
  <si>
    <t>22/03/2025 18:00</t>
  </si>
  <si>
    <t>22/03/2025 18:15</t>
  </si>
  <si>
    <t>22/03/2025 18:30</t>
  </si>
  <si>
    <t>22/03/2025 18:45</t>
  </si>
  <si>
    <t>22/03/2025 19:00</t>
  </si>
  <si>
    <t>22/03/2025 19:15</t>
  </si>
  <si>
    <t>22/03/2025 19:30</t>
  </si>
  <si>
    <t>22/03/2025 19:45</t>
  </si>
  <si>
    <t>22/03/2025 20:00</t>
  </si>
  <si>
    <t>22/03/2025 20:15</t>
  </si>
  <si>
    <t>22/03/2025 20:30</t>
  </si>
  <si>
    <t>22/03/2025 20:45</t>
  </si>
  <si>
    <t>22/03/2025 21:00</t>
  </si>
  <si>
    <t>22/03/2025 21:15</t>
  </si>
  <si>
    <t>22/03/2025 21:30</t>
  </si>
  <si>
    <t>22/03/2025 21:45</t>
  </si>
  <si>
    <t>22/03/2025 22:00</t>
  </si>
  <si>
    <t>22/03/2025 22:15</t>
  </si>
  <si>
    <t>22/03/2025 22:30</t>
  </si>
  <si>
    <t>22/03/2025 22:45</t>
  </si>
  <si>
    <t>22/03/2025 23:00</t>
  </si>
  <si>
    <t>22/03/2025 23:15</t>
  </si>
  <si>
    <t>22/03/2025 23:30</t>
  </si>
  <si>
    <t>22/03/2025 23:45</t>
  </si>
  <si>
    <t>22/03/2025 24:00</t>
  </si>
  <si>
    <t>23/03/2025 00:15</t>
  </si>
  <si>
    <t>23/03/2025 00:30</t>
  </si>
  <si>
    <t>23/03/2025 00:45</t>
  </si>
  <si>
    <t>23/03/2025 01:00</t>
  </si>
  <si>
    <t>23/03/2025 01:15</t>
  </si>
  <si>
    <t>23/03/2025 01:30</t>
  </si>
  <si>
    <t>23/03/2025 01:45</t>
  </si>
  <si>
    <t>23/03/2025 02:00</t>
  </si>
  <si>
    <t>23/03/2025 02:15</t>
  </si>
  <si>
    <t>23/03/2025 02:30</t>
  </si>
  <si>
    <t>23/03/2025 02:45</t>
  </si>
  <si>
    <t>23/03/2025 03:00</t>
  </si>
  <si>
    <t>23/03/2025 03:15</t>
  </si>
  <si>
    <t>23/03/2025 03:30</t>
  </si>
  <si>
    <t>23/03/2025 03:45</t>
  </si>
  <si>
    <t>23/03/2025 04:00</t>
  </si>
  <si>
    <t>23/03/2025 04:15</t>
  </si>
  <si>
    <t>23/03/2025 04:30</t>
  </si>
  <si>
    <t>23/03/2025 04:45</t>
  </si>
  <si>
    <t>23/03/2025 05:00</t>
  </si>
  <si>
    <t>23/03/2025 05:15</t>
  </si>
  <si>
    <t>23/03/2025 05:30</t>
  </si>
  <si>
    <t>23/03/2025 05:45</t>
  </si>
  <si>
    <t>23/03/2025 06:00</t>
  </si>
  <si>
    <t>23/03/2025 06:15</t>
  </si>
  <si>
    <t>23/03/2025 06:30</t>
  </si>
  <si>
    <t>23/03/2025 06:45</t>
  </si>
  <si>
    <t>23/03/2025 07:00</t>
  </si>
  <si>
    <t>23/03/2025 07:15</t>
  </si>
  <si>
    <t>23/03/2025 07:30</t>
  </si>
  <si>
    <t>23/03/2025 07:45</t>
  </si>
  <si>
    <t>23/03/2025 08:00</t>
  </si>
  <si>
    <t>23/03/2025 08:15</t>
  </si>
  <si>
    <t>23/03/2025 08:30</t>
  </si>
  <si>
    <t>23/03/2025 08:45</t>
  </si>
  <si>
    <t>23/03/2025 09:00</t>
  </si>
  <si>
    <t>23/03/2025 09:15</t>
  </si>
  <si>
    <t>23/03/2025 09:30</t>
  </si>
  <si>
    <t>23/03/2025 09:45</t>
  </si>
  <si>
    <t>23/03/2025 10:00</t>
  </si>
  <si>
    <t>23/03/2025 10:15</t>
  </si>
  <si>
    <t>23/03/2025 10:30</t>
  </si>
  <si>
    <t>23/03/2025 10:45</t>
  </si>
  <si>
    <t>23/03/2025 11:00</t>
  </si>
  <si>
    <t>23/03/2025 11:15</t>
  </si>
  <si>
    <t>23/03/2025 11:30</t>
  </si>
  <si>
    <t>23/03/2025 11:45</t>
  </si>
  <si>
    <t>23/03/2025 12:00</t>
  </si>
  <si>
    <t>23/03/2025 12:15</t>
  </si>
  <si>
    <t>23/03/2025 12:30</t>
  </si>
  <si>
    <t>23/03/2025 12:45</t>
  </si>
  <si>
    <t>23/03/2025 13:00</t>
  </si>
  <si>
    <t>23/03/2025 13:15</t>
  </si>
  <si>
    <t>23/03/2025 13:30</t>
  </si>
  <si>
    <t>23/03/2025 13:45</t>
  </si>
  <si>
    <t>23/03/2025 14:00</t>
  </si>
  <si>
    <t>23/03/2025 14:15</t>
  </si>
  <si>
    <t>23/03/2025 14:30</t>
  </si>
  <si>
    <t>23/03/2025 14:45</t>
  </si>
  <si>
    <t>23/03/2025 15:00</t>
  </si>
  <si>
    <t>23/03/2025 15:15</t>
  </si>
  <si>
    <t>23/03/2025 15:30</t>
  </si>
  <si>
    <t>23/03/2025 15:45</t>
  </si>
  <si>
    <t>23/03/2025 16:00</t>
  </si>
  <si>
    <t>23/03/2025 16:15</t>
  </si>
  <si>
    <t>23/03/2025 16:30</t>
  </si>
  <si>
    <t>23/03/2025 16:45</t>
  </si>
  <si>
    <t>23/03/2025 17:00</t>
  </si>
  <si>
    <t>23/03/2025 17:15</t>
  </si>
  <si>
    <t>23/03/2025 17:30</t>
  </si>
  <si>
    <t>23/03/2025 17:45</t>
  </si>
  <si>
    <t>23/03/2025 18:00</t>
  </si>
  <si>
    <t>23/03/2025 18:15</t>
  </si>
  <si>
    <t>23/03/2025 18:30</t>
  </si>
  <si>
    <t>23/03/2025 18:45</t>
  </si>
  <si>
    <t>23/03/2025 19:00</t>
  </si>
  <si>
    <t>23/03/2025 19:15</t>
  </si>
  <si>
    <t>23/03/2025 19:30</t>
  </si>
  <si>
    <t>23/03/2025 19:45</t>
  </si>
  <si>
    <t>23/03/2025 20:00</t>
  </si>
  <si>
    <t>23/03/2025 20:15</t>
  </si>
  <si>
    <t>23/03/2025 20:30</t>
  </si>
  <si>
    <t>23/03/2025 20:45</t>
  </si>
  <si>
    <t>23/03/2025 21:00</t>
  </si>
  <si>
    <t>23/03/2025 21:15</t>
  </si>
  <si>
    <t>23/03/2025 21:30</t>
  </si>
  <si>
    <t>23/03/2025 21:45</t>
  </si>
  <si>
    <t>23/03/2025 22:00</t>
  </si>
  <si>
    <t>23/03/2025 22:15</t>
  </si>
  <si>
    <t>23/03/2025 22:30</t>
  </si>
  <si>
    <t>23/03/2025 22:45</t>
  </si>
  <si>
    <t>23/03/2025 23:00</t>
  </si>
  <si>
    <t>23/03/2025 23:15</t>
  </si>
  <si>
    <t>23/03/2025 23:30</t>
  </si>
  <si>
    <t>23/03/2025 23:45</t>
  </si>
  <si>
    <t>23/03/2025 24:00</t>
  </si>
  <si>
    <t>24/03/2025 00:15</t>
  </si>
  <si>
    <t>24/03/2025 00:30</t>
  </si>
  <si>
    <t>24/03/2025 00:45</t>
  </si>
  <si>
    <t>24/03/2025 01:00</t>
  </si>
  <si>
    <t>24/03/2025 01:15</t>
  </si>
  <si>
    <t>24/03/2025 01:30</t>
  </si>
  <si>
    <t>24/03/2025 01:45</t>
  </si>
  <si>
    <t>24/03/2025 02:00</t>
  </si>
  <si>
    <t>24/03/2025 02:15</t>
  </si>
  <si>
    <t>24/03/2025 02:30</t>
  </si>
  <si>
    <t>24/03/2025 02:45</t>
  </si>
  <si>
    <t>24/03/2025 03:00</t>
  </si>
  <si>
    <t>24/03/2025 03:15</t>
  </si>
  <si>
    <t>24/03/2025 03:30</t>
  </si>
  <si>
    <t>24/03/2025 03:45</t>
  </si>
  <si>
    <t>24/03/2025 04:00</t>
  </si>
  <si>
    <t>24/03/2025 04:15</t>
  </si>
  <si>
    <t>24/03/2025 04:30</t>
  </si>
  <si>
    <t>24/03/2025 04:45</t>
  </si>
  <si>
    <t>24/03/2025 05:00</t>
  </si>
  <si>
    <t>24/03/2025 05:15</t>
  </si>
  <si>
    <t>24/03/2025 05:30</t>
  </si>
  <si>
    <t>24/03/2025 05:45</t>
  </si>
  <si>
    <t>24/03/2025 06:00</t>
  </si>
  <si>
    <t>24/03/2025 06:15</t>
  </si>
  <si>
    <t>24/03/2025 06:30</t>
  </si>
  <si>
    <t>24/03/2025 06:45</t>
  </si>
  <si>
    <t>24/03/2025 07:00</t>
  </si>
  <si>
    <t>24/03/2025 07:15</t>
  </si>
  <si>
    <t>24/03/2025 07:30</t>
  </si>
  <si>
    <t>24/03/2025 07:45</t>
  </si>
  <si>
    <t>24/03/2025 08:00</t>
  </si>
  <si>
    <t>24/03/2025 08:15</t>
  </si>
  <si>
    <t>24/03/2025 08:30</t>
  </si>
  <si>
    <t>24/03/2025 08:45</t>
  </si>
  <si>
    <t>24/03/2025 09:00</t>
  </si>
  <si>
    <t>24/03/2025 09:15</t>
  </si>
  <si>
    <t>24/03/2025 09:30</t>
  </si>
  <si>
    <t>24/03/2025 09:45</t>
  </si>
  <si>
    <t>24/03/2025 10:00</t>
  </si>
  <si>
    <t>24/03/2025 10:15</t>
  </si>
  <si>
    <t>24/03/2025 10:30</t>
  </si>
  <si>
    <t>24/03/2025 10:45</t>
  </si>
  <si>
    <t>24/03/2025 11:00</t>
  </si>
  <si>
    <t>24/03/2025 11:15</t>
  </si>
  <si>
    <t>24/03/2025 11:30</t>
  </si>
  <si>
    <t>24/03/2025 11:45</t>
  </si>
  <si>
    <t>24/03/2025 12:00</t>
  </si>
  <si>
    <t>24/03/2025 12:15</t>
  </si>
  <si>
    <t>24/03/2025 12:30</t>
  </si>
  <si>
    <t>24/03/2025 12:45</t>
  </si>
  <si>
    <t>24/03/2025 13:00</t>
  </si>
  <si>
    <t>24/03/2025 13:15</t>
  </si>
  <si>
    <t>24/03/2025 13:30</t>
  </si>
  <si>
    <t>24/03/2025 13:45</t>
  </si>
  <si>
    <t>24/03/2025 14:00</t>
  </si>
  <si>
    <t>24/03/2025 14:15</t>
  </si>
  <si>
    <t>24/03/2025 14:30</t>
  </si>
  <si>
    <t>24/03/2025 14:45</t>
  </si>
  <si>
    <t>24/03/2025 15:00</t>
  </si>
  <si>
    <t>24/03/2025 15:15</t>
  </si>
  <si>
    <t>24/03/2025 15:30</t>
  </si>
  <si>
    <t>24/03/2025 15:45</t>
  </si>
  <si>
    <t>24/03/2025 16:00</t>
  </si>
  <si>
    <t>24/03/2025 16:15</t>
  </si>
  <si>
    <t>24/03/2025 16:30</t>
  </si>
  <si>
    <t>24/03/2025 16:45</t>
  </si>
  <si>
    <t>24/03/2025 17:00</t>
  </si>
  <si>
    <t>24/03/2025 17:15</t>
  </si>
  <si>
    <t>24/03/2025 17:30</t>
  </si>
  <si>
    <t>24/03/2025 17:45</t>
  </si>
  <si>
    <t>24/03/2025 18:00</t>
  </si>
  <si>
    <t>24/03/2025 18:15</t>
  </si>
  <si>
    <t>24/03/2025 18:30</t>
  </si>
  <si>
    <t>24/03/2025 18:45</t>
  </si>
  <si>
    <t>24/03/2025 19:00</t>
  </si>
  <si>
    <t>24/03/2025 19:15</t>
  </si>
  <si>
    <t>24/03/2025 19:30</t>
  </si>
  <si>
    <t>24/03/2025 19:45</t>
  </si>
  <si>
    <t>24/03/2025 20:00</t>
  </si>
  <si>
    <t>24/03/2025 20:15</t>
  </si>
  <si>
    <t>24/03/2025 20:30</t>
  </si>
  <si>
    <t>24/03/2025 20:45</t>
  </si>
  <si>
    <t>24/03/2025 21:00</t>
  </si>
  <si>
    <t>24/03/2025 21:15</t>
  </si>
  <si>
    <t>24/03/2025 21:30</t>
  </si>
  <si>
    <t>24/03/2025 21:45</t>
  </si>
  <si>
    <t>24/03/2025 22:00</t>
  </si>
  <si>
    <t>24/03/2025 22:15</t>
  </si>
  <si>
    <t>24/03/2025 22:30</t>
  </si>
  <si>
    <t>24/03/2025 22:45</t>
  </si>
  <si>
    <t>24/03/2025 23:00</t>
  </si>
  <si>
    <t>24/03/2025 23:15</t>
  </si>
  <si>
    <t>24/03/2025 23:30</t>
  </si>
  <si>
    <t>24/03/2025 23:45</t>
  </si>
  <si>
    <t>24/03/2025 24:00</t>
  </si>
  <si>
    <t>25/03/2025 00:15</t>
  </si>
  <si>
    <t>25/03/2025 00:30</t>
  </si>
  <si>
    <t>25/03/2025 00:45</t>
  </si>
  <si>
    <t>25/03/2025 01:00</t>
  </si>
  <si>
    <t>25/03/2025 01:15</t>
  </si>
  <si>
    <t>25/03/2025 01:30</t>
  </si>
  <si>
    <t>25/03/2025 01:45</t>
  </si>
  <si>
    <t>25/03/2025 02:00</t>
  </si>
  <si>
    <t>25/03/2025 02:15</t>
  </si>
  <si>
    <t>25/03/2025 02:30</t>
  </si>
  <si>
    <t>25/03/2025 02:45</t>
  </si>
  <si>
    <t>25/03/2025 03:00</t>
  </si>
  <si>
    <t>25/03/2025 03:15</t>
  </si>
  <si>
    <t>25/03/2025 03:30</t>
  </si>
  <si>
    <t>25/03/2025 03:45</t>
  </si>
  <si>
    <t>25/03/2025 04:00</t>
  </si>
  <si>
    <t>25/03/2025 04:15</t>
  </si>
  <si>
    <t>25/03/2025 04:30</t>
  </si>
  <si>
    <t>25/03/2025 04:45</t>
  </si>
  <si>
    <t>25/03/2025 05:00</t>
  </si>
  <si>
    <t>25/03/2025 05:15</t>
  </si>
  <si>
    <t>25/03/2025 05:30</t>
  </si>
  <si>
    <t>25/03/2025 05:45</t>
  </si>
  <si>
    <t>25/03/2025 06:00</t>
  </si>
  <si>
    <t>25/03/2025 06:15</t>
  </si>
  <si>
    <t>25/03/2025 06:30</t>
  </si>
  <si>
    <t>25/03/2025 06:45</t>
  </si>
  <si>
    <t>25/03/2025 07:00</t>
  </si>
  <si>
    <t>25/03/2025 07:15</t>
  </si>
  <si>
    <t>25/03/2025 07:30</t>
  </si>
  <si>
    <t>25/03/2025 07:45</t>
  </si>
  <si>
    <t>25/03/2025 08:00</t>
  </si>
  <si>
    <t>25/03/2025 08:15</t>
  </si>
  <si>
    <t>25/03/2025 08:30</t>
  </si>
  <si>
    <t>25/03/2025 08:45</t>
  </si>
  <si>
    <t>25/03/2025 09:00</t>
  </si>
  <si>
    <t>25/03/2025 09:15</t>
  </si>
  <si>
    <t>25/03/2025 09:30</t>
  </si>
  <si>
    <t>25/03/2025 09:45</t>
  </si>
  <si>
    <t>25/03/2025 10:00</t>
  </si>
  <si>
    <t>25/03/2025 10:15</t>
  </si>
  <si>
    <t>25/03/2025 10:30</t>
  </si>
  <si>
    <t>25/03/2025 10:45</t>
  </si>
  <si>
    <t>25/03/2025 11:00</t>
  </si>
  <si>
    <t>25/03/2025 11:15</t>
  </si>
  <si>
    <t>25/03/2025 11:30</t>
  </si>
  <si>
    <t>25/03/2025 11:45</t>
  </si>
  <si>
    <t>25/03/2025 12:00</t>
  </si>
  <si>
    <t>25/03/2025 12:15</t>
  </si>
  <si>
    <t>25/03/2025 12:30</t>
  </si>
  <si>
    <t>25/03/2025 12:45</t>
  </si>
  <si>
    <t>25/03/2025 13:00</t>
  </si>
  <si>
    <t>25/03/2025 13:15</t>
  </si>
  <si>
    <t>25/03/2025 13:30</t>
  </si>
  <si>
    <t>25/03/2025 13:45</t>
  </si>
  <si>
    <t>25/03/2025 14:00</t>
  </si>
  <si>
    <t>25/03/2025 14:15</t>
  </si>
  <si>
    <t>25/03/2025 14:30</t>
  </si>
  <si>
    <t>25/03/2025 14:45</t>
  </si>
  <si>
    <t>25/03/2025 15:00</t>
  </si>
  <si>
    <t>25/03/2025 15:15</t>
  </si>
  <si>
    <t>25/03/2025 15:30</t>
  </si>
  <si>
    <t>25/03/2025 15:45</t>
  </si>
  <si>
    <t>25/03/2025 16:00</t>
  </si>
  <si>
    <t>25/03/2025 16:15</t>
  </si>
  <si>
    <t>25/03/2025 16:30</t>
  </si>
  <si>
    <t>25/03/2025 16:45</t>
  </si>
  <si>
    <t>25/03/2025 17:00</t>
  </si>
  <si>
    <t>25/03/2025 17:15</t>
  </si>
  <si>
    <t>25/03/2025 17:30</t>
  </si>
  <si>
    <t>25/03/2025 17:45</t>
  </si>
  <si>
    <t>25/03/2025 18:00</t>
  </si>
  <si>
    <t>25/03/2025 18:15</t>
  </si>
  <si>
    <t>25/03/2025 18:30</t>
  </si>
  <si>
    <t>25/03/2025 18:45</t>
  </si>
  <si>
    <t>25/03/2025 19:00</t>
  </si>
  <si>
    <t>25/03/2025 19:15</t>
  </si>
  <si>
    <t>25/03/2025 19:30</t>
  </si>
  <si>
    <t>25/03/2025 19:45</t>
  </si>
  <si>
    <t>25/03/2025 20:00</t>
  </si>
  <si>
    <t>25/03/2025 20:15</t>
  </si>
  <si>
    <t>25/03/2025 20:30</t>
  </si>
  <si>
    <t>25/03/2025 20:45</t>
  </si>
  <si>
    <t>25/03/2025 21:00</t>
  </si>
  <si>
    <t>25/03/2025 21:15</t>
  </si>
  <si>
    <t>25/03/2025 21:30</t>
  </si>
  <si>
    <t>25/03/2025 21:45</t>
  </si>
  <si>
    <t>25/03/2025 22:00</t>
  </si>
  <si>
    <t>25/03/2025 22:15</t>
  </si>
  <si>
    <t>25/03/2025 22:30</t>
  </si>
  <si>
    <t>25/03/2025 22:45</t>
  </si>
  <si>
    <t>25/03/2025 23:00</t>
  </si>
  <si>
    <t>25/03/2025 23:15</t>
  </si>
  <si>
    <t>25/03/2025 23:30</t>
  </si>
  <si>
    <t>25/03/2025 23:45</t>
  </si>
  <si>
    <t>25/03/2025 24:00</t>
  </si>
  <si>
    <t>26/03/2025 00:15</t>
  </si>
  <si>
    <t>26/03/2025 00:30</t>
  </si>
  <si>
    <t>26/03/2025 00:45</t>
  </si>
  <si>
    <t>26/03/2025 01:00</t>
  </si>
  <si>
    <t>26/03/2025 01:15</t>
  </si>
  <si>
    <t>26/03/2025 01:30</t>
  </si>
  <si>
    <t>26/03/2025 01:45</t>
  </si>
  <si>
    <t>26/03/2025 02:00</t>
  </si>
  <si>
    <t>26/03/2025 02:15</t>
  </si>
  <si>
    <t>26/03/2025 02:30</t>
  </si>
  <si>
    <t>26/03/2025 02:45</t>
  </si>
  <si>
    <t>26/03/2025 03:00</t>
  </si>
  <si>
    <t>26/03/2025 03:15</t>
  </si>
  <si>
    <t>26/03/2025 03:30</t>
  </si>
  <si>
    <t>26/03/2025 03:45</t>
  </si>
  <si>
    <t>26/03/2025 04:00</t>
  </si>
  <si>
    <t>26/03/2025 04:15</t>
  </si>
  <si>
    <t>26/03/2025 04:30</t>
  </si>
  <si>
    <t>26/03/2025 04:45</t>
  </si>
  <si>
    <t>26/03/2025 05:00</t>
  </si>
  <si>
    <t>26/03/2025 05:15</t>
  </si>
  <si>
    <t>26/03/2025 05:30</t>
  </si>
  <si>
    <t>26/03/2025 05:45</t>
  </si>
  <si>
    <t>26/03/2025 06:00</t>
  </si>
  <si>
    <t>26/03/2025 06:15</t>
  </si>
  <si>
    <t>26/03/2025 06:30</t>
  </si>
  <si>
    <t>26/03/2025 06:45</t>
  </si>
  <si>
    <t>26/03/2025 07:00</t>
  </si>
  <si>
    <t>26/03/2025 07:15</t>
  </si>
  <si>
    <t>26/03/2025 07:30</t>
  </si>
  <si>
    <t>26/03/2025 07:45</t>
  </si>
  <si>
    <t>26/03/2025 08:00</t>
  </si>
  <si>
    <t>26/03/2025 08:15</t>
  </si>
  <si>
    <t>26/03/2025 08:30</t>
  </si>
  <si>
    <t>26/03/2025 08:45</t>
  </si>
  <si>
    <t>26/03/2025 09:00</t>
  </si>
  <si>
    <t>26/03/2025 09:15</t>
  </si>
  <si>
    <t>26/03/2025 09:30</t>
  </si>
  <si>
    <t>26/03/2025 09:45</t>
  </si>
  <si>
    <t>26/03/2025 10:00</t>
  </si>
  <si>
    <t>26/03/2025 10:15</t>
  </si>
  <si>
    <t>26/03/2025 10:30</t>
  </si>
  <si>
    <t>26/03/2025 10:45</t>
  </si>
  <si>
    <t>26/03/2025 11:00</t>
  </si>
  <si>
    <t>26/03/2025 11:15</t>
  </si>
  <si>
    <t>26/03/2025 11:30</t>
  </si>
  <si>
    <t>26/03/2025 11:45</t>
  </si>
  <si>
    <t>26/03/2025 12:00</t>
  </si>
  <si>
    <t>26/03/2025 12:15</t>
  </si>
  <si>
    <t>26/03/2025 12:30</t>
  </si>
  <si>
    <t>26/03/2025 12:45</t>
  </si>
  <si>
    <t>26/03/2025 13:00</t>
  </si>
  <si>
    <t>26/03/2025 13:15</t>
  </si>
  <si>
    <t>26/03/2025 13:30</t>
  </si>
  <si>
    <t>26/03/2025 13:45</t>
  </si>
  <si>
    <t>26/03/2025 14:00</t>
  </si>
  <si>
    <t>26/03/2025 14:15</t>
  </si>
  <si>
    <t>26/03/2025 14:30</t>
  </si>
  <si>
    <t>26/03/2025 14:45</t>
  </si>
  <si>
    <t>26/03/2025 15:00</t>
  </si>
  <si>
    <t>26/03/2025 15:15</t>
  </si>
  <si>
    <t>26/03/2025 15:30</t>
  </si>
  <si>
    <t>26/03/2025 15:45</t>
  </si>
  <si>
    <t>26/03/2025 16:00</t>
  </si>
  <si>
    <t>26/03/2025 16:15</t>
  </si>
  <si>
    <t>26/03/2025 16:30</t>
  </si>
  <si>
    <t>26/03/2025 16:45</t>
  </si>
  <si>
    <t>26/03/2025 17:00</t>
  </si>
  <si>
    <t>26/03/2025 17:15</t>
  </si>
  <si>
    <t>26/03/2025 17:30</t>
  </si>
  <si>
    <t>26/03/2025 17:45</t>
  </si>
  <si>
    <t>26/03/2025 18:00</t>
  </si>
  <si>
    <t>26/03/2025 18:15</t>
  </si>
  <si>
    <t>26/03/2025 18:30</t>
  </si>
  <si>
    <t>26/03/2025 18:45</t>
  </si>
  <si>
    <t>26/03/2025 19:00</t>
  </si>
  <si>
    <t>26/03/2025 19:15</t>
  </si>
  <si>
    <t>26/03/2025 19:30</t>
  </si>
  <si>
    <t>26/03/2025 19:45</t>
  </si>
  <si>
    <t>26/03/2025 20:00</t>
  </si>
  <si>
    <t>26/03/2025 20:15</t>
  </si>
  <si>
    <t>26/03/2025 20:30</t>
  </si>
  <si>
    <t>26/03/2025 20:45</t>
  </si>
  <si>
    <t>26/03/2025 21:00</t>
  </si>
  <si>
    <t>26/03/2025 21:15</t>
  </si>
  <si>
    <t>26/03/2025 21:30</t>
  </si>
  <si>
    <t>26/03/2025 21:45</t>
  </si>
  <si>
    <t>26/03/2025 22:00</t>
  </si>
  <si>
    <t>26/03/2025 22:15</t>
  </si>
  <si>
    <t>26/03/2025 22:30</t>
  </si>
  <si>
    <t>26/03/2025 22:45</t>
  </si>
  <si>
    <t>26/03/2025 23:00</t>
  </si>
  <si>
    <t>26/03/2025 23:15</t>
  </si>
  <si>
    <t>26/03/2025 23:30</t>
  </si>
  <si>
    <t>26/03/2025 23:45</t>
  </si>
  <si>
    <t>26/03/2025 24:00</t>
  </si>
  <si>
    <t>27/03/2025 00:15</t>
  </si>
  <si>
    <t>27/03/2025 00:30</t>
  </si>
  <si>
    <t>27/03/2025 00:45</t>
  </si>
  <si>
    <t>27/03/2025 01:00</t>
  </si>
  <si>
    <t>27/03/2025 01:15</t>
  </si>
  <si>
    <t>27/03/2025 01:30</t>
  </si>
  <si>
    <t>27/03/2025 01:45</t>
  </si>
  <si>
    <t>27/03/2025 02:00</t>
  </si>
  <si>
    <t>27/03/2025 02:15</t>
  </si>
  <si>
    <t>27/03/2025 02:30</t>
  </si>
  <si>
    <t>27/03/2025 02:45</t>
  </si>
  <si>
    <t>27/03/2025 03:00</t>
  </si>
  <si>
    <t>27/03/2025 03:15</t>
  </si>
  <si>
    <t>27/03/2025 03:30</t>
  </si>
  <si>
    <t>27/03/2025 03:45</t>
  </si>
  <si>
    <t>27/03/2025 04:00</t>
  </si>
  <si>
    <t>27/03/2025 04:15</t>
  </si>
  <si>
    <t>27/03/2025 04:30</t>
  </si>
  <si>
    <t>27/03/2025 04:45</t>
  </si>
  <si>
    <t>27/03/2025 05:00</t>
  </si>
  <si>
    <t>27/03/2025 05:15</t>
  </si>
  <si>
    <t>27/03/2025 05:30</t>
  </si>
  <si>
    <t>27/03/2025 05:45</t>
  </si>
  <si>
    <t>27/03/2025 06:00</t>
  </si>
  <si>
    <t>27/03/2025 06:15</t>
  </si>
  <si>
    <t>27/03/2025 06:30</t>
  </si>
  <si>
    <t>27/03/2025 06:45</t>
  </si>
  <si>
    <t>27/03/2025 07:00</t>
  </si>
  <si>
    <t>27/03/2025 07:15</t>
  </si>
  <si>
    <t>27/03/2025 07:30</t>
  </si>
  <si>
    <t>27/03/2025 07:45</t>
  </si>
  <si>
    <t>27/03/2025 08:00</t>
  </si>
  <si>
    <t>27/03/2025 08:15</t>
  </si>
  <si>
    <t>27/03/2025 08:30</t>
  </si>
  <si>
    <t>27/03/2025 08:45</t>
  </si>
  <si>
    <t>27/03/2025 09:00</t>
  </si>
  <si>
    <t>27/03/2025 09:15</t>
  </si>
  <si>
    <t>27/03/2025 09:30</t>
  </si>
  <si>
    <t>27/03/2025 09:45</t>
  </si>
  <si>
    <t>27/03/2025 10:00</t>
  </si>
  <si>
    <t>27/03/2025 10:15</t>
  </si>
  <si>
    <t>27/03/2025 10:30</t>
  </si>
  <si>
    <t>27/03/2025 10:45</t>
  </si>
  <si>
    <t>27/03/2025 11:00</t>
  </si>
  <si>
    <t>27/03/2025 11:15</t>
  </si>
  <si>
    <t>27/03/2025 11:30</t>
  </si>
  <si>
    <t>27/03/2025 11:45</t>
  </si>
  <si>
    <t>27/03/2025 12:00</t>
  </si>
  <si>
    <t>27/03/2025 12:15</t>
  </si>
  <si>
    <t>27/03/2025 12:30</t>
  </si>
  <si>
    <t>27/03/2025 12:45</t>
  </si>
  <si>
    <t>27/03/2025 13:00</t>
  </si>
  <si>
    <t>27/03/2025 13:15</t>
  </si>
  <si>
    <t>27/03/2025 13:30</t>
  </si>
  <si>
    <t>27/03/2025 13:45</t>
  </si>
  <si>
    <t>27/03/2025 14:00</t>
  </si>
  <si>
    <t>27/03/2025 14:15</t>
  </si>
  <si>
    <t>27/03/2025 14:30</t>
  </si>
  <si>
    <t>27/03/2025 14:45</t>
  </si>
  <si>
    <t>27/03/2025 15:00</t>
  </si>
  <si>
    <t>27/03/2025 15:15</t>
  </si>
  <si>
    <t>27/03/2025 15:30</t>
  </si>
  <si>
    <t>27/03/2025 15:45</t>
  </si>
  <si>
    <t>27/03/2025 16:00</t>
  </si>
  <si>
    <t>27/03/2025 16:15</t>
  </si>
  <si>
    <t>27/03/2025 16:30</t>
  </si>
  <si>
    <t>27/03/2025 16:45</t>
  </si>
  <si>
    <t>27/03/2025 17:00</t>
  </si>
  <si>
    <t>27/03/2025 17:15</t>
  </si>
  <si>
    <t>27/03/2025 17:30</t>
  </si>
  <si>
    <t>27/03/2025 17:45</t>
  </si>
  <si>
    <t>27/03/2025 18:00</t>
  </si>
  <si>
    <t>27/03/2025 18:15</t>
  </si>
  <si>
    <t>27/03/2025 18:30</t>
  </si>
  <si>
    <t>27/03/2025 18:45</t>
  </si>
  <si>
    <t>27/03/2025 19:00</t>
  </si>
  <si>
    <t>27/03/2025 19:15</t>
  </si>
  <si>
    <t>27/03/2025 19:30</t>
  </si>
  <si>
    <t>27/03/2025 19:45</t>
  </si>
  <si>
    <t>27/03/2025 20:00</t>
  </si>
  <si>
    <t>27/03/2025 20:15</t>
  </si>
  <si>
    <t>27/03/2025 20:30</t>
  </si>
  <si>
    <t>27/03/2025 20:45</t>
  </si>
  <si>
    <t>27/03/2025 21:00</t>
  </si>
  <si>
    <t>27/03/2025 21:15</t>
  </si>
  <si>
    <t>27/03/2025 21:30</t>
  </si>
  <si>
    <t>27/03/2025 21:45</t>
  </si>
  <si>
    <t>27/03/2025 22:00</t>
  </si>
  <si>
    <t>27/03/2025 22:15</t>
  </si>
  <si>
    <t>27/03/2025 22:30</t>
  </si>
  <si>
    <t>27/03/2025 22:45</t>
  </si>
  <si>
    <t>27/03/2025 23:00</t>
  </si>
  <si>
    <t>27/03/2025 23:15</t>
  </si>
  <si>
    <t>27/03/2025 23:30</t>
  </si>
  <si>
    <t>27/03/2025 23:45</t>
  </si>
  <si>
    <t>27/03/2025 24:00</t>
  </si>
  <si>
    <t>28/03/2025 00:15</t>
  </si>
  <si>
    <t>28/03/2025 00:30</t>
  </si>
  <si>
    <t>28/03/2025 00:45</t>
  </si>
  <si>
    <t>28/03/2025 01:00</t>
  </si>
  <si>
    <t>28/03/2025 01:15</t>
  </si>
  <si>
    <t>28/03/2025 01:30</t>
  </si>
  <si>
    <t>28/03/2025 01:45</t>
  </si>
  <si>
    <t>28/03/2025 02:00</t>
  </si>
  <si>
    <t>28/03/2025 02:15</t>
  </si>
  <si>
    <t>28/03/2025 02:30</t>
  </si>
  <si>
    <t>28/03/2025 02:45</t>
  </si>
  <si>
    <t>28/03/2025 03:00</t>
  </si>
  <si>
    <t>28/03/2025 03:15</t>
  </si>
  <si>
    <t>28/03/2025 03:30</t>
  </si>
  <si>
    <t>28/03/2025 03:45</t>
  </si>
  <si>
    <t>28/03/2025 04:00</t>
  </si>
  <si>
    <t>28/03/2025 04:15</t>
  </si>
  <si>
    <t>28/03/2025 04:30</t>
  </si>
  <si>
    <t>28/03/2025 04:45</t>
  </si>
  <si>
    <t>28/03/2025 05:00</t>
  </si>
  <si>
    <t>28/03/2025 05:15</t>
  </si>
  <si>
    <t>28/03/2025 05:30</t>
  </si>
  <si>
    <t>28/03/2025 05:45</t>
  </si>
  <si>
    <t>28/03/2025 06:00</t>
  </si>
  <si>
    <t>28/03/2025 06:15</t>
  </si>
  <si>
    <t>28/03/2025 06:30</t>
  </si>
  <si>
    <t>28/03/2025 06:45</t>
  </si>
  <si>
    <t>28/03/2025 07:00</t>
  </si>
  <si>
    <t>28/03/2025 07:15</t>
  </si>
  <si>
    <t>28/03/2025 07:30</t>
  </si>
  <si>
    <t>28/03/2025 07:45</t>
  </si>
  <si>
    <t>28/03/2025 08:00</t>
  </si>
  <si>
    <t>28/03/2025 08:15</t>
  </si>
  <si>
    <t>28/03/2025 08:30</t>
  </si>
  <si>
    <t>28/03/2025 08:45</t>
  </si>
  <si>
    <t>28/03/2025 09:00</t>
  </si>
  <si>
    <t>28/03/2025 09:15</t>
  </si>
  <si>
    <t>28/03/2025 09:30</t>
  </si>
  <si>
    <t>28/03/2025 09:45</t>
  </si>
  <si>
    <t>28/03/2025 10:00</t>
  </si>
  <si>
    <t>28/03/2025 10:15</t>
  </si>
  <si>
    <t>28/03/2025 10:30</t>
  </si>
  <si>
    <t>28/03/2025 10:45</t>
  </si>
  <si>
    <t>28/03/2025 11:00</t>
  </si>
  <si>
    <t>28/03/2025 11:15</t>
  </si>
  <si>
    <t>28/03/2025 11:30</t>
  </si>
  <si>
    <t>28/03/2025 11:45</t>
  </si>
  <si>
    <t>28/03/2025 12:00</t>
  </si>
  <si>
    <t>28/03/2025 12:15</t>
  </si>
  <si>
    <t>28/03/2025 12:30</t>
  </si>
  <si>
    <t>28/03/2025 12:45</t>
  </si>
  <si>
    <t>28/03/2025 13:00</t>
  </si>
  <si>
    <t>28/03/2025 13:15</t>
  </si>
  <si>
    <t>28/03/2025 13:30</t>
  </si>
  <si>
    <t>28/03/2025 13:45</t>
  </si>
  <si>
    <t>28/03/2025 14:00</t>
  </si>
  <si>
    <t>28/03/2025 14:15</t>
  </si>
  <si>
    <t>28/03/2025 14:30</t>
  </si>
  <si>
    <t>28/03/2025 14:45</t>
  </si>
  <si>
    <t>28/03/2025 15:00</t>
  </si>
  <si>
    <t>28/03/2025 15:15</t>
  </si>
  <si>
    <t>28/03/2025 15:30</t>
  </si>
  <si>
    <t>28/03/2025 15:45</t>
  </si>
  <si>
    <t>28/03/2025 16:00</t>
  </si>
  <si>
    <t>28/03/2025 16:15</t>
  </si>
  <si>
    <t>28/03/2025 16:30</t>
  </si>
  <si>
    <t>28/03/2025 16:45</t>
  </si>
  <si>
    <t>28/03/2025 17:00</t>
  </si>
  <si>
    <t>28/03/2025 17:15</t>
  </si>
  <si>
    <t>28/03/2025 17:30</t>
  </si>
  <si>
    <t>28/03/2025 17:45</t>
  </si>
  <si>
    <t>28/03/2025 18:00</t>
  </si>
  <si>
    <t>28/03/2025 18:15</t>
  </si>
  <si>
    <t>28/03/2025 18:30</t>
  </si>
  <si>
    <t>28/03/2025 18:45</t>
  </si>
  <si>
    <t>28/03/2025 19:00</t>
  </si>
  <si>
    <t>28/03/2025 19:15</t>
  </si>
  <si>
    <t>28/03/2025 19:30</t>
  </si>
  <si>
    <t>28/03/2025 19:45</t>
  </si>
  <si>
    <t>28/03/2025 20:00</t>
  </si>
  <si>
    <t>28/03/2025 20:15</t>
  </si>
  <si>
    <t>28/03/2025 20:30</t>
  </si>
  <si>
    <t>28/03/2025 20:45</t>
  </si>
  <si>
    <t>28/03/2025 21:00</t>
  </si>
  <si>
    <t>28/03/2025 21:15</t>
  </si>
  <si>
    <t>28/03/2025 21:30</t>
  </si>
  <si>
    <t>28/03/2025 21:45</t>
  </si>
  <si>
    <t>28/03/2025 22:00</t>
  </si>
  <si>
    <t>28/03/2025 22:15</t>
  </si>
  <si>
    <t>28/03/2025 22:30</t>
  </si>
  <si>
    <t>28/03/2025 22:45</t>
  </si>
  <si>
    <t>28/03/2025 23:00</t>
  </si>
  <si>
    <t>28/03/2025 23:15</t>
  </si>
  <si>
    <t>28/03/2025 23:30</t>
  </si>
  <si>
    <t>28/03/2025 23:45</t>
  </si>
  <si>
    <t>28/03/2025 24:00</t>
  </si>
  <si>
    <t>29/03/2025 00:15</t>
  </si>
  <si>
    <t>29/03/2025 00:30</t>
  </si>
  <si>
    <t>29/03/2025 00:45</t>
  </si>
  <si>
    <t>29/03/2025 01:00</t>
  </si>
  <si>
    <t>29/03/2025 01:15</t>
  </si>
  <si>
    <t>29/03/2025 01:30</t>
  </si>
  <si>
    <t>29/03/2025 01:45</t>
  </si>
  <si>
    <t>29/03/2025 02:00</t>
  </si>
  <si>
    <t>29/03/2025 02:15</t>
  </si>
  <si>
    <t>29/03/2025 02:30</t>
  </si>
  <si>
    <t>29/03/2025 02:45</t>
  </si>
  <si>
    <t>29/03/2025 03:00</t>
  </si>
  <si>
    <t>29/03/2025 03:15</t>
  </si>
  <si>
    <t>29/03/2025 03:30</t>
  </si>
  <si>
    <t>29/03/2025 03:45</t>
  </si>
  <si>
    <t>29/03/2025 04:00</t>
  </si>
  <si>
    <t>29/03/2025 04:15</t>
  </si>
  <si>
    <t>29/03/2025 04:30</t>
  </si>
  <si>
    <t>29/03/2025 04:45</t>
  </si>
  <si>
    <t>29/03/2025 05:00</t>
  </si>
  <si>
    <t>29/03/2025 05:15</t>
  </si>
  <si>
    <t>29/03/2025 05:30</t>
  </si>
  <si>
    <t>29/03/2025 05:45</t>
  </si>
  <si>
    <t>29/03/2025 06:00</t>
  </si>
  <si>
    <t>29/03/2025 06:15</t>
  </si>
  <si>
    <t>29/03/2025 06:30</t>
  </si>
  <si>
    <t>29/03/2025 06:45</t>
  </si>
  <si>
    <t>29/03/2025 07:00</t>
  </si>
  <si>
    <t>29/03/2025 07:15</t>
  </si>
  <si>
    <t>29/03/2025 07:30</t>
  </si>
  <si>
    <t>29/03/2025 07:45</t>
  </si>
  <si>
    <t>29/03/2025 08:00</t>
  </si>
  <si>
    <t>29/03/2025 08:15</t>
  </si>
  <si>
    <t>29/03/2025 08:30</t>
  </si>
  <si>
    <t>29/03/2025 08:45</t>
  </si>
  <si>
    <t>29/03/2025 09:00</t>
  </si>
  <si>
    <t>29/03/2025 09:15</t>
  </si>
  <si>
    <t>29/03/2025 09:30</t>
  </si>
  <si>
    <t>29/03/2025 09:45</t>
  </si>
  <si>
    <t>29/03/2025 10:00</t>
  </si>
  <si>
    <t>29/03/2025 10:15</t>
  </si>
  <si>
    <t>29/03/2025 10:30</t>
  </si>
  <si>
    <t>29/03/2025 10:45</t>
  </si>
  <si>
    <t>29/03/2025 11:00</t>
  </si>
  <si>
    <t>29/03/2025 11:15</t>
  </si>
  <si>
    <t>29/03/2025 11:30</t>
  </si>
  <si>
    <t>29/03/2025 11:45</t>
  </si>
  <si>
    <t>29/03/2025 12:00</t>
  </si>
  <si>
    <t>29/03/2025 12:15</t>
  </si>
  <si>
    <t>29/03/2025 12:30</t>
  </si>
  <si>
    <t>29/03/2025 12:45</t>
  </si>
  <si>
    <t>29/03/2025 13:00</t>
  </si>
  <si>
    <t>29/03/2025 13:15</t>
  </si>
  <si>
    <t>29/03/2025 13:30</t>
  </si>
  <si>
    <t>29/03/2025 13:45</t>
  </si>
  <si>
    <t>29/03/2025 14:00</t>
  </si>
  <si>
    <t>29/03/2025 14:15</t>
  </si>
  <si>
    <t>29/03/2025 14:30</t>
  </si>
  <si>
    <t>29/03/2025 14:45</t>
  </si>
  <si>
    <t>29/03/2025 15:00</t>
  </si>
  <si>
    <t>29/03/2025 15:15</t>
  </si>
  <si>
    <t>29/03/2025 15:30</t>
  </si>
  <si>
    <t>29/03/2025 15:45</t>
  </si>
  <si>
    <t>29/03/2025 16:00</t>
  </si>
  <si>
    <t>29/03/2025 16:15</t>
  </si>
  <si>
    <t>29/03/2025 16:30</t>
  </si>
  <si>
    <t>29/03/2025 16:45</t>
  </si>
  <si>
    <t>29/03/2025 17:00</t>
  </si>
  <si>
    <t>29/03/2025 17:15</t>
  </si>
  <si>
    <t>29/03/2025 17:30</t>
  </si>
  <si>
    <t>29/03/2025 17:45</t>
  </si>
  <si>
    <t>29/03/2025 18:00</t>
  </si>
  <si>
    <t>29/03/2025 18:15</t>
  </si>
  <si>
    <t>29/03/2025 18:30</t>
  </si>
  <si>
    <t>29/03/2025 18:45</t>
  </si>
  <si>
    <t>29/03/2025 19:00</t>
  </si>
  <si>
    <t>29/03/2025 19:15</t>
  </si>
  <si>
    <t>29/03/2025 19:30</t>
  </si>
  <si>
    <t>29/03/2025 19:45</t>
  </si>
  <si>
    <t>29/03/2025 20:00</t>
  </si>
  <si>
    <t>29/03/2025 20:15</t>
  </si>
  <si>
    <t>29/03/2025 20:30</t>
  </si>
  <si>
    <t>29/03/2025 20:45</t>
  </si>
  <si>
    <t>29/03/2025 21:00</t>
  </si>
  <si>
    <t>29/03/2025 21:15</t>
  </si>
  <si>
    <t>29/03/2025 21:30</t>
  </si>
  <si>
    <t>29/03/2025 21:45</t>
  </si>
  <si>
    <t>29/03/2025 22:00</t>
  </si>
  <si>
    <t>29/03/2025 22:15</t>
  </si>
  <si>
    <t>29/03/2025 22:30</t>
  </si>
  <si>
    <t>29/03/2025 22:45</t>
  </si>
  <si>
    <t>29/03/2025 23:00</t>
  </si>
  <si>
    <t>29/03/2025 23:15</t>
  </si>
  <si>
    <t>29/03/2025 23:30</t>
  </si>
  <si>
    <t>29/03/2025 23:45</t>
  </si>
  <si>
    <t>29/03/2025 24:00</t>
  </si>
  <si>
    <t>30/03/2025 00:15</t>
  </si>
  <si>
    <t>30/03/2025 00:30</t>
  </si>
  <si>
    <t>30/03/2025 00:45</t>
  </si>
  <si>
    <t>30/03/2025 01:00</t>
  </si>
  <si>
    <t>30/03/2025 01:15</t>
  </si>
  <si>
    <t>30/03/2025 01:30</t>
  </si>
  <si>
    <t>30/03/2025 01:45</t>
  </si>
  <si>
    <t>30/03/2025 02:00</t>
  </si>
  <si>
    <t>30/03/2025 02:15</t>
  </si>
  <si>
    <t>30/03/2025 02:30</t>
  </si>
  <si>
    <t>30/03/2025 02:45</t>
  </si>
  <si>
    <t>30/03/2025 03:00</t>
  </si>
  <si>
    <t>30/03/2025 03:15</t>
  </si>
  <si>
    <t>30/03/2025 03:30</t>
  </si>
  <si>
    <t>30/03/2025 03:45</t>
  </si>
  <si>
    <t>30/03/2025 04:00</t>
  </si>
  <si>
    <t>30/03/2025 04:15</t>
  </si>
  <si>
    <t>30/03/2025 04:30</t>
  </si>
  <si>
    <t>30/03/2025 04:45</t>
  </si>
  <si>
    <t>30/03/2025 05:00</t>
  </si>
  <si>
    <t>30/03/2025 05:15</t>
  </si>
  <si>
    <t>30/03/2025 05:30</t>
  </si>
  <si>
    <t>30/03/2025 05:45</t>
  </si>
  <si>
    <t>30/03/2025 06:00</t>
  </si>
  <si>
    <t>30/03/2025 06:15</t>
  </si>
  <si>
    <t>30/03/2025 06:30</t>
  </si>
  <si>
    <t>30/03/2025 06:45</t>
  </si>
  <si>
    <t>30/03/2025 07:00</t>
  </si>
  <si>
    <t>30/03/2025 07:15</t>
  </si>
  <si>
    <t>30/03/2025 07:30</t>
  </si>
  <si>
    <t>30/03/2025 07:45</t>
  </si>
  <si>
    <t>30/03/2025 08:00</t>
  </si>
  <si>
    <t>30/03/2025 08:15</t>
  </si>
  <si>
    <t>30/03/2025 08:30</t>
  </si>
  <si>
    <t>30/03/2025 08:45</t>
  </si>
  <si>
    <t>30/03/2025 09:00</t>
  </si>
  <si>
    <t>30/03/2025 09:15</t>
  </si>
  <si>
    <t>30/03/2025 09:30</t>
  </si>
  <si>
    <t>30/03/2025 09:45</t>
  </si>
  <si>
    <t>30/03/2025 10:00</t>
  </si>
  <si>
    <t>30/03/2025 10:15</t>
  </si>
  <si>
    <t>30/03/2025 10:30</t>
  </si>
  <si>
    <t>30/03/2025 10:45</t>
  </si>
  <si>
    <t>30/03/2025 11:00</t>
  </si>
  <si>
    <t>30/03/2025 11:15</t>
  </si>
  <si>
    <t>30/03/2025 11:30</t>
  </si>
  <si>
    <t>30/03/2025 11:45</t>
  </si>
  <si>
    <t>30/03/2025 12:00</t>
  </si>
  <si>
    <t>30/03/2025 12:15</t>
  </si>
  <si>
    <t>30/03/2025 12:30</t>
  </si>
  <si>
    <t>30/03/2025 12:45</t>
  </si>
  <si>
    <t>30/03/2025 13:00</t>
  </si>
  <si>
    <t>30/03/2025 13:15</t>
  </si>
  <si>
    <t>30/03/2025 13:30</t>
  </si>
  <si>
    <t>30/03/2025 13:45</t>
  </si>
  <si>
    <t>30/03/2025 14:00</t>
  </si>
  <si>
    <t>30/03/2025 14:15</t>
  </si>
  <si>
    <t>30/03/2025 14:30</t>
  </si>
  <si>
    <t>30/03/2025 14:45</t>
  </si>
  <si>
    <t>30/03/2025 15:00</t>
  </si>
  <si>
    <t>30/03/2025 15:15</t>
  </si>
  <si>
    <t>30/03/2025 15:30</t>
  </si>
  <si>
    <t>30/03/2025 15:45</t>
  </si>
  <si>
    <t>30/03/2025 16:00</t>
  </si>
  <si>
    <t>30/03/2025 16:15</t>
  </si>
  <si>
    <t>30/03/2025 16:30</t>
  </si>
  <si>
    <t>30/03/2025 16:45</t>
  </si>
  <si>
    <t>30/03/2025 17:00</t>
  </si>
  <si>
    <t>30/03/2025 17:15</t>
  </si>
  <si>
    <t>30/03/2025 17:30</t>
  </si>
  <si>
    <t>30/03/2025 17:45</t>
  </si>
  <si>
    <t>30/03/2025 18:00</t>
  </si>
  <si>
    <t>30/03/2025 18:15</t>
  </si>
  <si>
    <t>30/03/2025 18:30</t>
  </si>
  <si>
    <t>30/03/2025 18:45</t>
  </si>
  <si>
    <t>30/03/2025 19:00</t>
  </si>
  <si>
    <t>30/03/2025 19:15</t>
  </si>
  <si>
    <t>30/03/2025 19:30</t>
  </si>
  <si>
    <t>30/03/2025 19:45</t>
  </si>
  <si>
    <t>30/03/2025 20:00</t>
  </si>
  <si>
    <t>30/03/2025 20:15</t>
  </si>
  <si>
    <t>30/03/2025 20:30</t>
  </si>
  <si>
    <t>30/03/2025 20:45</t>
  </si>
  <si>
    <t>30/03/2025 21:00</t>
  </si>
  <si>
    <t>30/03/2025 21:15</t>
  </si>
  <si>
    <t>30/03/2025 21:30</t>
  </si>
  <si>
    <t>30/03/2025 21:45</t>
  </si>
  <si>
    <t>30/03/2025 22:00</t>
  </si>
  <si>
    <t>30/03/2025 22:15</t>
  </si>
  <si>
    <t>30/03/2025 22:30</t>
  </si>
  <si>
    <t>30/03/2025 22:45</t>
  </si>
  <si>
    <t>30/03/2025 23:00</t>
  </si>
  <si>
    <t>30/03/2025 23:15</t>
  </si>
  <si>
    <t>30/03/2025 23:30</t>
  </si>
  <si>
    <t>30/03/2025 23:45</t>
  </si>
  <si>
    <t>30/03/2025 24:00</t>
  </si>
  <si>
    <t>31/03/2025 00:15</t>
  </si>
  <si>
    <t>31/03/2025 00:30</t>
  </si>
  <si>
    <t>31/03/2025 00:45</t>
  </si>
  <si>
    <t>31/03/2025 01:00</t>
  </si>
  <si>
    <t>31/03/2025 01:15</t>
  </si>
  <si>
    <t>31/03/2025 01:30</t>
  </si>
  <si>
    <t>31/03/2025 01:45</t>
  </si>
  <si>
    <t>31/03/2025 02:00</t>
  </si>
  <si>
    <t>31/03/2025 02:15</t>
  </si>
  <si>
    <t>31/03/2025 02:30</t>
  </si>
  <si>
    <t>31/03/2025 02:45</t>
  </si>
  <si>
    <t>31/03/2025 03:00</t>
  </si>
  <si>
    <t>31/03/2025 03:15</t>
  </si>
  <si>
    <t>31/03/2025 03:30</t>
  </si>
  <si>
    <t>31/03/2025 03:45</t>
  </si>
  <si>
    <t>31/03/2025 04:00</t>
  </si>
  <si>
    <t>31/03/2025 04:15</t>
  </si>
  <si>
    <t>31/03/2025 04:30</t>
  </si>
  <si>
    <t>31/03/2025 04:45</t>
  </si>
  <si>
    <t>31/03/2025 05:00</t>
  </si>
  <si>
    <t>31/03/2025 05:15</t>
  </si>
  <si>
    <t>31/03/2025 05:30</t>
  </si>
  <si>
    <t>31/03/2025 05:45</t>
  </si>
  <si>
    <t>31/03/2025 06:00</t>
  </si>
  <si>
    <t>31/03/2025 06:15</t>
  </si>
  <si>
    <t>31/03/2025 06:30</t>
  </si>
  <si>
    <t>31/03/2025 06:45</t>
  </si>
  <si>
    <t>31/03/2025 07:00</t>
  </si>
  <si>
    <t>31/03/2025 07:15</t>
  </si>
  <si>
    <t>31/03/2025 07:30</t>
  </si>
  <si>
    <t>31/03/2025 07:45</t>
  </si>
  <si>
    <t>31/03/2025 08:00</t>
  </si>
  <si>
    <t>31/03/2025 08:15</t>
  </si>
  <si>
    <t>31/03/2025 08:30</t>
  </si>
  <si>
    <t>31/03/2025 08:45</t>
  </si>
  <si>
    <t>31/03/2025 09:00</t>
  </si>
  <si>
    <t>31/03/2025 09:15</t>
  </si>
  <si>
    <t>31/03/2025 09:30</t>
  </si>
  <si>
    <t>31/03/2025 09:45</t>
  </si>
  <si>
    <t>31/03/2025 10:00</t>
  </si>
  <si>
    <t>31/03/2025 10:15</t>
  </si>
  <si>
    <t>31/03/2025 10:30</t>
  </si>
  <si>
    <t>31/03/2025 10:45</t>
  </si>
  <si>
    <t>31/03/2025 11:00</t>
  </si>
  <si>
    <t>31/03/2025 11:15</t>
  </si>
  <si>
    <t>31/03/2025 11:30</t>
  </si>
  <si>
    <t>31/03/2025 11:45</t>
  </si>
  <si>
    <t>31/03/2025 12:00</t>
  </si>
  <si>
    <t>31/03/2025 12:15</t>
  </si>
  <si>
    <t>31/03/2025 12:30</t>
  </si>
  <si>
    <t>31/03/2025 12:45</t>
  </si>
  <si>
    <t>31/03/2025 13:00</t>
  </si>
  <si>
    <t>31/03/2025 13:15</t>
  </si>
  <si>
    <t>31/03/2025 13:30</t>
  </si>
  <si>
    <t>31/03/2025 13:45</t>
  </si>
  <si>
    <t>31/03/2025 14:00</t>
  </si>
  <si>
    <t>31/03/2025 14:15</t>
  </si>
  <si>
    <t>31/03/2025 14:30</t>
  </si>
  <si>
    <t>31/03/2025 14:45</t>
  </si>
  <si>
    <t>31/03/2025 15:00</t>
  </si>
  <si>
    <t>31/03/2025 15:15</t>
  </si>
  <si>
    <t>31/03/2025 15:30</t>
  </si>
  <si>
    <t>31/03/2025 15:45</t>
  </si>
  <si>
    <t>31/03/2025 16:00</t>
  </si>
  <si>
    <t>31/03/2025 16:15</t>
  </si>
  <si>
    <t>31/03/2025 16:30</t>
  </si>
  <si>
    <t>31/03/2025 16:45</t>
  </si>
  <si>
    <t>31/03/2025 17:00</t>
  </si>
  <si>
    <t>31/03/2025 17:15</t>
  </si>
  <si>
    <t>31/03/2025 17:30</t>
  </si>
  <si>
    <t>31/03/2025 17:45</t>
  </si>
  <si>
    <t>31/03/2025 18:00</t>
  </si>
  <si>
    <t>31/03/2025 18:15</t>
  </si>
  <si>
    <t>31/03/2025 18:30</t>
  </si>
  <si>
    <t>31/03/2025 18:45</t>
  </si>
  <si>
    <t>31/03/2025 19:00</t>
  </si>
  <si>
    <t>31/03/2025 19:15</t>
  </si>
  <si>
    <t>31/03/2025 19:30</t>
  </si>
  <si>
    <t>31/03/2025 19:45</t>
  </si>
  <si>
    <t>31/03/2025 20:00</t>
  </si>
  <si>
    <t>31/03/2025 20:15</t>
  </si>
  <si>
    <t>31/03/2025 20:30</t>
  </si>
  <si>
    <t>31/03/2025 20:45</t>
  </si>
  <si>
    <t>31/03/2025 21:00</t>
  </si>
  <si>
    <t>31/03/2025 21:15</t>
  </si>
  <si>
    <t>31/03/2025 21:30</t>
  </si>
  <si>
    <t>31/03/2025 21:45</t>
  </si>
  <si>
    <t>31/03/2025 22:00</t>
  </si>
  <si>
    <t>31/03/2025 22:15</t>
  </si>
  <si>
    <t>31/03/2025 22:30</t>
  </si>
  <si>
    <t>31/03/2025 22:45</t>
  </si>
  <si>
    <t>31/03/2025 23:00</t>
  </si>
  <si>
    <t>31/03/2025 23:15</t>
  </si>
  <si>
    <t>31/03/2025 23:30</t>
  </si>
  <si>
    <t>31/03/2025 23:45</t>
  </si>
  <si>
    <t>31/03/2025 24:00</t>
  </si>
  <si>
    <t>01/03/2025 - 31/03/2025</t>
  </si>
  <si>
    <t>Calibration report Of BHATAGAON, 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</si>
</sst>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244</v>
      </c>
      <c r="B9" s="64">
        <v>162.56</v>
      </c>
      <c r="C9" s="64">
        <v>108.77</v>
      </c>
      <c r="D9" s="64">
        <v>185.81</v>
      </c>
      <c r="E9" s="64">
        <v>7.33</v>
      </c>
      <c r="F9" s="64">
        <v>7.54</v>
      </c>
      <c r="G9" s="64">
        <v>195.05</v>
      </c>
      <c r="H9" s="64">
        <v>38.4</v>
      </c>
      <c r="I9" s="64">
        <v>3.85</v>
      </c>
      <c r="J9" s="64">
        <v>0.5</v>
      </c>
      <c r="K9" s="64">
        <v>27.69</v>
      </c>
      <c r="L9" s="64">
        <v>18.41</v>
      </c>
      <c r="M9" s="64">
        <v>62.23</v>
      </c>
      <c r="N9" s="64">
        <v>65.400000000000006</v>
      </c>
      <c r="O9" s="64">
        <v>0</v>
      </c>
      <c r="P9" s="64">
        <v>2.34</v>
      </c>
      <c r="Q9" s="64">
        <v>10.19</v>
      </c>
      <c r="R9" s="198"/>
      <c r="S9" s="198"/>
      <c r="T9" s="198"/>
      <c r="U9" s="198"/>
    </row>
    <row r="10" spans="1:21" s="12" customFormat="1" x14ac:dyDescent="0.25">
      <c r="A10" s="247" t="s">
        <v>245</v>
      </c>
      <c r="B10" s="64">
        <v>154.32</v>
      </c>
      <c r="C10" s="64">
        <v>104.44</v>
      </c>
      <c r="D10" s="64">
        <v>176.94</v>
      </c>
      <c r="E10" s="64">
        <v>7.06</v>
      </c>
      <c r="F10" s="64">
        <v>7.72</v>
      </c>
      <c r="G10" s="64">
        <v>167</v>
      </c>
      <c r="H10" s="64">
        <v>34.6</v>
      </c>
      <c r="I10" s="64">
        <v>3.97</v>
      </c>
      <c r="J10" s="64">
        <v>0.63</v>
      </c>
      <c r="K10" s="64">
        <v>338.95</v>
      </c>
      <c r="L10" s="64">
        <v>18.13</v>
      </c>
      <c r="M10" s="64">
        <v>66.069999999999993</v>
      </c>
      <c r="N10" s="64">
        <v>65.400000000000006</v>
      </c>
      <c r="O10" s="64">
        <v>0</v>
      </c>
      <c r="P10" s="64">
        <v>2.2999999999999998</v>
      </c>
      <c r="Q10" s="64">
        <v>10.17</v>
      </c>
      <c r="R10" s="198"/>
      <c r="S10" s="198"/>
      <c r="T10" s="198"/>
      <c r="U10" s="198"/>
    </row>
    <row r="11" spans="1:21" s="12" customFormat="1" x14ac:dyDescent="0.25">
      <c r="A11" s="247" t="s">
        <v>246</v>
      </c>
      <c r="B11" s="64">
        <v>142.69999999999999</v>
      </c>
      <c r="C11" s="64">
        <v>99.97</v>
      </c>
      <c r="D11" s="64">
        <v>165.29</v>
      </c>
      <c r="E11" s="64">
        <v>7.03</v>
      </c>
      <c r="F11" s="64">
        <v>7.93</v>
      </c>
      <c r="G11" s="64">
        <v>167</v>
      </c>
      <c r="H11" s="64">
        <v>34.6</v>
      </c>
      <c r="I11" s="64">
        <v>3.95</v>
      </c>
      <c r="J11" s="64">
        <v>0.57999999999999996</v>
      </c>
      <c r="K11" s="64">
        <v>252.22</v>
      </c>
      <c r="L11" s="64">
        <v>18.079999999999998</v>
      </c>
      <c r="M11" s="64">
        <v>65.91</v>
      </c>
      <c r="N11" s="64">
        <v>64.900000000000006</v>
      </c>
      <c r="O11" s="64">
        <v>0</v>
      </c>
      <c r="P11" s="64">
        <v>2.1800000000000002</v>
      </c>
      <c r="Q11" s="64">
        <v>10.16</v>
      </c>
      <c r="R11" s="198"/>
      <c r="S11" s="198"/>
      <c r="T11" s="198"/>
      <c r="U11" s="198"/>
    </row>
    <row r="12" spans="1:21" s="12" customFormat="1" x14ac:dyDescent="0.25">
      <c r="A12" s="247" t="s">
        <v>247</v>
      </c>
      <c r="B12" s="64">
        <v>115.76</v>
      </c>
      <c r="C12" s="64">
        <v>94.49</v>
      </c>
      <c r="D12" s="64">
        <v>140.82</v>
      </c>
      <c r="E12" s="64">
        <v>7.34</v>
      </c>
      <c r="F12" s="64">
        <v>7.63</v>
      </c>
      <c r="G12" s="64">
        <v>167</v>
      </c>
      <c r="H12" s="64">
        <v>34.6</v>
      </c>
      <c r="I12" s="64">
        <v>4.07</v>
      </c>
      <c r="J12" s="64">
        <v>0.39</v>
      </c>
      <c r="K12" s="64">
        <v>285.37</v>
      </c>
      <c r="L12" s="64">
        <v>18.440000000000001</v>
      </c>
      <c r="M12" s="64">
        <v>65.25</v>
      </c>
      <c r="N12" s="64">
        <v>64.900000000000006</v>
      </c>
      <c r="O12" s="64">
        <v>0</v>
      </c>
      <c r="P12" s="64">
        <v>1.87</v>
      </c>
      <c r="Q12" s="64">
        <v>10.14</v>
      </c>
      <c r="R12" s="198"/>
      <c r="S12" s="198"/>
      <c r="T12" s="198"/>
      <c r="U12" s="198"/>
    </row>
    <row r="13" spans="1:21" s="12" customFormat="1" x14ac:dyDescent="0.25">
      <c r="A13" s="247" t="s">
        <v>248</v>
      </c>
      <c r="B13" s="64">
        <v>114.69</v>
      </c>
      <c r="C13" s="64">
        <v>94.6</v>
      </c>
      <c r="D13" s="64">
        <v>140.03</v>
      </c>
      <c r="E13" s="64">
        <v>7.03</v>
      </c>
      <c r="F13" s="64">
        <v>7.73</v>
      </c>
      <c r="G13" s="64">
        <v>160.54</v>
      </c>
      <c r="H13" s="64">
        <v>41.03</v>
      </c>
      <c r="I13" s="64">
        <v>4.0599999999999996</v>
      </c>
      <c r="J13" s="64">
        <v>0.06</v>
      </c>
      <c r="K13" s="64">
        <v>240.67</v>
      </c>
      <c r="L13" s="64">
        <v>17.850000000000001</v>
      </c>
      <c r="M13" s="64">
        <v>67.3</v>
      </c>
      <c r="N13" s="64">
        <v>65.2</v>
      </c>
      <c r="O13" s="64">
        <v>0</v>
      </c>
      <c r="P13" s="64">
        <v>1.66</v>
      </c>
      <c r="Q13" s="64">
        <v>10.14</v>
      </c>
      <c r="R13" s="198"/>
      <c r="S13" s="198"/>
      <c r="T13" s="198"/>
      <c r="U13" s="198"/>
    </row>
    <row r="14" spans="1:21" s="12" customFormat="1" x14ac:dyDescent="0.25">
      <c r="A14" s="247" t="s">
        <v>249</v>
      </c>
      <c r="B14" s="64">
        <v>118.31</v>
      </c>
      <c r="C14" s="64">
        <v>91.45</v>
      </c>
      <c r="D14" s="64">
        <v>141.28</v>
      </c>
      <c r="E14" s="64">
        <v>6.67</v>
      </c>
      <c r="F14" s="64">
        <v>7.58</v>
      </c>
      <c r="G14" s="64">
        <v>149.36000000000001</v>
      </c>
      <c r="H14" s="64">
        <v>52.12</v>
      </c>
      <c r="I14" s="64">
        <v>3.95</v>
      </c>
      <c r="J14" s="64">
        <v>0.32</v>
      </c>
      <c r="K14" s="64">
        <v>318.08</v>
      </c>
      <c r="L14" s="64">
        <v>17.46</v>
      </c>
      <c r="M14" s="64">
        <v>69.02</v>
      </c>
      <c r="N14" s="64">
        <v>65.099999999999994</v>
      </c>
      <c r="O14" s="64">
        <v>0</v>
      </c>
      <c r="P14" s="64">
        <v>1.78</v>
      </c>
      <c r="Q14" s="64">
        <v>10.1</v>
      </c>
      <c r="R14" s="198"/>
      <c r="S14" s="198"/>
      <c r="T14" s="198"/>
      <c r="U14" s="198"/>
    </row>
    <row r="15" spans="1:21" s="12" customFormat="1" x14ac:dyDescent="0.25">
      <c r="A15" s="247" t="s">
        <v>250</v>
      </c>
      <c r="B15" s="64">
        <v>102.31</v>
      </c>
      <c r="C15" s="64">
        <v>90.88</v>
      </c>
      <c r="D15" s="64">
        <v>128.15</v>
      </c>
      <c r="E15" s="64">
        <v>6.86</v>
      </c>
      <c r="F15" s="64">
        <v>7.83</v>
      </c>
      <c r="G15" s="64">
        <v>149.36000000000001</v>
      </c>
      <c r="H15" s="64">
        <v>52.12</v>
      </c>
      <c r="I15" s="64">
        <v>3.94</v>
      </c>
      <c r="J15" s="64">
        <v>0.1</v>
      </c>
      <c r="K15" s="64">
        <v>329.68</v>
      </c>
      <c r="L15" s="64">
        <v>17.399999999999999</v>
      </c>
      <c r="M15" s="64">
        <v>62.48</v>
      </c>
      <c r="N15" s="64">
        <v>65.2</v>
      </c>
      <c r="O15" s="64">
        <v>0</v>
      </c>
      <c r="P15" s="64">
        <v>1.6</v>
      </c>
      <c r="Q15" s="64">
        <v>10.1</v>
      </c>
      <c r="R15" s="198"/>
      <c r="S15" s="198"/>
      <c r="T15" s="198"/>
      <c r="U15" s="198"/>
    </row>
    <row r="16" spans="1:21" s="12" customFormat="1" x14ac:dyDescent="0.25">
      <c r="A16" s="247" t="s">
        <v>251</v>
      </c>
      <c r="B16" s="64">
        <v>98.82</v>
      </c>
      <c r="C16" s="64">
        <v>81.14</v>
      </c>
      <c r="D16" s="64">
        <v>120.27</v>
      </c>
      <c r="E16" s="64">
        <v>6.69</v>
      </c>
      <c r="F16" s="64">
        <v>9.0500000000000007</v>
      </c>
      <c r="G16" s="64">
        <v>149.36000000000001</v>
      </c>
      <c r="H16" s="64">
        <v>52.12</v>
      </c>
      <c r="I16" s="64">
        <v>4.1500000000000004</v>
      </c>
      <c r="J16" s="64">
        <v>7.0000000000000007E-2</v>
      </c>
      <c r="K16" s="64">
        <v>24.71</v>
      </c>
      <c r="L16" s="64">
        <v>17.29</v>
      </c>
      <c r="M16" s="64">
        <v>59.65</v>
      </c>
      <c r="N16" s="64">
        <v>65.3</v>
      </c>
      <c r="O16" s="64">
        <v>0</v>
      </c>
      <c r="P16" s="64">
        <v>1.5</v>
      </c>
      <c r="Q16" s="64">
        <v>10.09</v>
      </c>
      <c r="R16" s="198"/>
      <c r="S16" s="198"/>
      <c r="T16" s="198"/>
      <c r="U16" s="198"/>
    </row>
    <row r="17" spans="1:21" s="12" customFormat="1" x14ac:dyDescent="0.25">
      <c r="A17" s="247" t="s">
        <v>252</v>
      </c>
      <c r="B17" s="64">
        <v>96.75</v>
      </c>
      <c r="C17" s="64">
        <v>80.88</v>
      </c>
      <c r="D17" s="64">
        <v>118.47</v>
      </c>
      <c r="E17" s="64">
        <v>6.23</v>
      </c>
      <c r="F17" s="64">
        <v>8.51</v>
      </c>
      <c r="G17" s="64">
        <v>129.72</v>
      </c>
      <c r="H17" s="64">
        <v>36.880000000000003</v>
      </c>
      <c r="I17" s="64">
        <v>3.95</v>
      </c>
      <c r="J17" s="64">
        <v>0.71</v>
      </c>
      <c r="K17" s="64">
        <v>318.81</v>
      </c>
      <c r="L17" s="64">
        <v>17.03</v>
      </c>
      <c r="M17" s="64">
        <v>68.349999999999994</v>
      </c>
      <c r="N17" s="64">
        <v>65.3</v>
      </c>
      <c r="O17" s="64">
        <v>0</v>
      </c>
      <c r="P17" s="64">
        <v>1.52</v>
      </c>
      <c r="Q17" s="64">
        <v>10.1</v>
      </c>
      <c r="R17" s="198"/>
      <c r="S17" s="198"/>
      <c r="T17" s="198"/>
      <c r="U17" s="198"/>
    </row>
    <row r="18" spans="1:21" s="12" customFormat="1" x14ac:dyDescent="0.25">
      <c r="A18" s="247" t="s">
        <v>253</v>
      </c>
      <c r="B18" s="64">
        <v>86.15</v>
      </c>
      <c r="C18" s="64">
        <v>76.94</v>
      </c>
      <c r="D18" s="64">
        <v>107.9</v>
      </c>
      <c r="E18" s="64">
        <v>6.42</v>
      </c>
      <c r="F18" s="64">
        <v>9.4700000000000006</v>
      </c>
      <c r="G18" s="64">
        <v>95.79</v>
      </c>
      <c r="H18" s="64">
        <v>10.56</v>
      </c>
      <c r="I18" s="64">
        <v>4.0999999999999996</v>
      </c>
      <c r="J18" s="64">
        <v>0.24</v>
      </c>
      <c r="K18" s="64">
        <v>34.840000000000003</v>
      </c>
      <c r="L18" s="64">
        <v>16.7</v>
      </c>
      <c r="M18" s="64">
        <v>67.05</v>
      </c>
      <c r="N18" s="64">
        <v>65.3</v>
      </c>
      <c r="O18" s="64">
        <v>0</v>
      </c>
      <c r="P18" s="64">
        <v>1.43</v>
      </c>
      <c r="Q18" s="64">
        <v>10.06</v>
      </c>
      <c r="R18" s="198"/>
      <c r="S18" s="198"/>
      <c r="T18" s="198"/>
      <c r="U18" s="198"/>
    </row>
    <row r="19" spans="1:21" s="12" customFormat="1" x14ac:dyDescent="0.25">
      <c r="A19" s="247" t="s">
        <v>254</v>
      </c>
      <c r="B19" s="64">
        <v>111.47</v>
      </c>
      <c r="C19" s="64">
        <v>80.319999999999993</v>
      </c>
      <c r="D19" s="64">
        <v>129.97</v>
      </c>
      <c r="E19" s="64">
        <v>6.56</v>
      </c>
      <c r="F19" s="64">
        <v>9.09</v>
      </c>
      <c r="G19" s="64">
        <v>95.79</v>
      </c>
      <c r="H19" s="64">
        <v>10.56</v>
      </c>
      <c r="I19" s="64">
        <v>4.07</v>
      </c>
      <c r="J19" s="64">
        <v>0.26</v>
      </c>
      <c r="K19" s="64">
        <v>74.28</v>
      </c>
      <c r="L19" s="64">
        <v>17.09</v>
      </c>
      <c r="M19" s="64">
        <v>56.17</v>
      </c>
      <c r="N19" s="64">
        <v>65.2</v>
      </c>
      <c r="O19" s="64">
        <v>0</v>
      </c>
      <c r="P19" s="64">
        <v>1.64</v>
      </c>
      <c r="Q19" s="64">
        <v>10.02</v>
      </c>
      <c r="R19" s="198"/>
      <c r="S19" s="198"/>
      <c r="T19" s="198"/>
      <c r="U19" s="198"/>
    </row>
    <row r="20" spans="1:21" s="12" customFormat="1" x14ac:dyDescent="0.25">
      <c r="A20" s="247" t="s">
        <v>255</v>
      </c>
      <c r="B20" s="64">
        <v>111.36</v>
      </c>
      <c r="C20" s="64">
        <v>81.66</v>
      </c>
      <c r="D20" s="64">
        <v>130.59</v>
      </c>
      <c r="E20" s="64">
        <v>6.45</v>
      </c>
      <c r="F20" s="64">
        <v>7.04</v>
      </c>
      <c r="G20" s="64">
        <v>95.79</v>
      </c>
      <c r="H20" s="64">
        <v>10.56</v>
      </c>
      <c r="I20" s="64">
        <v>4.04</v>
      </c>
      <c r="J20" s="64">
        <v>0.6</v>
      </c>
      <c r="K20" s="64">
        <v>208.88</v>
      </c>
      <c r="L20" s="64">
        <v>17.05</v>
      </c>
      <c r="M20" s="64">
        <v>60.32</v>
      </c>
      <c r="N20" s="64">
        <v>64.900000000000006</v>
      </c>
      <c r="O20" s="64">
        <v>0</v>
      </c>
      <c r="P20" s="64">
        <v>1.66</v>
      </c>
      <c r="Q20" s="64">
        <v>9.99</v>
      </c>
      <c r="R20" s="198"/>
      <c r="S20" s="198"/>
      <c r="T20" s="198"/>
      <c r="U20" s="198"/>
    </row>
    <row r="21" spans="1:21" s="12" customFormat="1" x14ac:dyDescent="0.25">
      <c r="A21" s="247" t="s">
        <v>256</v>
      </c>
      <c r="B21" s="64">
        <v>100.48</v>
      </c>
      <c r="C21" s="64">
        <v>78.44</v>
      </c>
      <c r="D21" s="64">
        <v>120.18</v>
      </c>
      <c r="E21" s="64">
        <v>6.47</v>
      </c>
      <c r="F21" s="64">
        <v>7.04</v>
      </c>
      <c r="G21" s="64">
        <v>87.44</v>
      </c>
      <c r="H21" s="64">
        <v>9.74</v>
      </c>
      <c r="I21" s="64">
        <v>4.03</v>
      </c>
      <c r="J21" s="64">
        <v>0.46</v>
      </c>
      <c r="K21" s="64">
        <v>216.24</v>
      </c>
      <c r="L21" s="64">
        <v>17.079999999999998</v>
      </c>
      <c r="M21" s="64">
        <v>59.06</v>
      </c>
      <c r="N21" s="64">
        <v>65.3</v>
      </c>
      <c r="O21" s="64">
        <v>0</v>
      </c>
      <c r="P21" s="64">
        <v>1.55</v>
      </c>
      <c r="Q21" s="64">
        <v>9.9600000000000009</v>
      </c>
      <c r="R21" s="198"/>
      <c r="S21" s="198"/>
      <c r="T21" s="198"/>
      <c r="U21" s="198"/>
    </row>
    <row r="22" spans="1:21" s="12" customFormat="1" x14ac:dyDescent="0.25">
      <c r="A22" s="247" t="s">
        <v>257</v>
      </c>
      <c r="B22" s="64">
        <v>97.29</v>
      </c>
      <c r="C22" s="64">
        <v>78.22</v>
      </c>
      <c r="D22" s="64">
        <v>117.51</v>
      </c>
      <c r="E22" s="64">
        <v>6.29</v>
      </c>
      <c r="F22" s="64">
        <v>7</v>
      </c>
      <c r="G22" s="64">
        <v>73.010000000000005</v>
      </c>
      <c r="H22" s="64">
        <v>8.32</v>
      </c>
      <c r="I22" s="64">
        <v>3.84</v>
      </c>
      <c r="J22" s="64">
        <v>0.64</v>
      </c>
      <c r="K22" s="64">
        <v>316.49</v>
      </c>
      <c r="L22" s="64">
        <v>16.84</v>
      </c>
      <c r="M22" s="64">
        <v>60.95</v>
      </c>
      <c r="N22" s="64">
        <v>65.400000000000006</v>
      </c>
      <c r="O22" s="64">
        <v>0</v>
      </c>
      <c r="P22" s="64">
        <v>1.5</v>
      </c>
      <c r="Q22" s="64">
        <v>9.92</v>
      </c>
      <c r="R22" s="198"/>
      <c r="S22" s="198"/>
      <c r="T22" s="198"/>
      <c r="U22" s="198"/>
    </row>
    <row r="23" spans="1:21" s="12" customFormat="1" x14ac:dyDescent="0.25">
      <c r="A23" s="247" t="s">
        <v>258</v>
      </c>
      <c r="B23" s="64">
        <v>95.49</v>
      </c>
      <c r="C23" s="64">
        <v>77.400000000000006</v>
      </c>
      <c r="D23" s="64">
        <v>115.64</v>
      </c>
      <c r="E23" s="64">
        <v>5.89</v>
      </c>
      <c r="F23" s="64">
        <v>7.08</v>
      </c>
      <c r="G23" s="64">
        <v>73.010000000000005</v>
      </c>
      <c r="H23" s="64">
        <v>8.32</v>
      </c>
      <c r="I23" s="64">
        <v>4.0199999999999996</v>
      </c>
      <c r="J23" s="64">
        <v>0.56999999999999995</v>
      </c>
      <c r="K23" s="64">
        <v>316.5</v>
      </c>
      <c r="L23" s="64">
        <v>16.54</v>
      </c>
      <c r="M23" s="64">
        <v>66.03</v>
      </c>
      <c r="N23" s="64">
        <v>65.3</v>
      </c>
      <c r="O23" s="64">
        <v>0</v>
      </c>
      <c r="P23" s="64">
        <v>1.48</v>
      </c>
      <c r="Q23" s="64">
        <v>9.9</v>
      </c>
      <c r="R23" s="198"/>
      <c r="S23" s="198"/>
      <c r="T23" s="198"/>
      <c r="U23" s="198"/>
    </row>
    <row r="24" spans="1:21" s="12" customFormat="1" x14ac:dyDescent="0.25">
      <c r="A24" s="247" t="s">
        <v>259</v>
      </c>
      <c r="B24" s="64">
        <v>89.19</v>
      </c>
      <c r="C24" s="64">
        <v>77.56</v>
      </c>
      <c r="D24" s="64">
        <v>110.67</v>
      </c>
      <c r="E24" s="64">
        <v>5.67</v>
      </c>
      <c r="F24" s="64">
        <v>7.21</v>
      </c>
      <c r="G24" s="64">
        <v>73.010000000000005</v>
      </c>
      <c r="H24" s="64">
        <v>8.32</v>
      </c>
      <c r="I24" s="64">
        <v>3.95</v>
      </c>
      <c r="J24" s="64">
        <v>0.57999999999999996</v>
      </c>
      <c r="K24" s="64">
        <v>187.29</v>
      </c>
      <c r="L24" s="64">
        <v>16.8</v>
      </c>
      <c r="M24" s="64">
        <v>64.03</v>
      </c>
      <c r="N24" s="64">
        <v>64</v>
      </c>
      <c r="O24" s="64">
        <v>0</v>
      </c>
      <c r="P24" s="64">
        <v>1.4</v>
      </c>
      <c r="Q24" s="64">
        <v>9.8699999999999992</v>
      </c>
      <c r="R24" s="198"/>
      <c r="S24" s="198"/>
      <c r="T24" s="198"/>
      <c r="U24" s="198"/>
    </row>
    <row r="25" spans="1:21" s="12" customFormat="1" x14ac:dyDescent="0.25">
      <c r="A25" s="247" t="s">
        <v>260</v>
      </c>
      <c r="B25" s="64">
        <v>82.67</v>
      </c>
      <c r="C25" s="64">
        <v>77.83</v>
      </c>
      <c r="D25" s="64">
        <v>105.58</v>
      </c>
      <c r="E25" s="64">
        <v>5.62</v>
      </c>
      <c r="F25" s="64">
        <v>7.01</v>
      </c>
      <c r="G25" s="64">
        <v>75.27</v>
      </c>
      <c r="H25" s="64">
        <v>13.64</v>
      </c>
      <c r="I25" s="64">
        <v>4.1100000000000003</v>
      </c>
      <c r="J25" s="64">
        <v>0.33</v>
      </c>
      <c r="K25" s="64">
        <v>292.70999999999998</v>
      </c>
      <c r="L25" s="64">
        <v>17.41</v>
      </c>
      <c r="M25" s="64">
        <v>60.89</v>
      </c>
      <c r="N25" s="64">
        <v>64.8</v>
      </c>
      <c r="O25" s="64">
        <v>0</v>
      </c>
      <c r="P25" s="64">
        <v>1.32</v>
      </c>
      <c r="Q25" s="64">
        <v>9.86</v>
      </c>
      <c r="R25" s="198"/>
      <c r="S25" s="198"/>
      <c r="T25" s="198"/>
      <c r="U25" s="198"/>
    </row>
    <row r="26" spans="1:21" s="12" customFormat="1" x14ac:dyDescent="0.25">
      <c r="A26" s="247" t="s">
        <v>261</v>
      </c>
      <c r="B26" s="64">
        <v>80.459999999999994</v>
      </c>
      <c r="C26" s="64">
        <v>77.900000000000006</v>
      </c>
      <c r="D26" s="64">
        <v>103.84</v>
      </c>
      <c r="E26" s="64">
        <v>5.69</v>
      </c>
      <c r="F26" s="64">
        <v>6.93</v>
      </c>
      <c r="G26" s="64">
        <v>79.16</v>
      </c>
      <c r="H26" s="64">
        <v>22.82</v>
      </c>
      <c r="I26" s="64">
        <v>3.83</v>
      </c>
      <c r="J26" s="64">
        <v>0.44</v>
      </c>
      <c r="K26" s="64">
        <v>320.25</v>
      </c>
      <c r="L26" s="64">
        <v>16.649999999999999</v>
      </c>
      <c r="M26" s="64">
        <v>64.239999999999995</v>
      </c>
      <c r="N26" s="64">
        <v>65.7</v>
      </c>
      <c r="O26" s="64">
        <v>0</v>
      </c>
      <c r="P26" s="64">
        <v>1.3</v>
      </c>
      <c r="Q26" s="64">
        <v>9.82</v>
      </c>
      <c r="R26" s="198"/>
      <c r="S26" s="198"/>
      <c r="T26" s="198"/>
      <c r="U26" s="198"/>
    </row>
    <row r="27" spans="1:21" s="12" customFormat="1" x14ac:dyDescent="0.25">
      <c r="A27" s="247" t="s">
        <v>262</v>
      </c>
      <c r="B27" s="64">
        <v>82.66</v>
      </c>
      <c r="C27" s="64">
        <v>76.819999999999993</v>
      </c>
      <c r="D27" s="64">
        <v>105.05</v>
      </c>
      <c r="E27" s="64">
        <v>5.63</v>
      </c>
      <c r="F27" s="64">
        <v>6.85</v>
      </c>
      <c r="G27" s="64">
        <v>79.16</v>
      </c>
      <c r="H27" s="64">
        <v>22.82</v>
      </c>
      <c r="I27" s="64">
        <v>3.91</v>
      </c>
      <c r="J27" s="64">
        <v>0.55000000000000004</v>
      </c>
      <c r="K27" s="64">
        <v>278.25</v>
      </c>
      <c r="L27" s="64">
        <v>16.440000000000001</v>
      </c>
      <c r="M27" s="64">
        <v>67.16</v>
      </c>
      <c r="N27" s="64">
        <v>65.400000000000006</v>
      </c>
      <c r="O27" s="64">
        <v>0</v>
      </c>
      <c r="P27" s="64">
        <v>1.26</v>
      </c>
      <c r="Q27" s="64">
        <v>9.77</v>
      </c>
      <c r="R27" s="198"/>
      <c r="S27" s="198"/>
      <c r="T27" s="198"/>
      <c r="U27" s="198"/>
    </row>
    <row r="28" spans="1:21" s="12" customFormat="1" x14ac:dyDescent="0.25">
      <c r="A28" s="247" t="s">
        <v>263</v>
      </c>
      <c r="B28" s="64">
        <v>87.68</v>
      </c>
      <c r="C28" s="64">
        <v>76.680000000000007</v>
      </c>
      <c r="D28" s="64">
        <v>109</v>
      </c>
      <c r="E28" s="64">
        <v>5.7</v>
      </c>
      <c r="F28" s="64">
        <v>6.81</v>
      </c>
      <c r="G28" s="64">
        <v>79.16</v>
      </c>
      <c r="H28" s="64">
        <v>22.82</v>
      </c>
      <c r="I28" s="64">
        <v>3.94</v>
      </c>
      <c r="J28" s="64">
        <v>0.53</v>
      </c>
      <c r="K28" s="64">
        <v>301.02999999999997</v>
      </c>
      <c r="L28" s="64">
        <v>15.97</v>
      </c>
      <c r="M28" s="64">
        <v>70.03</v>
      </c>
      <c r="N28" s="64">
        <v>65.7</v>
      </c>
      <c r="O28" s="64">
        <v>0</v>
      </c>
      <c r="P28" s="64">
        <v>1.21</v>
      </c>
      <c r="Q28" s="64">
        <v>9.76</v>
      </c>
      <c r="R28" s="198"/>
      <c r="S28" s="198"/>
      <c r="T28" s="198"/>
      <c r="U28" s="198"/>
    </row>
    <row r="29" spans="1:21" s="12" customFormat="1" x14ac:dyDescent="0.25">
      <c r="A29" s="247" t="s">
        <v>264</v>
      </c>
      <c r="B29" s="64">
        <v>88.35</v>
      </c>
      <c r="C29" s="64">
        <v>78.53</v>
      </c>
      <c r="D29" s="64">
        <v>110.5</v>
      </c>
      <c r="E29" s="64">
        <v>5.88</v>
      </c>
      <c r="F29" s="64">
        <v>6.77</v>
      </c>
      <c r="G29" s="64">
        <v>89.09</v>
      </c>
      <c r="H29" s="64">
        <v>15.46</v>
      </c>
      <c r="I29" s="64">
        <v>4.21</v>
      </c>
      <c r="J29" s="64">
        <v>0.62</v>
      </c>
      <c r="K29" s="64">
        <v>264.75</v>
      </c>
      <c r="L29" s="64">
        <v>15.75</v>
      </c>
      <c r="M29" s="64">
        <v>71.45</v>
      </c>
      <c r="N29" s="64">
        <v>65.5</v>
      </c>
      <c r="O29" s="64">
        <v>0</v>
      </c>
      <c r="P29" s="64">
        <v>1.1000000000000001</v>
      </c>
      <c r="Q29" s="64">
        <v>9.76</v>
      </c>
      <c r="R29" s="198"/>
      <c r="S29" s="198"/>
      <c r="T29" s="198"/>
      <c r="U29" s="198"/>
    </row>
    <row r="30" spans="1:21" s="12" customFormat="1" x14ac:dyDescent="0.25">
      <c r="A30" s="247" t="s">
        <v>265</v>
      </c>
      <c r="B30" s="64">
        <v>94</v>
      </c>
      <c r="C30" s="64">
        <v>76.569999999999993</v>
      </c>
      <c r="D30" s="64">
        <v>114.01</v>
      </c>
      <c r="E30" s="64">
        <v>5.62</v>
      </c>
      <c r="F30" s="64">
        <v>6.98</v>
      </c>
      <c r="G30" s="64">
        <v>106.25</v>
      </c>
      <c r="H30" s="64">
        <v>2.74</v>
      </c>
      <c r="I30" s="64">
        <v>4.03</v>
      </c>
      <c r="J30" s="64">
        <v>0.71</v>
      </c>
      <c r="K30" s="64">
        <v>308.25</v>
      </c>
      <c r="L30" s="64">
        <v>15.62</v>
      </c>
      <c r="M30" s="64">
        <v>77.48</v>
      </c>
      <c r="N30" s="64">
        <v>65.5</v>
      </c>
      <c r="O30" s="64">
        <v>0</v>
      </c>
      <c r="P30" s="64">
        <v>1.05</v>
      </c>
      <c r="Q30" s="64">
        <v>9.75</v>
      </c>
      <c r="R30" s="198"/>
      <c r="S30" s="198"/>
      <c r="T30" s="198"/>
      <c r="U30" s="198"/>
    </row>
    <row r="31" spans="1:21" s="12" customFormat="1" x14ac:dyDescent="0.25">
      <c r="A31" s="247" t="s">
        <v>266</v>
      </c>
      <c r="B31" s="64">
        <v>84.34</v>
      </c>
      <c r="C31" s="64">
        <v>76.13</v>
      </c>
      <c r="D31" s="64">
        <v>106.04</v>
      </c>
      <c r="E31" s="64">
        <v>5.34</v>
      </c>
      <c r="F31" s="64">
        <v>7.17</v>
      </c>
      <c r="G31" s="64">
        <v>106.25</v>
      </c>
      <c r="H31" s="64">
        <v>2.74</v>
      </c>
      <c r="I31" s="64">
        <v>3.93</v>
      </c>
      <c r="J31" s="64">
        <v>0.7</v>
      </c>
      <c r="K31" s="64">
        <v>239.62</v>
      </c>
      <c r="L31" s="64">
        <v>15.69</v>
      </c>
      <c r="M31" s="64">
        <v>70.86</v>
      </c>
      <c r="N31" s="64">
        <v>65.2</v>
      </c>
      <c r="O31" s="64">
        <v>0</v>
      </c>
      <c r="P31" s="64">
        <v>1</v>
      </c>
      <c r="Q31" s="64">
        <v>9.75</v>
      </c>
      <c r="R31" s="198"/>
      <c r="S31" s="198"/>
      <c r="T31" s="198"/>
      <c r="U31" s="198"/>
    </row>
    <row r="32" spans="1:21" s="12" customFormat="1" x14ac:dyDescent="0.25">
      <c r="A32" s="247" t="s">
        <v>267</v>
      </c>
      <c r="B32" s="64">
        <v>99.91</v>
      </c>
      <c r="C32" s="64">
        <v>80.64</v>
      </c>
      <c r="D32" s="64">
        <v>120.87</v>
      </c>
      <c r="E32" s="64">
        <v>5.45</v>
      </c>
      <c r="F32" s="64">
        <v>7.23</v>
      </c>
      <c r="G32" s="64">
        <v>106.25</v>
      </c>
      <c r="H32" s="64">
        <v>2.74</v>
      </c>
      <c r="I32" s="64">
        <v>4.05</v>
      </c>
      <c r="J32" s="64">
        <v>0.63</v>
      </c>
      <c r="K32" s="64">
        <v>210.21</v>
      </c>
      <c r="L32" s="64">
        <v>15.86</v>
      </c>
      <c r="M32" s="64">
        <v>70.88</v>
      </c>
      <c r="N32" s="64">
        <v>65.2</v>
      </c>
      <c r="O32" s="64">
        <v>0</v>
      </c>
      <c r="P32" s="64">
        <v>1.01</v>
      </c>
      <c r="Q32" s="64">
        <v>9.76</v>
      </c>
      <c r="R32" s="198"/>
      <c r="S32" s="198"/>
      <c r="T32" s="198"/>
      <c r="U32" s="198"/>
    </row>
    <row r="33" spans="1:21" s="12" customFormat="1" x14ac:dyDescent="0.25">
      <c r="A33" s="247" t="s">
        <v>268</v>
      </c>
      <c r="B33" s="64">
        <v>102.48</v>
      </c>
      <c r="C33" s="64">
        <v>78.599999999999994</v>
      </c>
      <c r="D33" s="64">
        <v>121.87</v>
      </c>
      <c r="E33" s="64">
        <v>5.74</v>
      </c>
      <c r="F33" s="64">
        <v>7</v>
      </c>
      <c r="G33" s="64">
        <v>109.56</v>
      </c>
      <c r="H33" s="64">
        <v>38.25</v>
      </c>
      <c r="I33" s="64">
        <v>3.93</v>
      </c>
      <c r="J33" s="64">
        <v>0.48</v>
      </c>
      <c r="K33" s="64">
        <v>288.75</v>
      </c>
      <c r="L33" s="64">
        <v>16.02</v>
      </c>
      <c r="M33" s="64">
        <v>72.48</v>
      </c>
      <c r="N33" s="64">
        <v>66.2</v>
      </c>
      <c r="O33" s="64">
        <v>0</v>
      </c>
      <c r="P33" s="64">
        <v>1.08</v>
      </c>
      <c r="Q33" s="64">
        <v>9.75</v>
      </c>
      <c r="R33" s="198"/>
      <c r="S33" s="198"/>
      <c r="T33" s="198"/>
      <c r="U33" s="198"/>
    </row>
    <row r="34" spans="1:21" s="12" customFormat="1" x14ac:dyDescent="0.25">
      <c r="A34" s="247" t="s">
        <v>269</v>
      </c>
      <c r="B34" s="64">
        <v>102.28</v>
      </c>
      <c r="C34" s="64">
        <v>77.17</v>
      </c>
      <c r="D34" s="64">
        <v>120.96</v>
      </c>
      <c r="E34" s="64">
        <v>5.77</v>
      </c>
      <c r="F34" s="64">
        <v>6.95</v>
      </c>
      <c r="G34" s="64">
        <v>115.28</v>
      </c>
      <c r="H34" s="64">
        <v>99.58</v>
      </c>
      <c r="I34" s="64">
        <v>3.9</v>
      </c>
      <c r="J34" s="64">
        <v>0.62</v>
      </c>
      <c r="K34" s="64">
        <v>283.2</v>
      </c>
      <c r="L34" s="64">
        <v>15.58</v>
      </c>
      <c r="M34" s="64">
        <v>72.81</v>
      </c>
      <c r="N34" s="64">
        <v>71.3</v>
      </c>
      <c r="O34" s="64">
        <v>0</v>
      </c>
      <c r="P34" s="64">
        <v>1.06</v>
      </c>
      <c r="Q34" s="64">
        <v>9.7200000000000006</v>
      </c>
      <c r="R34" s="198"/>
      <c r="S34" s="198"/>
      <c r="T34" s="198"/>
      <c r="U34" s="198"/>
    </row>
    <row r="35" spans="1:21" s="12" customFormat="1" x14ac:dyDescent="0.25">
      <c r="A35" s="247" t="s">
        <v>270</v>
      </c>
      <c r="B35" s="64">
        <v>86.6</v>
      </c>
      <c r="C35" s="64">
        <v>76.61</v>
      </c>
      <c r="D35" s="64">
        <v>108.1</v>
      </c>
      <c r="E35" s="64">
        <v>5.78</v>
      </c>
      <c r="F35" s="64">
        <v>7.53</v>
      </c>
      <c r="G35" s="64">
        <v>115.28</v>
      </c>
      <c r="H35" s="64">
        <v>99.58</v>
      </c>
      <c r="I35" s="64">
        <v>3.93</v>
      </c>
      <c r="J35" s="64">
        <v>0.76</v>
      </c>
      <c r="K35" s="64">
        <v>223.31</v>
      </c>
      <c r="L35" s="64">
        <v>16.14</v>
      </c>
      <c r="M35" s="64">
        <v>67.91</v>
      </c>
      <c r="N35" s="64">
        <v>84</v>
      </c>
      <c r="O35" s="64">
        <v>0</v>
      </c>
      <c r="P35" s="64">
        <v>1.01</v>
      </c>
      <c r="Q35" s="64">
        <v>9.74</v>
      </c>
      <c r="R35" s="198"/>
      <c r="S35" s="198"/>
      <c r="T35" s="198"/>
      <c r="U35" s="198"/>
    </row>
    <row r="36" spans="1:21" s="12" customFormat="1" x14ac:dyDescent="0.25">
      <c r="A36" s="247" t="s">
        <v>271</v>
      </c>
      <c r="B36" s="64">
        <v>79.58</v>
      </c>
      <c r="C36" s="64">
        <v>75.64</v>
      </c>
      <c r="D36" s="64">
        <v>101.96</v>
      </c>
      <c r="E36" s="64">
        <v>5.73</v>
      </c>
      <c r="F36" s="64">
        <v>9.16</v>
      </c>
      <c r="G36" s="64">
        <v>115.28</v>
      </c>
      <c r="H36" s="64">
        <v>99.58</v>
      </c>
      <c r="I36" s="64">
        <v>4</v>
      </c>
      <c r="J36" s="64">
        <v>0.6</v>
      </c>
      <c r="K36" s="64">
        <v>178.63</v>
      </c>
      <c r="L36" s="64">
        <v>17.260000000000002</v>
      </c>
      <c r="M36" s="64">
        <v>55.93</v>
      </c>
      <c r="N36" s="64">
        <v>109.4</v>
      </c>
      <c r="O36" s="64">
        <v>0</v>
      </c>
      <c r="P36" s="64">
        <v>0.97</v>
      </c>
      <c r="Q36" s="64">
        <v>9.77</v>
      </c>
      <c r="R36" s="198"/>
      <c r="S36" s="198"/>
      <c r="T36" s="198"/>
      <c r="U36" s="198"/>
    </row>
    <row r="37" spans="1:21" s="12" customFormat="1" x14ac:dyDescent="0.25">
      <c r="A37" s="247" t="s">
        <v>272</v>
      </c>
      <c r="B37" s="64">
        <v>93.44</v>
      </c>
      <c r="C37" s="64">
        <v>72.92</v>
      </c>
      <c r="D37" s="64">
        <v>111.65</v>
      </c>
      <c r="E37" s="64">
        <v>5.65</v>
      </c>
      <c r="F37" s="64">
        <v>7.9</v>
      </c>
      <c r="G37" s="64">
        <v>115.67</v>
      </c>
      <c r="H37" s="64">
        <v>63.07</v>
      </c>
      <c r="I37" s="64">
        <v>4.12</v>
      </c>
      <c r="J37" s="64">
        <v>1.1200000000000001</v>
      </c>
      <c r="K37" s="64">
        <v>166.13</v>
      </c>
      <c r="L37" s="64">
        <v>18.260000000000002</v>
      </c>
      <c r="M37" s="64">
        <v>51.64</v>
      </c>
      <c r="N37" s="64">
        <v>158.69999999999999</v>
      </c>
      <c r="O37" s="64">
        <v>0</v>
      </c>
      <c r="P37" s="64">
        <v>1.1100000000000001</v>
      </c>
      <c r="Q37" s="64">
        <v>9.7799999999999994</v>
      </c>
      <c r="R37" s="198"/>
      <c r="S37" s="198"/>
      <c r="T37" s="198"/>
      <c r="U37" s="198"/>
    </row>
    <row r="38" spans="1:21" s="12" customFormat="1" x14ac:dyDescent="0.25">
      <c r="A38" s="247" t="s">
        <v>273</v>
      </c>
      <c r="B38" s="64">
        <v>89.19</v>
      </c>
      <c r="C38" s="64">
        <v>74.55</v>
      </c>
      <c r="D38" s="64">
        <v>109.1</v>
      </c>
      <c r="E38" s="64">
        <v>5.3</v>
      </c>
      <c r="F38" s="64">
        <v>7.26</v>
      </c>
      <c r="G38" s="64">
        <v>116.34</v>
      </c>
      <c r="H38" s="64">
        <v>63.07</v>
      </c>
      <c r="I38" s="64">
        <v>4.05</v>
      </c>
      <c r="J38" s="64">
        <v>1.55</v>
      </c>
      <c r="K38" s="64">
        <v>160.58000000000001</v>
      </c>
      <c r="L38" s="64">
        <v>19.18</v>
      </c>
      <c r="M38" s="64">
        <v>47.03</v>
      </c>
      <c r="N38" s="64">
        <v>208.4</v>
      </c>
      <c r="O38" s="64">
        <v>0</v>
      </c>
      <c r="P38" s="64">
        <v>1.1499999999999999</v>
      </c>
      <c r="Q38" s="64">
        <v>9.75</v>
      </c>
      <c r="R38" s="198"/>
      <c r="S38" s="198"/>
      <c r="T38" s="198"/>
      <c r="U38" s="198"/>
    </row>
    <row r="39" spans="1:21" s="12" customFormat="1" x14ac:dyDescent="0.25">
      <c r="A39" s="247" t="s">
        <v>274</v>
      </c>
      <c r="B39" s="64">
        <v>82.82</v>
      </c>
      <c r="C39" s="64">
        <v>74.489999999999995</v>
      </c>
      <c r="D39" s="64">
        <v>103.96</v>
      </c>
      <c r="E39" s="64">
        <v>5.4</v>
      </c>
      <c r="F39" s="64">
        <v>7.07</v>
      </c>
      <c r="G39" s="64">
        <v>116.34</v>
      </c>
      <c r="H39" s="64">
        <v>63.07</v>
      </c>
      <c r="I39" s="64">
        <v>4.0599999999999996</v>
      </c>
      <c r="J39" s="64">
        <v>1.38</v>
      </c>
      <c r="K39" s="64">
        <v>163.30000000000001</v>
      </c>
      <c r="L39" s="64">
        <v>19.97</v>
      </c>
      <c r="M39" s="64">
        <v>44.42</v>
      </c>
      <c r="N39" s="64">
        <v>260.7</v>
      </c>
      <c r="O39" s="64">
        <v>0</v>
      </c>
      <c r="P39" s="64">
        <v>1.1200000000000001</v>
      </c>
      <c r="Q39" s="64">
        <v>9.76</v>
      </c>
      <c r="R39" s="198"/>
      <c r="S39" s="198"/>
      <c r="T39" s="198"/>
      <c r="U39" s="198"/>
    </row>
    <row r="40" spans="1:21" s="12" customFormat="1" x14ac:dyDescent="0.25">
      <c r="A40" s="247" t="s">
        <v>275</v>
      </c>
      <c r="B40" s="64">
        <v>77.75</v>
      </c>
      <c r="C40" s="64">
        <v>76.040000000000006</v>
      </c>
      <c r="D40" s="64">
        <v>100.7</v>
      </c>
      <c r="E40" s="64">
        <v>6.79</v>
      </c>
      <c r="F40" s="64">
        <v>6.95</v>
      </c>
      <c r="G40" s="64">
        <v>116.34</v>
      </c>
      <c r="H40" s="64">
        <v>63.07</v>
      </c>
      <c r="I40" s="64">
        <v>3.95</v>
      </c>
      <c r="J40" s="64">
        <v>1.19</v>
      </c>
      <c r="K40" s="64">
        <v>168.56</v>
      </c>
      <c r="L40" s="64">
        <v>20.71</v>
      </c>
      <c r="M40" s="64">
        <v>43.33</v>
      </c>
      <c r="N40" s="64">
        <v>313.89999999999998</v>
      </c>
      <c r="O40" s="64">
        <v>0</v>
      </c>
      <c r="P40" s="64">
        <v>1.0900000000000001</v>
      </c>
      <c r="Q40" s="64">
        <v>9.74</v>
      </c>
      <c r="R40" s="198"/>
      <c r="S40" s="198"/>
      <c r="T40" s="198"/>
      <c r="U40" s="198"/>
    </row>
    <row r="41" spans="1:21" s="12" customFormat="1" x14ac:dyDescent="0.25">
      <c r="A41" s="247" t="s">
        <v>276</v>
      </c>
      <c r="B41" s="64">
        <v>71.23</v>
      </c>
      <c r="C41" s="64">
        <v>78.28</v>
      </c>
      <c r="D41" s="64">
        <v>96.65</v>
      </c>
      <c r="E41" s="64">
        <v>5.88</v>
      </c>
      <c r="F41" s="64">
        <v>6.89</v>
      </c>
      <c r="G41" s="64">
        <v>105.36</v>
      </c>
      <c r="H41" s="64">
        <v>19.760000000000002</v>
      </c>
      <c r="I41" s="64">
        <v>4.03</v>
      </c>
      <c r="J41" s="64">
        <v>1.1299999999999999</v>
      </c>
      <c r="K41" s="64">
        <v>194.63</v>
      </c>
      <c r="L41" s="64">
        <v>20.96</v>
      </c>
      <c r="M41" s="64">
        <v>44.71</v>
      </c>
      <c r="N41" s="64">
        <v>368.2</v>
      </c>
      <c r="O41" s="64">
        <v>0</v>
      </c>
      <c r="P41" s="64">
        <v>1.06</v>
      </c>
      <c r="Q41" s="64">
        <v>9.7100000000000009</v>
      </c>
      <c r="R41" s="198"/>
      <c r="S41" s="198"/>
      <c r="T41" s="198"/>
      <c r="U41" s="198"/>
    </row>
    <row r="42" spans="1:21" s="12" customFormat="1" x14ac:dyDescent="0.25">
      <c r="A42" s="247" t="s">
        <v>277</v>
      </c>
      <c r="B42" s="64">
        <v>65.03</v>
      </c>
      <c r="C42" s="64">
        <v>77.86</v>
      </c>
      <c r="D42" s="64">
        <v>91.45</v>
      </c>
      <c r="E42" s="64">
        <v>5.93</v>
      </c>
      <c r="F42" s="64">
        <v>6.63</v>
      </c>
      <c r="G42" s="64">
        <v>86.38</v>
      </c>
      <c r="H42" s="64">
        <v>53.89</v>
      </c>
      <c r="I42" s="64">
        <v>3.84</v>
      </c>
      <c r="J42" s="64">
        <v>1.17</v>
      </c>
      <c r="K42" s="64">
        <v>215.35</v>
      </c>
      <c r="L42" s="64">
        <v>20.9</v>
      </c>
      <c r="M42" s="64">
        <v>47.94</v>
      </c>
      <c r="N42" s="64">
        <v>418.3</v>
      </c>
      <c r="O42" s="64">
        <v>0</v>
      </c>
      <c r="P42" s="64">
        <v>1.03</v>
      </c>
      <c r="Q42" s="64">
        <v>9.7200000000000006</v>
      </c>
      <c r="R42" s="198"/>
      <c r="S42" s="198"/>
      <c r="T42" s="198"/>
      <c r="U42" s="198"/>
    </row>
    <row r="43" spans="1:21" s="12" customFormat="1" x14ac:dyDescent="0.25">
      <c r="A43" s="247" t="s">
        <v>278</v>
      </c>
      <c r="B43" s="64">
        <v>56.69</v>
      </c>
      <c r="C43" s="64">
        <v>78.36</v>
      </c>
      <c r="D43" s="64">
        <v>85.02</v>
      </c>
      <c r="E43" s="64">
        <v>6.06</v>
      </c>
      <c r="F43" s="64">
        <v>6.6</v>
      </c>
      <c r="G43" s="64">
        <v>86.38</v>
      </c>
      <c r="H43" s="64">
        <v>53.89</v>
      </c>
      <c r="I43" s="64">
        <v>3.92</v>
      </c>
      <c r="J43" s="64">
        <v>1.04</v>
      </c>
      <c r="K43" s="64">
        <v>208.82</v>
      </c>
      <c r="L43" s="64">
        <v>21.27</v>
      </c>
      <c r="M43" s="64">
        <v>49.13</v>
      </c>
      <c r="N43" s="64">
        <v>472.1</v>
      </c>
      <c r="O43" s="64">
        <v>0</v>
      </c>
      <c r="P43" s="64">
        <v>0.99</v>
      </c>
      <c r="Q43" s="64">
        <v>9.73</v>
      </c>
      <c r="R43" s="198"/>
      <c r="S43" s="198"/>
      <c r="T43" s="198"/>
      <c r="U43" s="198"/>
    </row>
    <row r="44" spans="1:21" s="12" customFormat="1" x14ac:dyDescent="0.25">
      <c r="A44" s="247" t="s">
        <v>279</v>
      </c>
      <c r="B44" s="64">
        <v>48.68</v>
      </c>
      <c r="C44" s="64">
        <v>78.84</v>
      </c>
      <c r="D44" s="64">
        <v>78.849999999999994</v>
      </c>
      <c r="E44" s="64">
        <v>5.31</v>
      </c>
      <c r="F44" s="64">
        <v>6.92</v>
      </c>
      <c r="G44" s="64">
        <v>86.38</v>
      </c>
      <c r="H44" s="64">
        <v>53.89</v>
      </c>
      <c r="I44" s="64">
        <v>4.03</v>
      </c>
      <c r="J44" s="64">
        <v>1.27</v>
      </c>
      <c r="K44" s="64">
        <v>181.39</v>
      </c>
      <c r="L44" s="64">
        <v>22.45</v>
      </c>
      <c r="M44" s="64">
        <v>46.11</v>
      </c>
      <c r="N44" s="64">
        <v>518.29999999999995</v>
      </c>
      <c r="O44" s="64">
        <v>0</v>
      </c>
      <c r="P44" s="64">
        <v>0.96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47" t="s">
        <v>280</v>
      </c>
      <c r="B45" s="64">
        <v>41.42</v>
      </c>
      <c r="C45" s="64">
        <v>78.31</v>
      </c>
      <c r="D45" s="64">
        <v>72.75</v>
      </c>
      <c r="E45" s="64">
        <v>5.7</v>
      </c>
      <c r="F45" s="64">
        <v>6.95</v>
      </c>
      <c r="G45" s="64">
        <v>81.73</v>
      </c>
      <c r="H45" s="64">
        <v>43.04</v>
      </c>
      <c r="I45" s="64">
        <v>4.01</v>
      </c>
      <c r="J45" s="64">
        <v>1.17</v>
      </c>
      <c r="K45" s="64">
        <v>226.07</v>
      </c>
      <c r="L45" s="64">
        <v>23.14</v>
      </c>
      <c r="M45" s="64">
        <v>43.92</v>
      </c>
      <c r="N45" s="64">
        <v>565.6</v>
      </c>
      <c r="O45" s="64">
        <v>0</v>
      </c>
      <c r="P45" s="64">
        <v>0.92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47" t="s">
        <v>281</v>
      </c>
      <c r="B46" s="64">
        <v>29.87</v>
      </c>
      <c r="C46" s="64">
        <v>80.84</v>
      </c>
      <c r="D46" s="64">
        <v>64.81</v>
      </c>
      <c r="E46" s="64">
        <v>5.55</v>
      </c>
      <c r="F46" s="64">
        <v>7.96</v>
      </c>
      <c r="G46" s="64">
        <v>73.709999999999994</v>
      </c>
      <c r="H46" s="64">
        <v>24.32</v>
      </c>
      <c r="I46" s="64">
        <v>3.96</v>
      </c>
      <c r="J46" s="64">
        <v>0.52</v>
      </c>
      <c r="K46" s="64">
        <v>252.12</v>
      </c>
      <c r="L46" s="64">
        <v>25.91</v>
      </c>
      <c r="M46" s="64">
        <v>38.67</v>
      </c>
      <c r="N46" s="64">
        <v>602.5</v>
      </c>
      <c r="O46" s="64">
        <v>0</v>
      </c>
      <c r="P46" s="64">
        <v>0.89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47" t="s">
        <v>282</v>
      </c>
      <c r="B47" s="64">
        <v>24.96</v>
      </c>
      <c r="C47" s="64">
        <v>83.61</v>
      </c>
      <c r="D47" s="64">
        <v>62.32</v>
      </c>
      <c r="E47" s="64">
        <v>5.88</v>
      </c>
      <c r="F47" s="64">
        <v>8.52</v>
      </c>
      <c r="G47" s="64">
        <v>73.709999999999994</v>
      </c>
      <c r="H47" s="64">
        <v>24.32</v>
      </c>
      <c r="I47" s="64">
        <v>4.05</v>
      </c>
      <c r="J47" s="64">
        <v>0.9</v>
      </c>
      <c r="K47" s="64">
        <v>243.2</v>
      </c>
      <c r="L47" s="64">
        <v>26.02</v>
      </c>
      <c r="M47" s="64">
        <v>39.57</v>
      </c>
      <c r="N47" s="64">
        <v>652.70000000000005</v>
      </c>
      <c r="O47" s="64">
        <v>0</v>
      </c>
      <c r="P47" s="64">
        <v>0.84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47" t="s">
        <v>283</v>
      </c>
      <c r="B48" s="64">
        <v>16.97</v>
      </c>
      <c r="C48" s="64">
        <v>85.85</v>
      </c>
      <c r="D48" s="64">
        <v>57.08</v>
      </c>
      <c r="E48" s="64">
        <v>5.65</v>
      </c>
      <c r="F48" s="64">
        <v>8.34</v>
      </c>
      <c r="G48" s="64">
        <v>73.709999999999994</v>
      </c>
      <c r="H48" s="64">
        <v>24.32</v>
      </c>
      <c r="I48" s="64">
        <v>4.17</v>
      </c>
      <c r="J48" s="64">
        <v>0.71</v>
      </c>
      <c r="K48" s="64">
        <v>251.66</v>
      </c>
      <c r="L48" s="64">
        <v>26.66</v>
      </c>
      <c r="M48" s="64">
        <v>38.39</v>
      </c>
      <c r="N48" s="64">
        <v>693.4</v>
      </c>
      <c r="O48" s="64">
        <v>0</v>
      </c>
      <c r="P48" s="64">
        <v>0.79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47" t="s">
        <v>284</v>
      </c>
      <c r="B49" s="64">
        <v>11.22</v>
      </c>
      <c r="C49" s="64">
        <v>88.08</v>
      </c>
      <c r="D49" s="64">
        <v>53.64</v>
      </c>
      <c r="E49" s="64">
        <v>5.26</v>
      </c>
      <c r="F49" s="64">
        <v>9.4700000000000006</v>
      </c>
      <c r="G49" s="64">
        <v>74.2</v>
      </c>
      <c r="H49" s="64">
        <v>23.63</v>
      </c>
      <c r="I49" s="64">
        <v>3.99</v>
      </c>
      <c r="J49" s="64">
        <v>0.86</v>
      </c>
      <c r="K49" s="64">
        <v>268.39</v>
      </c>
      <c r="L49" s="64">
        <v>28.17</v>
      </c>
      <c r="M49" s="64">
        <v>36.08</v>
      </c>
      <c r="N49" s="64">
        <v>727.1</v>
      </c>
      <c r="O49" s="64">
        <v>0</v>
      </c>
      <c r="P49" s="64">
        <v>0.75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47" t="s">
        <v>285</v>
      </c>
      <c r="B50" s="64">
        <v>7.56</v>
      </c>
      <c r="C50" s="64">
        <v>87.48</v>
      </c>
      <c r="D50" s="64">
        <v>50.39</v>
      </c>
      <c r="E50" s="64">
        <v>5.55</v>
      </c>
      <c r="F50" s="64">
        <v>10.130000000000001</v>
      </c>
      <c r="G50" s="64">
        <v>75.06</v>
      </c>
      <c r="H50" s="64">
        <v>22.45</v>
      </c>
      <c r="I50" s="64">
        <v>4.12</v>
      </c>
      <c r="J50" s="64">
        <v>0.73</v>
      </c>
      <c r="K50" s="64">
        <v>277.69</v>
      </c>
      <c r="L50" s="64">
        <v>28.78</v>
      </c>
      <c r="M50" s="64">
        <v>36.119999999999997</v>
      </c>
      <c r="N50" s="64">
        <v>757.3</v>
      </c>
      <c r="O50" s="64">
        <v>0</v>
      </c>
      <c r="P50" s="64">
        <v>0.73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47" t="s">
        <v>286</v>
      </c>
      <c r="B51" s="64">
        <v>5.64</v>
      </c>
      <c r="C51" s="64">
        <v>84.69</v>
      </c>
      <c r="D51" s="64">
        <v>47.4</v>
      </c>
      <c r="E51" s="64">
        <v>5.49</v>
      </c>
      <c r="F51" s="64">
        <v>12.81</v>
      </c>
      <c r="G51" s="64">
        <v>75.06</v>
      </c>
      <c r="H51" s="64">
        <v>22.45</v>
      </c>
      <c r="I51" s="64">
        <v>3.93</v>
      </c>
      <c r="J51" s="64">
        <v>0.73</v>
      </c>
      <c r="K51" s="64">
        <v>254.94</v>
      </c>
      <c r="L51" s="64">
        <v>28.72</v>
      </c>
      <c r="M51" s="64">
        <v>36.46</v>
      </c>
      <c r="N51" s="64">
        <v>787.7</v>
      </c>
      <c r="O51" s="64">
        <v>0</v>
      </c>
      <c r="P51" s="64">
        <v>0.69</v>
      </c>
      <c r="Q51" s="64">
        <v>9.4499999999999993</v>
      </c>
      <c r="R51" s="198"/>
      <c r="S51" s="198"/>
      <c r="T51" s="198"/>
      <c r="U51" s="198"/>
    </row>
    <row r="52" spans="1:21" s="12" customFormat="1" x14ac:dyDescent="0.25">
      <c r="A52" s="247" t="s">
        <v>287</v>
      </c>
      <c r="B52" s="64">
        <v>4.6900000000000004</v>
      </c>
      <c r="C52" s="64">
        <v>81.650000000000006</v>
      </c>
      <c r="D52" s="64">
        <v>45.04</v>
      </c>
      <c r="E52" s="64">
        <v>5.79</v>
      </c>
      <c r="F52" s="64">
        <v>10.98</v>
      </c>
      <c r="G52" s="64">
        <v>75.06</v>
      </c>
      <c r="H52" s="64">
        <v>22.45</v>
      </c>
      <c r="I52" s="64">
        <v>3.97</v>
      </c>
      <c r="J52" s="64">
        <v>0.73</v>
      </c>
      <c r="K52" s="64">
        <v>269.23</v>
      </c>
      <c r="L52" s="64">
        <v>29.56</v>
      </c>
      <c r="M52" s="64">
        <v>35.549999999999997</v>
      </c>
      <c r="N52" s="64">
        <v>807.4</v>
      </c>
      <c r="O52" s="64">
        <v>0</v>
      </c>
      <c r="P52" s="64">
        <v>0.68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47" t="s">
        <v>288</v>
      </c>
      <c r="B53" s="64">
        <v>4.38</v>
      </c>
      <c r="C53" s="64">
        <v>78.319999999999993</v>
      </c>
      <c r="D53" s="64">
        <v>43.06</v>
      </c>
      <c r="E53" s="64">
        <v>5.91</v>
      </c>
      <c r="F53" s="64">
        <v>11.75</v>
      </c>
      <c r="G53" s="64">
        <v>75.34</v>
      </c>
      <c r="H53" s="64">
        <v>28.36</v>
      </c>
      <c r="I53" s="64">
        <v>4.0199999999999996</v>
      </c>
      <c r="J53" s="64">
        <v>1.18</v>
      </c>
      <c r="K53" s="64">
        <v>289.04000000000002</v>
      </c>
      <c r="L53" s="64">
        <v>30.41</v>
      </c>
      <c r="M53" s="64">
        <v>33.64</v>
      </c>
      <c r="N53" s="64">
        <v>815.6</v>
      </c>
      <c r="O53" s="64">
        <v>0</v>
      </c>
      <c r="P53" s="64">
        <v>0.66</v>
      </c>
      <c r="Q53" s="64">
        <v>9.4600000000000009</v>
      </c>
      <c r="R53" s="198"/>
      <c r="S53" s="198"/>
      <c r="T53" s="198"/>
      <c r="U53" s="198"/>
    </row>
    <row r="54" spans="1:21" s="12" customFormat="1" x14ac:dyDescent="0.25">
      <c r="A54" s="247" t="s">
        <v>289</v>
      </c>
      <c r="B54" s="64">
        <v>4.37</v>
      </c>
      <c r="C54" s="64">
        <v>75.38</v>
      </c>
      <c r="D54" s="64">
        <v>41.51</v>
      </c>
      <c r="E54" s="64">
        <v>5.97</v>
      </c>
      <c r="F54" s="64">
        <v>10.42</v>
      </c>
      <c r="G54" s="64">
        <v>75.83</v>
      </c>
      <c r="H54" s="64">
        <v>38.56</v>
      </c>
      <c r="I54" s="64">
        <v>3.96</v>
      </c>
      <c r="J54" s="64">
        <v>1.05</v>
      </c>
      <c r="K54" s="64">
        <v>290.43</v>
      </c>
      <c r="L54" s="64">
        <v>31.63</v>
      </c>
      <c r="M54" s="64">
        <v>31.85</v>
      </c>
      <c r="N54" s="64">
        <v>806.4</v>
      </c>
      <c r="O54" s="64">
        <v>0</v>
      </c>
      <c r="P54" s="64">
        <v>0.65</v>
      </c>
      <c r="Q54" s="64">
        <v>9.4600000000000009</v>
      </c>
      <c r="R54" s="198"/>
      <c r="S54" s="198"/>
      <c r="T54" s="198"/>
      <c r="U54" s="198"/>
    </row>
    <row r="55" spans="1:21" s="12" customFormat="1" x14ac:dyDescent="0.25">
      <c r="A55" s="247" t="s">
        <v>290</v>
      </c>
      <c r="B55" s="64">
        <v>4.38</v>
      </c>
      <c r="C55" s="64">
        <v>71.84</v>
      </c>
      <c r="D55" s="64">
        <v>39.67</v>
      </c>
      <c r="E55" s="64">
        <v>5.84</v>
      </c>
      <c r="F55" s="64">
        <v>10.58</v>
      </c>
      <c r="G55" s="64">
        <v>75.83</v>
      </c>
      <c r="H55" s="64">
        <v>38.56</v>
      </c>
      <c r="I55" s="64">
        <v>4.01</v>
      </c>
      <c r="J55" s="64">
        <v>1.08</v>
      </c>
      <c r="K55" s="64">
        <v>293.35000000000002</v>
      </c>
      <c r="L55" s="64">
        <v>31.84</v>
      </c>
      <c r="M55" s="64">
        <v>31.9</v>
      </c>
      <c r="N55" s="64">
        <v>790</v>
      </c>
      <c r="O55" s="64">
        <v>0</v>
      </c>
      <c r="P55" s="64">
        <v>0.63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47" t="s">
        <v>291</v>
      </c>
      <c r="B56" s="64">
        <v>4.33</v>
      </c>
      <c r="C56" s="64">
        <v>69.59</v>
      </c>
      <c r="D56" s="64">
        <v>38.46</v>
      </c>
      <c r="E56" s="64">
        <v>6.12</v>
      </c>
      <c r="F56" s="64">
        <v>11.54</v>
      </c>
      <c r="G56" s="64">
        <v>75.83</v>
      </c>
      <c r="H56" s="64">
        <v>38.56</v>
      </c>
      <c r="I56" s="64">
        <v>3.8</v>
      </c>
      <c r="J56" s="64">
        <v>1.38</v>
      </c>
      <c r="K56" s="64">
        <v>293.23</v>
      </c>
      <c r="L56" s="64">
        <v>31.42</v>
      </c>
      <c r="M56" s="64">
        <v>31.88</v>
      </c>
      <c r="N56" s="64">
        <v>781.1</v>
      </c>
      <c r="O56" s="64">
        <v>0</v>
      </c>
      <c r="P56" s="64">
        <v>0.62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47" t="s">
        <v>292</v>
      </c>
      <c r="B57" s="64">
        <v>4.4800000000000004</v>
      </c>
      <c r="C57" s="64">
        <v>68.34</v>
      </c>
      <c r="D57" s="64">
        <v>37.93</v>
      </c>
      <c r="E57" s="64">
        <v>6.57</v>
      </c>
      <c r="F57" s="64">
        <v>12.34</v>
      </c>
      <c r="G57" s="64">
        <v>71.290000000000006</v>
      </c>
      <c r="H57" s="64">
        <v>31.3</v>
      </c>
      <c r="I57" s="64">
        <v>3.83</v>
      </c>
      <c r="J57" s="64">
        <v>1.02</v>
      </c>
      <c r="K57" s="64">
        <v>289.62</v>
      </c>
      <c r="L57" s="64">
        <v>32.299999999999997</v>
      </c>
      <c r="M57" s="64">
        <v>29.9</v>
      </c>
      <c r="N57" s="64">
        <v>770.1</v>
      </c>
      <c r="O57" s="64">
        <v>0</v>
      </c>
      <c r="P57" s="64">
        <v>0.6</v>
      </c>
      <c r="Q57" s="64">
        <v>9.48</v>
      </c>
      <c r="R57" s="198"/>
      <c r="S57" s="198"/>
      <c r="T57" s="198"/>
      <c r="U57" s="198"/>
    </row>
    <row r="58" spans="1:21" s="12" customFormat="1" x14ac:dyDescent="0.25">
      <c r="A58" s="247" t="s">
        <v>293</v>
      </c>
      <c r="B58" s="64">
        <v>5.75</v>
      </c>
      <c r="C58" s="64">
        <v>68.27</v>
      </c>
      <c r="D58" s="64">
        <v>38.9</v>
      </c>
      <c r="E58" s="64">
        <v>5.99</v>
      </c>
      <c r="F58" s="64">
        <v>10.93</v>
      </c>
      <c r="G58" s="64">
        <v>63.45</v>
      </c>
      <c r="H58" s="64">
        <v>18.77</v>
      </c>
      <c r="I58" s="64">
        <v>3.96</v>
      </c>
      <c r="J58" s="64">
        <v>1.1499999999999999</v>
      </c>
      <c r="K58" s="64">
        <v>281.5</v>
      </c>
      <c r="L58" s="64">
        <v>32.42</v>
      </c>
      <c r="M58" s="64">
        <v>29.61</v>
      </c>
      <c r="N58" s="64">
        <v>768.4</v>
      </c>
      <c r="O58" s="64">
        <v>0</v>
      </c>
      <c r="P58" s="64">
        <v>0.6</v>
      </c>
      <c r="Q58" s="64">
        <v>9.4700000000000006</v>
      </c>
      <c r="R58" s="198"/>
      <c r="S58" s="198"/>
      <c r="T58" s="198"/>
      <c r="U58" s="198"/>
    </row>
    <row r="59" spans="1:21" s="12" customFormat="1" x14ac:dyDescent="0.25">
      <c r="A59" s="247" t="s">
        <v>294</v>
      </c>
      <c r="B59" s="64">
        <v>4.5999999999999996</v>
      </c>
      <c r="C59" s="64">
        <v>67.41</v>
      </c>
      <c r="D59" s="64">
        <v>37.53</v>
      </c>
      <c r="E59" s="64">
        <v>6.27</v>
      </c>
      <c r="F59" s="64">
        <v>14.34</v>
      </c>
      <c r="G59" s="64">
        <v>63.45</v>
      </c>
      <c r="H59" s="64">
        <v>18.77</v>
      </c>
      <c r="I59" s="64">
        <v>3.89</v>
      </c>
      <c r="J59" s="64">
        <v>0.7</v>
      </c>
      <c r="K59" s="64">
        <v>263.2</v>
      </c>
      <c r="L59" s="64">
        <v>31.32</v>
      </c>
      <c r="M59" s="64">
        <v>30.78</v>
      </c>
      <c r="N59" s="64">
        <v>760.4</v>
      </c>
      <c r="O59" s="64">
        <v>0</v>
      </c>
      <c r="P59" s="64">
        <v>0.57999999999999996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47" t="s">
        <v>295</v>
      </c>
      <c r="B60" s="64">
        <v>5.18</v>
      </c>
      <c r="C60" s="64">
        <v>67.069999999999993</v>
      </c>
      <c r="D60" s="64">
        <v>37.82</v>
      </c>
      <c r="E60" s="64">
        <v>6.71</v>
      </c>
      <c r="F60" s="64">
        <v>15.15</v>
      </c>
      <c r="G60" s="64">
        <v>63.45</v>
      </c>
      <c r="H60" s="64">
        <v>18.77</v>
      </c>
      <c r="I60" s="64">
        <v>4.08</v>
      </c>
      <c r="J60" s="64">
        <v>0.71</v>
      </c>
      <c r="K60" s="64">
        <v>277.2</v>
      </c>
      <c r="L60" s="64">
        <v>31.8</v>
      </c>
      <c r="M60" s="64">
        <v>30.04</v>
      </c>
      <c r="N60" s="64">
        <v>757.4</v>
      </c>
      <c r="O60" s="64">
        <v>0</v>
      </c>
      <c r="P60" s="64">
        <v>0.56999999999999995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47" t="s">
        <v>296</v>
      </c>
      <c r="B61" s="64">
        <v>4.4800000000000004</v>
      </c>
      <c r="C61" s="64">
        <v>64.42</v>
      </c>
      <c r="D61" s="64">
        <v>35.869999999999997</v>
      </c>
      <c r="E61" s="64">
        <v>6.35</v>
      </c>
      <c r="F61" s="64">
        <v>12.07</v>
      </c>
      <c r="G61" s="64">
        <v>62.35</v>
      </c>
      <c r="H61" s="64">
        <v>23.55</v>
      </c>
      <c r="I61" s="64">
        <v>3.88</v>
      </c>
      <c r="J61" s="64">
        <v>0.83</v>
      </c>
      <c r="K61" s="64">
        <v>250.96</v>
      </c>
      <c r="L61" s="64">
        <v>31.93</v>
      </c>
      <c r="M61" s="64">
        <v>29.88</v>
      </c>
      <c r="N61" s="64">
        <v>750.4</v>
      </c>
      <c r="O61" s="64">
        <v>0</v>
      </c>
      <c r="P61" s="64">
        <v>0.6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47" t="s">
        <v>297</v>
      </c>
      <c r="B62" s="64">
        <v>5.82</v>
      </c>
      <c r="C62" s="64">
        <v>63.04</v>
      </c>
      <c r="D62" s="64">
        <v>36.22</v>
      </c>
      <c r="E62" s="64">
        <v>5.71</v>
      </c>
      <c r="F62" s="64">
        <v>14.47</v>
      </c>
      <c r="G62" s="64">
        <v>60.44</v>
      </c>
      <c r="H62" s="64">
        <v>31.82</v>
      </c>
      <c r="I62" s="64">
        <v>3.97</v>
      </c>
      <c r="J62" s="64">
        <v>0.7</v>
      </c>
      <c r="K62" s="64">
        <v>243.54</v>
      </c>
      <c r="L62" s="64">
        <v>31.59</v>
      </c>
      <c r="M62" s="64">
        <v>29.76</v>
      </c>
      <c r="N62" s="64">
        <v>737.8</v>
      </c>
      <c r="O62" s="64">
        <v>0</v>
      </c>
      <c r="P62" s="64">
        <v>0.61</v>
      </c>
      <c r="Q62" s="64">
        <v>9.41</v>
      </c>
      <c r="R62" s="198"/>
      <c r="S62" s="198"/>
      <c r="T62" s="198"/>
      <c r="U62" s="198"/>
    </row>
    <row r="63" spans="1:21" s="12" customFormat="1" x14ac:dyDescent="0.25">
      <c r="A63" s="247" t="s">
        <v>298</v>
      </c>
      <c r="B63" s="64">
        <v>5.04</v>
      </c>
      <c r="C63" s="64">
        <v>63.49</v>
      </c>
      <c r="D63" s="64">
        <v>35.83</v>
      </c>
      <c r="E63" s="64">
        <v>6.7</v>
      </c>
      <c r="F63" s="64">
        <v>12.77</v>
      </c>
      <c r="G63" s="64">
        <v>60.44</v>
      </c>
      <c r="H63" s="64">
        <v>31.82</v>
      </c>
      <c r="I63" s="64">
        <v>4.07</v>
      </c>
      <c r="J63" s="64">
        <v>0.72</v>
      </c>
      <c r="K63" s="64">
        <v>283.8</v>
      </c>
      <c r="L63" s="64">
        <v>31.47</v>
      </c>
      <c r="M63" s="64">
        <v>29.65</v>
      </c>
      <c r="N63" s="64">
        <v>626</v>
      </c>
      <c r="O63" s="64">
        <v>0</v>
      </c>
      <c r="P63" s="64">
        <v>0.6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47" t="s">
        <v>299</v>
      </c>
      <c r="B64" s="64">
        <v>4.43</v>
      </c>
      <c r="C64" s="64">
        <v>63.27</v>
      </c>
      <c r="D64" s="64">
        <v>35.229999999999997</v>
      </c>
      <c r="E64" s="64">
        <v>6.37</v>
      </c>
      <c r="F64" s="64">
        <v>17.2</v>
      </c>
      <c r="G64" s="64">
        <v>60.44</v>
      </c>
      <c r="H64" s="64">
        <v>31.82</v>
      </c>
      <c r="I64" s="64">
        <v>4.03</v>
      </c>
      <c r="J64" s="64">
        <v>0.7</v>
      </c>
      <c r="K64" s="64">
        <v>260.51</v>
      </c>
      <c r="L64" s="64">
        <v>31.85</v>
      </c>
      <c r="M64" s="64">
        <v>28.59</v>
      </c>
      <c r="N64" s="64">
        <v>645.4</v>
      </c>
      <c r="O64" s="64">
        <v>0</v>
      </c>
      <c r="P64" s="64">
        <v>0.59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47" t="s">
        <v>300</v>
      </c>
      <c r="B65" s="64">
        <v>5.65</v>
      </c>
      <c r="C65" s="64">
        <v>54.45</v>
      </c>
      <c r="D65" s="64">
        <v>31.6</v>
      </c>
      <c r="E65" s="64">
        <v>6.78</v>
      </c>
      <c r="F65" s="64">
        <v>22.46</v>
      </c>
      <c r="G65" s="64">
        <v>57.9</v>
      </c>
      <c r="H65" s="64">
        <v>29.62</v>
      </c>
      <c r="I65" s="64">
        <v>3.93</v>
      </c>
      <c r="J65" s="64">
        <v>0.56000000000000005</v>
      </c>
      <c r="K65" s="64">
        <v>274.79000000000002</v>
      </c>
      <c r="L65" s="64">
        <v>31.96</v>
      </c>
      <c r="M65" s="64">
        <v>28.16</v>
      </c>
      <c r="N65" s="64">
        <v>671.1</v>
      </c>
      <c r="O65" s="64">
        <v>0</v>
      </c>
      <c r="P65" s="64">
        <v>0.56999999999999995</v>
      </c>
      <c r="Q65" s="64">
        <v>9.3000000000000007</v>
      </c>
      <c r="R65" s="198"/>
      <c r="S65" s="198"/>
      <c r="T65" s="198"/>
      <c r="U65" s="198"/>
    </row>
    <row r="66" spans="1:21" s="12" customFormat="1" x14ac:dyDescent="0.25">
      <c r="A66" s="247" t="s">
        <v>301</v>
      </c>
      <c r="B66" s="64">
        <v>4.6399999999999997</v>
      </c>
      <c r="C66" s="64">
        <v>61.74</v>
      </c>
      <c r="D66" s="64">
        <v>34.6</v>
      </c>
      <c r="E66" s="64">
        <v>7.11</v>
      </c>
      <c r="F66" s="64">
        <v>22.22</v>
      </c>
      <c r="G66" s="64">
        <v>53.53</v>
      </c>
      <c r="H66" s="64">
        <v>25.81</v>
      </c>
      <c r="I66" s="64">
        <v>3.93</v>
      </c>
      <c r="J66" s="64">
        <v>0.75</v>
      </c>
      <c r="K66" s="64">
        <v>275</v>
      </c>
      <c r="L66" s="64">
        <v>31.96</v>
      </c>
      <c r="M66" s="64">
        <v>27.09</v>
      </c>
      <c r="N66" s="64">
        <v>443.7</v>
      </c>
      <c r="O66" s="64">
        <v>0</v>
      </c>
      <c r="P66" s="64">
        <v>0.57999999999999996</v>
      </c>
      <c r="Q66" s="64">
        <v>9.26</v>
      </c>
      <c r="R66" s="198"/>
      <c r="S66" s="198"/>
      <c r="T66" s="198"/>
      <c r="U66" s="198"/>
    </row>
    <row r="67" spans="1:21" s="12" customFormat="1" x14ac:dyDescent="0.25">
      <c r="A67" s="247" t="s">
        <v>302</v>
      </c>
      <c r="B67" s="64">
        <v>5.19</v>
      </c>
      <c r="C67" s="64">
        <v>61.16</v>
      </c>
      <c r="D67" s="64">
        <v>34.74</v>
      </c>
      <c r="E67" s="64">
        <v>7.17</v>
      </c>
      <c r="F67" s="64">
        <v>17.48</v>
      </c>
      <c r="G67" s="64">
        <v>53.53</v>
      </c>
      <c r="H67" s="64">
        <v>25.81</v>
      </c>
      <c r="I67" s="64">
        <v>4</v>
      </c>
      <c r="J67" s="64">
        <v>0.87</v>
      </c>
      <c r="K67" s="64">
        <v>297.64999999999998</v>
      </c>
      <c r="L67" s="64">
        <v>32.18</v>
      </c>
      <c r="M67" s="64">
        <v>26.12</v>
      </c>
      <c r="N67" s="64">
        <v>506</v>
      </c>
      <c r="O67" s="64">
        <v>0</v>
      </c>
      <c r="P67" s="64">
        <v>0.56000000000000005</v>
      </c>
      <c r="Q67" s="64">
        <v>9.26</v>
      </c>
      <c r="R67" s="198"/>
      <c r="S67" s="198"/>
      <c r="T67" s="198"/>
      <c r="U67" s="198"/>
    </row>
    <row r="68" spans="1:21" s="12" customFormat="1" x14ac:dyDescent="0.25">
      <c r="A68" s="247" t="s">
        <v>303</v>
      </c>
      <c r="B68" s="64">
        <v>5.7</v>
      </c>
      <c r="C68" s="64">
        <v>62.04</v>
      </c>
      <c r="D68" s="64">
        <v>35.61</v>
      </c>
      <c r="E68" s="64">
        <v>7.03</v>
      </c>
      <c r="F68" s="64">
        <v>19.11</v>
      </c>
      <c r="G68" s="64">
        <v>53.53</v>
      </c>
      <c r="H68" s="64">
        <v>25.81</v>
      </c>
      <c r="I68" s="64">
        <v>3.99</v>
      </c>
      <c r="J68" s="64">
        <v>1.65</v>
      </c>
      <c r="K68" s="64">
        <v>313.95999999999998</v>
      </c>
      <c r="L68" s="64">
        <v>32.94</v>
      </c>
      <c r="M68" s="64">
        <v>26.07</v>
      </c>
      <c r="N68" s="64">
        <v>456.6</v>
      </c>
      <c r="O68" s="64">
        <v>0</v>
      </c>
      <c r="P68" s="64">
        <v>0.56999999999999995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47" t="s">
        <v>304</v>
      </c>
      <c r="B69" s="64">
        <v>6.09</v>
      </c>
      <c r="C69" s="64">
        <v>60.98</v>
      </c>
      <c r="D69" s="64">
        <v>35.36</v>
      </c>
      <c r="E69" s="64">
        <v>6.97</v>
      </c>
      <c r="F69" s="64">
        <v>19.68</v>
      </c>
      <c r="G69" s="64">
        <v>55.11</v>
      </c>
      <c r="H69" s="64">
        <v>23.15</v>
      </c>
      <c r="I69" s="64">
        <v>3.84</v>
      </c>
      <c r="J69" s="64">
        <v>1.04</v>
      </c>
      <c r="K69" s="64">
        <v>302.98</v>
      </c>
      <c r="L69" s="64">
        <v>32.99</v>
      </c>
      <c r="M69" s="64">
        <v>24.62</v>
      </c>
      <c r="N69" s="64">
        <v>320.8</v>
      </c>
      <c r="O69" s="64">
        <v>0</v>
      </c>
      <c r="P69" s="64">
        <v>0.55000000000000004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47" t="s">
        <v>305</v>
      </c>
      <c r="B70" s="64">
        <v>7.65</v>
      </c>
      <c r="C70" s="64">
        <v>60.79</v>
      </c>
      <c r="D70" s="64">
        <v>36.520000000000003</v>
      </c>
      <c r="E70" s="64">
        <v>7.64</v>
      </c>
      <c r="F70" s="64">
        <v>22.63</v>
      </c>
      <c r="G70" s="64">
        <v>57.83</v>
      </c>
      <c r="H70" s="64">
        <v>18.54</v>
      </c>
      <c r="I70" s="64">
        <v>4.04</v>
      </c>
      <c r="J70" s="64">
        <v>1.1200000000000001</v>
      </c>
      <c r="K70" s="64">
        <v>298.25</v>
      </c>
      <c r="L70" s="64">
        <v>32.299999999999997</v>
      </c>
      <c r="M70" s="64">
        <v>24.8</v>
      </c>
      <c r="N70" s="64">
        <v>301</v>
      </c>
      <c r="O70" s="64">
        <v>0</v>
      </c>
      <c r="P70" s="64">
        <v>0.55000000000000004</v>
      </c>
      <c r="Q70" s="64">
        <v>9.25</v>
      </c>
      <c r="R70" s="198"/>
      <c r="S70" s="198"/>
      <c r="T70" s="198"/>
      <c r="U70" s="198"/>
    </row>
    <row r="71" spans="1:21" s="12" customFormat="1" x14ac:dyDescent="0.25">
      <c r="A71" s="247" t="s">
        <v>306</v>
      </c>
      <c r="B71" s="64">
        <v>6.36</v>
      </c>
      <c r="C71" s="64">
        <v>58.92</v>
      </c>
      <c r="D71" s="64">
        <v>34.51</v>
      </c>
      <c r="E71" s="64">
        <v>7.12</v>
      </c>
      <c r="F71" s="64">
        <v>24.24</v>
      </c>
      <c r="G71" s="64">
        <v>57.83</v>
      </c>
      <c r="H71" s="64">
        <v>18.54</v>
      </c>
      <c r="I71" s="64">
        <v>4.05</v>
      </c>
      <c r="J71" s="64">
        <v>0.7</v>
      </c>
      <c r="K71" s="64">
        <v>274.45999999999998</v>
      </c>
      <c r="L71" s="64">
        <v>31</v>
      </c>
      <c r="M71" s="64">
        <v>25.05</v>
      </c>
      <c r="N71" s="64">
        <v>239.7</v>
      </c>
      <c r="O71" s="64">
        <v>0</v>
      </c>
      <c r="P71" s="64">
        <v>0.54</v>
      </c>
      <c r="Q71" s="64">
        <v>9.24</v>
      </c>
      <c r="R71" s="198"/>
      <c r="S71" s="198"/>
      <c r="T71" s="198"/>
      <c r="U71" s="198"/>
    </row>
    <row r="72" spans="1:21" s="12" customFormat="1" x14ac:dyDescent="0.25">
      <c r="A72" s="247" t="s">
        <v>307</v>
      </c>
      <c r="B72" s="64">
        <v>5.57</v>
      </c>
      <c r="C72" s="64">
        <v>58.87</v>
      </c>
      <c r="D72" s="64">
        <v>33.85</v>
      </c>
      <c r="E72" s="64">
        <v>5.61</v>
      </c>
      <c r="F72" s="64">
        <v>23.66</v>
      </c>
      <c r="G72" s="64">
        <v>57.83</v>
      </c>
      <c r="H72" s="64">
        <v>18.54</v>
      </c>
      <c r="I72" s="64">
        <v>4.1399999999999997</v>
      </c>
      <c r="J72" s="64">
        <v>0.91</v>
      </c>
      <c r="K72" s="64">
        <v>300.33999999999997</v>
      </c>
      <c r="L72" s="64">
        <v>31.26</v>
      </c>
      <c r="M72" s="64">
        <v>24.24</v>
      </c>
      <c r="N72" s="64">
        <v>192.5</v>
      </c>
      <c r="O72" s="64">
        <v>0</v>
      </c>
      <c r="P72" s="64">
        <v>0.52</v>
      </c>
      <c r="Q72" s="64">
        <v>9.23</v>
      </c>
      <c r="R72" s="198"/>
      <c r="S72" s="198"/>
      <c r="T72" s="198"/>
      <c r="U72" s="198"/>
    </row>
    <row r="73" spans="1:21" s="12" customFormat="1" x14ac:dyDescent="0.25">
      <c r="A73" s="247" t="s">
        <v>308</v>
      </c>
      <c r="B73" s="64">
        <v>4.93</v>
      </c>
      <c r="C73" s="64">
        <v>57.73</v>
      </c>
      <c r="D73" s="64">
        <v>32.74</v>
      </c>
      <c r="E73" s="64">
        <v>6.77</v>
      </c>
      <c r="F73" s="64">
        <v>21.32</v>
      </c>
      <c r="G73" s="64">
        <v>52</v>
      </c>
      <c r="H73" s="64">
        <v>15.93</v>
      </c>
      <c r="I73" s="64">
        <v>4.09</v>
      </c>
      <c r="J73" s="64">
        <v>0.65</v>
      </c>
      <c r="K73" s="64">
        <v>253.99</v>
      </c>
      <c r="L73" s="64">
        <v>30.27</v>
      </c>
      <c r="M73" s="64">
        <v>24.76</v>
      </c>
      <c r="N73" s="64">
        <v>181.5</v>
      </c>
      <c r="O73" s="64">
        <v>0</v>
      </c>
      <c r="P73" s="64">
        <v>0.52</v>
      </c>
      <c r="Q73" s="64">
        <v>9.2100000000000009</v>
      </c>
      <c r="R73" s="198"/>
      <c r="S73" s="198"/>
      <c r="T73" s="198"/>
      <c r="U73" s="198"/>
    </row>
    <row r="74" spans="1:21" s="12" customFormat="1" x14ac:dyDescent="0.25">
      <c r="A74" s="247" t="s">
        <v>309</v>
      </c>
      <c r="B74" s="64">
        <v>4.95</v>
      </c>
      <c r="C74" s="64">
        <v>57.26</v>
      </c>
      <c r="D74" s="64">
        <v>32.51</v>
      </c>
      <c r="E74" s="64">
        <v>7.24</v>
      </c>
      <c r="F74" s="64">
        <v>25.31</v>
      </c>
      <c r="G74" s="64">
        <v>41.93</v>
      </c>
      <c r="H74" s="64">
        <v>11.63</v>
      </c>
      <c r="I74" s="64">
        <v>4.07</v>
      </c>
      <c r="J74" s="64">
        <v>0.65</v>
      </c>
      <c r="K74" s="64">
        <v>246.5</v>
      </c>
      <c r="L74" s="64">
        <v>29.91</v>
      </c>
      <c r="M74" s="64">
        <v>23.95</v>
      </c>
      <c r="N74" s="64">
        <v>149.4</v>
      </c>
      <c r="O74" s="64">
        <v>0</v>
      </c>
      <c r="P74" s="64">
        <v>0.5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47" t="s">
        <v>310</v>
      </c>
      <c r="B75" s="64">
        <v>5.91</v>
      </c>
      <c r="C75" s="64">
        <v>59.79</v>
      </c>
      <c r="D75" s="64">
        <v>34.6</v>
      </c>
      <c r="E75" s="64">
        <v>7.12</v>
      </c>
      <c r="F75" s="64">
        <v>20.11</v>
      </c>
      <c r="G75" s="64">
        <v>41.93</v>
      </c>
      <c r="H75" s="64">
        <v>11.63</v>
      </c>
      <c r="I75" s="64">
        <v>3.99</v>
      </c>
      <c r="J75" s="64">
        <v>0.76</v>
      </c>
      <c r="K75" s="64">
        <v>289.36</v>
      </c>
      <c r="L75" s="64">
        <v>29.57</v>
      </c>
      <c r="M75" s="64">
        <v>24.15</v>
      </c>
      <c r="N75" s="64">
        <v>133.6</v>
      </c>
      <c r="O75" s="64">
        <v>0</v>
      </c>
      <c r="P75" s="64">
        <v>0.54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47" t="s">
        <v>311</v>
      </c>
      <c r="B76" s="64">
        <v>6.73</v>
      </c>
      <c r="C76" s="64">
        <v>68.959999999999994</v>
      </c>
      <c r="D76" s="64">
        <v>40.049999999999997</v>
      </c>
      <c r="E76" s="64">
        <v>9.77</v>
      </c>
      <c r="F76" s="64">
        <v>27.32</v>
      </c>
      <c r="G76" s="64">
        <v>41.93</v>
      </c>
      <c r="H76" s="64">
        <v>11.63</v>
      </c>
      <c r="I76" s="64">
        <v>4.0199999999999996</v>
      </c>
      <c r="J76" s="64">
        <v>0.45</v>
      </c>
      <c r="K76" s="64">
        <v>282.56</v>
      </c>
      <c r="L76" s="64">
        <v>29.37</v>
      </c>
      <c r="M76" s="64">
        <v>23.64</v>
      </c>
      <c r="N76" s="64">
        <v>125.6</v>
      </c>
      <c r="O76" s="64">
        <v>0</v>
      </c>
      <c r="P76" s="64">
        <v>0.63</v>
      </c>
      <c r="Q76" s="64">
        <v>9.14</v>
      </c>
      <c r="R76" s="198"/>
      <c r="S76" s="198"/>
      <c r="T76" s="198"/>
      <c r="U76" s="198"/>
    </row>
    <row r="77" spans="1:21" s="12" customFormat="1" x14ac:dyDescent="0.25">
      <c r="A77" s="247" t="s">
        <v>312</v>
      </c>
      <c r="B77" s="64">
        <v>6.35</v>
      </c>
      <c r="C77" s="64">
        <v>72.63</v>
      </c>
      <c r="D77" s="64">
        <v>41.67</v>
      </c>
      <c r="E77" s="64">
        <v>9.39</v>
      </c>
      <c r="F77" s="64">
        <v>27.02</v>
      </c>
      <c r="G77" s="64">
        <v>45.94</v>
      </c>
      <c r="H77" s="64">
        <v>8.1199999999999992</v>
      </c>
      <c r="I77" s="64">
        <v>4.0999999999999996</v>
      </c>
      <c r="J77" s="64">
        <v>0.39</v>
      </c>
      <c r="K77" s="64">
        <v>256.86</v>
      </c>
      <c r="L77" s="64">
        <v>29.05</v>
      </c>
      <c r="M77" s="64">
        <v>24.77</v>
      </c>
      <c r="N77" s="64">
        <v>111.8</v>
      </c>
      <c r="O77" s="64">
        <v>0</v>
      </c>
      <c r="P77" s="64">
        <v>0.69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47" t="s">
        <v>313</v>
      </c>
      <c r="B78" s="64">
        <v>9.48</v>
      </c>
      <c r="C78" s="64">
        <v>80.37</v>
      </c>
      <c r="D78" s="64">
        <v>48.22</v>
      </c>
      <c r="E78" s="64">
        <v>8.61</v>
      </c>
      <c r="F78" s="64">
        <v>26.64</v>
      </c>
      <c r="G78" s="64">
        <v>52.54</v>
      </c>
      <c r="H78" s="64">
        <v>2.33</v>
      </c>
      <c r="I78" s="64">
        <v>4.07</v>
      </c>
      <c r="J78" s="64">
        <v>0.32</v>
      </c>
      <c r="K78" s="64">
        <v>286.64999999999998</v>
      </c>
      <c r="L78" s="64">
        <v>28.46</v>
      </c>
      <c r="M78" s="64">
        <v>25.4</v>
      </c>
      <c r="N78" s="64">
        <v>99.5</v>
      </c>
      <c r="O78" s="64">
        <v>0</v>
      </c>
      <c r="P78" s="64">
        <v>0.66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47" t="s">
        <v>314</v>
      </c>
      <c r="B79" s="64">
        <v>10.039999999999999</v>
      </c>
      <c r="C79" s="64">
        <v>89.31</v>
      </c>
      <c r="D79" s="64">
        <v>53.33</v>
      </c>
      <c r="E79" s="64">
        <v>10.81</v>
      </c>
      <c r="F79" s="64">
        <v>29.44</v>
      </c>
      <c r="G79" s="64">
        <v>52.54</v>
      </c>
      <c r="H79" s="64">
        <v>2.33</v>
      </c>
      <c r="I79" s="64">
        <v>3.9</v>
      </c>
      <c r="J79" s="64">
        <v>0.18</v>
      </c>
      <c r="K79" s="64">
        <v>315.64999999999998</v>
      </c>
      <c r="L79" s="64">
        <v>27.98</v>
      </c>
      <c r="M79" s="64">
        <v>25.43</v>
      </c>
      <c r="N79" s="64">
        <v>85.9</v>
      </c>
      <c r="O79" s="64">
        <v>0</v>
      </c>
      <c r="P79" s="64">
        <v>0.74</v>
      </c>
      <c r="Q79" s="64">
        <v>9.16</v>
      </c>
      <c r="R79" s="198"/>
      <c r="S79" s="198"/>
      <c r="T79" s="198"/>
      <c r="U79" s="198"/>
    </row>
    <row r="80" spans="1:21" s="12" customFormat="1" x14ac:dyDescent="0.25">
      <c r="A80" s="247" t="s">
        <v>315</v>
      </c>
      <c r="B80" s="64">
        <v>10.29</v>
      </c>
      <c r="C80" s="64">
        <v>91.81</v>
      </c>
      <c r="D80" s="64">
        <v>54.84</v>
      </c>
      <c r="E80" s="64">
        <v>9.73</v>
      </c>
      <c r="F80" s="64">
        <v>25.67</v>
      </c>
      <c r="G80" s="64">
        <v>52.54</v>
      </c>
      <c r="H80" s="64">
        <v>2.33</v>
      </c>
      <c r="I80" s="64">
        <v>4.01</v>
      </c>
      <c r="J80" s="64">
        <v>0.64</v>
      </c>
      <c r="K80" s="64">
        <v>294</v>
      </c>
      <c r="L80" s="64">
        <v>27.41</v>
      </c>
      <c r="M80" s="64">
        <v>26.05</v>
      </c>
      <c r="N80" s="64">
        <v>75</v>
      </c>
      <c r="O80" s="64">
        <v>0</v>
      </c>
      <c r="P80" s="64">
        <v>0.89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47" t="s">
        <v>316</v>
      </c>
      <c r="B81" s="64">
        <v>51.84</v>
      </c>
      <c r="C81" s="64">
        <v>140.22999999999999</v>
      </c>
      <c r="D81" s="64">
        <v>113.46</v>
      </c>
      <c r="E81" s="64">
        <v>11.03</v>
      </c>
      <c r="F81" s="64">
        <v>15.07</v>
      </c>
      <c r="G81" s="64">
        <v>52.99</v>
      </c>
      <c r="H81" s="64">
        <v>14.7</v>
      </c>
      <c r="I81" s="64">
        <v>4.04</v>
      </c>
      <c r="J81" s="64">
        <v>0.44</v>
      </c>
      <c r="K81" s="64">
        <v>297.43</v>
      </c>
      <c r="L81" s="64">
        <v>26.31</v>
      </c>
      <c r="M81" s="64">
        <v>28.15</v>
      </c>
      <c r="N81" s="64">
        <v>69.599999999999994</v>
      </c>
      <c r="O81" s="64">
        <v>0</v>
      </c>
      <c r="P81" s="64">
        <v>1.23</v>
      </c>
      <c r="Q81" s="64">
        <v>9.19</v>
      </c>
      <c r="R81" s="198"/>
      <c r="S81" s="198"/>
      <c r="T81" s="198"/>
      <c r="U81" s="198"/>
    </row>
    <row r="82" spans="1:26" s="12" customFormat="1" x14ac:dyDescent="0.25">
      <c r="A82" s="247" t="s">
        <v>317</v>
      </c>
      <c r="B82" s="64">
        <v>15.76</v>
      </c>
      <c r="C82" s="64">
        <v>133.04</v>
      </c>
      <c r="D82" s="64">
        <v>80.77</v>
      </c>
      <c r="E82" s="64">
        <v>10.38</v>
      </c>
      <c r="F82" s="64">
        <v>17.73</v>
      </c>
      <c r="G82" s="64">
        <v>53.74</v>
      </c>
      <c r="H82" s="64">
        <v>36.08</v>
      </c>
      <c r="I82" s="64">
        <v>4.09</v>
      </c>
      <c r="J82" s="64">
        <v>0.14000000000000001</v>
      </c>
      <c r="K82" s="64">
        <v>183.23</v>
      </c>
      <c r="L82" s="64">
        <v>25.43</v>
      </c>
      <c r="M82" s="64">
        <v>30.5</v>
      </c>
      <c r="N82" s="64">
        <v>68.3</v>
      </c>
      <c r="O82" s="64">
        <v>0</v>
      </c>
      <c r="P82" s="64">
        <v>1.23</v>
      </c>
      <c r="Q82" s="64">
        <v>9.27</v>
      </c>
      <c r="R82" s="198"/>
      <c r="S82" s="198"/>
      <c r="T82" s="198"/>
      <c r="U82" s="198"/>
    </row>
    <row r="83" spans="1:26" s="12" customFormat="1" x14ac:dyDescent="0.25">
      <c r="A83" s="247" t="s">
        <v>318</v>
      </c>
      <c r="B83" s="64">
        <v>26.88</v>
      </c>
      <c r="C83" s="64">
        <v>134.08000000000001</v>
      </c>
      <c r="D83" s="64">
        <v>90.23</v>
      </c>
      <c r="E83" s="64">
        <v>10.66</v>
      </c>
      <c r="F83" s="64">
        <v>18.37</v>
      </c>
      <c r="G83" s="64">
        <v>53.74</v>
      </c>
      <c r="H83" s="64">
        <v>36.08</v>
      </c>
      <c r="I83" s="64">
        <v>4.2699999999999996</v>
      </c>
      <c r="J83" s="64">
        <v>0.49</v>
      </c>
      <c r="K83" s="64">
        <v>287.39</v>
      </c>
      <c r="L83" s="64">
        <v>24.9</v>
      </c>
      <c r="M83" s="64">
        <v>31.52</v>
      </c>
      <c r="N83" s="64">
        <v>68</v>
      </c>
      <c r="O83" s="64">
        <v>0</v>
      </c>
      <c r="P83" s="64">
        <v>1.51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47" t="s">
        <v>319</v>
      </c>
      <c r="B84" s="64">
        <v>32.26</v>
      </c>
      <c r="C84" s="64">
        <v>142.41</v>
      </c>
      <c r="D84" s="64">
        <v>98.9</v>
      </c>
      <c r="E84" s="64">
        <v>10.87</v>
      </c>
      <c r="F84" s="64">
        <v>14.35</v>
      </c>
      <c r="G84" s="64">
        <v>53.74</v>
      </c>
      <c r="H84" s="64">
        <v>36.08</v>
      </c>
      <c r="I84" s="64">
        <v>3.94</v>
      </c>
      <c r="J84" s="64">
        <v>0.39</v>
      </c>
      <c r="K84" s="64">
        <v>261.47000000000003</v>
      </c>
      <c r="L84" s="64">
        <v>24.81</v>
      </c>
      <c r="M84" s="64">
        <v>32.07</v>
      </c>
      <c r="N84" s="64">
        <v>67.5</v>
      </c>
      <c r="O84" s="64">
        <v>0</v>
      </c>
      <c r="P84" s="64">
        <v>1.55</v>
      </c>
      <c r="Q84" s="64">
        <v>9.41</v>
      </c>
      <c r="R84" s="198"/>
      <c r="S84" s="198"/>
      <c r="T84" s="198"/>
      <c r="U84" s="198"/>
    </row>
    <row r="85" spans="1:26" s="12" customFormat="1" x14ac:dyDescent="0.25">
      <c r="A85" s="247" t="s">
        <v>320</v>
      </c>
      <c r="B85" s="64">
        <v>30.93</v>
      </c>
      <c r="C85" s="64">
        <v>140.94999999999999</v>
      </c>
      <c r="D85" s="64">
        <v>97.07</v>
      </c>
      <c r="E85" s="64">
        <v>11.01</v>
      </c>
      <c r="F85" s="64">
        <v>14.66</v>
      </c>
      <c r="G85" s="64">
        <v>68.36</v>
      </c>
      <c r="H85" s="64">
        <v>35.47</v>
      </c>
      <c r="I85" s="64">
        <v>3.99</v>
      </c>
      <c r="J85" s="64">
        <v>0.52</v>
      </c>
      <c r="K85" s="64">
        <v>282.04000000000002</v>
      </c>
      <c r="L85" s="64">
        <v>24.76</v>
      </c>
      <c r="M85" s="64">
        <v>30.52</v>
      </c>
      <c r="N85" s="64">
        <v>67.599999999999994</v>
      </c>
      <c r="O85" s="64">
        <v>0</v>
      </c>
      <c r="P85" s="64">
        <v>1.42</v>
      </c>
      <c r="Q85" s="64">
        <v>9.4</v>
      </c>
      <c r="R85" s="198"/>
      <c r="S85" s="198"/>
      <c r="T85" s="198"/>
      <c r="U85" s="198"/>
    </row>
    <row r="86" spans="1:26" s="12" customFormat="1" x14ac:dyDescent="0.25">
      <c r="A86" s="247" t="s">
        <v>321</v>
      </c>
      <c r="B86" s="64">
        <v>73.23</v>
      </c>
      <c r="C86" s="64">
        <v>142.88999999999999</v>
      </c>
      <c r="D86" s="64">
        <v>132</v>
      </c>
      <c r="E86" s="64">
        <v>10.43</v>
      </c>
      <c r="F86" s="64">
        <v>13.1</v>
      </c>
      <c r="G86" s="64">
        <v>92.43</v>
      </c>
      <c r="H86" s="64">
        <v>34.46</v>
      </c>
      <c r="I86" s="64">
        <v>3.89</v>
      </c>
      <c r="J86" s="64">
        <v>0.35</v>
      </c>
      <c r="K86" s="64">
        <v>334.18</v>
      </c>
      <c r="L86" s="64">
        <v>24.25</v>
      </c>
      <c r="M86" s="64">
        <v>32.94</v>
      </c>
      <c r="N86" s="64">
        <v>67.8</v>
      </c>
      <c r="O86" s="64">
        <v>0</v>
      </c>
      <c r="P86" s="64">
        <v>1.81</v>
      </c>
      <c r="Q86" s="64">
        <v>9.39</v>
      </c>
      <c r="R86" s="198"/>
      <c r="S86" s="198"/>
      <c r="T86" s="198"/>
      <c r="U86" s="198"/>
    </row>
    <row r="87" spans="1:26" s="12" customFormat="1" x14ac:dyDescent="0.25">
      <c r="A87" s="247" t="s">
        <v>322</v>
      </c>
      <c r="B87" s="64">
        <v>70.39</v>
      </c>
      <c r="C87" s="64">
        <v>140.69999999999999</v>
      </c>
      <c r="D87" s="64">
        <v>128.58000000000001</v>
      </c>
      <c r="E87" s="64">
        <v>10.36</v>
      </c>
      <c r="F87" s="64">
        <v>11.75</v>
      </c>
      <c r="G87" s="64">
        <v>92.43</v>
      </c>
      <c r="H87" s="64">
        <v>34.46</v>
      </c>
      <c r="I87" s="64">
        <v>4.12</v>
      </c>
      <c r="J87" s="64">
        <v>0.54</v>
      </c>
      <c r="K87" s="64">
        <v>340.71</v>
      </c>
      <c r="L87" s="64">
        <v>23.84</v>
      </c>
      <c r="M87" s="64">
        <v>34.25</v>
      </c>
      <c r="N87" s="64">
        <v>67.8</v>
      </c>
      <c r="O87" s="64">
        <v>0</v>
      </c>
      <c r="P87" s="64">
        <v>1.79</v>
      </c>
      <c r="Q87" s="64">
        <v>9.39</v>
      </c>
      <c r="R87" s="198"/>
      <c r="S87" s="198"/>
      <c r="T87" s="198"/>
      <c r="U87" s="198"/>
    </row>
    <row r="88" spans="1:26" s="12" customFormat="1" x14ac:dyDescent="0.25">
      <c r="A88" s="247" t="s">
        <v>323</v>
      </c>
      <c r="B88" s="64">
        <v>26.78</v>
      </c>
      <c r="C88" s="64">
        <v>123.94</v>
      </c>
      <c r="D88" s="64">
        <v>84.86</v>
      </c>
      <c r="E88" s="64">
        <v>9.6</v>
      </c>
      <c r="F88" s="64">
        <v>15.97</v>
      </c>
      <c r="G88" s="64">
        <v>92.43</v>
      </c>
      <c r="H88" s="64">
        <v>34.46</v>
      </c>
      <c r="I88" s="64">
        <v>3.95</v>
      </c>
      <c r="J88" s="64">
        <v>0.35</v>
      </c>
      <c r="K88" s="64">
        <v>318.83999999999997</v>
      </c>
      <c r="L88" s="64">
        <v>23.79</v>
      </c>
      <c r="M88" s="64">
        <v>34.200000000000003</v>
      </c>
      <c r="N88" s="64">
        <v>67.8</v>
      </c>
      <c r="O88" s="64">
        <v>0</v>
      </c>
      <c r="P88" s="64">
        <v>1.49</v>
      </c>
      <c r="Q88" s="64">
        <v>9.4</v>
      </c>
      <c r="R88" s="198"/>
      <c r="S88" s="198"/>
      <c r="T88" s="198"/>
      <c r="U88" s="198"/>
    </row>
    <row r="89" spans="1:26" s="12" customFormat="1" x14ac:dyDescent="0.25">
      <c r="A89" s="247" t="s">
        <v>324</v>
      </c>
      <c r="B89" s="64">
        <v>33.659999999999997</v>
      </c>
      <c r="C89" s="64">
        <v>127.72</v>
      </c>
      <c r="D89" s="64">
        <v>92.34</v>
      </c>
      <c r="E89" s="64">
        <v>9.3699999999999992</v>
      </c>
      <c r="F89" s="64">
        <v>13.73</v>
      </c>
      <c r="G89" s="64">
        <v>94.23</v>
      </c>
      <c r="H89" s="64">
        <v>28.14</v>
      </c>
      <c r="I89" s="64">
        <v>3.84</v>
      </c>
      <c r="J89" s="64">
        <v>0.43</v>
      </c>
      <c r="K89" s="64">
        <v>271.18</v>
      </c>
      <c r="L89" s="64">
        <v>23.87</v>
      </c>
      <c r="M89" s="64">
        <v>34.26</v>
      </c>
      <c r="N89" s="64">
        <v>67.099999999999994</v>
      </c>
      <c r="O89" s="64">
        <v>0</v>
      </c>
      <c r="P89" s="64">
        <v>1.55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47" t="s">
        <v>325</v>
      </c>
      <c r="B90" s="64">
        <v>45.3</v>
      </c>
      <c r="C90" s="64">
        <v>116.16</v>
      </c>
      <c r="D90" s="64">
        <v>95.64</v>
      </c>
      <c r="E90" s="64">
        <v>7.74</v>
      </c>
      <c r="F90" s="64">
        <v>11.41</v>
      </c>
      <c r="G90" s="64">
        <v>97.33</v>
      </c>
      <c r="H90" s="64">
        <v>17.23</v>
      </c>
      <c r="I90" s="64">
        <v>4.03</v>
      </c>
      <c r="J90" s="64">
        <v>0.65</v>
      </c>
      <c r="K90" s="64">
        <v>290.49</v>
      </c>
      <c r="L90" s="64">
        <v>23.71</v>
      </c>
      <c r="M90" s="64">
        <v>35.6</v>
      </c>
      <c r="N90" s="64">
        <v>67.5</v>
      </c>
      <c r="O90" s="64">
        <v>0</v>
      </c>
      <c r="P90" s="64">
        <v>1.34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47" t="s">
        <v>326</v>
      </c>
      <c r="B91" s="64">
        <v>41.46</v>
      </c>
      <c r="C91" s="64">
        <v>104.77</v>
      </c>
      <c r="D91" s="64">
        <v>86.62</v>
      </c>
      <c r="E91" s="64">
        <v>8</v>
      </c>
      <c r="F91" s="64">
        <v>13.03</v>
      </c>
      <c r="G91" s="64">
        <v>97.33</v>
      </c>
      <c r="H91" s="64">
        <v>17.23</v>
      </c>
      <c r="I91" s="64">
        <v>3.93</v>
      </c>
      <c r="J91" s="64">
        <v>0.61</v>
      </c>
      <c r="K91" s="64">
        <v>335.73</v>
      </c>
      <c r="L91" s="64">
        <v>23.34</v>
      </c>
      <c r="M91" s="64">
        <v>37.880000000000003</v>
      </c>
      <c r="N91" s="64">
        <v>67.900000000000006</v>
      </c>
      <c r="O91" s="64">
        <v>0</v>
      </c>
      <c r="P91" s="64">
        <v>1.42</v>
      </c>
      <c r="Q91" s="64">
        <v>9.41</v>
      </c>
      <c r="R91" s="198"/>
      <c r="S91" s="198"/>
      <c r="T91" s="198"/>
      <c r="U91" s="198"/>
    </row>
    <row r="92" spans="1:26" s="12" customFormat="1" x14ac:dyDescent="0.25">
      <c r="A92" s="247" t="s">
        <v>327</v>
      </c>
      <c r="B92" s="64">
        <v>42.5</v>
      </c>
      <c r="C92" s="64">
        <v>105.25</v>
      </c>
      <c r="D92" s="64">
        <v>87.69</v>
      </c>
      <c r="E92" s="64">
        <v>7.22</v>
      </c>
      <c r="F92" s="64">
        <v>10.9</v>
      </c>
      <c r="G92" s="64">
        <v>97.33</v>
      </c>
      <c r="H92" s="64">
        <v>17.23</v>
      </c>
      <c r="I92" s="64">
        <v>4.0199999999999996</v>
      </c>
      <c r="J92" s="64">
        <v>0.69</v>
      </c>
      <c r="K92" s="64">
        <v>328.27</v>
      </c>
      <c r="L92" s="64">
        <v>22.9</v>
      </c>
      <c r="M92" s="64">
        <v>40.6</v>
      </c>
      <c r="N92" s="64">
        <v>67.8</v>
      </c>
      <c r="O92" s="64">
        <v>0</v>
      </c>
      <c r="P92" s="64">
        <v>1.44</v>
      </c>
      <c r="Q92" s="64">
        <v>9.42</v>
      </c>
      <c r="R92" s="198"/>
      <c r="S92" s="198"/>
      <c r="T92" s="198"/>
      <c r="U92" s="198"/>
    </row>
    <row r="93" spans="1:26" s="12" customFormat="1" x14ac:dyDescent="0.25">
      <c r="A93" s="247" t="s">
        <v>328</v>
      </c>
      <c r="B93" s="64">
        <v>37.19</v>
      </c>
      <c r="C93" s="64">
        <v>98.25</v>
      </c>
      <c r="D93" s="64">
        <v>79.78</v>
      </c>
      <c r="E93" s="64">
        <v>6.69</v>
      </c>
      <c r="F93" s="64">
        <v>14.09</v>
      </c>
      <c r="G93" s="64">
        <v>93.4</v>
      </c>
      <c r="H93" s="64">
        <v>23.54</v>
      </c>
      <c r="I93" s="64">
        <v>3.95</v>
      </c>
      <c r="J93" s="64">
        <v>0.69</v>
      </c>
      <c r="K93" s="64">
        <v>307.85000000000002</v>
      </c>
      <c r="L93" s="64">
        <v>22.56</v>
      </c>
      <c r="M93" s="64">
        <v>40.21</v>
      </c>
      <c r="N93" s="64">
        <v>67.599999999999994</v>
      </c>
      <c r="O93" s="64">
        <v>0</v>
      </c>
      <c r="P93" s="64">
        <v>1.23</v>
      </c>
      <c r="Q93" s="64">
        <v>9.44</v>
      </c>
      <c r="R93" s="198"/>
      <c r="S93" s="198"/>
      <c r="T93" s="198"/>
      <c r="U93" s="198"/>
    </row>
    <row r="94" spans="1:26" s="12" customFormat="1" x14ac:dyDescent="0.25">
      <c r="A94" s="247" t="s">
        <v>329</v>
      </c>
      <c r="B94" s="64">
        <v>36.4</v>
      </c>
      <c r="C94" s="64">
        <v>103.2</v>
      </c>
      <c r="D94" s="64">
        <v>81.73</v>
      </c>
      <c r="E94" s="64">
        <v>6.52</v>
      </c>
      <c r="F94" s="64">
        <v>11.46</v>
      </c>
      <c r="G94" s="64">
        <v>86.62</v>
      </c>
      <c r="H94" s="64">
        <v>34.44</v>
      </c>
      <c r="I94" s="64">
        <v>4.05</v>
      </c>
      <c r="J94" s="64">
        <v>0.41</v>
      </c>
      <c r="K94" s="64">
        <v>273.48</v>
      </c>
      <c r="L94" s="64">
        <v>22.47</v>
      </c>
      <c r="M94" s="64">
        <v>40.68</v>
      </c>
      <c r="N94" s="64">
        <v>68</v>
      </c>
      <c r="O94" s="64">
        <v>0</v>
      </c>
      <c r="P94" s="64">
        <v>1.37</v>
      </c>
      <c r="Q94" s="64">
        <v>9.4499999999999993</v>
      </c>
      <c r="R94" s="198"/>
      <c r="S94" s="198"/>
      <c r="T94" s="198"/>
      <c r="U94" s="198"/>
    </row>
    <row r="95" spans="1:26" s="12" customFormat="1" x14ac:dyDescent="0.25">
      <c r="A95" s="247" t="s">
        <v>330</v>
      </c>
      <c r="B95" s="64">
        <v>41.1</v>
      </c>
      <c r="C95" s="64">
        <v>107.66</v>
      </c>
      <c r="D95" s="64">
        <v>87.83</v>
      </c>
      <c r="E95" s="64">
        <v>7.48</v>
      </c>
      <c r="F95" s="64">
        <v>10.44</v>
      </c>
      <c r="G95" s="64">
        <v>86.62</v>
      </c>
      <c r="H95" s="64">
        <v>34.44</v>
      </c>
      <c r="I95" s="64">
        <v>3.95</v>
      </c>
      <c r="J95" s="64">
        <v>0.21</v>
      </c>
      <c r="K95" s="64">
        <v>260.8</v>
      </c>
      <c r="L95" s="64">
        <v>22.4</v>
      </c>
      <c r="M95" s="64">
        <v>42.34</v>
      </c>
      <c r="N95" s="64">
        <v>68.2</v>
      </c>
      <c r="O95" s="64">
        <v>0</v>
      </c>
      <c r="P95" s="64">
        <v>1.61</v>
      </c>
      <c r="Q95" s="64">
        <v>9.44</v>
      </c>
      <c r="R95" s="198"/>
      <c r="S95" s="198"/>
      <c r="T95" s="198"/>
      <c r="U95" s="198"/>
    </row>
    <row r="96" spans="1:26" s="12" customFormat="1" x14ac:dyDescent="0.25">
      <c r="A96" s="247" t="s">
        <v>331</v>
      </c>
      <c r="B96" s="64">
        <v>54.13</v>
      </c>
      <c r="C96" s="64">
        <v>108.71</v>
      </c>
      <c r="D96" s="64">
        <v>98.83</v>
      </c>
      <c r="E96" s="64">
        <v>7.13</v>
      </c>
      <c r="F96" s="64">
        <v>8.64</v>
      </c>
      <c r="G96" s="64">
        <v>86.62</v>
      </c>
      <c r="H96" s="64">
        <v>34.44</v>
      </c>
      <c r="I96" s="64">
        <v>4.1100000000000003</v>
      </c>
      <c r="J96" s="64">
        <v>0.53</v>
      </c>
      <c r="K96" s="64">
        <v>72.7</v>
      </c>
      <c r="L96" s="64">
        <v>22.03</v>
      </c>
      <c r="M96" s="64">
        <v>44.79</v>
      </c>
      <c r="N96" s="64">
        <v>68.2</v>
      </c>
      <c r="O96" s="64">
        <v>0</v>
      </c>
      <c r="P96" s="64">
        <v>1.72</v>
      </c>
      <c r="Q96" s="64">
        <v>9.48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332</v>
      </c>
      <c r="B97" s="64">
        <v>55.54</v>
      </c>
      <c r="C97" s="64">
        <v>107.9</v>
      </c>
      <c r="D97" s="64">
        <v>99.54</v>
      </c>
      <c r="E97" s="64">
        <v>6.78</v>
      </c>
      <c r="F97" s="64">
        <v>7.6</v>
      </c>
      <c r="G97" s="64">
        <v>90.36</v>
      </c>
      <c r="H97" s="64">
        <v>32.909999999999997</v>
      </c>
      <c r="I97" s="64">
        <v>3.93</v>
      </c>
      <c r="J97" s="64">
        <v>0.56000000000000005</v>
      </c>
      <c r="K97" s="64">
        <v>261.31</v>
      </c>
      <c r="L97" s="64">
        <v>21.69</v>
      </c>
      <c r="M97" s="64">
        <v>47.4</v>
      </c>
      <c r="N97" s="64">
        <v>68</v>
      </c>
      <c r="O97" s="64">
        <v>0</v>
      </c>
      <c r="P97" s="64">
        <v>1.63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47" t="s">
        <v>333</v>
      </c>
      <c r="B98" s="64">
        <v>63.52</v>
      </c>
      <c r="C98" s="64">
        <v>107.12</v>
      </c>
      <c r="D98" s="64">
        <v>105.53</v>
      </c>
      <c r="E98" s="64">
        <v>7.57</v>
      </c>
      <c r="F98" s="64">
        <v>9.18</v>
      </c>
      <c r="G98" s="64">
        <v>96.83</v>
      </c>
      <c r="H98" s="64">
        <v>30.41</v>
      </c>
      <c r="I98" s="64">
        <v>3.97</v>
      </c>
      <c r="J98" s="64">
        <v>0.51</v>
      </c>
      <c r="K98" s="64">
        <v>313.48</v>
      </c>
      <c r="L98" s="64">
        <v>21.42</v>
      </c>
      <c r="M98" s="64">
        <v>47.56</v>
      </c>
      <c r="N98" s="64">
        <v>68.099999999999994</v>
      </c>
      <c r="O98" s="64">
        <v>0</v>
      </c>
      <c r="P98" s="64">
        <v>1.59</v>
      </c>
      <c r="Q98" s="64">
        <v>9.49</v>
      </c>
      <c r="R98" s="198"/>
      <c r="S98" s="198"/>
      <c r="T98" s="198"/>
      <c r="U98" s="198"/>
    </row>
    <row r="99" spans="1:33" s="12" customFormat="1" x14ac:dyDescent="0.25">
      <c r="A99" s="247" t="s">
        <v>334</v>
      </c>
      <c r="B99" s="64">
        <v>41.2</v>
      </c>
      <c r="C99" s="64">
        <v>99.13</v>
      </c>
      <c r="D99" s="64">
        <v>83.45</v>
      </c>
      <c r="E99" s="64">
        <v>8.01</v>
      </c>
      <c r="F99" s="64">
        <v>11.03</v>
      </c>
      <c r="G99" s="64">
        <v>96.83</v>
      </c>
      <c r="H99" s="64">
        <v>30.41</v>
      </c>
      <c r="I99" s="64">
        <v>4.1100000000000003</v>
      </c>
      <c r="J99" s="64">
        <v>0.47</v>
      </c>
      <c r="K99" s="64">
        <v>328.92</v>
      </c>
      <c r="L99" s="64">
        <v>21.21</v>
      </c>
      <c r="M99" s="64">
        <v>47.37</v>
      </c>
      <c r="N99" s="64">
        <v>68.099999999999994</v>
      </c>
      <c r="O99" s="64">
        <v>0</v>
      </c>
      <c r="P99" s="64">
        <v>1.35</v>
      </c>
      <c r="Q99" s="64">
        <v>9.5</v>
      </c>
      <c r="R99" s="198"/>
      <c r="S99" s="198"/>
      <c r="T99" s="198"/>
      <c r="U99" s="198"/>
    </row>
    <row r="100" spans="1:33" s="12" customFormat="1" x14ac:dyDescent="0.25">
      <c r="A100" s="247" t="s">
        <v>335</v>
      </c>
      <c r="B100" s="64">
        <v>96.49</v>
      </c>
      <c r="C100" s="64">
        <v>112.67</v>
      </c>
      <c r="D100" s="64">
        <v>134.87</v>
      </c>
      <c r="E100" s="64">
        <v>9.4499999999999993</v>
      </c>
      <c r="F100" s="64">
        <v>8.2200000000000006</v>
      </c>
      <c r="G100" s="64">
        <v>96.83</v>
      </c>
      <c r="H100" s="64">
        <v>30.41</v>
      </c>
      <c r="I100" s="64">
        <v>4.05</v>
      </c>
      <c r="J100" s="64">
        <v>0.32</v>
      </c>
      <c r="K100" s="64">
        <v>35.99</v>
      </c>
      <c r="L100" s="64">
        <v>21.04</v>
      </c>
      <c r="M100" s="64">
        <v>50.45</v>
      </c>
      <c r="N100" s="64">
        <v>68.3</v>
      </c>
      <c r="O100" s="64">
        <v>0</v>
      </c>
      <c r="P100" s="64">
        <v>1.57</v>
      </c>
      <c r="Q100" s="64">
        <v>9.52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336</v>
      </c>
      <c r="B101" s="64">
        <v>48.64</v>
      </c>
      <c r="C101" s="64">
        <v>106.49</v>
      </c>
      <c r="D101" s="64">
        <v>93.27</v>
      </c>
      <c r="E101" s="64">
        <v>8.84</v>
      </c>
      <c r="F101" s="64">
        <v>7.85</v>
      </c>
      <c r="G101" s="64">
        <v>101.15</v>
      </c>
      <c r="H101" s="64">
        <v>30.11</v>
      </c>
      <c r="I101" s="64">
        <v>3.97</v>
      </c>
      <c r="J101" s="64">
        <v>0.69</v>
      </c>
      <c r="K101" s="64">
        <v>249.55</v>
      </c>
      <c r="L101" s="64">
        <v>20.94</v>
      </c>
      <c r="M101" s="64">
        <v>50.75</v>
      </c>
      <c r="N101" s="64">
        <v>67.900000000000006</v>
      </c>
      <c r="O101" s="64">
        <v>0</v>
      </c>
      <c r="P101" s="64">
        <v>1.33</v>
      </c>
      <c r="Q101" s="64">
        <v>9.5399999999999991</v>
      </c>
      <c r="R101" s="198"/>
      <c r="S101" s="198"/>
      <c r="T101" s="198"/>
      <c r="U101" s="198"/>
    </row>
    <row r="102" spans="1:33" s="12" customFormat="1" x14ac:dyDescent="0.25">
      <c r="A102" s="247" t="s">
        <v>337</v>
      </c>
      <c r="B102" s="64">
        <v>39.130000000000003</v>
      </c>
      <c r="C102" s="64">
        <v>100.27</v>
      </c>
      <c r="D102" s="64">
        <v>82.39</v>
      </c>
      <c r="E102" s="64">
        <v>9.2899999999999991</v>
      </c>
      <c r="F102" s="64">
        <v>10.29</v>
      </c>
      <c r="G102" s="64">
        <v>108.63</v>
      </c>
      <c r="H102" s="64">
        <v>29.59</v>
      </c>
      <c r="I102" s="64">
        <v>4.0999999999999996</v>
      </c>
      <c r="J102" s="64">
        <v>0.09</v>
      </c>
      <c r="K102" s="64">
        <v>7.85</v>
      </c>
      <c r="L102" s="64">
        <v>20.88</v>
      </c>
      <c r="M102" s="64">
        <v>51.19</v>
      </c>
      <c r="N102" s="64">
        <v>68.2</v>
      </c>
      <c r="O102" s="64">
        <v>0</v>
      </c>
      <c r="P102" s="64">
        <v>1.33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47" t="s">
        <v>338</v>
      </c>
      <c r="B103" s="64">
        <v>49.03</v>
      </c>
      <c r="C103" s="64">
        <v>111.09</v>
      </c>
      <c r="D103" s="64">
        <v>95.98</v>
      </c>
      <c r="E103" s="64">
        <v>11.3</v>
      </c>
      <c r="F103" s="64">
        <v>8.6</v>
      </c>
      <c r="G103" s="64">
        <v>108.63</v>
      </c>
      <c r="H103" s="64">
        <v>29.59</v>
      </c>
      <c r="I103" s="64">
        <v>4</v>
      </c>
      <c r="J103" s="64">
        <v>0.09</v>
      </c>
      <c r="K103" s="64">
        <v>254.62</v>
      </c>
      <c r="L103" s="64">
        <v>20.75</v>
      </c>
      <c r="M103" s="64">
        <v>50.87</v>
      </c>
      <c r="N103" s="64">
        <v>68.2</v>
      </c>
      <c r="O103" s="64">
        <v>0</v>
      </c>
      <c r="P103" s="64">
        <v>1.36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47" t="s">
        <v>339</v>
      </c>
      <c r="B104" s="64">
        <v>55.86</v>
      </c>
      <c r="C104" s="64">
        <v>96.36</v>
      </c>
      <c r="D104" s="64">
        <v>93.76</v>
      </c>
      <c r="E104" s="64">
        <v>8.94</v>
      </c>
      <c r="F104" s="64">
        <v>8.3000000000000007</v>
      </c>
      <c r="G104" s="64">
        <v>108.63</v>
      </c>
      <c r="H104" s="64">
        <v>29.59</v>
      </c>
      <c r="I104" s="64">
        <v>3.9</v>
      </c>
      <c r="J104" s="64">
        <v>0.3</v>
      </c>
      <c r="K104" s="64">
        <v>9.6300000000000008</v>
      </c>
      <c r="L104" s="64">
        <v>20.41</v>
      </c>
      <c r="M104" s="64">
        <v>56.1</v>
      </c>
      <c r="N104" s="64">
        <v>68.2</v>
      </c>
      <c r="O104" s="64">
        <v>0</v>
      </c>
      <c r="P104" s="64">
        <v>1.57</v>
      </c>
      <c r="Q104" s="64">
        <v>9.57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4.33</v>
      </c>
      <c r="C106" s="67">
        <f>MIN(C9:C104)</f>
        <v>54.45</v>
      </c>
      <c r="D106" s="67">
        <f t="shared" ref="D106:Q106" si="0">MIN(D9:D104)</f>
        <v>31.6</v>
      </c>
      <c r="E106" s="67">
        <f t="shared" si="0"/>
        <v>5.26</v>
      </c>
      <c r="F106" s="67">
        <f t="shared" si="0"/>
        <v>6.6</v>
      </c>
      <c r="G106" s="67">
        <f t="shared" si="0"/>
        <v>41.93</v>
      </c>
      <c r="H106" s="67">
        <f t="shared" si="0"/>
        <v>2.33</v>
      </c>
      <c r="I106" s="67">
        <f t="shared" si="0"/>
        <v>3.8</v>
      </c>
      <c r="J106" s="67">
        <f t="shared" si="0"/>
        <v>0.06</v>
      </c>
      <c r="K106" s="67">
        <f t="shared" si="0"/>
        <v>7.85</v>
      </c>
      <c r="L106" s="67">
        <f t="shared" si="0"/>
        <v>15.58</v>
      </c>
      <c r="M106" s="67">
        <f t="shared" si="0"/>
        <v>23.64</v>
      </c>
      <c r="N106" s="67">
        <f t="shared" si="0"/>
        <v>64</v>
      </c>
      <c r="O106" s="67">
        <f t="shared" si="0"/>
        <v>0</v>
      </c>
      <c r="P106" s="67">
        <f t="shared" si="0"/>
        <v>0.5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162.56</v>
      </c>
      <c r="C107" s="66">
        <f t="shared" ref="C107:Q107" si="1">MAX(C9:C104)</f>
        <v>142.88999999999999</v>
      </c>
      <c r="D107" s="66">
        <f t="shared" si="1"/>
        <v>185.81</v>
      </c>
      <c r="E107" s="66">
        <f t="shared" si="1"/>
        <v>11.3</v>
      </c>
      <c r="F107" s="66">
        <f t="shared" si="1"/>
        <v>29.44</v>
      </c>
      <c r="G107" s="66">
        <f t="shared" si="1"/>
        <v>195.05</v>
      </c>
      <c r="H107" s="66">
        <f t="shared" si="1"/>
        <v>99.58</v>
      </c>
      <c r="I107" s="66">
        <f t="shared" si="1"/>
        <v>4.2699999999999996</v>
      </c>
      <c r="J107" s="66">
        <f t="shared" si="1"/>
        <v>1.65</v>
      </c>
      <c r="K107" s="66">
        <f t="shared" si="1"/>
        <v>340.71</v>
      </c>
      <c r="L107" s="66">
        <f t="shared" si="1"/>
        <v>32.99</v>
      </c>
      <c r="M107" s="66">
        <f t="shared" si="1"/>
        <v>77.48</v>
      </c>
      <c r="N107" s="66">
        <f t="shared" si="1"/>
        <v>815.6</v>
      </c>
      <c r="O107" s="66">
        <f t="shared" si="1"/>
        <v>0</v>
      </c>
      <c r="P107" s="66">
        <f t="shared" si="1"/>
        <v>2.34</v>
      </c>
      <c r="Q107" s="66">
        <f t="shared" si="1"/>
        <v>10.19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50.706354166666664</v>
      </c>
      <c r="C108" s="67">
        <f t="shared" ref="C108:Q108" si="2">AVERAGE(C9:C104)</f>
        <v>86.420520833333342</v>
      </c>
      <c r="D108" s="67">
        <f t="shared" si="2"/>
        <v>84.437604166666674</v>
      </c>
      <c r="E108" s="67">
        <f t="shared" si="2"/>
        <v>7.0747916666666688</v>
      </c>
      <c r="F108" s="67">
        <f t="shared" si="2"/>
        <v>12.050624999999998</v>
      </c>
      <c r="G108" s="67">
        <f t="shared" si="2"/>
        <v>87.28604166666662</v>
      </c>
      <c r="H108" s="67">
        <f t="shared" si="2"/>
        <v>29.58562499999999</v>
      </c>
      <c r="I108" s="67">
        <f t="shared" si="2"/>
        <v>3.9977083333333336</v>
      </c>
      <c r="J108" s="67">
        <f t="shared" si="2"/>
        <v>0.6584374999999999</v>
      </c>
      <c r="K108" s="67">
        <f t="shared" si="2"/>
        <v>249.66916666666677</v>
      </c>
      <c r="L108" s="67">
        <f t="shared" si="2"/>
        <v>23.661874999999998</v>
      </c>
      <c r="M108" s="67">
        <f t="shared" si="2"/>
        <v>44.427500000000016</v>
      </c>
      <c r="N108" s="67">
        <f t="shared" si="2"/>
        <v>259.81979166666662</v>
      </c>
      <c r="O108" s="67">
        <f t="shared" si="2"/>
        <v>0</v>
      </c>
      <c r="P108" s="67">
        <f t="shared" si="2"/>
        <v>1.1243749999999999</v>
      </c>
      <c r="Q108" s="67">
        <f t="shared" si="2"/>
        <v>9.5787499999999959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41.88889882131928</v>
      </c>
      <c r="C109" s="67">
        <f t="shared" ref="C109:Q109" si="3">STDEV(C9:C104)</f>
        <v>21.796373738466894</v>
      </c>
      <c r="D109" s="67">
        <f t="shared" si="3"/>
        <v>37.796069936180018</v>
      </c>
      <c r="E109" s="67">
        <f t="shared" si="3"/>
        <v>1.6329353480395801</v>
      </c>
      <c r="F109" s="67">
        <f t="shared" si="3"/>
        <v>5.9579983944627797</v>
      </c>
      <c r="G109" s="67">
        <f t="shared" si="3"/>
        <v>31.211167484501885</v>
      </c>
      <c r="H109" s="67">
        <f t="shared" si="3"/>
        <v>19.195750561133671</v>
      </c>
      <c r="I109" s="67">
        <f t="shared" si="3"/>
        <v>8.9671672070558706E-2</v>
      </c>
      <c r="J109" s="67">
        <f t="shared" si="3"/>
        <v>0.33228183384780968</v>
      </c>
      <c r="K109" s="67">
        <f t="shared" si="3"/>
        <v>77.76747425453496</v>
      </c>
      <c r="L109" s="67">
        <f t="shared" si="3"/>
        <v>5.7883455162757338</v>
      </c>
      <c r="M109" s="67">
        <f t="shared" si="3"/>
        <v>15.927707007799777</v>
      </c>
      <c r="N109" s="67">
        <f t="shared" si="3"/>
        <v>273.13658878019714</v>
      </c>
      <c r="O109" s="67">
        <f t="shared" si="3"/>
        <v>0</v>
      </c>
      <c r="P109" s="67">
        <f t="shared" si="3"/>
        <v>0.45313600258874392</v>
      </c>
      <c r="Q109" s="67">
        <f t="shared" si="3"/>
        <v>0.28310403518290239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340</v>
      </c>
      <c r="B9" s="64">
        <v>29.33</v>
      </c>
      <c r="C9" s="64">
        <v>93.43</v>
      </c>
      <c r="D9" s="64">
        <v>70.959999999999994</v>
      </c>
      <c r="E9" s="64">
        <v>11.89</v>
      </c>
      <c r="F9" s="64">
        <v>8.99</v>
      </c>
      <c r="G9" s="64">
        <v>110.23</v>
      </c>
      <c r="H9" s="64">
        <v>27.58</v>
      </c>
      <c r="I9" s="64">
        <v>3.93</v>
      </c>
      <c r="J9" s="64">
        <v>0.28999999999999998</v>
      </c>
      <c r="K9" s="64">
        <v>82.33</v>
      </c>
      <c r="L9" s="64">
        <v>20.39</v>
      </c>
      <c r="M9" s="64">
        <v>54.91</v>
      </c>
      <c r="N9" s="64">
        <v>68.099999999999994</v>
      </c>
      <c r="O9" s="64">
        <v>0</v>
      </c>
      <c r="P9" s="64">
        <v>1.31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47" t="s">
        <v>341</v>
      </c>
      <c r="B10" s="64">
        <v>38.49</v>
      </c>
      <c r="C10" s="64">
        <v>92.57</v>
      </c>
      <c r="D10" s="64">
        <v>77.849999999999994</v>
      </c>
      <c r="E10" s="64">
        <v>12.78</v>
      </c>
      <c r="F10" s="64">
        <v>9.9499999999999993</v>
      </c>
      <c r="G10" s="64">
        <v>113</v>
      </c>
      <c r="H10" s="64">
        <v>24.11</v>
      </c>
      <c r="I10" s="64">
        <v>4.04</v>
      </c>
      <c r="J10" s="64">
        <v>0.35</v>
      </c>
      <c r="K10" s="64">
        <v>15.5</v>
      </c>
      <c r="L10" s="64">
        <v>20.239999999999998</v>
      </c>
      <c r="M10" s="64">
        <v>55.73</v>
      </c>
      <c r="N10" s="64">
        <v>68.2</v>
      </c>
      <c r="O10" s="64">
        <v>0</v>
      </c>
      <c r="P10" s="64">
        <v>1.34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47" t="s">
        <v>342</v>
      </c>
      <c r="B11" s="64">
        <v>37.85</v>
      </c>
      <c r="C11" s="64">
        <v>86.4</v>
      </c>
      <c r="D11" s="64">
        <v>74.12</v>
      </c>
      <c r="E11" s="64">
        <v>9.98</v>
      </c>
      <c r="F11" s="64">
        <v>8.98</v>
      </c>
      <c r="G11" s="64">
        <v>113</v>
      </c>
      <c r="H11" s="64">
        <v>24.11</v>
      </c>
      <c r="I11" s="64">
        <v>4.0599999999999996</v>
      </c>
      <c r="J11" s="64">
        <v>0.57999999999999996</v>
      </c>
      <c r="K11" s="64">
        <v>213.94</v>
      </c>
      <c r="L11" s="64">
        <v>20.23</v>
      </c>
      <c r="M11" s="64">
        <v>55.93</v>
      </c>
      <c r="N11" s="64">
        <v>67.5</v>
      </c>
      <c r="O11" s="64">
        <v>0</v>
      </c>
      <c r="P11" s="64">
        <v>1.33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47" t="s">
        <v>343</v>
      </c>
      <c r="B12" s="64">
        <v>43.11</v>
      </c>
      <c r="C12" s="64">
        <v>85.29</v>
      </c>
      <c r="D12" s="64">
        <v>77.760000000000005</v>
      </c>
      <c r="E12" s="64">
        <v>6.59</v>
      </c>
      <c r="F12" s="64">
        <v>7.38</v>
      </c>
      <c r="G12" s="64">
        <v>113</v>
      </c>
      <c r="H12" s="64">
        <v>24.11</v>
      </c>
      <c r="I12" s="64">
        <v>3.92</v>
      </c>
      <c r="J12" s="64">
        <v>0.35</v>
      </c>
      <c r="K12" s="64">
        <v>246.98</v>
      </c>
      <c r="L12" s="64">
        <v>20.18</v>
      </c>
      <c r="M12" s="64">
        <v>56.28</v>
      </c>
      <c r="N12" s="64">
        <v>67.8</v>
      </c>
      <c r="O12" s="64">
        <v>0</v>
      </c>
      <c r="P12" s="64">
        <v>1.38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47" t="s">
        <v>344</v>
      </c>
      <c r="B13" s="64">
        <v>39.590000000000003</v>
      </c>
      <c r="C13" s="64">
        <v>78.98</v>
      </c>
      <c r="D13" s="64">
        <v>71.64</v>
      </c>
      <c r="E13" s="64">
        <v>6.51</v>
      </c>
      <c r="F13" s="64">
        <v>8.69</v>
      </c>
      <c r="G13" s="64">
        <v>113.97</v>
      </c>
      <c r="H13" s="64">
        <v>27.58</v>
      </c>
      <c r="I13" s="64">
        <v>3.83</v>
      </c>
      <c r="J13" s="64">
        <v>1.0900000000000001</v>
      </c>
      <c r="K13" s="64">
        <v>210.6</v>
      </c>
      <c r="L13" s="64">
        <v>20.25</v>
      </c>
      <c r="M13" s="64">
        <v>52.32</v>
      </c>
      <c r="N13" s="64">
        <v>67.2</v>
      </c>
      <c r="O13" s="64">
        <v>0</v>
      </c>
      <c r="P13" s="64">
        <v>1.1499999999999999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47" t="s">
        <v>345</v>
      </c>
      <c r="B14" s="64">
        <v>36.61</v>
      </c>
      <c r="C14" s="64">
        <v>73</v>
      </c>
      <c r="D14" s="64">
        <v>66.12</v>
      </c>
      <c r="E14" s="64">
        <v>5.98</v>
      </c>
      <c r="F14" s="64">
        <v>8.76</v>
      </c>
      <c r="G14" s="64">
        <v>115.64</v>
      </c>
      <c r="H14" s="64">
        <v>33.57</v>
      </c>
      <c r="I14" s="64">
        <v>3.83</v>
      </c>
      <c r="J14" s="64">
        <v>0.67</v>
      </c>
      <c r="K14" s="64">
        <v>226.62</v>
      </c>
      <c r="L14" s="64">
        <v>19.82</v>
      </c>
      <c r="M14" s="64">
        <v>54.9</v>
      </c>
      <c r="N14" s="64">
        <v>68.3</v>
      </c>
      <c r="O14" s="64">
        <v>0</v>
      </c>
      <c r="P14" s="64">
        <v>1.19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47" t="s">
        <v>346</v>
      </c>
      <c r="B15" s="64">
        <v>32.15</v>
      </c>
      <c r="C15" s="64">
        <v>69.319999999999993</v>
      </c>
      <c r="D15" s="64">
        <v>60.62</v>
      </c>
      <c r="E15" s="64">
        <v>5</v>
      </c>
      <c r="F15" s="64">
        <v>9.26</v>
      </c>
      <c r="G15" s="64">
        <v>115.64</v>
      </c>
      <c r="H15" s="64">
        <v>33.57</v>
      </c>
      <c r="I15" s="64">
        <v>4.05</v>
      </c>
      <c r="J15" s="64">
        <v>0.55000000000000004</v>
      </c>
      <c r="K15" s="64">
        <v>320.08</v>
      </c>
      <c r="L15" s="64">
        <v>19.3</v>
      </c>
      <c r="M15" s="64">
        <v>61.23</v>
      </c>
      <c r="N15" s="64">
        <v>68.599999999999994</v>
      </c>
      <c r="O15" s="64">
        <v>0</v>
      </c>
      <c r="P15" s="64">
        <v>1.1200000000000001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47" t="s">
        <v>347</v>
      </c>
      <c r="B16" s="64">
        <v>30.76</v>
      </c>
      <c r="C16" s="64">
        <v>67.66</v>
      </c>
      <c r="D16" s="64">
        <v>58.64</v>
      </c>
      <c r="E16" s="64">
        <v>5.41</v>
      </c>
      <c r="F16" s="64">
        <v>8.76</v>
      </c>
      <c r="G16" s="64">
        <v>115.64</v>
      </c>
      <c r="H16" s="64">
        <v>33.57</v>
      </c>
      <c r="I16" s="64">
        <v>3.84</v>
      </c>
      <c r="J16" s="64">
        <v>0.4</v>
      </c>
      <c r="K16" s="64">
        <v>15.95</v>
      </c>
      <c r="L16" s="64">
        <v>18.52</v>
      </c>
      <c r="M16" s="64">
        <v>63.34</v>
      </c>
      <c r="N16" s="64">
        <v>68.5</v>
      </c>
      <c r="O16" s="64">
        <v>0</v>
      </c>
      <c r="P16" s="64">
        <v>1.0900000000000001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47" t="s">
        <v>348</v>
      </c>
      <c r="B17" s="64">
        <v>28.92</v>
      </c>
      <c r="C17" s="64">
        <v>68.55</v>
      </c>
      <c r="D17" s="64">
        <v>57.63</v>
      </c>
      <c r="E17" s="64">
        <v>5.38</v>
      </c>
      <c r="F17" s="64">
        <v>7.92</v>
      </c>
      <c r="G17" s="64">
        <v>109.93</v>
      </c>
      <c r="H17" s="64">
        <v>32.5</v>
      </c>
      <c r="I17" s="64">
        <v>3.89</v>
      </c>
      <c r="J17" s="64">
        <v>0.6</v>
      </c>
      <c r="K17" s="64">
        <v>280.29000000000002</v>
      </c>
      <c r="L17" s="64">
        <v>18.36</v>
      </c>
      <c r="M17" s="64">
        <v>64.63</v>
      </c>
      <c r="N17" s="64">
        <v>68.2</v>
      </c>
      <c r="O17" s="64">
        <v>0</v>
      </c>
      <c r="P17" s="64">
        <v>1.07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47" t="s">
        <v>349</v>
      </c>
      <c r="B18" s="64">
        <v>30.91</v>
      </c>
      <c r="C18" s="64">
        <v>69.540000000000006</v>
      </c>
      <c r="D18" s="64">
        <v>59.74</v>
      </c>
      <c r="E18" s="64">
        <v>5.18</v>
      </c>
      <c r="F18" s="64">
        <v>7.42</v>
      </c>
      <c r="G18" s="64">
        <v>100.07</v>
      </c>
      <c r="H18" s="64">
        <v>30.67</v>
      </c>
      <c r="I18" s="64">
        <v>3.96</v>
      </c>
      <c r="J18" s="64">
        <v>0.63</v>
      </c>
      <c r="K18" s="64">
        <v>298.3</v>
      </c>
      <c r="L18" s="64">
        <v>18.100000000000001</v>
      </c>
      <c r="M18" s="64">
        <v>68.260000000000005</v>
      </c>
      <c r="N18" s="64">
        <v>68.3</v>
      </c>
      <c r="O18" s="64">
        <v>0</v>
      </c>
      <c r="P18" s="64">
        <v>1.07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47" t="s">
        <v>350</v>
      </c>
      <c r="B19" s="64">
        <v>33.869999999999997</v>
      </c>
      <c r="C19" s="64">
        <v>69.97</v>
      </c>
      <c r="D19" s="64">
        <v>62.34</v>
      </c>
      <c r="E19" s="64">
        <v>5.0599999999999996</v>
      </c>
      <c r="F19" s="64">
        <v>7.09</v>
      </c>
      <c r="G19" s="64">
        <v>100.07</v>
      </c>
      <c r="H19" s="64">
        <v>30.67</v>
      </c>
      <c r="I19" s="64">
        <v>4.0599999999999996</v>
      </c>
      <c r="J19" s="64">
        <v>0.43</v>
      </c>
      <c r="K19" s="64">
        <v>309.33</v>
      </c>
      <c r="L19" s="64">
        <v>17.989999999999998</v>
      </c>
      <c r="M19" s="64">
        <v>67.67</v>
      </c>
      <c r="N19" s="64">
        <v>68.099999999999994</v>
      </c>
      <c r="O19" s="64">
        <v>0</v>
      </c>
      <c r="P19" s="64">
        <v>1.08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47" t="s">
        <v>351</v>
      </c>
      <c r="B20" s="64">
        <v>33.89</v>
      </c>
      <c r="C20" s="64">
        <v>69.650000000000006</v>
      </c>
      <c r="D20" s="64">
        <v>62.19</v>
      </c>
      <c r="E20" s="64">
        <v>4.5999999999999996</v>
      </c>
      <c r="F20" s="64">
        <v>7.32</v>
      </c>
      <c r="G20" s="64">
        <v>100.07</v>
      </c>
      <c r="H20" s="64">
        <v>30.67</v>
      </c>
      <c r="I20" s="64">
        <v>3.87</v>
      </c>
      <c r="J20" s="64">
        <v>0.54</v>
      </c>
      <c r="K20" s="64">
        <v>249.21</v>
      </c>
      <c r="L20" s="64">
        <v>18.239999999999998</v>
      </c>
      <c r="M20" s="64">
        <v>62.24</v>
      </c>
      <c r="N20" s="64">
        <v>67.900000000000006</v>
      </c>
      <c r="O20" s="64">
        <v>0</v>
      </c>
      <c r="P20" s="64">
        <v>1.05</v>
      </c>
      <c r="Q20" s="64">
        <v>9.59</v>
      </c>
      <c r="R20" s="198"/>
      <c r="S20" s="198"/>
      <c r="T20" s="198"/>
      <c r="U20" s="198"/>
    </row>
    <row r="21" spans="1:21" s="12" customFormat="1" x14ac:dyDescent="0.25">
      <c r="A21" s="247" t="s">
        <v>352</v>
      </c>
      <c r="B21" s="64">
        <v>25.18</v>
      </c>
      <c r="C21" s="64">
        <v>60.08</v>
      </c>
      <c r="D21" s="64">
        <v>50.21</v>
      </c>
      <c r="E21" s="64">
        <v>4.74</v>
      </c>
      <c r="F21" s="64">
        <v>12.64</v>
      </c>
      <c r="G21" s="64">
        <v>95.34</v>
      </c>
      <c r="H21" s="64">
        <v>31.35</v>
      </c>
      <c r="I21" s="64">
        <v>4.0599999999999996</v>
      </c>
      <c r="J21" s="64">
        <v>0.59</v>
      </c>
      <c r="K21" s="64">
        <v>182.52</v>
      </c>
      <c r="L21" s="64">
        <v>18.47</v>
      </c>
      <c r="M21" s="64">
        <v>60.12</v>
      </c>
      <c r="N21" s="64">
        <v>67.400000000000006</v>
      </c>
      <c r="O21" s="64">
        <v>0</v>
      </c>
      <c r="P21" s="64">
        <v>0.88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47" t="s">
        <v>353</v>
      </c>
      <c r="B22" s="64">
        <v>20.87</v>
      </c>
      <c r="C22" s="64">
        <v>54.9</v>
      </c>
      <c r="D22" s="64">
        <v>44.05</v>
      </c>
      <c r="E22" s="64">
        <v>4.8099999999999996</v>
      </c>
      <c r="F22" s="64">
        <v>14.32</v>
      </c>
      <c r="G22" s="64">
        <v>87.17</v>
      </c>
      <c r="H22" s="64">
        <v>32.54</v>
      </c>
      <c r="I22" s="64">
        <v>3.85</v>
      </c>
      <c r="J22" s="64">
        <v>0.67</v>
      </c>
      <c r="K22" s="64">
        <v>185.76</v>
      </c>
      <c r="L22" s="64">
        <v>18.52</v>
      </c>
      <c r="M22" s="64">
        <v>60.37</v>
      </c>
      <c r="N22" s="64">
        <v>67.599999999999994</v>
      </c>
      <c r="O22" s="64">
        <v>0</v>
      </c>
      <c r="P22" s="64">
        <v>0.81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47" t="s">
        <v>354</v>
      </c>
      <c r="B23" s="64">
        <v>20.76</v>
      </c>
      <c r="C23" s="64">
        <v>55.58</v>
      </c>
      <c r="D23" s="64">
        <v>44.31</v>
      </c>
      <c r="E23" s="64">
        <v>5.46</v>
      </c>
      <c r="F23" s="64">
        <v>13.92</v>
      </c>
      <c r="G23" s="64">
        <v>87.17</v>
      </c>
      <c r="H23" s="64">
        <v>32.54</v>
      </c>
      <c r="I23" s="64">
        <v>3.92</v>
      </c>
      <c r="J23" s="64">
        <v>0.71</v>
      </c>
      <c r="K23" s="64">
        <v>225.71</v>
      </c>
      <c r="L23" s="64">
        <v>18.5</v>
      </c>
      <c r="M23" s="64">
        <v>60.07</v>
      </c>
      <c r="N23" s="64">
        <v>68</v>
      </c>
      <c r="O23" s="64">
        <v>0</v>
      </c>
      <c r="P23" s="64">
        <v>0.79</v>
      </c>
      <c r="Q23" s="64">
        <v>9.58</v>
      </c>
      <c r="R23" s="198"/>
      <c r="S23" s="198"/>
      <c r="T23" s="198"/>
      <c r="U23" s="198"/>
    </row>
    <row r="24" spans="1:21" s="12" customFormat="1" x14ac:dyDescent="0.25">
      <c r="A24" s="247" t="s">
        <v>355</v>
      </c>
      <c r="B24" s="64">
        <v>20.14</v>
      </c>
      <c r="C24" s="64">
        <v>56</v>
      </c>
      <c r="D24" s="64">
        <v>44.03</v>
      </c>
      <c r="E24" s="64">
        <v>5.01</v>
      </c>
      <c r="F24" s="64">
        <v>12.78</v>
      </c>
      <c r="G24" s="64">
        <v>87.17</v>
      </c>
      <c r="H24" s="64">
        <v>32.54</v>
      </c>
      <c r="I24" s="64">
        <v>3.91</v>
      </c>
      <c r="J24" s="64">
        <v>0.68</v>
      </c>
      <c r="K24" s="64">
        <v>8.84</v>
      </c>
      <c r="L24" s="64">
        <v>18.14</v>
      </c>
      <c r="M24" s="64">
        <v>63.41</v>
      </c>
      <c r="N24" s="64">
        <v>68.400000000000006</v>
      </c>
      <c r="O24" s="64">
        <v>0</v>
      </c>
      <c r="P24" s="64">
        <v>0.77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47" t="s">
        <v>356</v>
      </c>
      <c r="B25" s="64">
        <v>22.31</v>
      </c>
      <c r="C25" s="64">
        <v>62.6</v>
      </c>
      <c r="D25" s="64">
        <v>49.22</v>
      </c>
      <c r="E25" s="64">
        <v>5.36</v>
      </c>
      <c r="F25" s="64">
        <v>10.48</v>
      </c>
      <c r="G25" s="64">
        <v>82.19</v>
      </c>
      <c r="H25" s="64">
        <v>31</v>
      </c>
      <c r="I25" s="64">
        <v>4</v>
      </c>
      <c r="J25" s="64">
        <v>0.51</v>
      </c>
      <c r="K25" s="64">
        <v>345.03</v>
      </c>
      <c r="L25" s="64">
        <v>17.66</v>
      </c>
      <c r="M25" s="64">
        <v>66.900000000000006</v>
      </c>
      <c r="N25" s="64">
        <v>68.3</v>
      </c>
      <c r="O25" s="64">
        <v>0</v>
      </c>
      <c r="P25" s="64">
        <v>0.78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47" t="s">
        <v>357</v>
      </c>
      <c r="B26" s="64">
        <v>21.87</v>
      </c>
      <c r="C26" s="64">
        <v>62.74</v>
      </c>
      <c r="D26" s="64">
        <v>48.94</v>
      </c>
      <c r="E26" s="64">
        <v>5.29</v>
      </c>
      <c r="F26" s="64">
        <v>10.89</v>
      </c>
      <c r="G26" s="64">
        <v>73.599999999999994</v>
      </c>
      <c r="H26" s="64">
        <v>28.34</v>
      </c>
      <c r="I26" s="64">
        <v>3.87</v>
      </c>
      <c r="J26" s="64">
        <v>0.25</v>
      </c>
      <c r="K26" s="64">
        <v>227.02</v>
      </c>
      <c r="L26" s="64">
        <v>17.649999999999999</v>
      </c>
      <c r="M26" s="64">
        <v>64.819999999999993</v>
      </c>
      <c r="N26" s="64">
        <v>68.099999999999994</v>
      </c>
      <c r="O26" s="64">
        <v>0</v>
      </c>
      <c r="P26" s="64">
        <v>0.74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47" t="s">
        <v>358</v>
      </c>
      <c r="B27" s="64">
        <v>25.9</v>
      </c>
      <c r="C27" s="64">
        <v>65.34</v>
      </c>
      <c r="D27" s="64">
        <v>53.53</v>
      </c>
      <c r="E27" s="64">
        <v>4.6100000000000003</v>
      </c>
      <c r="F27" s="64">
        <v>8.4</v>
      </c>
      <c r="G27" s="64">
        <v>73.599999999999994</v>
      </c>
      <c r="H27" s="64">
        <v>28.34</v>
      </c>
      <c r="I27" s="64">
        <v>4.1500000000000004</v>
      </c>
      <c r="J27" s="64">
        <v>0.21</v>
      </c>
      <c r="K27" s="64">
        <v>276.31</v>
      </c>
      <c r="L27" s="64">
        <v>17.53</v>
      </c>
      <c r="M27" s="64">
        <v>67.08</v>
      </c>
      <c r="N27" s="64">
        <v>68.099999999999994</v>
      </c>
      <c r="O27" s="64">
        <v>0</v>
      </c>
      <c r="P27" s="64">
        <v>0.77</v>
      </c>
      <c r="Q27" s="64">
        <v>9.57</v>
      </c>
      <c r="R27" s="198"/>
      <c r="S27" s="198"/>
      <c r="T27" s="198"/>
      <c r="U27" s="198"/>
    </row>
    <row r="28" spans="1:21" s="12" customFormat="1" x14ac:dyDescent="0.25">
      <c r="A28" s="247" t="s">
        <v>359</v>
      </c>
      <c r="B28" s="64">
        <v>28.58</v>
      </c>
      <c r="C28" s="64">
        <v>66.14</v>
      </c>
      <c r="D28" s="64">
        <v>56.09</v>
      </c>
      <c r="E28" s="64">
        <v>4.83</v>
      </c>
      <c r="F28" s="64">
        <v>7.62</v>
      </c>
      <c r="G28" s="64">
        <v>73.599999999999994</v>
      </c>
      <c r="H28" s="64">
        <v>28.34</v>
      </c>
      <c r="I28" s="64">
        <v>3.98</v>
      </c>
      <c r="J28" s="64">
        <v>0.37</v>
      </c>
      <c r="K28" s="64">
        <v>76.63</v>
      </c>
      <c r="L28" s="64">
        <v>17.43</v>
      </c>
      <c r="M28" s="64">
        <v>69.52</v>
      </c>
      <c r="N28" s="64">
        <v>68.099999999999994</v>
      </c>
      <c r="O28" s="64">
        <v>0</v>
      </c>
      <c r="P28" s="64">
        <v>0.8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47" t="s">
        <v>360</v>
      </c>
      <c r="B29" s="64">
        <v>26.61</v>
      </c>
      <c r="C29" s="64">
        <v>67.62</v>
      </c>
      <c r="D29" s="64">
        <v>55.3</v>
      </c>
      <c r="E29" s="64">
        <v>4.74</v>
      </c>
      <c r="F29" s="64">
        <v>7.06</v>
      </c>
      <c r="G29" s="64">
        <v>76.459999999999994</v>
      </c>
      <c r="H29" s="64">
        <v>27.22</v>
      </c>
      <c r="I29" s="64">
        <v>4.05</v>
      </c>
      <c r="J29" s="64">
        <v>0.18</v>
      </c>
      <c r="K29" s="64">
        <v>148.56</v>
      </c>
      <c r="L29" s="64">
        <v>17.32</v>
      </c>
      <c r="M29" s="64">
        <v>69.75</v>
      </c>
      <c r="N29" s="64">
        <v>68.3</v>
      </c>
      <c r="O29" s="64">
        <v>0</v>
      </c>
      <c r="P29" s="64">
        <v>0.84</v>
      </c>
      <c r="Q29" s="64">
        <v>9.5399999999999991</v>
      </c>
      <c r="R29" s="198"/>
      <c r="S29" s="198"/>
      <c r="T29" s="198"/>
      <c r="U29" s="198"/>
    </row>
    <row r="30" spans="1:21" s="12" customFormat="1" x14ac:dyDescent="0.25">
      <c r="A30" s="247" t="s">
        <v>361</v>
      </c>
      <c r="B30" s="64">
        <v>34.04</v>
      </c>
      <c r="C30" s="64">
        <v>70.319999999999993</v>
      </c>
      <c r="D30" s="64">
        <v>62.65</v>
      </c>
      <c r="E30" s="64">
        <v>4.6100000000000003</v>
      </c>
      <c r="F30" s="64">
        <v>6.63</v>
      </c>
      <c r="G30" s="64">
        <v>81.39</v>
      </c>
      <c r="H30" s="64">
        <v>25.3</v>
      </c>
      <c r="I30" s="64">
        <v>4.01</v>
      </c>
      <c r="J30" s="64">
        <v>0.44</v>
      </c>
      <c r="K30" s="64">
        <v>263.42</v>
      </c>
      <c r="L30" s="64">
        <v>17.38</v>
      </c>
      <c r="M30" s="64">
        <v>72.45</v>
      </c>
      <c r="N30" s="64">
        <v>68.2</v>
      </c>
      <c r="O30" s="64">
        <v>0</v>
      </c>
      <c r="P30" s="64">
        <v>0.82</v>
      </c>
      <c r="Q30" s="64">
        <v>9.5399999999999991</v>
      </c>
      <c r="R30" s="198"/>
      <c r="S30" s="198"/>
      <c r="T30" s="198"/>
      <c r="U30" s="198"/>
    </row>
    <row r="31" spans="1:21" s="12" customFormat="1" x14ac:dyDescent="0.25">
      <c r="A31" s="247" t="s">
        <v>362</v>
      </c>
      <c r="B31" s="64">
        <v>36.5</v>
      </c>
      <c r="C31" s="64">
        <v>69.03</v>
      </c>
      <c r="D31" s="64">
        <v>63.96</v>
      </c>
      <c r="E31" s="64">
        <v>4.96</v>
      </c>
      <c r="F31" s="64">
        <v>6.76</v>
      </c>
      <c r="G31" s="64">
        <v>81.39</v>
      </c>
      <c r="H31" s="64">
        <v>25.3</v>
      </c>
      <c r="I31" s="64">
        <v>4.1399999999999997</v>
      </c>
      <c r="J31" s="64">
        <v>7.0000000000000007E-2</v>
      </c>
      <c r="K31" s="64">
        <v>215.99</v>
      </c>
      <c r="L31" s="64">
        <v>17.21</v>
      </c>
      <c r="M31" s="64">
        <v>75.3</v>
      </c>
      <c r="N31" s="64">
        <v>68.3</v>
      </c>
      <c r="O31" s="64">
        <v>0</v>
      </c>
      <c r="P31" s="64">
        <v>0.81</v>
      </c>
      <c r="Q31" s="64">
        <v>9.5299999999999994</v>
      </c>
      <c r="R31" s="198"/>
      <c r="S31" s="198"/>
      <c r="T31" s="198"/>
      <c r="U31" s="198"/>
    </row>
    <row r="32" spans="1:21" s="12" customFormat="1" x14ac:dyDescent="0.25">
      <c r="A32" s="247" t="s">
        <v>363</v>
      </c>
      <c r="B32" s="64">
        <v>39.590000000000003</v>
      </c>
      <c r="C32" s="64">
        <v>69.819999999999993</v>
      </c>
      <c r="D32" s="64">
        <v>66.849999999999994</v>
      </c>
      <c r="E32" s="64">
        <v>4.8499999999999996</v>
      </c>
      <c r="F32" s="64">
        <v>6.92</v>
      </c>
      <c r="G32" s="64">
        <v>81.39</v>
      </c>
      <c r="H32" s="64">
        <v>25.3</v>
      </c>
      <c r="I32" s="64">
        <v>4</v>
      </c>
      <c r="J32" s="64">
        <v>0.39</v>
      </c>
      <c r="K32" s="64">
        <v>292.20999999999998</v>
      </c>
      <c r="L32" s="64">
        <v>17.34</v>
      </c>
      <c r="M32" s="64">
        <v>74.739999999999995</v>
      </c>
      <c r="N32" s="64">
        <v>68</v>
      </c>
      <c r="O32" s="64">
        <v>0</v>
      </c>
      <c r="P32" s="64">
        <v>0.83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47" t="s">
        <v>364</v>
      </c>
      <c r="B33" s="64">
        <v>39.6</v>
      </c>
      <c r="C33" s="64">
        <v>70.06</v>
      </c>
      <c r="D33" s="64">
        <v>66.989999999999995</v>
      </c>
      <c r="E33" s="64">
        <v>4.6399999999999997</v>
      </c>
      <c r="F33" s="64">
        <v>6.88</v>
      </c>
      <c r="G33" s="64">
        <v>83.14</v>
      </c>
      <c r="H33" s="64">
        <v>26.52</v>
      </c>
      <c r="I33" s="64">
        <v>3.93</v>
      </c>
      <c r="J33" s="64">
        <v>0.5</v>
      </c>
      <c r="K33" s="64">
        <v>228.19</v>
      </c>
      <c r="L33" s="64">
        <v>17.670000000000002</v>
      </c>
      <c r="M33" s="64">
        <v>70.72</v>
      </c>
      <c r="N33" s="64">
        <v>68.599999999999994</v>
      </c>
      <c r="O33" s="64">
        <v>0</v>
      </c>
      <c r="P33" s="64">
        <v>0.82</v>
      </c>
      <c r="Q33" s="64">
        <v>9.56</v>
      </c>
      <c r="R33" s="198"/>
      <c r="S33" s="198"/>
      <c r="T33" s="198"/>
      <c r="U33" s="198"/>
    </row>
    <row r="34" spans="1:21" s="12" customFormat="1" x14ac:dyDescent="0.25">
      <c r="A34" s="247" t="s">
        <v>365</v>
      </c>
      <c r="B34" s="64">
        <v>45.39</v>
      </c>
      <c r="C34" s="64">
        <v>71.52</v>
      </c>
      <c r="D34" s="64">
        <v>72.39</v>
      </c>
      <c r="E34" s="64">
        <v>4.9400000000000004</v>
      </c>
      <c r="F34" s="64">
        <v>7.13</v>
      </c>
      <c r="G34" s="64">
        <v>86.16</v>
      </c>
      <c r="H34" s="64">
        <v>28.63</v>
      </c>
      <c r="I34" s="64">
        <v>4.0199999999999996</v>
      </c>
      <c r="J34" s="64">
        <v>0.54</v>
      </c>
      <c r="K34" s="64">
        <v>219.41</v>
      </c>
      <c r="L34" s="64">
        <v>17.68</v>
      </c>
      <c r="M34" s="64">
        <v>70.36</v>
      </c>
      <c r="N34" s="64">
        <v>73</v>
      </c>
      <c r="O34" s="64">
        <v>0</v>
      </c>
      <c r="P34" s="64">
        <v>0.83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47" t="s">
        <v>366</v>
      </c>
      <c r="B35" s="64">
        <v>43.78</v>
      </c>
      <c r="C35" s="64">
        <v>70.760000000000005</v>
      </c>
      <c r="D35" s="64">
        <v>70.7</v>
      </c>
      <c r="E35" s="64">
        <v>4.83</v>
      </c>
      <c r="F35" s="64">
        <v>6.87</v>
      </c>
      <c r="G35" s="64">
        <v>86.16</v>
      </c>
      <c r="H35" s="64">
        <v>28.63</v>
      </c>
      <c r="I35" s="64">
        <v>3.83</v>
      </c>
      <c r="J35" s="64">
        <v>0.7</v>
      </c>
      <c r="K35" s="64">
        <v>239.49</v>
      </c>
      <c r="L35" s="64">
        <v>17.899999999999999</v>
      </c>
      <c r="M35" s="64">
        <v>69.42</v>
      </c>
      <c r="N35" s="64">
        <v>85.4</v>
      </c>
      <c r="O35" s="64">
        <v>0</v>
      </c>
      <c r="P35" s="64">
        <v>0.82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47" t="s">
        <v>367</v>
      </c>
      <c r="B36" s="64">
        <v>53.47</v>
      </c>
      <c r="C36" s="64">
        <v>73.540000000000006</v>
      </c>
      <c r="D36" s="64">
        <v>79.930000000000007</v>
      </c>
      <c r="E36" s="64">
        <v>4.3899999999999997</v>
      </c>
      <c r="F36" s="64">
        <v>6.89</v>
      </c>
      <c r="G36" s="64">
        <v>86.16</v>
      </c>
      <c r="H36" s="64">
        <v>28.63</v>
      </c>
      <c r="I36" s="64">
        <v>4.01</v>
      </c>
      <c r="J36" s="64">
        <v>0.56000000000000005</v>
      </c>
      <c r="K36" s="64">
        <v>336.14</v>
      </c>
      <c r="L36" s="64">
        <v>17.899999999999999</v>
      </c>
      <c r="M36" s="64">
        <v>71.69</v>
      </c>
      <c r="N36" s="64">
        <v>106.8</v>
      </c>
      <c r="O36" s="64">
        <v>0</v>
      </c>
      <c r="P36" s="64">
        <v>0.85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47" t="s">
        <v>368</v>
      </c>
      <c r="B37" s="64">
        <v>57.07</v>
      </c>
      <c r="C37" s="64">
        <v>78.45</v>
      </c>
      <c r="D37" s="64">
        <v>85.37</v>
      </c>
      <c r="E37" s="64">
        <v>4.76</v>
      </c>
      <c r="F37" s="64">
        <v>6.96</v>
      </c>
      <c r="G37" s="64">
        <v>89.48</v>
      </c>
      <c r="H37" s="64">
        <v>28.83</v>
      </c>
      <c r="I37" s="64">
        <v>4.09</v>
      </c>
      <c r="J37" s="64">
        <v>0.19</v>
      </c>
      <c r="K37" s="64">
        <v>263.2</v>
      </c>
      <c r="L37" s="64">
        <v>18.53</v>
      </c>
      <c r="M37" s="64">
        <v>68.45</v>
      </c>
      <c r="N37" s="64">
        <v>144</v>
      </c>
      <c r="O37" s="64">
        <v>0</v>
      </c>
      <c r="P37" s="64">
        <v>0.88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47" t="s">
        <v>369</v>
      </c>
      <c r="B38" s="64">
        <v>52.84</v>
      </c>
      <c r="C38" s="64">
        <v>75.069999999999993</v>
      </c>
      <c r="D38" s="64">
        <v>80.22</v>
      </c>
      <c r="E38" s="64">
        <v>4.78</v>
      </c>
      <c r="F38" s="64">
        <v>7.53</v>
      </c>
      <c r="G38" s="64">
        <v>95.22</v>
      </c>
      <c r="H38" s="64">
        <v>29.19</v>
      </c>
      <c r="I38" s="64">
        <v>4.16</v>
      </c>
      <c r="J38" s="64">
        <v>0.87</v>
      </c>
      <c r="K38" s="64">
        <v>175.11</v>
      </c>
      <c r="L38" s="64">
        <v>19.68</v>
      </c>
      <c r="M38" s="64">
        <v>59.68</v>
      </c>
      <c r="N38" s="64">
        <v>184.9</v>
      </c>
      <c r="O38" s="64">
        <v>0</v>
      </c>
      <c r="P38" s="64">
        <v>0.91</v>
      </c>
      <c r="Q38" s="64">
        <v>9.58</v>
      </c>
      <c r="R38" s="198"/>
      <c r="S38" s="198"/>
      <c r="T38" s="198"/>
      <c r="U38" s="198"/>
    </row>
    <row r="39" spans="1:21" s="12" customFormat="1" x14ac:dyDescent="0.25">
      <c r="A39" s="247" t="s">
        <v>370</v>
      </c>
      <c r="B39" s="64">
        <v>40.76</v>
      </c>
      <c r="C39" s="64">
        <v>70.37</v>
      </c>
      <c r="D39" s="64">
        <v>68.08</v>
      </c>
      <c r="E39" s="64">
        <v>5.38</v>
      </c>
      <c r="F39" s="64">
        <v>10.199999999999999</v>
      </c>
      <c r="G39" s="64">
        <v>95.22</v>
      </c>
      <c r="H39" s="64">
        <v>29.19</v>
      </c>
      <c r="I39" s="64">
        <v>4.0199999999999996</v>
      </c>
      <c r="J39" s="64">
        <v>0.83</v>
      </c>
      <c r="K39" s="64">
        <v>205.89</v>
      </c>
      <c r="L39" s="64">
        <v>20.27</v>
      </c>
      <c r="M39" s="64">
        <v>56.72</v>
      </c>
      <c r="N39" s="64">
        <v>229.5</v>
      </c>
      <c r="O39" s="64">
        <v>0</v>
      </c>
      <c r="P39" s="64">
        <v>0.86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47" t="s">
        <v>371</v>
      </c>
      <c r="B40" s="64">
        <v>42.09</v>
      </c>
      <c r="C40" s="64">
        <v>71.3</v>
      </c>
      <c r="D40" s="64">
        <v>69.63</v>
      </c>
      <c r="E40" s="64">
        <v>5.59</v>
      </c>
      <c r="F40" s="64">
        <v>9.4</v>
      </c>
      <c r="G40" s="64">
        <v>95.22</v>
      </c>
      <c r="H40" s="64">
        <v>29.19</v>
      </c>
      <c r="I40" s="64">
        <v>4.0599999999999996</v>
      </c>
      <c r="J40" s="64">
        <v>1.22</v>
      </c>
      <c r="K40" s="64">
        <v>175.28</v>
      </c>
      <c r="L40" s="64">
        <v>20.170000000000002</v>
      </c>
      <c r="M40" s="64">
        <v>57.57</v>
      </c>
      <c r="N40" s="64">
        <v>279</v>
      </c>
      <c r="O40" s="64">
        <v>0</v>
      </c>
      <c r="P40" s="64">
        <v>0.87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47" t="s">
        <v>372</v>
      </c>
      <c r="B41" s="64">
        <v>39.53</v>
      </c>
      <c r="C41" s="64">
        <v>69.97</v>
      </c>
      <c r="D41" s="64">
        <v>66.88</v>
      </c>
      <c r="E41" s="64">
        <v>4.91</v>
      </c>
      <c r="F41" s="64">
        <v>8.48</v>
      </c>
      <c r="G41" s="64">
        <v>93.69</v>
      </c>
      <c r="H41" s="64">
        <v>29.86</v>
      </c>
      <c r="I41" s="64">
        <v>4.1399999999999997</v>
      </c>
      <c r="J41" s="64">
        <v>1.08</v>
      </c>
      <c r="K41" s="64">
        <v>181.62</v>
      </c>
      <c r="L41" s="64">
        <v>20.79</v>
      </c>
      <c r="M41" s="64">
        <v>56.39</v>
      </c>
      <c r="N41" s="64">
        <v>319.89999999999998</v>
      </c>
      <c r="O41" s="64">
        <v>0</v>
      </c>
      <c r="P41" s="64">
        <v>0.83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47" t="s">
        <v>373</v>
      </c>
      <c r="B42" s="64">
        <v>36.520000000000003</v>
      </c>
      <c r="C42" s="64">
        <v>70.44</v>
      </c>
      <c r="D42" s="64">
        <v>64.709999999999994</v>
      </c>
      <c r="E42" s="64">
        <v>5.28</v>
      </c>
      <c r="F42" s="64">
        <v>8.6199999999999992</v>
      </c>
      <c r="G42" s="64">
        <v>91.03</v>
      </c>
      <c r="H42" s="64">
        <v>31.01</v>
      </c>
      <c r="I42" s="64">
        <v>3.97</v>
      </c>
      <c r="J42" s="64">
        <v>2.0099999999999998</v>
      </c>
      <c r="K42" s="64">
        <v>154.04</v>
      </c>
      <c r="L42" s="64">
        <v>21.44</v>
      </c>
      <c r="M42" s="64">
        <v>54.33</v>
      </c>
      <c r="N42" s="64">
        <v>366.1</v>
      </c>
      <c r="O42" s="64">
        <v>0</v>
      </c>
      <c r="P42" s="64">
        <v>0.83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47" t="s">
        <v>374</v>
      </c>
      <c r="B43" s="64">
        <v>36.64</v>
      </c>
      <c r="C43" s="64">
        <v>69.63</v>
      </c>
      <c r="D43" s="64">
        <v>64.39</v>
      </c>
      <c r="E43" s="64">
        <v>5.2</v>
      </c>
      <c r="F43" s="64">
        <v>7.28</v>
      </c>
      <c r="G43" s="64">
        <v>91.03</v>
      </c>
      <c r="H43" s="64">
        <v>31.01</v>
      </c>
      <c r="I43" s="64">
        <v>3.85</v>
      </c>
      <c r="J43" s="64">
        <v>2.34</v>
      </c>
      <c r="K43" s="64">
        <v>153.05000000000001</v>
      </c>
      <c r="L43" s="64">
        <v>22.12</v>
      </c>
      <c r="M43" s="64">
        <v>52.47</v>
      </c>
      <c r="N43" s="64">
        <v>419.4</v>
      </c>
      <c r="O43" s="64">
        <v>0</v>
      </c>
      <c r="P43" s="64">
        <v>0.84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47" t="s">
        <v>375</v>
      </c>
      <c r="B44" s="64">
        <v>33.43</v>
      </c>
      <c r="C44" s="64">
        <v>72.77</v>
      </c>
      <c r="D44" s="64">
        <v>63.45</v>
      </c>
      <c r="E44" s="64">
        <v>5.07</v>
      </c>
      <c r="F44" s="64">
        <v>8.67</v>
      </c>
      <c r="G44" s="64">
        <v>91.03</v>
      </c>
      <c r="H44" s="64">
        <v>31.01</v>
      </c>
      <c r="I44" s="64">
        <v>4.04</v>
      </c>
      <c r="J44" s="64">
        <v>2.15</v>
      </c>
      <c r="K44" s="64">
        <v>154.94</v>
      </c>
      <c r="L44" s="64">
        <v>22.64</v>
      </c>
      <c r="M44" s="64">
        <v>51.61</v>
      </c>
      <c r="N44" s="64">
        <v>463.6</v>
      </c>
      <c r="O44" s="64">
        <v>0</v>
      </c>
      <c r="P44" s="64">
        <v>0.82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47" t="s">
        <v>376</v>
      </c>
      <c r="B45" s="64">
        <v>28.56</v>
      </c>
      <c r="C45" s="64">
        <v>72.319999999999993</v>
      </c>
      <c r="D45" s="64">
        <v>59.31</v>
      </c>
      <c r="E45" s="64">
        <v>5.47</v>
      </c>
      <c r="F45" s="64">
        <v>10.47</v>
      </c>
      <c r="G45" s="64">
        <v>88.56</v>
      </c>
      <c r="H45" s="64">
        <v>30.87</v>
      </c>
      <c r="I45" s="64">
        <v>4.01</v>
      </c>
      <c r="J45" s="64">
        <v>1.8</v>
      </c>
      <c r="K45" s="64">
        <v>156.66</v>
      </c>
      <c r="L45" s="64">
        <v>23.44</v>
      </c>
      <c r="M45" s="64">
        <v>49.55</v>
      </c>
      <c r="N45" s="64">
        <v>495.9</v>
      </c>
      <c r="O45" s="64">
        <v>0</v>
      </c>
      <c r="P45" s="64">
        <v>0.8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47" t="s">
        <v>377</v>
      </c>
      <c r="B46" s="64">
        <v>27.31</v>
      </c>
      <c r="C46" s="64">
        <v>72.930000000000007</v>
      </c>
      <c r="D46" s="64">
        <v>58.63</v>
      </c>
      <c r="E46" s="64">
        <v>5.41</v>
      </c>
      <c r="F46" s="64">
        <v>8.99</v>
      </c>
      <c r="G46" s="64">
        <v>84.29</v>
      </c>
      <c r="H46" s="64">
        <v>30.62</v>
      </c>
      <c r="I46" s="64">
        <v>4.0199999999999996</v>
      </c>
      <c r="J46" s="64">
        <v>1.31</v>
      </c>
      <c r="K46" s="64">
        <v>151.24</v>
      </c>
      <c r="L46" s="64">
        <v>24.22</v>
      </c>
      <c r="M46" s="64">
        <v>48.16</v>
      </c>
      <c r="N46" s="64">
        <v>538</v>
      </c>
      <c r="O46" s="64">
        <v>0</v>
      </c>
      <c r="P46" s="64">
        <v>0.8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47" t="s">
        <v>378</v>
      </c>
      <c r="B47" s="64">
        <v>25.53</v>
      </c>
      <c r="C47" s="64">
        <v>71.12</v>
      </c>
      <c r="D47" s="64">
        <v>56.25</v>
      </c>
      <c r="E47" s="64">
        <v>6.1</v>
      </c>
      <c r="F47" s="64">
        <v>7.8</v>
      </c>
      <c r="G47" s="64">
        <v>84.29</v>
      </c>
      <c r="H47" s="64">
        <v>30.62</v>
      </c>
      <c r="I47" s="64">
        <v>3.95</v>
      </c>
      <c r="J47" s="64">
        <v>1.21</v>
      </c>
      <c r="K47" s="64">
        <v>174.92</v>
      </c>
      <c r="L47" s="64">
        <v>25.17</v>
      </c>
      <c r="M47" s="64">
        <v>45.13</v>
      </c>
      <c r="N47" s="64">
        <v>592.6</v>
      </c>
      <c r="O47" s="64">
        <v>0</v>
      </c>
      <c r="P47" s="64">
        <v>0.79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47" t="s">
        <v>379</v>
      </c>
      <c r="B48" s="64">
        <v>22.58</v>
      </c>
      <c r="C48" s="64">
        <v>73.22</v>
      </c>
      <c r="D48" s="64">
        <v>54.99</v>
      </c>
      <c r="E48" s="64">
        <v>5.78</v>
      </c>
      <c r="F48" s="64">
        <v>8.0399999999999991</v>
      </c>
      <c r="G48" s="64">
        <v>84.29</v>
      </c>
      <c r="H48" s="64">
        <v>30.62</v>
      </c>
      <c r="I48" s="64">
        <v>4.04</v>
      </c>
      <c r="J48" s="64">
        <v>1.0900000000000001</v>
      </c>
      <c r="K48" s="64">
        <v>170.66</v>
      </c>
      <c r="L48" s="64">
        <v>26.04</v>
      </c>
      <c r="M48" s="64">
        <v>42.78</v>
      </c>
      <c r="N48" s="64">
        <v>632.20000000000005</v>
      </c>
      <c r="O48" s="64">
        <v>0</v>
      </c>
      <c r="P48" s="64">
        <v>0.79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47" t="s">
        <v>380</v>
      </c>
      <c r="B49" s="64">
        <v>18.27</v>
      </c>
      <c r="C49" s="64">
        <v>74.27</v>
      </c>
      <c r="D49" s="64">
        <v>52.08</v>
      </c>
      <c r="E49" s="64">
        <v>5.78</v>
      </c>
      <c r="F49" s="64">
        <v>8.7100000000000009</v>
      </c>
      <c r="G49" s="64">
        <v>82.31</v>
      </c>
      <c r="H49" s="64">
        <v>30.67</v>
      </c>
      <c r="I49" s="64">
        <v>3.99</v>
      </c>
      <c r="J49" s="64">
        <v>1.22</v>
      </c>
      <c r="K49" s="64">
        <v>214.07</v>
      </c>
      <c r="L49" s="64">
        <v>26.42</v>
      </c>
      <c r="M49" s="64">
        <v>41.45</v>
      </c>
      <c r="N49" s="64">
        <v>658</v>
      </c>
      <c r="O49" s="64">
        <v>0</v>
      </c>
      <c r="P49" s="64">
        <v>0.77</v>
      </c>
      <c r="Q49" s="64">
        <v>9.52</v>
      </c>
      <c r="R49" s="198"/>
      <c r="S49" s="198"/>
      <c r="T49" s="198"/>
      <c r="U49" s="198"/>
    </row>
    <row r="50" spans="1:21" s="12" customFormat="1" x14ac:dyDescent="0.25">
      <c r="A50" s="247" t="s">
        <v>381</v>
      </c>
      <c r="B50" s="64">
        <v>13.38</v>
      </c>
      <c r="C50" s="64">
        <v>75.17</v>
      </c>
      <c r="D50" s="64">
        <v>48.62</v>
      </c>
      <c r="E50" s="64">
        <v>5.94</v>
      </c>
      <c r="F50" s="64">
        <v>10.7</v>
      </c>
      <c r="G50" s="64">
        <v>78.88</v>
      </c>
      <c r="H50" s="64">
        <v>30.74</v>
      </c>
      <c r="I50" s="64">
        <v>4.05</v>
      </c>
      <c r="J50" s="64">
        <v>1.04</v>
      </c>
      <c r="K50" s="64">
        <v>179.55</v>
      </c>
      <c r="L50" s="64">
        <v>26.76</v>
      </c>
      <c r="M50" s="64">
        <v>42.86</v>
      </c>
      <c r="N50" s="64">
        <v>694.9</v>
      </c>
      <c r="O50" s="64">
        <v>0</v>
      </c>
      <c r="P50" s="64">
        <v>0.74</v>
      </c>
      <c r="Q50" s="64">
        <v>9.52</v>
      </c>
      <c r="R50" s="198"/>
      <c r="S50" s="198"/>
      <c r="T50" s="198"/>
      <c r="U50" s="198"/>
    </row>
    <row r="51" spans="1:21" s="12" customFormat="1" x14ac:dyDescent="0.25">
      <c r="A51" s="247" t="s">
        <v>382</v>
      </c>
      <c r="B51" s="64">
        <v>9.8800000000000008</v>
      </c>
      <c r="C51" s="64">
        <v>75.3</v>
      </c>
      <c r="D51" s="64">
        <v>45.89</v>
      </c>
      <c r="E51" s="64">
        <v>6</v>
      </c>
      <c r="F51" s="64">
        <v>10.83</v>
      </c>
      <c r="G51" s="64">
        <v>78.88</v>
      </c>
      <c r="H51" s="64">
        <v>30.74</v>
      </c>
      <c r="I51" s="64">
        <v>3.87</v>
      </c>
      <c r="J51" s="64">
        <v>0.73</v>
      </c>
      <c r="K51" s="64">
        <v>194.72</v>
      </c>
      <c r="L51" s="64">
        <v>28.11</v>
      </c>
      <c r="M51" s="64">
        <v>38.659999999999997</v>
      </c>
      <c r="N51" s="64">
        <v>736.3</v>
      </c>
      <c r="O51" s="64">
        <v>0</v>
      </c>
      <c r="P51" s="64">
        <v>0.72</v>
      </c>
      <c r="Q51" s="64">
        <v>9.49</v>
      </c>
      <c r="R51" s="198"/>
      <c r="S51" s="198"/>
      <c r="T51" s="198"/>
      <c r="U51" s="198"/>
    </row>
    <row r="52" spans="1:21" s="12" customFormat="1" x14ac:dyDescent="0.25">
      <c r="A52" s="247" t="s">
        <v>383</v>
      </c>
      <c r="B52" s="64">
        <v>7.91</v>
      </c>
      <c r="C52" s="64">
        <v>75.349999999999994</v>
      </c>
      <c r="D52" s="64">
        <v>44.33</v>
      </c>
      <c r="E52" s="64">
        <v>5.8</v>
      </c>
      <c r="F52" s="64">
        <v>11.38</v>
      </c>
      <c r="G52" s="64">
        <v>78.88</v>
      </c>
      <c r="H52" s="64">
        <v>30.74</v>
      </c>
      <c r="I52" s="64">
        <v>3.9</v>
      </c>
      <c r="J52" s="64">
        <v>0.91</v>
      </c>
      <c r="K52" s="64">
        <v>207.32</v>
      </c>
      <c r="L52" s="64">
        <v>28.82</v>
      </c>
      <c r="M52" s="64">
        <v>35.549999999999997</v>
      </c>
      <c r="N52" s="64">
        <v>760.2</v>
      </c>
      <c r="O52" s="64">
        <v>0</v>
      </c>
      <c r="P52" s="64">
        <v>0.69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47" t="s">
        <v>384</v>
      </c>
      <c r="B53" s="64">
        <v>6.21</v>
      </c>
      <c r="C53" s="64">
        <v>74.02</v>
      </c>
      <c r="D53" s="64">
        <v>42.28</v>
      </c>
      <c r="E53" s="64">
        <v>5.95</v>
      </c>
      <c r="F53" s="64">
        <v>13.21</v>
      </c>
      <c r="G53" s="64">
        <v>77.52</v>
      </c>
      <c r="H53" s="64">
        <v>28.87</v>
      </c>
      <c r="I53" s="64">
        <v>3.87</v>
      </c>
      <c r="J53" s="64">
        <v>0.74</v>
      </c>
      <c r="K53" s="64">
        <v>230.35</v>
      </c>
      <c r="L53" s="64">
        <v>29.71</v>
      </c>
      <c r="M53" s="64">
        <v>32.270000000000003</v>
      </c>
      <c r="N53" s="64">
        <v>777.9</v>
      </c>
      <c r="O53" s="64">
        <v>0</v>
      </c>
      <c r="P53" s="64">
        <v>0.65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47" t="s">
        <v>385</v>
      </c>
      <c r="B54" s="64">
        <v>5.19</v>
      </c>
      <c r="C54" s="64">
        <v>72.23</v>
      </c>
      <c r="D54" s="64">
        <v>40.520000000000003</v>
      </c>
      <c r="E54" s="64">
        <v>5.61</v>
      </c>
      <c r="F54" s="64">
        <v>10.85</v>
      </c>
      <c r="G54" s="64">
        <v>75.16</v>
      </c>
      <c r="H54" s="64">
        <v>25.63</v>
      </c>
      <c r="I54" s="64">
        <v>4.09</v>
      </c>
      <c r="J54" s="64">
        <v>0.72</v>
      </c>
      <c r="K54" s="64">
        <v>247.56</v>
      </c>
      <c r="L54" s="64">
        <v>30.52</v>
      </c>
      <c r="M54" s="64">
        <v>31.16</v>
      </c>
      <c r="N54" s="64">
        <v>766.2</v>
      </c>
      <c r="O54" s="64">
        <v>0</v>
      </c>
      <c r="P54" s="64">
        <v>0.64</v>
      </c>
      <c r="Q54" s="64">
        <v>9.42</v>
      </c>
      <c r="R54" s="198"/>
      <c r="S54" s="198"/>
      <c r="T54" s="198"/>
      <c r="U54" s="198"/>
    </row>
    <row r="55" spans="1:21" s="12" customFormat="1" x14ac:dyDescent="0.25">
      <c r="A55" s="247" t="s">
        <v>386</v>
      </c>
      <c r="B55" s="64">
        <v>4.5599999999999996</v>
      </c>
      <c r="C55" s="64">
        <v>70.989999999999995</v>
      </c>
      <c r="D55" s="64">
        <v>39.369999999999997</v>
      </c>
      <c r="E55" s="64">
        <v>5.77</v>
      </c>
      <c r="F55" s="64">
        <v>11.42</v>
      </c>
      <c r="G55" s="64">
        <v>75.16</v>
      </c>
      <c r="H55" s="64">
        <v>25.63</v>
      </c>
      <c r="I55" s="64">
        <v>4</v>
      </c>
      <c r="J55" s="64">
        <v>1.25</v>
      </c>
      <c r="K55" s="64">
        <v>226.01</v>
      </c>
      <c r="L55" s="64">
        <v>29.44</v>
      </c>
      <c r="M55" s="64">
        <v>33.1</v>
      </c>
      <c r="N55" s="64">
        <v>725.2</v>
      </c>
      <c r="O55" s="64">
        <v>0</v>
      </c>
      <c r="P55" s="64">
        <v>0.62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47" t="s">
        <v>387</v>
      </c>
      <c r="B56" s="64">
        <v>4.3</v>
      </c>
      <c r="C56" s="64">
        <v>69.13</v>
      </c>
      <c r="D56" s="64">
        <v>38.19</v>
      </c>
      <c r="E56" s="64">
        <v>5.47</v>
      </c>
      <c r="F56" s="64">
        <v>11.61</v>
      </c>
      <c r="G56" s="64">
        <v>75.16</v>
      </c>
      <c r="H56" s="64">
        <v>25.63</v>
      </c>
      <c r="I56" s="64">
        <v>4.1900000000000004</v>
      </c>
      <c r="J56" s="64">
        <v>1.07</v>
      </c>
      <c r="K56" s="64">
        <v>235.19</v>
      </c>
      <c r="L56" s="64">
        <v>30.23</v>
      </c>
      <c r="M56" s="64">
        <v>31.73</v>
      </c>
      <c r="N56" s="64">
        <v>714.3</v>
      </c>
      <c r="O56" s="64">
        <v>0</v>
      </c>
      <c r="P56" s="64">
        <v>0.59</v>
      </c>
      <c r="Q56" s="64">
        <v>9.35</v>
      </c>
      <c r="R56" s="198"/>
      <c r="S56" s="198"/>
      <c r="T56" s="198"/>
      <c r="U56" s="198"/>
    </row>
    <row r="57" spans="1:21" s="12" customFormat="1" x14ac:dyDescent="0.25">
      <c r="A57" s="247" t="s">
        <v>388</v>
      </c>
      <c r="B57" s="64">
        <v>4.47</v>
      </c>
      <c r="C57" s="64">
        <v>65.08</v>
      </c>
      <c r="D57" s="64">
        <v>36.21</v>
      </c>
      <c r="E57" s="64">
        <v>6.67</v>
      </c>
      <c r="F57" s="64">
        <v>13.08</v>
      </c>
      <c r="G57" s="64">
        <v>71.84</v>
      </c>
      <c r="H57" s="64">
        <v>25.58</v>
      </c>
      <c r="I57" s="64">
        <v>3.99</v>
      </c>
      <c r="J57" s="64">
        <v>0.98</v>
      </c>
      <c r="K57" s="64">
        <v>274.22000000000003</v>
      </c>
      <c r="L57" s="64">
        <v>30.44</v>
      </c>
      <c r="M57" s="64">
        <v>30.83</v>
      </c>
      <c r="N57" s="64">
        <v>703.9</v>
      </c>
      <c r="O57" s="64">
        <v>0</v>
      </c>
      <c r="P57" s="64">
        <v>0.56999999999999995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47" t="s">
        <v>389</v>
      </c>
      <c r="B58" s="64">
        <v>4.1399999999999997</v>
      </c>
      <c r="C58" s="64">
        <v>62.71</v>
      </c>
      <c r="D58" s="64">
        <v>34.71</v>
      </c>
      <c r="E58" s="64">
        <v>6.94</v>
      </c>
      <c r="F58" s="64">
        <v>16.64</v>
      </c>
      <c r="G58" s="64">
        <v>66.12</v>
      </c>
      <c r="H58" s="64">
        <v>25.5</v>
      </c>
      <c r="I58" s="64">
        <v>4.04</v>
      </c>
      <c r="J58" s="64">
        <v>0.93</v>
      </c>
      <c r="K58" s="64">
        <v>220.3</v>
      </c>
      <c r="L58" s="64">
        <v>30.78</v>
      </c>
      <c r="M58" s="64">
        <v>30.35</v>
      </c>
      <c r="N58" s="64">
        <v>620.1</v>
      </c>
      <c r="O58" s="64">
        <v>0</v>
      </c>
      <c r="P58" s="64">
        <v>0.54</v>
      </c>
      <c r="Q58" s="64">
        <v>9.2799999999999994</v>
      </c>
      <c r="R58" s="198"/>
      <c r="S58" s="198"/>
      <c r="T58" s="198"/>
      <c r="U58" s="198"/>
    </row>
    <row r="59" spans="1:21" s="12" customFormat="1" x14ac:dyDescent="0.25">
      <c r="A59" s="247" t="s">
        <v>390</v>
      </c>
      <c r="B59" s="64">
        <v>4.25</v>
      </c>
      <c r="C59" s="64">
        <v>64.010000000000005</v>
      </c>
      <c r="D59" s="64">
        <v>35.47</v>
      </c>
      <c r="E59" s="64">
        <v>9.11</v>
      </c>
      <c r="F59" s="64">
        <v>16.260000000000002</v>
      </c>
      <c r="G59" s="64">
        <v>66.12</v>
      </c>
      <c r="H59" s="64">
        <v>25.5</v>
      </c>
      <c r="I59" s="64">
        <v>4.0199999999999996</v>
      </c>
      <c r="J59" s="64">
        <v>0.82</v>
      </c>
      <c r="K59" s="64">
        <v>248.88</v>
      </c>
      <c r="L59" s="64">
        <v>30.98</v>
      </c>
      <c r="M59" s="64">
        <v>29.68</v>
      </c>
      <c r="N59" s="64">
        <v>613.79999999999995</v>
      </c>
      <c r="O59" s="64">
        <v>0</v>
      </c>
      <c r="P59" s="64">
        <v>0.53</v>
      </c>
      <c r="Q59" s="64">
        <v>9.27</v>
      </c>
      <c r="R59" s="198"/>
      <c r="S59" s="198"/>
      <c r="T59" s="198"/>
      <c r="U59" s="198"/>
    </row>
    <row r="60" spans="1:21" s="12" customFormat="1" x14ac:dyDescent="0.25">
      <c r="A60" s="247" t="s">
        <v>391</v>
      </c>
      <c r="B60" s="64">
        <v>4.3</v>
      </c>
      <c r="C60" s="64">
        <v>64.040000000000006</v>
      </c>
      <c r="D60" s="64">
        <v>35.53</v>
      </c>
      <c r="E60" s="64">
        <v>6.68</v>
      </c>
      <c r="F60" s="64">
        <v>13.33</v>
      </c>
      <c r="G60" s="64">
        <v>66.12</v>
      </c>
      <c r="H60" s="64">
        <v>25.5</v>
      </c>
      <c r="I60" s="64">
        <v>3.91</v>
      </c>
      <c r="J60" s="64">
        <v>1.04</v>
      </c>
      <c r="K60" s="64">
        <v>285.32</v>
      </c>
      <c r="L60" s="64">
        <v>31.75</v>
      </c>
      <c r="M60" s="64">
        <v>28.55</v>
      </c>
      <c r="N60" s="64">
        <v>584</v>
      </c>
      <c r="O60" s="64">
        <v>0</v>
      </c>
      <c r="P60" s="64">
        <v>0.52</v>
      </c>
      <c r="Q60" s="64">
        <v>9.26</v>
      </c>
      <c r="R60" s="198"/>
      <c r="S60" s="198"/>
      <c r="T60" s="198"/>
      <c r="U60" s="198"/>
    </row>
    <row r="61" spans="1:21" s="12" customFormat="1" x14ac:dyDescent="0.25">
      <c r="A61" s="247" t="s">
        <v>392</v>
      </c>
      <c r="B61" s="64">
        <v>4.24</v>
      </c>
      <c r="C61" s="64">
        <v>63.53</v>
      </c>
      <c r="D61" s="64">
        <v>35.22</v>
      </c>
      <c r="E61" s="64">
        <v>7.45</v>
      </c>
      <c r="F61" s="64">
        <v>14.14</v>
      </c>
      <c r="G61" s="64">
        <v>65.56</v>
      </c>
      <c r="H61" s="64">
        <v>25.81</v>
      </c>
      <c r="I61" s="64">
        <v>4.01</v>
      </c>
      <c r="J61" s="64">
        <v>0.83</v>
      </c>
      <c r="K61" s="64">
        <v>280.44</v>
      </c>
      <c r="L61" s="64">
        <v>32.01</v>
      </c>
      <c r="M61" s="64">
        <v>27.99</v>
      </c>
      <c r="N61" s="64">
        <v>608.79999999999995</v>
      </c>
      <c r="O61" s="64">
        <v>0</v>
      </c>
      <c r="P61" s="64">
        <v>0.56000000000000005</v>
      </c>
      <c r="Q61" s="64">
        <v>9.24</v>
      </c>
      <c r="R61" s="198"/>
      <c r="S61" s="198"/>
      <c r="T61" s="198"/>
      <c r="U61" s="198"/>
    </row>
    <row r="62" spans="1:21" s="12" customFormat="1" x14ac:dyDescent="0.25">
      <c r="A62" s="247" t="s">
        <v>393</v>
      </c>
      <c r="B62" s="64">
        <v>4.2</v>
      </c>
      <c r="C62" s="64">
        <v>63.14</v>
      </c>
      <c r="D62" s="64">
        <v>34.979999999999997</v>
      </c>
      <c r="E62" s="64">
        <v>6.97</v>
      </c>
      <c r="F62" s="64">
        <v>15.08</v>
      </c>
      <c r="G62" s="64">
        <v>64.599999999999994</v>
      </c>
      <c r="H62" s="64">
        <v>26.34</v>
      </c>
      <c r="I62" s="64">
        <v>4.04</v>
      </c>
      <c r="J62" s="64">
        <v>0.87</v>
      </c>
      <c r="K62" s="64">
        <v>266.77</v>
      </c>
      <c r="L62" s="64">
        <v>32.22</v>
      </c>
      <c r="M62" s="64">
        <v>25.77</v>
      </c>
      <c r="N62" s="64">
        <v>635.5</v>
      </c>
      <c r="O62" s="64">
        <v>0</v>
      </c>
      <c r="P62" s="64">
        <v>0.59</v>
      </c>
      <c r="Q62" s="64">
        <v>9.2200000000000006</v>
      </c>
      <c r="R62" s="198"/>
      <c r="S62" s="198"/>
      <c r="T62" s="198"/>
      <c r="U62" s="198"/>
    </row>
    <row r="63" spans="1:21" s="12" customFormat="1" x14ac:dyDescent="0.25">
      <c r="A63" s="247" t="s">
        <v>394</v>
      </c>
      <c r="B63" s="64">
        <v>4.17</v>
      </c>
      <c r="C63" s="64">
        <v>62.81</v>
      </c>
      <c r="D63" s="64">
        <v>34.78</v>
      </c>
      <c r="E63" s="64">
        <v>6.61</v>
      </c>
      <c r="F63" s="64">
        <v>13.38</v>
      </c>
      <c r="G63" s="64">
        <v>64.599999999999994</v>
      </c>
      <c r="H63" s="64">
        <v>26.34</v>
      </c>
      <c r="I63" s="64">
        <v>4</v>
      </c>
      <c r="J63" s="64">
        <v>1.2</v>
      </c>
      <c r="K63" s="64">
        <v>285.47000000000003</v>
      </c>
      <c r="L63" s="64">
        <v>32.299999999999997</v>
      </c>
      <c r="M63" s="64">
        <v>25.24</v>
      </c>
      <c r="N63" s="64">
        <v>624.4</v>
      </c>
      <c r="O63" s="64">
        <v>0</v>
      </c>
      <c r="P63" s="64">
        <v>0.59</v>
      </c>
      <c r="Q63" s="64">
        <v>9.2200000000000006</v>
      </c>
      <c r="R63" s="198"/>
      <c r="S63" s="198"/>
      <c r="T63" s="198"/>
      <c r="U63" s="198"/>
    </row>
    <row r="64" spans="1:21" s="12" customFormat="1" x14ac:dyDescent="0.25">
      <c r="A64" s="247" t="s">
        <v>395</v>
      </c>
      <c r="B64" s="64">
        <v>4.1100000000000003</v>
      </c>
      <c r="C64" s="64">
        <v>64.56</v>
      </c>
      <c r="D64" s="64">
        <v>35.65</v>
      </c>
      <c r="E64" s="64">
        <v>6</v>
      </c>
      <c r="F64" s="64">
        <v>12.31</v>
      </c>
      <c r="G64" s="64">
        <v>64.599999999999994</v>
      </c>
      <c r="H64" s="64">
        <v>26.34</v>
      </c>
      <c r="I64" s="64">
        <v>4.01</v>
      </c>
      <c r="J64" s="64">
        <v>0.9</v>
      </c>
      <c r="K64" s="64">
        <v>288.24</v>
      </c>
      <c r="L64" s="64">
        <v>32.24</v>
      </c>
      <c r="M64" s="64">
        <v>25.42</v>
      </c>
      <c r="N64" s="64">
        <v>539.1</v>
      </c>
      <c r="O64" s="64">
        <v>0</v>
      </c>
      <c r="P64" s="64">
        <v>0.59</v>
      </c>
      <c r="Q64" s="64">
        <v>9.19</v>
      </c>
      <c r="R64" s="198"/>
      <c r="S64" s="198"/>
      <c r="T64" s="198"/>
      <c r="U64" s="198"/>
    </row>
    <row r="65" spans="1:21" s="12" customFormat="1" x14ac:dyDescent="0.25">
      <c r="A65" s="247" t="s">
        <v>396</v>
      </c>
      <c r="B65" s="64">
        <v>3.99</v>
      </c>
      <c r="C65" s="64">
        <v>64.069999999999993</v>
      </c>
      <c r="D65" s="64">
        <v>35.29</v>
      </c>
      <c r="E65" s="64">
        <v>5.62</v>
      </c>
      <c r="F65" s="64">
        <v>12.21</v>
      </c>
      <c r="G65" s="64">
        <v>64.41</v>
      </c>
      <c r="H65" s="64">
        <v>23.62</v>
      </c>
      <c r="I65" s="64">
        <v>4.0599999999999996</v>
      </c>
      <c r="J65" s="64">
        <v>1.25</v>
      </c>
      <c r="K65" s="64">
        <v>290.27999999999997</v>
      </c>
      <c r="L65" s="64">
        <v>32.840000000000003</v>
      </c>
      <c r="M65" s="64">
        <v>24.82</v>
      </c>
      <c r="N65" s="64">
        <v>625.29999999999995</v>
      </c>
      <c r="O65" s="64">
        <v>0</v>
      </c>
      <c r="P65" s="64">
        <v>0.59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47" t="s">
        <v>397</v>
      </c>
      <c r="B66" s="64">
        <v>4.1100000000000003</v>
      </c>
      <c r="C66" s="64">
        <v>63.44</v>
      </c>
      <c r="D66" s="64">
        <v>35.06</v>
      </c>
      <c r="E66" s="64">
        <v>5.93</v>
      </c>
      <c r="F66" s="64">
        <v>13.19</v>
      </c>
      <c r="G66" s="64">
        <v>64.08</v>
      </c>
      <c r="H66" s="64">
        <v>18.93</v>
      </c>
      <c r="I66" s="64">
        <v>3.95</v>
      </c>
      <c r="J66" s="64">
        <v>0.83</v>
      </c>
      <c r="K66" s="64">
        <v>280.89999999999998</v>
      </c>
      <c r="L66" s="64">
        <v>32.32</v>
      </c>
      <c r="M66" s="64">
        <v>24.22</v>
      </c>
      <c r="N66" s="64">
        <v>551.9</v>
      </c>
      <c r="O66" s="64">
        <v>0</v>
      </c>
      <c r="P66" s="64">
        <v>0.57999999999999996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47" t="s">
        <v>398</v>
      </c>
      <c r="B67" s="64">
        <v>4.1399999999999997</v>
      </c>
      <c r="C67" s="64">
        <v>62.08</v>
      </c>
      <c r="D67" s="64">
        <v>34.380000000000003</v>
      </c>
      <c r="E67" s="64">
        <v>5.85</v>
      </c>
      <c r="F67" s="64">
        <v>13.86</v>
      </c>
      <c r="G67" s="64">
        <v>64.08</v>
      </c>
      <c r="H67" s="64">
        <v>18.93</v>
      </c>
      <c r="I67" s="64">
        <v>4.1100000000000003</v>
      </c>
      <c r="J67" s="64">
        <v>1.4</v>
      </c>
      <c r="K67" s="64">
        <v>295.29000000000002</v>
      </c>
      <c r="L67" s="64">
        <v>32.090000000000003</v>
      </c>
      <c r="M67" s="64">
        <v>26</v>
      </c>
      <c r="N67" s="64">
        <v>361.1</v>
      </c>
      <c r="O67" s="64">
        <v>0</v>
      </c>
      <c r="P67" s="64">
        <v>0.56000000000000005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47" t="s">
        <v>399</v>
      </c>
      <c r="B68" s="64">
        <v>4.01</v>
      </c>
      <c r="C68" s="64">
        <v>60.86</v>
      </c>
      <c r="D68" s="64">
        <v>33.630000000000003</v>
      </c>
      <c r="E68" s="64">
        <v>5.5</v>
      </c>
      <c r="F68" s="64">
        <v>14.21</v>
      </c>
      <c r="G68" s="64">
        <v>64.08</v>
      </c>
      <c r="H68" s="64">
        <v>18.93</v>
      </c>
      <c r="I68" s="64">
        <v>3.96</v>
      </c>
      <c r="J68" s="64">
        <v>0.9</v>
      </c>
      <c r="K68" s="64">
        <v>276.29000000000002</v>
      </c>
      <c r="L68" s="64">
        <v>31.88</v>
      </c>
      <c r="M68" s="64">
        <v>24.8</v>
      </c>
      <c r="N68" s="64">
        <v>420.3</v>
      </c>
      <c r="O68" s="64">
        <v>0</v>
      </c>
      <c r="P68" s="64">
        <v>0.55000000000000004</v>
      </c>
      <c r="Q68" s="64">
        <v>9.1199999999999992</v>
      </c>
      <c r="R68" s="198"/>
      <c r="S68" s="198"/>
      <c r="T68" s="198"/>
      <c r="U68" s="198"/>
    </row>
    <row r="69" spans="1:21" s="12" customFormat="1" x14ac:dyDescent="0.25">
      <c r="A69" s="247" t="s">
        <v>400</v>
      </c>
      <c r="B69" s="64">
        <v>3.9</v>
      </c>
      <c r="C69" s="64">
        <v>59.82</v>
      </c>
      <c r="D69" s="64">
        <v>33.01</v>
      </c>
      <c r="E69" s="64">
        <v>5.36</v>
      </c>
      <c r="F69" s="64">
        <v>15.85</v>
      </c>
      <c r="G69" s="64">
        <v>63.02</v>
      </c>
      <c r="H69" s="64">
        <v>22.49</v>
      </c>
      <c r="I69" s="64">
        <v>3.93</v>
      </c>
      <c r="J69" s="64">
        <v>0.94</v>
      </c>
      <c r="K69" s="64">
        <v>226.53</v>
      </c>
      <c r="L69" s="64">
        <v>30.54</v>
      </c>
      <c r="M69" s="64">
        <v>25.41</v>
      </c>
      <c r="N69" s="64">
        <v>323.10000000000002</v>
      </c>
      <c r="O69" s="64">
        <v>0</v>
      </c>
      <c r="P69" s="64">
        <v>0.53</v>
      </c>
      <c r="Q69" s="64">
        <v>9.09</v>
      </c>
      <c r="R69" s="198"/>
      <c r="S69" s="198"/>
      <c r="T69" s="198"/>
      <c r="U69" s="198"/>
    </row>
    <row r="70" spans="1:21" s="12" customFormat="1" x14ac:dyDescent="0.25">
      <c r="A70" s="247" t="s">
        <v>401</v>
      </c>
      <c r="B70" s="64">
        <v>3.92</v>
      </c>
      <c r="C70" s="64">
        <v>57.07</v>
      </c>
      <c r="D70" s="64">
        <v>31.59</v>
      </c>
      <c r="E70" s="64">
        <v>5.94</v>
      </c>
      <c r="F70" s="64">
        <v>15.6</v>
      </c>
      <c r="G70" s="64">
        <v>61.18</v>
      </c>
      <c r="H70" s="64">
        <v>28.66</v>
      </c>
      <c r="I70" s="64">
        <v>4.0199999999999996</v>
      </c>
      <c r="J70" s="64">
        <v>1.05</v>
      </c>
      <c r="K70" s="64">
        <v>237.07</v>
      </c>
      <c r="L70" s="64">
        <v>30.49</v>
      </c>
      <c r="M70" s="64">
        <v>25.75</v>
      </c>
      <c r="N70" s="64">
        <v>281.5</v>
      </c>
      <c r="O70" s="64">
        <v>0</v>
      </c>
      <c r="P70" s="64">
        <v>0.52</v>
      </c>
      <c r="Q70" s="64">
        <v>9.07</v>
      </c>
      <c r="R70" s="198"/>
      <c r="S70" s="198"/>
      <c r="T70" s="198"/>
      <c r="U70" s="198"/>
    </row>
    <row r="71" spans="1:21" s="12" customFormat="1" x14ac:dyDescent="0.25">
      <c r="A71" s="247" t="s">
        <v>402</v>
      </c>
      <c r="B71" s="64">
        <v>4.03</v>
      </c>
      <c r="C71" s="64">
        <v>56.18</v>
      </c>
      <c r="D71" s="64">
        <v>31.2</v>
      </c>
      <c r="E71" s="64">
        <v>5.91</v>
      </c>
      <c r="F71" s="64">
        <v>15.59</v>
      </c>
      <c r="G71" s="64">
        <v>61.18</v>
      </c>
      <c r="H71" s="64">
        <v>28.66</v>
      </c>
      <c r="I71" s="64">
        <v>3.93</v>
      </c>
      <c r="J71" s="64">
        <v>1.1100000000000001</v>
      </c>
      <c r="K71" s="64">
        <v>227.9</v>
      </c>
      <c r="L71" s="64">
        <v>30.29</v>
      </c>
      <c r="M71" s="64">
        <v>25.09</v>
      </c>
      <c r="N71" s="64">
        <v>241.9</v>
      </c>
      <c r="O71" s="64">
        <v>0</v>
      </c>
      <c r="P71" s="64">
        <v>0.51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47" t="s">
        <v>403</v>
      </c>
      <c r="B72" s="64">
        <v>3.92</v>
      </c>
      <c r="C72" s="64">
        <v>56.24</v>
      </c>
      <c r="D72" s="64">
        <v>31.15</v>
      </c>
      <c r="E72" s="64">
        <v>4.43</v>
      </c>
      <c r="F72" s="64">
        <v>13.11</v>
      </c>
      <c r="G72" s="64">
        <v>61.18</v>
      </c>
      <c r="H72" s="64">
        <v>28.66</v>
      </c>
      <c r="I72" s="64">
        <v>4.03</v>
      </c>
      <c r="J72" s="64">
        <v>0.82</v>
      </c>
      <c r="K72" s="64">
        <v>253.6</v>
      </c>
      <c r="L72" s="64">
        <v>30.03</v>
      </c>
      <c r="M72" s="64">
        <v>26</v>
      </c>
      <c r="N72" s="64">
        <v>210.5</v>
      </c>
      <c r="O72" s="64">
        <v>0</v>
      </c>
      <c r="P72" s="64">
        <v>0.5</v>
      </c>
      <c r="Q72" s="64">
        <v>9.0299999999999994</v>
      </c>
      <c r="R72" s="198"/>
      <c r="S72" s="198"/>
      <c r="T72" s="198"/>
      <c r="U72" s="198"/>
    </row>
    <row r="73" spans="1:21" s="12" customFormat="1" x14ac:dyDescent="0.25">
      <c r="A73" s="247" t="s">
        <v>404</v>
      </c>
      <c r="B73" s="64">
        <v>4.16</v>
      </c>
      <c r="C73" s="64">
        <v>56.16</v>
      </c>
      <c r="D73" s="64">
        <v>31.3</v>
      </c>
      <c r="E73" s="64">
        <v>5.34</v>
      </c>
      <c r="F73" s="64">
        <v>15.45</v>
      </c>
      <c r="G73" s="64">
        <v>59.93</v>
      </c>
      <c r="H73" s="64">
        <v>29.31</v>
      </c>
      <c r="I73" s="64">
        <v>3.97</v>
      </c>
      <c r="J73" s="64">
        <v>0.94</v>
      </c>
      <c r="K73" s="64">
        <v>244.33</v>
      </c>
      <c r="L73" s="64">
        <v>29.75</v>
      </c>
      <c r="M73" s="64">
        <v>26.9</v>
      </c>
      <c r="N73" s="64">
        <v>195.8</v>
      </c>
      <c r="O73" s="64">
        <v>0</v>
      </c>
      <c r="P73" s="64">
        <v>0.51</v>
      </c>
      <c r="Q73" s="64">
        <v>8.98</v>
      </c>
      <c r="R73" s="198"/>
      <c r="S73" s="198"/>
      <c r="T73" s="198"/>
      <c r="U73" s="198"/>
    </row>
    <row r="74" spans="1:21" s="12" customFormat="1" x14ac:dyDescent="0.25">
      <c r="A74" s="247" t="s">
        <v>405</v>
      </c>
      <c r="B74" s="64">
        <v>4.92</v>
      </c>
      <c r="C74" s="64">
        <v>57.49</v>
      </c>
      <c r="D74" s="64">
        <v>32.61</v>
      </c>
      <c r="E74" s="64">
        <v>6.58</v>
      </c>
      <c r="F74" s="64">
        <v>20.440000000000001</v>
      </c>
      <c r="G74" s="64">
        <v>57.76</v>
      </c>
      <c r="H74" s="64">
        <v>30.42</v>
      </c>
      <c r="I74" s="64">
        <v>4.08</v>
      </c>
      <c r="J74" s="64">
        <v>0.68</v>
      </c>
      <c r="K74" s="64">
        <v>291.72000000000003</v>
      </c>
      <c r="L74" s="64">
        <v>29.8</v>
      </c>
      <c r="M74" s="64">
        <v>27.41</v>
      </c>
      <c r="N74" s="64">
        <v>154.4</v>
      </c>
      <c r="O74" s="64">
        <v>0</v>
      </c>
      <c r="P74" s="64">
        <v>0.51</v>
      </c>
      <c r="Q74" s="64">
        <v>8.9600000000000009</v>
      </c>
      <c r="R74" s="198"/>
      <c r="S74" s="198"/>
      <c r="T74" s="198"/>
      <c r="U74" s="198"/>
    </row>
    <row r="75" spans="1:21" s="12" customFormat="1" x14ac:dyDescent="0.25">
      <c r="A75" s="247" t="s">
        <v>406</v>
      </c>
      <c r="B75" s="64">
        <v>4.8600000000000003</v>
      </c>
      <c r="C75" s="64">
        <v>57.02</v>
      </c>
      <c r="D75" s="64">
        <v>32.31</v>
      </c>
      <c r="E75" s="64">
        <v>7.47</v>
      </c>
      <c r="F75" s="64">
        <v>20</v>
      </c>
      <c r="G75" s="64">
        <v>57.76</v>
      </c>
      <c r="H75" s="64">
        <v>30.42</v>
      </c>
      <c r="I75" s="64">
        <v>4.0999999999999996</v>
      </c>
      <c r="J75" s="64">
        <v>0.75</v>
      </c>
      <c r="K75" s="64">
        <v>288.51</v>
      </c>
      <c r="L75" s="64">
        <v>29.47</v>
      </c>
      <c r="M75" s="64">
        <v>29.04</v>
      </c>
      <c r="N75" s="64">
        <v>133.6</v>
      </c>
      <c r="O75" s="64">
        <v>0</v>
      </c>
      <c r="P75" s="64">
        <v>0.52</v>
      </c>
      <c r="Q75" s="64">
        <v>8.9600000000000009</v>
      </c>
      <c r="R75" s="198"/>
      <c r="S75" s="198"/>
      <c r="T75" s="198"/>
      <c r="U75" s="198"/>
    </row>
    <row r="76" spans="1:21" s="12" customFormat="1" x14ac:dyDescent="0.25">
      <c r="A76" s="247" t="s">
        <v>407</v>
      </c>
      <c r="B76" s="64">
        <v>5.69</v>
      </c>
      <c r="C76" s="64">
        <v>60.82</v>
      </c>
      <c r="D76" s="64">
        <v>34.96</v>
      </c>
      <c r="E76" s="64">
        <v>8.17</v>
      </c>
      <c r="F76" s="64">
        <v>22.1</v>
      </c>
      <c r="G76" s="64">
        <v>57.76</v>
      </c>
      <c r="H76" s="64">
        <v>30.42</v>
      </c>
      <c r="I76" s="64">
        <v>4.03</v>
      </c>
      <c r="J76" s="64">
        <v>1.01</v>
      </c>
      <c r="K76" s="64">
        <v>293.81</v>
      </c>
      <c r="L76" s="64">
        <v>28.93</v>
      </c>
      <c r="M76" s="64">
        <v>30.67</v>
      </c>
      <c r="N76" s="64">
        <v>122.1</v>
      </c>
      <c r="O76" s="64">
        <v>0</v>
      </c>
      <c r="P76" s="64">
        <v>0.56000000000000005</v>
      </c>
      <c r="Q76" s="64">
        <v>8.98</v>
      </c>
      <c r="R76" s="198"/>
      <c r="S76" s="198"/>
      <c r="T76" s="198"/>
      <c r="U76" s="198"/>
    </row>
    <row r="77" spans="1:21" s="12" customFormat="1" x14ac:dyDescent="0.25">
      <c r="A77" s="247" t="s">
        <v>408</v>
      </c>
      <c r="B77" s="64">
        <v>5.5</v>
      </c>
      <c r="C77" s="64">
        <v>62.87</v>
      </c>
      <c r="D77" s="64">
        <v>35.880000000000003</v>
      </c>
      <c r="E77" s="64">
        <v>9.7100000000000009</v>
      </c>
      <c r="F77" s="64">
        <v>23.13</v>
      </c>
      <c r="G77" s="64">
        <v>57.31</v>
      </c>
      <c r="H77" s="64">
        <v>29.68</v>
      </c>
      <c r="I77" s="64">
        <v>4.08</v>
      </c>
      <c r="J77" s="64">
        <v>0.77</v>
      </c>
      <c r="K77" s="64">
        <v>287.01</v>
      </c>
      <c r="L77" s="64">
        <v>28.68</v>
      </c>
      <c r="M77" s="64">
        <v>31.25</v>
      </c>
      <c r="N77" s="64">
        <v>111.7</v>
      </c>
      <c r="O77" s="64">
        <v>0</v>
      </c>
      <c r="P77" s="64">
        <v>0.62</v>
      </c>
      <c r="Q77" s="64">
        <v>8.99</v>
      </c>
      <c r="R77" s="198"/>
      <c r="S77" s="198"/>
      <c r="T77" s="198"/>
      <c r="U77" s="198"/>
    </row>
    <row r="78" spans="1:21" s="12" customFormat="1" x14ac:dyDescent="0.25">
      <c r="A78" s="247" t="s">
        <v>409</v>
      </c>
      <c r="B78" s="64">
        <v>5.84</v>
      </c>
      <c r="C78" s="64">
        <v>64.349999999999994</v>
      </c>
      <c r="D78" s="64">
        <v>36.93</v>
      </c>
      <c r="E78" s="64">
        <v>9.65</v>
      </c>
      <c r="F78" s="64">
        <v>28.93</v>
      </c>
      <c r="G78" s="64">
        <v>56.54</v>
      </c>
      <c r="H78" s="64">
        <v>28.39</v>
      </c>
      <c r="I78" s="64">
        <v>3.94</v>
      </c>
      <c r="J78" s="64">
        <v>0.54</v>
      </c>
      <c r="K78" s="64">
        <v>276.10000000000002</v>
      </c>
      <c r="L78" s="64">
        <v>28.46</v>
      </c>
      <c r="M78" s="64">
        <v>31.45</v>
      </c>
      <c r="N78" s="64">
        <v>100.1</v>
      </c>
      <c r="O78" s="64">
        <v>0</v>
      </c>
      <c r="P78" s="64">
        <v>0.6</v>
      </c>
      <c r="Q78" s="64">
        <v>9.02</v>
      </c>
      <c r="R78" s="198"/>
      <c r="S78" s="198"/>
      <c r="T78" s="198"/>
      <c r="U78" s="198"/>
    </row>
    <row r="79" spans="1:21" s="12" customFormat="1" x14ac:dyDescent="0.25">
      <c r="A79" s="247" t="s">
        <v>410</v>
      </c>
      <c r="B79" s="64">
        <v>5.78</v>
      </c>
      <c r="C79" s="64">
        <v>73.599999999999994</v>
      </c>
      <c r="D79" s="64">
        <v>41.71</v>
      </c>
      <c r="E79" s="64">
        <v>11.11</v>
      </c>
      <c r="F79" s="64">
        <v>33.67</v>
      </c>
      <c r="G79" s="64">
        <v>56.54</v>
      </c>
      <c r="H79" s="64">
        <v>28.39</v>
      </c>
      <c r="I79" s="64">
        <v>3.9</v>
      </c>
      <c r="J79" s="64">
        <v>0.53</v>
      </c>
      <c r="K79" s="64">
        <v>256.63</v>
      </c>
      <c r="L79" s="64">
        <v>28.07</v>
      </c>
      <c r="M79" s="64">
        <v>32.51</v>
      </c>
      <c r="N79" s="64">
        <v>85.9</v>
      </c>
      <c r="O79" s="64">
        <v>0</v>
      </c>
      <c r="P79" s="64">
        <v>0.67</v>
      </c>
      <c r="Q79" s="64">
        <v>9.0500000000000007</v>
      </c>
      <c r="R79" s="198"/>
      <c r="S79" s="198"/>
      <c r="T79" s="198"/>
      <c r="U79" s="198"/>
    </row>
    <row r="80" spans="1:21" s="12" customFormat="1" x14ac:dyDescent="0.25">
      <c r="A80" s="247" t="s">
        <v>411</v>
      </c>
      <c r="B80" s="64">
        <v>6.99</v>
      </c>
      <c r="C80" s="64">
        <v>72.81</v>
      </c>
      <c r="D80" s="64">
        <v>42.27</v>
      </c>
      <c r="E80" s="64">
        <v>12.47</v>
      </c>
      <c r="F80" s="64">
        <v>34.19</v>
      </c>
      <c r="G80" s="64">
        <v>56.54</v>
      </c>
      <c r="H80" s="64">
        <v>28.39</v>
      </c>
      <c r="I80" s="64">
        <v>4.04</v>
      </c>
      <c r="J80" s="64">
        <v>0.59</v>
      </c>
      <c r="K80" s="64">
        <v>301.47000000000003</v>
      </c>
      <c r="L80" s="64">
        <v>27.45</v>
      </c>
      <c r="M80" s="64">
        <v>33.909999999999997</v>
      </c>
      <c r="N80" s="64">
        <v>74.8</v>
      </c>
      <c r="O80" s="64">
        <v>0</v>
      </c>
      <c r="P80" s="64">
        <v>0.81</v>
      </c>
      <c r="Q80" s="64">
        <v>9.0399999999999991</v>
      </c>
      <c r="R80" s="198"/>
      <c r="S80" s="198"/>
      <c r="T80" s="198"/>
      <c r="U80" s="198"/>
    </row>
    <row r="81" spans="1:26" s="12" customFormat="1" x14ac:dyDescent="0.25">
      <c r="A81" s="247" t="s">
        <v>412</v>
      </c>
      <c r="B81" s="64">
        <v>13.21</v>
      </c>
      <c r="C81" s="64">
        <v>91.77</v>
      </c>
      <c r="D81" s="64">
        <v>57.16</v>
      </c>
      <c r="E81" s="64">
        <v>14.56</v>
      </c>
      <c r="F81" s="64">
        <v>26.94</v>
      </c>
      <c r="G81" s="64">
        <v>59.19</v>
      </c>
      <c r="H81" s="64">
        <v>27.36</v>
      </c>
      <c r="I81" s="64">
        <v>4.12</v>
      </c>
      <c r="J81" s="64">
        <v>0.45</v>
      </c>
      <c r="K81" s="64">
        <v>295.49</v>
      </c>
      <c r="L81" s="64">
        <v>26.74</v>
      </c>
      <c r="M81" s="64">
        <v>35.590000000000003</v>
      </c>
      <c r="N81" s="64">
        <v>69.3</v>
      </c>
      <c r="O81" s="64">
        <v>0</v>
      </c>
      <c r="P81" s="64">
        <v>0.93</v>
      </c>
      <c r="Q81" s="64">
        <v>9.0500000000000007</v>
      </c>
      <c r="R81" s="198"/>
      <c r="S81" s="198"/>
      <c r="T81" s="198"/>
      <c r="U81" s="198"/>
    </row>
    <row r="82" spans="1:26" s="12" customFormat="1" x14ac:dyDescent="0.25">
      <c r="A82" s="247" t="s">
        <v>413</v>
      </c>
      <c r="B82" s="64">
        <v>7.72</v>
      </c>
      <c r="C82" s="64">
        <v>75.290000000000006</v>
      </c>
      <c r="D82" s="64">
        <v>44.15</v>
      </c>
      <c r="E82" s="64">
        <v>10.41</v>
      </c>
      <c r="F82" s="64">
        <v>24.84</v>
      </c>
      <c r="G82" s="64">
        <v>63.77</v>
      </c>
      <c r="H82" s="64">
        <v>25.66</v>
      </c>
      <c r="I82" s="64">
        <v>4.07</v>
      </c>
      <c r="J82" s="64">
        <v>0.61</v>
      </c>
      <c r="K82" s="64">
        <v>265.32</v>
      </c>
      <c r="L82" s="64">
        <v>26.37</v>
      </c>
      <c r="M82" s="64">
        <v>36.19</v>
      </c>
      <c r="N82" s="64">
        <v>67.5</v>
      </c>
      <c r="O82" s="64">
        <v>0</v>
      </c>
      <c r="P82" s="64">
        <v>0.75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47" t="s">
        <v>414</v>
      </c>
      <c r="B83" s="64">
        <v>21.35</v>
      </c>
      <c r="C83" s="64">
        <v>90.15</v>
      </c>
      <c r="D83" s="64">
        <v>62.84</v>
      </c>
      <c r="E83" s="64">
        <v>11.18</v>
      </c>
      <c r="F83" s="64">
        <v>22.91</v>
      </c>
      <c r="G83" s="64">
        <v>63.77</v>
      </c>
      <c r="H83" s="64">
        <v>25.66</v>
      </c>
      <c r="I83" s="64">
        <v>4.1500000000000004</v>
      </c>
      <c r="J83" s="64">
        <v>0.46</v>
      </c>
      <c r="K83" s="64">
        <v>295.39999999999998</v>
      </c>
      <c r="L83" s="64">
        <v>25.99</v>
      </c>
      <c r="M83" s="64">
        <v>37.840000000000003</v>
      </c>
      <c r="N83" s="64">
        <v>67.8</v>
      </c>
      <c r="O83" s="64">
        <v>0</v>
      </c>
      <c r="P83" s="64">
        <v>1</v>
      </c>
      <c r="Q83" s="64">
        <v>9.1</v>
      </c>
      <c r="R83" s="198"/>
      <c r="S83" s="198"/>
      <c r="T83" s="198"/>
      <c r="U83" s="198"/>
    </row>
    <row r="84" spans="1:26" s="12" customFormat="1" x14ac:dyDescent="0.25">
      <c r="A84" s="247" t="s">
        <v>415</v>
      </c>
      <c r="B84" s="64">
        <v>19.149999999999999</v>
      </c>
      <c r="C84" s="64">
        <v>98.29</v>
      </c>
      <c r="D84" s="64">
        <v>65.33</v>
      </c>
      <c r="E84" s="64">
        <v>10.52</v>
      </c>
      <c r="F84" s="64">
        <v>16.27</v>
      </c>
      <c r="G84" s="64">
        <v>63.77</v>
      </c>
      <c r="H84" s="64">
        <v>25.66</v>
      </c>
      <c r="I84" s="64">
        <v>4.09</v>
      </c>
      <c r="J84" s="64">
        <v>0.64</v>
      </c>
      <c r="K84" s="64">
        <v>298.39</v>
      </c>
      <c r="L84" s="64">
        <v>25.49</v>
      </c>
      <c r="M84" s="64">
        <v>39.33</v>
      </c>
      <c r="N84" s="64">
        <v>67.599999999999994</v>
      </c>
      <c r="O84" s="64">
        <v>0</v>
      </c>
      <c r="P84" s="64">
        <v>1.0900000000000001</v>
      </c>
      <c r="Q84" s="64">
        <v>9.16</v>
      </c>
      <c r="R84" s="198"/>
      <c r="S84" s="198"/>
      <c r="T84" s="198"/>
      <c r="U84" s="198"/>
    </row>
    <row r="85" spans="1:26" s="12" customFormat="1" x14ac:dyDescent="0.25">
      <c r="A85" s="247" t="s">
        <v>416</v>
      </c>
      <c r="B85" s="64">
        <v>14.07</v>
      </c>
      <c r="C85" s="64">
        <v>98.01</v>
      </c>
      <c r="D85" s="64">
        <v>61.11</v>
      </c>
      <c r="E85" s="64">
        <v>10.76</v>
      </c>
      <c r="F85" s="64">
        <v>21.72</v>
      </c>
      <c r="G85" s="64">
        <v>65.400000000000006</v>
      </c>
      <c r="H85" s="64">
        <v>26.06</v>
      </c>
      <c r="I85" s="64">
        <v>4.07</v>
      </c>
      <c r="J85" s="64">
        <v>0.56999999999999995</v>
      </c>
      <c r="K85" s="64">
        <v>287.63</v>
      </c>
      <c r="L85" s="64">
        <v>25.14</v>
      </c>
      <c r="M85" s="64">
        <v>39.909999999999997</v>
      </c>
      <c r="N85" s="64">
        <v>67.400000000000006</v>
      </c>
      <c r="O85" s="64">
        <v>0</v>
      </c>
      <c r="P85" s="64">
        <v>1.02</v>
      </c>
      <c r="Q85" s="64">
        <v>9.24</v>
      </c>
      <c r="R85" s="198"/>
      <c r="S85" s="198"/>
      <c r="T85" s="198"/>
      <c r="U85" s="198"/>
    </row>
    <row r="86" spans="1:26" s="12" customFormat="1" x14ac:dyDescent="0.25">
      <c r="A86" s="247" t="s">
        <v>417</v>
      </c>
      <c r="B86" s="64">
        <v>11.15</v>
      </c>
      <c r="C86" s="64">
        <v>87.35</v>
      </c>
      <c r="D86" s="64">
        <v>53.2</v>
      </c>
      <c r="E86" s="64">
        <v>9.1</v>
      </c>
      <c r="F86" s="64">
        <v>21.11</v>
      </c>
      <c r="G86" s="64">
        <v>68.2</v>
      </c>
      <c r="H86" s="64">
        <v>26.73</v>
      </c>
      <c r="I86" s="64">
        <v>3.84</v>
      </c>
      <c r="J86" s="64">
        <v>0.6</v>
      </c>
      <c r="K86" s="64">
        <v>292.32</v>
      </c>
      <c r="L86" s="64">
        <v>25.05</v>
      </c>
      <c r="M86" s="64">
        <v>39.54</v>
      </c>
      <c r="N86" s="64">
        <v>67.2</v>
      </c>
      <c r="O86" s="64">
        <v>0</v>
      </c>
      <c r="P86" s="64">
        <v>0.94</v>
      </c>
      <c r="Q86" s="64">
        <v>9.2799999999999994</v>
      </c>
      <c r="R86" s="198"/>
      <c r="S86" s="198"/>
      <c r="T86" s="198"/>
      <c r="U86" s="198"/>
    </row>
    <row r="87" spans="1:26" s="12" customFormat="1" x14ac:dyDescent="0.25">
      <c r="A87" s="247" t="s">
        <v>418</v>
      </c>
      <c r="B87" s="64">
        <v>10.79</v>
      </c>
      <c r="C87" s="64">
        <v>87.1</v>
      </c>
      <c r="D87" s="64">
        <v>52.78</v>
      </c>
      <c r="E87" s="64">
        <v>9.6</v>
      </c>
      <c r="F87" s="64">
        <v>21.58</v>
      </c>
      <c r="G87" s="64">
        <v>68.2</v>
      </c>
      <c r="H87" s="64">
        <v>26.73</v>
      </c>
      <c r="I87" s="64">
        <v>4.07</v>
      </c>
      <c r="J87" s="64">
        <v>0.53</v>
      </c>
      <c r="K87" s="64">
        <v>275.99</v>
      </c>
      <c r="L87" s="64">
        <v>24.86</v>
      </c>
      <c r="M87" s="64">
        <v>39.67</v>
      </c>
      <c r="N87" s="64">
        <v>67.400000000000006</v>
      </c>
      <c r="O87" s="64">
        <v>0</v>
      </c>
      <c r="P87" s="64">
        <v>0.96</v>
      </c>
      <c r="Q87" s="64">
        <v>9.2899999999999991</v>
      </c>
      <c r="R87" s="198"/>
      <c r="S87" s="198"/>
      <c r="T87" s="198"/>
      <c r="U87" s="198"/>
    </row>
    <row r="88" spans="1:26" s="12" customFormat="1" x14ac:dyDescent="0.25">
      <c r="A88" s="247" t="s">
        <v>419</v>
      </c>
      <c r="B88" s="64">
        <v>52.27</v>
      </c>
      <c r="C88" s="64">
        <v>126.44</v>
      </c>
      <c r="D88" s="64">
        <v>106.6</v>
      </c>
      <c r="E88" s="64">
        <v>10.48</v>
      </c>
      <c r="F88" s="64">
        <v>14.1</v>
      </c>
      <c r="G88" s="64">
        <v>68.2</v>
      </c>
      <c r="H88" s="64">
        <v>26.73</v>
      </c>
      <c r="I88" s="64">
        <v>4.05</v>
      </c>
      <c r="J88" s="64">
        <v>0.62</v>
      </c>
      <c r="K88" s="64">
        <v>284.39</v>
      </c>
      <c r="L88" s="64">
        <v>24.61</v>
      </c>
      <c r="M88" s="64">
        <v>40.74</v>
      </c>
      <c r="N88" s="64">
        <v>67.900000000000006</v>
      </c>
      <c r="O88" s="64">
        <v>0</v>
      </c>
      <c r="P88" s="64">
        <v>1.37</v>
      </c>
      <c r="Q88" s="64">
        <v>9.33</v>
      </c>
      <c r="R88" s="198"/>
      <c r="S88" s="198"/>
      <c r="T88" s="198"/>
      <c r="U88" s="198"/>
    </row>
    <row r="89" spans="1:26" s="12" customFormat="1" x14ac:dyDescent="0.25">
      <c r="A89" s="247" t="s">
        <v>420</v>
      </c>
      <c r="B89" s="64">
        <v>64.27</v>
      </c>
      <c r="C89" s="64">
        <v>125.02</v>
      </c>
      <c r="D89" s="64">
        <v>115.48</v>
      </c>
      <c r="E89" s="64">
        <v>10.24</v>
      </c>
      <c r="F89" s="64">
        <v>13.5</v>
      </c>
      <c r="G89" s="64">
        <v>69.19</v>
      </c>
      <c r="H89" s="64">
        <v>26.36</v>
      </c>
      <c r="I89" s="64">
        <v>3.96</v>
      </c>
      <c r="J89" s="64">
        <v>0.64</v>
      </c>
      <c r="K89" s="64">
        <v>322.32</v>
      </c>
      <c r="L89" s="64">
        <v>24.02</v>
      </c>
      <c r="M89" s="64">
        <v>43.25</v>
      </c>
      <c r="N89" s="64">
        <v>68</v>
      </c>
      <c r="O89" s="64">
        <v>0</v>
      </c>
      <c r="P89" s="64">
        <v>1.48</v>
      </c>
      <c r="Q89" s="64">
        <v>9.31</v>
      </c>
      <c r="R89" s="198"/>
      <c r="S89" s="198"/>
      <c r="T89" s="198"/>
      <c r="U89" s="198"/>
    </row>
    <row r="90" spans="1:26" s="12" customFormat="1" x14ac:dyDescent="0.25">
      <c r="A90" s="247" t="s">
        <v>421</v>
      </c>
      <c r="B90" s="64">
        <v>33.01</v>
      </c>
      <c r="C90" s="64">
        <v>106.27</v>
      </c>
      <c r="D90" s="64">
        <v>80.62</v>
      </c>
      <c r="E90" s="64">
        <v>9.82</v>
      </c>
      <c r="F90" s="64">
        <v>13.42</v>
      </c>
      <c r="G90" s="64">
        <v>70.900000000000006</v>
      </c>
      <c r="H90" s="64">
        <v>25.74</v>
      </c>
      <c r="I90" s="64">
        <v>3.95</v>
      </c>
      <c r="J90" s="64">
        <v>0.7</v>
      </c>
      <c r="K90" s="64">
        <v>308.06</v>
      </c>
      <c r="L90" s="64">
        <v>23.53</v>
      </c>
      <c r="M90" s="64">
        <v>44.19</v>
      </c>
      <c r="N90" s="64">
        <v>67.900000000000006</v>
      </c>
      <c r="O90" s="64">
        <v>0</v>
      </c>
      <c r="P90" s="64">
        <v>1.1200000000000001</v>
      </c>
      <c r="Q90" s="64">
        <v>9.33</v>
      </c>
      <c r="R90" s="198"/>
      <c r="S90" s="198"/>
      <c r="T90" s="198"/>
      <c r="U90" s="198"/>
    </row>
    <row r="91" spans="1:26" s="12" customFormat="1" x14ac:dyDescent="0.25">
      <c r="A91" s="247" t="s">
        <v>422</v>
      </c>
      <c r="B91" s="64">
        <v>14.06</v>
      </c>
      <c r="C91" s="64">
        <v>93.88</v>
      </c>
      <c r="D91" s="64">
        <v>58.94</v>
      </c>
      <c r="E91" s="64">
        <v>9.9600000000000009</v>
      </c>
      <c r="F91" s="64">
        <v>18.37</v>
      </c>
      <c r="G91" s="64">
        <v>70.900000000000006</v>
      </c>
      <c r="H91" s="64">
        <v>25.74</v>
      </c>
      <c r="I91" s="64">
        <v>3.87</v>
      </c>
      <c r="J91" s="64">
        <v>0.21</v>
      </c>
      <c r="K91" s="64">
        <v>123.61</v>
      </c>
      <c r="L91" s="64">
        <v>23.23</v>
      </c>
      <c r="M91" s="64">
        <v>44.35</v>
      </c>
      <c r="N91" s="64">
        <v>68.099999999999994</v>
      </c>
      <c r="O91" s="64">
        <v>0</v>
      </c>
      <c r="P91" s="64">
        <v>0.99</v>
      </c>
      <c r="Q91" s="64">
        <v>9.34</v>
      </c>
      <c r="R91" s="198"/>
      <c r="S91" s="198"/>
      <c r="T91" s="198"/>
      <c r="U91" s="198"/>
    </row>
    <row r="92" spans="1:26" s="12" customFormat="1" x14ac:dyDescent="0.25">
      <c r="A92" s="247" t="s">
        <v>423</v>
      </c>
      <c r="B92" s="64">
        <v>48.05</v>
      </c>
      <c r="C92" s="64">
        <v>129.07</v>
      </c>
      <c r="D92" s="64">
        <v>104.59</v>
      </c>
      <c r="E92" s="64">
        <v>10.5</v>
      </c>
      <c r="F92" s="64">
        <v>9.0399999999999991</v>
      </c>
      <c r="G92" s="64">
        <v>70.900000000000006</v>
      </c>
      <c r="H92" s="64">
        <v>25.74</v>
      </c>
      <c r="I92" s="64">
        <v>4</v>
      </c>
      <c r="J92" s="64">
        <v>0.24</v>
      </c>
      <c r="K92" s="64">
        <v>106.09</v>
      </c>
      <c r="L92" s="64">
        <v>22.93</v>
      </c>
      <c r="M92" s="64">
        <v>46.67</v>
      </c>
      <c r="N92" s="64">
        <v>68.099999999999994</v>
      </c>
      <c r="O92" s="64">
        <v>0</v>
      </c>
      <c r="P92" s="64">
        <v>1.38</v>
      </c>
      <c r="Q92" s="64">
        <v>9.39</v>
      </c>
      <c r="R92" s="198"/>
      <c r="S92" s="198"/>
      <c r="T92" s="198"/>
      <c r="U92" s="198"/>
    </row>
    <row r="93" spans="1:26" s="12" customFormat="1" x14ac:dyDescent="0.25">
      <c r="A93" s="247" t="s">
        <v>424</v>
      </c>
      <c r="B93" s="64">
        <v>127.74</v>
      </c>
      <c r="C93" s="64">
        <v>151.13999999999999</v>
      </c>
      <c r="D93" s="64">
        <v>180.03</v>
      </c>
      <c r="E93" s="64">
        <v>10.51</v>
      </c>
      <c r="F93" s="64">
        <v>9.34</v>
      </c>
      <c r="G93" s="64">
        <v>73.92</v>
      </c>
      <c r="H93" s="64">
        <v>26.5</v>
      </c>
      <c r="I93" s="64">
        <v>4.04</v>
      </c>
      <c r="J93" s="64">
        <v>0.55000000000000004</v>
      </c>
      <c r="K93" s="64">
        <v>131.94</v>
      </c>
      <c r="L93" s="64">
        <v>22.89</v>
      </c>
      <c r="M93" s="64">
        <v>48.17</v>
      </c>
      <c r="N93" s="64">
        <v>67.900000000000006</v>
      </c>
      <c r="O93" s="64">
        <v>0</v>
      </c>
      <c r="P93" s="64">
        <v>1.31</v>
      </c>
      <c r="Q93" s="64">
        <v>9.4</v>
      </c>
      <c r="R93" s="198"/>
      <c r="S93" s="198"/>
      <c r="T93" s="198"/>
      <c r="U93" s="198"/>
    </row>
    <row r="94" spans="1:26" s="12" customFormat="1" x14ac:dyDescent="0.25">
      <c r="A94" s="247" t="s">
        <v>425</v>
      </c>
      <c r="B94" s="64">
        <v>153.58000000000001</v>
      </c>
      <c r="C94" s="64">
        <v>138.5</v>
      </c>
      <c r="D94" s="64">
        <v>194.15</v>
      </c>
      <c r="E94" s="64">
        <v>10.36</v>
      </c>
      <c r="F94" s="64">
        <v>8.92</v>
      </c>
      <c r="G94" s="64">
        <v>79.14</v>
      </c>
      <c r="H94" s="64">
        <v>27.83</v>
      </c>
      <c r="I94" s="64">
        <v>4.01</v>
      </c>
      <c r="J94" s="64">
        <v>0.59</v>
      </c>
      <c r="K94" s="64">
        <v>319.31</v>
      </c>
      <c r="L94" s="64">
        <v>22.62</v>
      </c>
      <c r="M94" s="64">
        <v>52.07</v>
      </c>
      <c r="N94" s="64">
        <v>68</v>
      </c>
      <c r="O94" s="64">
        <v>0</v>
      </c>
      <c r="P94" s="64">
        <v>2.0499999999999998</v>
      </c>
      <c r="Q94" s="64">
        <v>9.34</v>
      </c>
      <c r="R94" s="198"/>
      <c r="S94" s="198"/>
      <c r="T94" s="198"/>
      <c r="U94" s="198"/>
    </row>
    <row r="95" spans="1:26" s="12" customFormat="1" x14ac:dyDescent="0.25">
      <c r="A95" s="247" t="s">
        <v>426</v>
      </c>
      <c r="B95" s="64">
        <v>48.26</v>
      </c>
      <c r="C95" s="64">
        <v>111.61</v>
      </c>
      <c r="D95" s="64">
        <v>95.64</v>
      </c>
      <c r="E95" s="64">
        <v>9.4600000000000009</v>
      </c>
      <c r="F95" s="64">
        <v>9.39</v>
      </c>
      <c r="G95" s="64">
        <v>79.14</v>
      </c>
      <c r="H95" s="64">
        <v>27.83</v>
      </c>
      <c r="I95" s="64">
        <v>4.1100000000000003</v>
      </c>
      <c r="J95" s="64">
        <v>0.62</v>
      </c>
      <c r="K95" s="64">
        <v>250.02</v>
      </c>
      <c r="L95" s="64">
        <v>22.22</v>
      </c>
      <c r="M95" s="64">
        <v>51.06</v>
      </c>
      <c r="N95" s="64">
        <v>67.900000000000006</v>
      </c>
      <c r="O95" s="64">
        <v>0</v>
      </c>
      <c r="P95" s="64">
        <v>1.37</v>
      </c>
      <c r="Q95" s="64">
        <v>9.34</v>
      </c>
      <c r="R95" s="198"/>
      <c r="S95" s="198"/>
      <c r="T95" s="198"/>
      <c r="U95" s="198"/>
    </row>
    <row r="96" spans="1:26" s="12" customFormat="1" x14ac:dyDescent="0.25">
      <c r="A96" s="247" t="s">
        <v>427</v>
      </c>
      <c r="B96" s="64">
        <v>79.03</v>
      </c>
      <c r="C96" s="64">
        <v>118.08</v>
      </c>
      <c r="D96" s="64">
        <v>123.69</v>
      </c>
      <c r="E96" s="64">
        <v>9.1999999999999993</v>
      </c>
      <c r="F96" s="64">
        <v>9.17</v>
      </c>
      <c r="G96" s="64">
        <v>79.14</v>
      </c>
      <c r="H96" s="64">
        <v>27.83</v>
      </c>
      <c r="I96" s="64">
        <v>3.9</v>
      </c>
      <c r="J96" s="64">
        <v>0.49</v>
      </c>
      <c r="K96" s="64">
        <v>302.05</v>
      </c>
      <c r="L96" s="64">
        <v>22.21</v>
      </c>
      <c r="M96" s="64">
        <v>52.27</v>
      </c>
      <c r="N96" s="64">
        <v>67.900000000000006</v>
      </c>
      <c r="O96" s="64">
        <v>0</v>
      </c>
      <c r="P96" s="64">
        <v>1.7</v>
      </c>
      <c r="Q96" s="64">
        <v>9.4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428</v>
      </c>
      <c r="B97" s="64">
        <v>86.8</v>
      </c>
      <c r="C97" s="64">
        <v>127.77</v>
      </c>
      <c r="D97" s="64">
        <v>134.99</v>
      </c>
      <c r="E97" s="64">
        <v>9.52</v>
      </c>
      <c r="F97" s="64">
        <v>9.23</v>
      </c>
      <c r="G97" s="64">
        <v>90.57</v>
      </c>
      <c r="H97" s="64">
        <v>29.08</v>
      </c>
      <c r="I97" s="64">
        <v>4.12</v>
      </c>
      <c r="J97" s="64">
        <v>0.54</v>
      </c>
      <c r="K97" s="64">
        <v>299.76</v>
      </c>
      <c r="L97" s="64">
        <v>21.74</v>
      </c>
      <c r="M97" s="64">
        <v>53.28</v>
      </c>
      <c r="N97" s="64">
        <v>68.2</v>
      </c>
      <c r="O97" s="64">
        <v>0</v>
      </c>
      <c r="P97" s="64">
        <v>1.81</v>
      </c>
      <c r="Q97" s="64">
        <v>9.42</v>
      </c>
      <c r="R97" s="198"/>
      <c r="S97" s="198"/>
      <c r="T97" s="198"/>
      <c r="U97" s="198"/>
    </row>
    <row r="98" spans="1:33" s="12" customFormat="1" x14ac:dyDescent="0.25">
      <c r="A98" s="247" t="s">
        <v>429</v>
      </c>
      <c r="B98" s="64">
        <v>78.19</v>
      </c>
      <c r="C98" s="64">
        <v>114.7</v>
      </c>
      <c r="D98" s="64">
        <v>121.25</v>
      </c>
      <c r="E98" s="64">
        <v>9.93</v>
      </c>
      <c r="F98" s="64">
        <v>8.77</v>
      </c>
      <c r="G98" s="64">
        <v>109.39</v>
      </c>
      <c r="H98" s="64">
        <v>31.14</v>
      </c>
      <c r="I98" s="64">
        <v>4.1500000000000004</v>
      </c>
      <c r="J98" s="64">
        <v>0.47</v>
      </c>
      <c r="K98" s="64">
        <v>334.7</v>
      </c>
      <c r="L98" s="64">
        <v>21.65</v>
      </c>
      <c r="M98" s="64">
        <v>54.15</v>
      </c>
      <c r="N98" s="64">
        <v>68.099999999999994</v>
      </c>
      <c r="O98" s="64">
        <v>0</v>
      </c>
      <c r="P98" s="64">
        <v>1.59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47" t="s">
        <v>430</v>
      </c>
      <c r="B99" s="64">
        <v>82.83</v>
      </c>
      <c r="C99" s="64">
        <v>110.25</v>
      </c>
      <c r="D99" s="64">
        <v>122.65</v>
      </c>
      <c r="E99" s="64">
        <v>8.64</v>
      </c>
      <c r="F99" s="64">
        <v>8.74</v>
      </c>
      <c r="G99" s="64">
        <v>109.39</v>
      </c>
      <c r="H99" s="64">
        <v>31.14</v>
      </c>
      <c r="I99" s="64">
        <v>4.1399999999999997</v>
      </c>
      <c r="J99" s="64">
        <v>0.59</v>
      </c>
      <c r="K99" s="64">
        <v>300.11</v>
      </c>
      <c r="L99" s="64">
        <v>21.37</v>
      </c>
      <c r="M99" s="64">
        <v>54.24</v>
      </c>
      <c r="N99" s="64">
        <v>68.2</v>
      </c>
      <c r="O99" s="64">
        <v>0</v>
      </c>
      <c r="P99" s="64">
        <v>1.46</v>
      </c>
      <c r="Q99" s="64">
        <v>9.44</v>
      </c>
      <c r="R99" s="198"/>
      <c r="S99" s="198"/>
      <c r="T99" s="198"/>
      <c r="U99" s="198"/>
    </row>
    <row r="100" spans="1:33" s="12" customFormat="1" x14ac:dyDescent="0.25">
      <c r="A100" s="247" t="s">
        <v>431</v>
      </c>
      <c r="B100" s="64">
        <v>81.709999999999994</v>
      </c>
      <c r="C100" s="64">
        <v>110.68</v>
      </c>
      <c r="D100" s="64">
        <v>121.97</v>
      </c>
      <c r="E100" s="64">
        <v>8.19</v>
      </c>
      <c r="F100" s="64">
        <v>7.94</v>
      </c>
      <c r="G100" s="64">
        <v>109.39</v>
      </c>
      <c r="H100" s="64">
        <v>31.14</v>
      </c>
      <c r="I100" s="64">
        <v>4.0999999999999996</v>
      </c>
      <c r="J100" s="64">
        <v>0.41</v>
      </c>
      <c r="K100" s="64">
        <v>78.42</v>
      </c>
      <c r="L100" s="64">
        <v>21.3</v>
      </c>
      <c r="M100" s="64">
        <v>53.15</v>
      </c>
      <c r="N100" s="64">
        <v>68.2</v>
      </c>
      <c r="O100" s="64">
        <v>0</v>
      </c>
      <c r="P100" s="64">
        <v>1.29</v>
      </c>
      <c r="Q100" s="64">
        <v>9.44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432</v>
      </c>
      <c r="B101" s="64">
        <v>134.29</v>
      </c>
      <c r="C101" s="64">
        <v>114.04</v>
      </c>
      <c r="D101" s="64">
        <v>165.9</v>
      </c>
      <c r="E101" s="64">
        <v>8.1</v>
      </c>
      <c r="F101" s="64">
        <v>7.75</v>
      </c>
      <c r="G101" s="64">
        <v>110.11</v>
      </c>
      <c r="H101" s="64">
        <v>32.01</v>
      </c>
      <c r="I101" s="64">
        <v>4</v>
      </c>
      <c r="J101" s="64">
        <v>0.6</v>
      </c>
      <c r="K101" s="64">
        <v>334.19</v>
      </c>
      <c r="L101" s="64">
        <v>21.05</v>
      </c>
      <c r="M101" s="64">
        <v>55.92</v>
      </c>
      <c r="N101" s="64">
        <v>68.3</v>
      </c>
      <c r="O101" s="64">
        <v>0</v>
      </c>
      <c r="P101" s="64">
        <v>1.41</v>
      </c>
      <c r="Q101" s="64">
        <v>9.44</v>
      </c>
      <c r="R101" s="198"/>
      <c r="S101" s="198"/>
      <c r="T101" s="198"/>
      <c r="U101" s="198"/>
    </row>
    <row r="102" spans="1:33" s="12" customFormat="1" x14ac:dyDescent="0.25">
      <c r="A102" s="247" t="s">
        <v>433</v>
      </c>
      <c r="B102" s="64">
        <v>67.14</v>
      </c>
      <c r="C102" s="64">
        <v>92.32</v>
      </c>
      <c r="D102" s="64">
        <v>100.7</v>
      </c>
      <c r="E102" s="64">
        <v>7.04</v>
      </c>
      <c r="F102" s="64">
        <v>9.0500000000000007</v>
      </c>
      <c r="G102" s="64">
        <v>111.31</v>
      </c>
      <c r="H102" s="64">
        <v>33.53</v>
      </c>
      <c r="I102" s="64">
        <v>4.07</v>
      </c>
      <c r="J102" s="64">
        <v>0.54</v>
      </c>
      <c r="K102" s="64">
        <v>216.41</v>
      </c>
      <c r="L102" s="64">
        <v>21.09</v>
      </c>
      <c r="M102" s="64">
        <v>54.92</v>
      </c>
      <c r="N102" s="64">
        <v>67.3</v>
      </c>
      <c r="O102" s="64">
        <v>0</v>
      </c>
      <c r="P102" s="64">
        <v>1.19</v>
      </c>
      <c r="Q102" s="64">
        <v>9.44</v>
      </c>
      <c r="R102" s="198"/>
      <c r="S102" s="198"/>
      <c r="T102" s="198"/>
      <c r="U102" s="198"/>
    </row>
    <row r="103" spans="1:33" s="12" customFormat="1" x14ac:dyDescent="0.25">
      <c r="A103" s="247" t="s">
        <v>434</v>
      </c>
      <c r="B103" s="64">
        <v>49.57</v>
      </c>
      <c r="C103" s="64">
        <v>80.8</v>
      </c>
      <c r="D103" s="64">
        <v>80.59</v>
      </c>
      <c r="E103" s="64">
        <v>6.63</v>
      </c>
      <c r="F103" s="64">
        <v>12.28</v>
      </c>
      <c r="G103" s="64">
        <v>111.31</v>
      </c>
      <c r="H103" s="64">
        <v>33.53</v>
      </c>
      <c r="I103" s="64">
        <v>4.01</v>
      </c>
      <c r="J103" s="64">
        <v>0.65</v>
      </c>
      <c r="K103" s="64">
        <v>232.84</v>
      </c>
      <c r="L103" s="64">
        <v>21.49</v>
      </c>
      <c r="M103" s="64">
        <v>50.19</v>
      </c>
      <c r="N103" s="64">
        <v>67.8</v>
      </c>
      <c r="O103" s="64">
        <v>0</v>
      </c>
      <c r="P103" s="64">
        <v>1.02</v>
      </c>
      <c r="Q103" s="64">
        <v>9.52</v>
      </c>
      <c r="R103" s="198"/>
      <c r="S103" s="198"/>
      <c r="T103" s="198"/>
      <c r="U103" s="198"/>
    </row>
    <row r="104" spans="1:33" s="12" customFormat="1" x14ac:dyDescent="0.25">
      <c r="A104" s="247" t="s">
        <v>435</v>
      </c>
      <c r="B104" s="64">
        <v>42.09</v>
      </c>
      <c r="C104" s="64">
        <v>77.28</v>
      </c>
      <c r="D104" s="64">
        <v>72.75</v>
      </c>
      <c r="E104" s="64">
        <v>6.7</v>
      </c>
      <c r="F104" s="64">
        <v>13.67</v>
      </c>
      <c r="G104" s="64">
        <v>111.31</v>
      </c>
      <c r="H104" s="64">
        <v>33.53</v>
      </c>
      <c r="I104" s="64">
        <v>4.05</v>
      </c>
      <c r="J104" s="64">
        <v>0.8</v>
      </c>
      <c r="K104" s="64">
        <v>227.56</v>
      </c>
      <c r="L104" s="64">
        <v>21.47</v>
      </c>
      <c r="M104" s="64">
        <v>50.15</v>
      </c>
      <c r="N104" s="64">
        <v>67.8</v>
      </c>
      <c r="O104" s="64">
        <v>0</v>
      </c>
      <c r="P104" s="64">
        <v>0.97</v>
      </c>
      <c r="Q104" s="64">
        <v>9.57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</v>
      </c>
      <c r="C106" s="67">
        <f>MIN(C9:C104)</f>
        <v>54.9</v>
      </c>
      <c r="D106" s="67">
        <f t="shared" ref="D106:Q106" si="0">MIN(D9:D104)</f>
        <v>31.15</v>
      </c>
      <c r="E106" s="67">
        <f t="shared" si="0"/>
        <v>4.3899999999999997</v>
      </c>
      <c r="F106" s="67">
        <f t="shared" si="0"/>
        <v>6.63</v>
      </c>
      <c r="G106" s="67">
        <f t="shared" si="0"/>
        <v>56.54</v>
      </c>
      <c r="H106" s="67">
        <f t="shared" si="0"/>
        <v>18.93</v>
      </c>
      <c r="I106" s="67">
        <f t="shared" si="0"/>
        <v>3.83</v>
      </c>
      <c r="J106" s="67">
        <f t="shared" si="0"/>
        <v>7.0000000000000007E-2</v>
      </c>
      <c r="K106" s="67">
        <f t="shared" si="0"/>
        <v>8.84</v>
      </c>
      <c r="L106" s="67">
        <f t="shared" si="0"/>
        <v>17.21</v>
      </c>
      <c r="M106" s="67">
        <f t="shared" si="0"/>
        <v>24.22</v>
      </c>
      <c r="N106" s="67">
        <f t="shared" si="0"/>
        <v>67.2</v>
      </c>
      <c r="O106" s="67">
        <f t="shared" si="0"/>
        <v>0</v>
      </c>
      <c r="P106" s="67">
        <f t="shared" si="0"/>
        <v>0.5</v>
      </c>
      <c r="Q106" s="67">
        <f t="shared" si="0"/>
        <v>8.9600000000000009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153.58000000000001</v>
      </c>
      <c r="C107" s="66">
        <f t="shared" ref="C107:Q107" si="1">MAX(C9:C104)</f>
        <v>151.13999999999999</v>
      </c>
      <c r="D107" s="66">
        <f t="shared" si="1"/>
        <v>194.15</v>
      </c>
      <c r="E107" s="66">
        <f t="shared" si="1"/>
        <v>14.56</v>
      </c>
      <c r="F107" s="66">
        <f t="shared" si="1"/>
        <v>34.19</v>
      </c>
      <c r="G107" s="66">
        <f t="shared" si="1"/>
        <v>115.64</v>
      </c>
      <c r="H107" s="66">
        <f t="shared" si="1"/>
        <v>33.57</v>
      </c>
      <c r="I107" s="66">
        <f t="shared" si="1"/>
        <v>4.1900000000000004</v>
      </c>
      <c r="J107" s="66">
        <f t="shared" si="1"/>
        <v>2.34</v>
      </c>
      <c r="K107" s="66">
        <f t="shared" si="1"/>
        <v>345.03</v>
      </c>
      <c r="L107" s="66">
        <f t="shared" si="1"/>
        <v>32.840000000000003</v>
      </c>
      <c r="M107" s="66">
        <f t="shared" si="1"/>
        <v>75.3</v>
      </c>
      <c r="N107" s="66">
        <f t="shared" si="1"/>
        <v>777.9</v>
      </c>
      <c r="O107" s="66">
        <f t="shared" si="1"/>
        <v>0</v>
      </c>
      <c r="P107" s="66">
        <f t="shared" si="1"/>
        <v>2.0499999999999998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30.027083333333348</v>
      </c>
      <c r="C108" s="67">
        <f t="shared" ref="C108:Q108" si="2">AVERAGE(C9:C104)</f>
        <v>77.864895833333335</v>
      </c>
      <c r="D108" s="67">
        <f t="shared" si="2"/>
        <v>63.384270833333318</v>
      </c>
      <c r="E108" s="67">
        <f t="shared" si="2"/>
        <v>7.0350000000000037</v>
      </c>
      <c r="F108" s="67">
        <f t="shared" si="2"/>
        <v>12.51729166666667</v>
      </c>
      <c r="G108" s="67">
        <f t="shared" si="2"/>
        <v>81.42781250000003</v>
      </c>
      <c r="H108" s="67">
        <f t="shared" si="2"/>
        <v>28.274687499999999</v>
      </c>
      <c r="I108" s="67">
        <f t="shared" si="2"/>
        <v>4.0042708333333321</v>
      </c>
      <c r="J108" s="67">
        <f t="shared" si="2"/>
        <v>0.75447916666666648</v>
      </c>
      <c r="K108" s="67">
        <f t="shared" si="2"/>
        <v>233.86604166666666</v>
      </c>
      <c r="L108" s="67">
        <f t="shared" si="2"/>
        <v>23.992812499999989</v>
      </c>
      <c r="M108" s="67">
        <f t="shared" si="2"/>
        <v>47.079999999999977</v>
      </c>
      <c r="N108" s="67">
        <f t="shared" si="2"/>
        <v>239.77916666666661</v>
      </c>
      <c r="O108" s="67">
        <f t="shared" si="2"/>
        <v>0</v>
      </c>
      <c r="P108" s="67">
        <f t="shared" si="2"/>
        <v>0.90010416666666693</v>
      </c>
      <c r="Q108" s="67">
        <f t="shared" si="2"/>
        <v>9.3953125000000028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28.807224419786252</v>
      </c>
      <c r="C109" s="67">
        <f t="shared" ref="C109:Q109" si="3">STDEV(C9:C104)</f>
        <v>20.515534191117879</v>
      </c>
      <c r="D109" s="67">
        <f t="shared" si="3"/>
        <v>32.012736700283341</v>
      </c>
      <c r="E109" s="67">
        <f t="shared" si="3"/>
        <v>2.3645250997543634</v>
      </c>
      <c r="F109" s="67">
        <f t="shared" si="3"/>
        <v>5.859263377299345</v>
      </c>
      <c r="G109" s="67">
        <f t="shared" si="3"/>
        <v>17.783820275337913</v>
      </c>
      <c r="H109" s="67">
        <f t="shared" si="3"/>
        <v>3.137854095137075</v>
      </c>
      <c r="I109" s="67">
        <f t="shared" si="3"/>
        <v>8.8171421455046903E-2</v>
      </c>
      <c r="J109" s="67">
        <f t="shared" si="3"/>
        <v>0.39906171476725605</v>
      </c>
      <c r="K109" s="67">
        <f t="shared" si="3"/>
        <v>72.449398638732973</v>
      </c>
      <c r="L109" s="67">
        <f t="shared" si="3"/>
        <v>5.008095699254886</v>
      </c>
      <c r="M109" s="67">
        <f t="shared" si="3"/>
        <v>15.163709378158909</v>
      </c>
      <c r="N109" s="67">
        <f t="shared" si="3"/>
        <v>242.06435373858167</v>
      </c>
      <c r="O109" s="67">
        <f t="shared" si="3"/>
        <v>0</v>
      </c>
      <c r="P109" s="67">
        <f t="shared" si="3"/>
        <v>0.3232157330448493</v>
      </c>
      <c r="Q109" s="67">
        <f t="shared" si="3"/>
        <v>0.21130647796879987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436</v>
      </c>
      <c r="B9" s="64">
        <v>45.95</v>
      </c>
      <c r="C9" s="64">
        <v>83.03</v>
      </c>
      <c r="D9" s="64">
        <v>78.849999999999994</v>
      </c>
      <c r="E9" s="64">
        <v>6.4</v>
      </c>
      <c r="F9" s="64">
        <v>12.27</v>
      </c>
      <c r="G9" s="64">
        <v>105.05</v>
      </c>
      <c r="H9" s="64">
        <v>31.91</v>
      </c>
      <c r="I9" s="64">
        <v>3.87</v>
      </c>
      <c r="J9" s="64">
        <v>1.02</v>
      </c>
      <c r="K9" s="64">
        <v>333.87</v>
      </c>
      <c r="L9" s="64">
        <v>20.98</v>
      </c>
      <c r="M9" s="64">
        <v>54.96</v>
      </c>
      <c r="N9" s="64">
        <v>67.900000000000006</v>
      </c>
      <c r="O9" s="64">
        <v>0</v>
      </c>
      <c r="P9" s="64">
        <v>0.99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47" t="s">
        <v>437</v>
      </c>
      <c r="B10" s="64">
        <v>35.159999999999997</v>
      </c>
      <c r="C10" s="64">
        <v>70.08</v>
      </c>
      <c r="D10" s="64">
        <v>63.44</v>
      </c>
      <c r="E10" s="64">
        <v>6.52</v>
      </c>
      <c r="F10" s="64">
        <v>15.98</v>
      </c>
      <c r="G10" s="64">
        <v>94.25</v>
      </c>
      <c r="H10" s="64">
        <v>29.25</v>
      </c>
      <c r="I10" s="64">
        <v>4.07</v>
      </c>
      <c r="J10" s="64">
        <v>0.32</v>
      </c>
      <c r="K10" s="64">
        <v>57.17</v>
      </c>
      <c r="L10" s="64">
        <v>20.94</v>
      </c>
      <c r="M10" s="64">
        <v>53.5</v>
      </c>
      <c r="N10" s="64">
        <v>68</v>
      </c>
      <c r="O10" s="64">
        <v>0</v>
      </c>
      <c r="P10" s="64">
        <v>0.95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47" t="s">
        <v>438</v>
      </c>
      <c r="B11" s="64">
        <v>34.25</v>
      </c>
      <c r="C11" s="64">
        <v>71.650000000000006</v>
      </c>
      <c r="D11" s="64">
        <v>63.52</v>
      </c>
      <c r="E11" s="64">
        <v>6.57</v>
      </c>
      <c r="F11" s="64">
        <v>13.84</v>
      </c>
      <c r="G11" s="64">
        <v>94.25</v>
      </c>
      <c r="H11" s="64">
        <v>29.25</v>
      </c>
      <c r="I11" s="64">
        <v>4.1399999999999997</v>
      </c>
      <c r="J11" s="64">
        <v>0.34</v>
      </c>
      <c r="K11" s="64">
        <v>28.37</v>
      </c>
      <c r="L11" s="64">
        <v>20.9</v>
      </c>
      <c r="M11" s="64">
        <v>53.86</v>
      </c>
      <c r="N11" s="64">
        <v>68.099999999999994</v>
      </c>
      <c r="O11" s="64">
        <v>0</v>
      </c>
      <c r="P11" s="64">
        <v>0.96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47" t="s">
        <v>439</v>
      </c>
      <c r="B12" s="64">
        <v>34.82</v>
      </c>
      <c r="C12" s="64">
        <v>76.75</v>
      </c>
      <c r="D12" s="64">
        <v>66.650000000000006</v>
      </c>
      <c r="E12" s="64">
        <v>7</v>
      </c>
      <c r="F12" s="64">
        <v>11.4</v>
      </c>
      <c r="G12" s="64">
        <v>94.25</v>
      </c>
      <c r="H12" s="64">
        <v>29.25</v>
      </c>
      <c r="I12" s="64">
        <v>3.94</v>
      </c>
      <c r="J12" s="64">
        <v>0.59</v>
      </c>
      <c r="K12" s="64">
        <v>69.83</v>
      </c>
      <c r="L12" s="64">
        <v>20.93</v>
      </c>
      <c r="M12" s="64">
        <v>53.44</v>
      </c>
      <c r="N12" s="64">
        <v>68.099999999999994</v>
      </c>
      <c r="O12" s="64">
        <v>0</v>
      </c>
      <c r="P12" s="64">
        <v>0.95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47" t="s">
        <v>440</v>
      </c>
      <c r="B13" s="64">
        <v>30.29</v>
      </c>
      <c r="C13" s="64">
        <v>69.849999999999994</v>
      </c>
      <c r="D13" s="64">
        <v>59.41</v>
      </c>
      <c r="E13" s="64">
        <v>7.38</v>
      </c>
      <c r="F13" s="64">
        <v>13.82</v>
      </c>
      <c r="G13" s="64">
        <v>90.14</v>
      </c>
      <c r="H13" s="64">
        <v>29.38</v>
      </c>
      <c r="I13" s="64">
        <v>3.87</v>
      </c>
      <c r="J13" s="64">
        <v>0.51</v>
      </c>
      <c r="K13" s="64">
        <v>224.52</v>
      </c>
      <c r="L13" s="64">
        <v>20.98</v>
      </c>
      <c r="M13" s="64">
        <v>54.29</v>
      </c>
      <c r="N13" s="64">
        <v>68.099999999999994</v>
      </c>
      <c r="O13" s="64">
        <v>0</v>
      </c>
      <c r="P13" s="64">
        <v>0.79</v>
      </c>
      <c r="Q13" s="64">
        <v>9.5299999999999994</v>
      </c>
      <c r="R13" s="198"/>
      <c r="S13" s="198"/>
      <c r="T13" s="198"/>
      <c r="U13" s="198"/>
    </row>
    <row r="14" spans="1:21" s="12" customFormat="1" x14ac:dyDescent="0.25">
      <c r="A14" s="247" t="s">
        <v>441</v>
      </c>
      <c r="B14" s="64">
        <v>24.81</v>
      </c>
      <c r="C14" s="64">
        <v>64.959999999999994</v>
      </c>
      <c r="D14" s="64">
        <v>52.46</v>
      </c>
      <c r="E14" s="64">
        <v>7.23</v>
      </c>
      <c r="F14" s="64">
        <v>13.33</v>
      </c>
      <c r="G14" s="64">
        <v>83.03</v>
      </c>
      <c r="H14" s="64">
        <v>29.6</v>
      </c>
      <c r="I14" s="64">
        <v>3.94</v>
      </c>
      <c r="J14" s="64">
        <v>0.32</v>
      </c>
      <c r="K14" s="64">
        <v>281.89</v>
      </c>
      <c r="L14" s="64">
        <v>20.98</v>
      </c>
      <c r="M14" s="64">
        <v>56.61</v>
      </c>
      <c r="N14" s="64">
        <v>68.400000000000006</v>
      </c>
      <c r="O14" s="64">
        <v>0</v>
      </c>
      <c r="P14" s="64">
        <v>0.8</v>
      </c>
      <c r="Q14" s="64">
        <v>9.5399999999999991</v>
      </c>
      <c r="R14" s="198"/>
      <c r="S14" s="198"/>
      <c r="T14" s="198"/>
      <c r="U14" s="198"/>
    </row>
    <row r="15" spans="1:21" s="12" customFormat="1" x14ac:dyDescent="0.25">
      <c r="A15" s="247" t="s">
        <v>442</v>
      </c>
      <c r="B15" s="64">
        <v>23.72</v>
      </c>
      <c r="C15" s="64">
        <v>67.7</v>
      </c>
      <c r="D15" s="64">
        <v>53.02</v>
      </c>
      <c r="E15" s="64">
        <v>6.69</v>
      </c>
      <c r="F15" s="64">
        <v>11.26</v>
      </c>
      <c r="G15" s="64">
        <v>83.03</v>
      </c>
      <c r="H15" s="64">
        <v>29.6</v>
      </c>
      <c r="I15" s="64">
        <v>3.87</v>
      </c>
      <c r="J15" s="64">
        <v>0.63</v>
      </c>
      <c r="K15" s="64">
        <v>263.95</v>
      </c>
      <c r="L15" s="64">
        <v>20.47</v>
      </c>
      <c r="M15" s="64">
        <v>59.87</v>
      </c>
      <c r="N15" s="64">
        <v>68.5</v>
      </c>
      <c r="O15" s="64">
        <v>0</v>
      </c>
      <c r="P15" s="64">
        <v>0.78</v>
      </c>
      <c r="Q15" s="64">
        <v>9.5299999999999994</v>
      </c>
      <c r="R15" s="198"/>
      <c r="S15" s="198"/>
      <c r="T15" s="198"/>
      <c r="U15" s="198"/>
    </row>
    <row r="16" spans="1:21" s="12" customFormat="1" x14ac:dyDescent="0.25">
      <c r="A16" s="247" t="s">
        <v>443</v>
      </c>
      <c r="B16" s="64">
        <v>21.8</v>
      </c>
      <c r="C16" s="64">
        <v>69.36</v>
      </c>
      <c r="D16" s="64">
        <v>52.35</v>
      </c>
      <c r="E16" s="64">
        <v>6.91</v>
      </c>
      <c r="F16" s="64">
        <v>10.72</v>
      </c>
      <c r="G16" s="64">
        <v>83.03</v>
      </c>
      <c r="H16" s="64">
        <v>29.6</v>
      </c>
      <c r="I16" s="64">
        <v>3.84</v>
      </c>
      <c r="J16" s="64">
        <v>0.27</v>
      </c>
      <c r="K16" s="64">
        <v>252.12</v>
      </c>
      <c r="L16" s="64">
        <v>20.149999999999999</v>
      </c>
      <c r="M16" s="64">
        <v>59.21</v>
      </c>
      <c r="N16" s="64">
        <v>68.599999999999994</v>
      </c>
      <c r="O16" s="64">
        <v>0</v>
      </c>
      <c r="P16" s="64">
        <v>0.74</v>
      </c>
      <c r="Q16" s="64">
        <v>9.5299999999999994</v>
      </c>
      <c r="R16" s="198"/>
      <c r="S16" s="198"/>
      <c r="T16" s="198"/>
      <c r="U16" s="198"/>
    </row>
    <row r="17" spans="1:21" s="12" customFormat="1" x14ac:dyDescent="0.25">
      <c r="A17" s="247" t="s">
        <v>444</v>
      </c>
      <c r="B17" s="64">
        <v>25.7</v>
      </c>
      <c r="C17" s="64">
        <v>67.53</v>
      </c>
      <c r="D17" s="64">
        <v>54.51</v>
      </c>
      <c r="E17" s="64">
        <v>7</v>
      </c>
      <c r="F17" s="64">
        <v>10.1</v>
      </c>
      <c r="G17" s="64">
        <v>84.31</v>
      </c>
      <c r="H17" s="64">
        <v>29.2</v>
      </c>
      <c r="I17" s="64">
        <v>3.97</v>
      </c>
      <c r="J17" s="64">
        <v>0.53</v>
      </c>
      <c r="K17" s="64">
        <v>284.89999999999998</v>
      </c>
      <c r="L17" s="64">
        <v>19.8</v>
      </c>
      <c r="M17" s="64">
        <v>62.92</v>
      </c>
      <c r="N17" s="64">
        <v>68.5</v>
      </c>
      <c r="O17" s="64">
        <v>0</v>
      </c>
      <c r="P17" s="64">
        <v>0.79</v>
      </c>
      <c r="Q17" s="64">
        <v>9.52</v>
      </c>
      <c r="R17" s="198"/>
      <c r="S17" s="198"/>
      <c r="T17" s="198"/>
      <c r="U17" s="198"/>
    </row>
    <row r="18" spans="1:21" s="12" customFormat="1" x14ac:dyDescent="0.25">
      <c r="A18" s="247" t="s">
        <v>445</v>
      </c>
      <c r="B18" s="64">
        <v>21.65</v>
      </c>
      <c r="C18" s="64">
        <v>63.59</v>
      </c>
      <c r="D18" s="64">
        <v>49.2</v>
      </c>
      <c r="E18" s="64">
        <v>6.92</v>
      </c>
      <c r="F18" s="64">
        <v>12.13</v>
      </c>
      <c r="G18" s="64">
        <v>86.53</v>
      </c>
      <c r="H18" s="64">
        <v>28.5</v>
      </c>
      <c r="I18" s="64">
        <v>3.77</v>
      </c>
      <c r="J18" s="64">
        <v>0.56000000000000005</v>
      </c>
      <c r="K18" s="64">
        <v>225.28</v>
      </c>
      <c r="L18" s="64">
        <v>19.72</v>
      </c>
      <c r="M18" s="64">
        <v>61.18</v>
      </c>
      <c r="N18" s="64">
        <v>68.2</v>
      </c>
      <c r="O18" s="64">
        <v>0</v>
      </c>
      <c r="P18" s="64">
        <v>0.72</v>
      </c>
      <c r="Q18" s="64">
        <v>9.52</v>
      </c>
      <c r="R18" s="198"/>
      <c r="S18" s="198"/>
      <c r="T18" s="198"/>
      <c r="U18" s="198"/>
    </row>
    <row r="19" spans="1:21" s="12" customFormat="1" x14ac:dyDescent="0.25">
      <c r="A19" s="247" t="s">
        <v>446</v>
      </c>
      <c r="B19" s="64">
        <v>22.54</v>
      </c>
      <c r="C19" s="64">
        <v>60.55</v>
      </c>
      <c r="D19" s="64">
        <v>48.33</v>
      </c>
      <c r="E19" s="64">
        <v>7.02</v>
      </c>
      <c r="F19" s="64">
        <v>12.38</v>
      </c>
      <c r="G19" s="64">
        <v>86.53</v>
      </c>
      <c r="H19" s="64">
        <v>28.5</v>
      </c>
      <c r="I19" s="64">
        <v>3.95</v>
      </c>
      <c r="J19" s="64">
        <v>0.54</v>
      </c>
      <c r="K19" s="64">
        <v>278.60000000000002</v>
      </c>
      <c r="L19" s="64">
        <v>19.68</v>
      </c>
      <c r="M19" s="64">
        <v>60.96</v>
      </c>
      <c r="N19" s="64">
        <v>68.3</v>
      </c>
      <c r="O19" s="64">
        <v>0</v>
      </c>
      <c r="P19" s="64">
        <v>0.71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47" t="s">
        <v>447</v>
      </c>
      <c r="B20" s="64">
        <v>25.99</v>
      </c>
      <c r="C20" s="64">
        <v>66.63</v>
      </c>
      <c r="D20" s="64">
        <v>54.28</v>
      </c>
      <c r="E20" s="64">
        <v>6.61</v>
      </c>
      <c r="F20" s="64">
        <v>10.77</v>
      </c>
      <c r="G20" s="64">
        <v>86.53</v>
      </c>
      <c r="H20" s="64">
        <v>28.5</v>
      </c>
      <c r="I20" s="64">
        <v>4.1100000000000003</v>
      </c>
      <c r="J20" s="64">
        <v>0.69</v>
      </c>
      <c r="K20" s="64">
        <v>325.44</v>
      </c>
      <c r="L20" s="64">
        <v>19.29</v>
      </c>
      <c r="M20" s="64">
        <v>64.45</v>
      </c>
      <c r="N20" s="64">
        <v>68.3</v>
      </c>
      <c r="O20" s="64">
        <v>0</v>
      </c>
      <c r="P20" s="64">
        <v>0.74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47" t="s">
        <v>448</v>
      </c>
      <c r="B21" s="64">
        <v>29.72</v>
      </c>
      <c r="C21" s="64">
        <v>68.099999999999994</v>
      </c>
      <c r="D21" s="64">
        <v>58.04</v>
      </c>
      <c r="E21" s="64">
        <v>6.42</v>
      </c>
      <c r="F21" s="64">
        <v>9.86</v>
      </c>
      <c r="G21" s="64">
        <v>86.64</v>
      </c>
      <c r="H21" s="64">
        <v>28.4</v>
      </c>
      <c r="I21" s="64">
        <v>3.97</v>
      </c>
      <c r="J21" s="64">
        <v>0.59</v>
      </c>
      <c r="K21" s="64">
        <v>245.36</v>
      </c>
      <c r="L21" s="64">
        <v>19.5</v>
      </c>
      <c r="M21" s="64">
        <v>58.52</v>
      </c>
      <c r="N21" s="64">
        <v>68.2</v>
      </c>
      <c r="O21" s="64">
        <v>0</v>
      </c>
      <c r="P21" s="64">
        <v>0.79</v>
      </c>
      <c r="Q21" s="64">
        <v>9.48</v>
      </c>
      <c r="R21" s="198"/>
      <c r="S21" s="198"/>
      <c r="T21" s="198"/>
      <c r="U21" s="198"/>
    </row>
    <row r="22" spans="1:21" s="12" customFormat="1" x14ac:dyDescent="0.25">
      <c r="A22" s="247" t="s">
        <v>449</v>
      </c>
      <c r="B22" s="64">
        <v>24.44</v>
      </c>
      <c r="C22" s="64">
        <v>67.87</v>
      </c>
      <c r="D22" s="64">
        <v>53.68</v>
      </c>
      <c r="E22" s="64">
        <v>6.1</v>
      </c>
      <c r="F22" s="64">
        <v>10.02</v>
      </c>
      <c r="G22" s="64">
        <v>86.85</v>
      </c>
      <c r="H22" s="64">
        <v>28.23</v>
      </c>
      <c r="I22" s="64">
        <v>3.95</v>
      </c>
      <c r="J22" s="64">
        <v>0.62</v>
      </c>
      <c r="K22" s="64">
        <v>224.35</v>
      </c>
      <c r="L22" s="64">
        <v>19.48</v>
      </c>
      <c r="M22" s="64">
        <v>56.92</v>
      </c>
      <c r="N22" s="64">
        <v>68.3</v>
      </c>
      <c r="O22" s="64">
        <v>0</v>
      </c>
      <c r="P22" s="64">
        <v>0.75</v>
      </c>
      <c r="Q22" s="64">
        <v>9.4499999999999993</v>
      </c>
      <c r="R22" s="198"/>
      <c r="S22" s="198"/>
      <c r="T22" s="198"/>
      <c r="U22" s="198"/>
    </row>
    <row r="23" spans="1:21" s="12" customFormat="1" x14ac:dyDescent="0.25">
      <c r="A23" s="247" t="s">
        <v>450</v>
      </c>
      <c r="B23" s="64">
        <v>24.16</v>
      </c>
      <c r="C23" s="64">
        <v>65.62</v>
      </c>
      <c r="D23" s="64">
        <v>52.28</v>
      </c>
      <c r="E23" s="64">
        <v>6.11</v>
      </c>
      <c r="F23" s="64">
        <v>10.07</v>
      </c>
      <c r="G23" s="64">
        <v>86.85</v>
      </c>
      <c r="H23" s="64">
        <v>28.23</v>
      </c>
      <c r="I23" s="64">
        <v>4.08</v>
      </c>
      <c r="J23" s="64">
        <v>0.06</v>
      </c>
      <c r="K23" s="64">
        <v>169.99</v>
      </c>
      <c r="L23" s="64">
        <v>19.41</v>
      </c>
      <c r="M23" s="64">
        <v>56.92</v>
      </c>
      <c r="N23" s="64">
        <v>68.099999999999994</v>
      </c>
      <c r="O23" s="64">
        <v>0</v>
      </c>
      <c r="P23" s="64">
        <v>0.74</v>
      </c>
      <c r="Q23" s="64">
        <v>9.4600000000000009</v>
      </c>
      <c r="R23" s="198"/>
      <c r="S23" s="198"/>
      <c r="T23" s="198"/>
      <c r="U23" s="198"/>
    </row>
    <row r="24" spans="1:21" s="12" customFormat="1" x14ac:dyDescent="0.25">
      <c r="A24" s="247" t="s">
        <v>451</v>
      </c>
      <c r="B24" s="64">
        <v>25.4</v>
      </c>
      <c r="C24" s="64">
        <v>66.650000000000006</v>
      </c>
      <c r="D24" s="64">
        <v>53.81</v>
      </c>
      <c r="E24" s="64">
        <v>5.99</v>
      </c>
      <c r="F24" s="64">
        <v>9.24</v>
      </c>
      <c r="G24" s="64">
        <v>86.85</v>
      </c>
      <c r="H24" s="64">
        <v>28.23</v>
      </c>
      <c r="I24" s="64">
        <v>3.97</v>
      </c>
      <c r="J24" s="64">
        <v>0.28000000000000003</v>
      </c>
      <c r="K24" s="64">
        <v>299.82</v>
      </c>
      <c r="L24" s="64">
        <v>19.420000000000002</v>
      </c>
      <c r="M24" s="64">
        <v>54.52</v>
      </c>
      <c r="N24" s="64">
        <v>67.900000000000006</v>
      </c>
      <c r="O24" s="64">
        <v>0</v>
      </c>
      <c r="P24" s="64">
        <v>0.73</v>
      </c>
      <c r="Q24" s="64">
        <v>9.4600000000000009</v>
      </c>
      <c r="R24" s="198"/>
      <c r="S24" s="198"/>
      <c r="T24" s="198"/>
      <c r="U24" s="198"/>
    </row>
    <row r="25" spans="1:21" s="12" customFormat="1" x14ac:dyDescent="0.25">
      <c r="A25" s="247" t="s">
        <v>452</v>
      </c>
      <c r="B25" s="64">
        <v>19.91</v>
      </c>
      <c r="C25" s="64">
        <v>63.88</v>
      </c>
      <c r="D25" s="64">
        <v>47.97</v>
      </c>
      <c r="E25" s="64">
        <v>5.77</v>
      </c>
      <c r="F25" s="64">
        <v>11.32</v>
      </c>
      <c r="G25" s="64">
        <v>81.52</v>
      </c>
      <c r="H25" s="64">
        <v>26.71</v>
      </c>
      <c r="I25" s="64">
        <v>3.99</v>
      </c>
      <c r="J25" s="64">
        <v>0.25</v>
      </c>
      <c r="K25" s="64">
        <v>150.27000000000001</v>
      </c>
      <c r="L25" s="64">
        <v>19.510000000000002</v>
      </c>
      <c r="M25" s="64">
        <v>52.63</v>
      </c>
      <c r="N25" s="64">
        <v>67.900000000000006</v>
      </c>
      <c r="O25" s="64">
        <v>0</v>
      </c>
      <c r="P25" s="64">
        <v>0.68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47" t="s">
        <v>453</v>
      </c>
      <c r="B26" s="64">
        <v>23.1</v>
      </c>
      <c r="C26" s="64">
        <v>66.66</v>
      </c>
      <c r="D26" s="64">
        <v>51.98</v>
      </c>
      <c r="E26" s="64">
        <v>5.4</v>
      </c>
      <c r="F26" s="64">
        <v>8.3800000000000008</v>
      </c>
      <c r="G26" s="64">
        <v>72.319999999999993</v>
      </c>
      <c r="H26" s="64">
        <v>24.08</v>
      </c>
      <c r="I26" s="64">
        <v>3.88</v>
      </c>
      <c r="J26" s="64">
        <v>0.64</v>
      </c>
      <c r="K26" s="64">
        <v>213.32</v>
      </c>
      <c r="L26" s="64">
        <v>19.3</v>
      </c>
      <c r="M26" s="64">
        <v>59.04</v>
      </c>
      <c r="N26" s="64">
        <v>67.7</v>
      </c>
      <c r="O26" s="64">
        <v>0</v>
      </c>
      <c r="P26" s="64">
        <v>0.71</v>
      </c>
      <c r="Q26" s="64">
        <v>9.4499999999999993</v>
      </c>
      <c r="R26" s="198"/>
      <c r="S26" s="198"/>
      <c r="T26" s="198"/>
      <c r="U26" s="198"/>
    </row>
    <row r="27" spans="1:21" s="12" customFormat="1" x14ac:dyDescent="0.25">
      <c r="A27" s="247" t="s">
        <v>454</v>
      </c>
      <c r="B27" s="64">
        <v>24.69</v>
      </c>
      <c r="C27" s="64">
        <v>67.98</v>
      </c>
      <c r="D27" s="64">
        <v>53.94</v>
      </c>
      <c r="E27" s="64">
        <v>5.81</v>
      </c>
      <c r="F27" s="64">
        <v>7.38</v>
      </c>
      <c r="G27" s="64">
        <v>72.319999999999993</v>
      </c>
      <c r="H27" s="64">
        <v>24.08</v>
      </c>
      <c r="I27" s="64">
        <v>4.08</v>
      </c>
      <c r="J27" s="64">
        <v>0.45</v>
      </c>
      <c r="K27" s="64">
        <v>319.19</v>
      </c>
      <c r="L27" s="64">
        <v>18.64</v>
      </c>
      <c r="M27" s="64">
        <v>65.430000000000007</v>
      </c>
      <c r="N27" s="64">
        <v>68.7</v>
      </c>
      <c r="O27" s="64">
        <v>0</v>
      </c>
      <c r="P27" s="64">
        <v>0.72</v>
      </c>
      <c r="Q27" s="64">
        <v>9.43</v>
      </c>
      <c r="R27" s="198"/>
      <c r="S27" s="198"/>
      <c r="T27" s="198"/>
      <c r="U27" s="198"/>
    </row>
    <row r="28" spans="1:21" s="12" customFormat="1" x14ac:dyDescent="0.25">
      <c r="A28" s="247" t="s">
        <v>455</v>
      </c>
      <c r="B28" s="64">
        <v>27.76</v>
      </c>
      <c r="C28" s="64">
        <v>70.13</v>
      </c>
      <c r="D28" s="64">
        <v>57.52</v>
      </c>
      <c r="E28" s="64">
        <v>5.07</v>
      </c>
      <c r="F28" s="64">
        <v>6.56</v>
      </c>
      <c r="G28" s="64">
        <v>72.319999999999993</v>
      </c>
      <c r="H28" s="64">
        <v>24.08</v>
      </c>
      <c r="I28" s="64">
        <v>3.96</v>
      </c>
      <c r="J28" s="64">
        <v>0.33</v>
      </c>
      <c r="K28" s="64">
        <v>246.1</v>
      </c>
      <c r="L28" s="64">
        <v>18.09</v>
      </c>
      <c r="M28" s="64">
        <v>67.58</v>
      </c>
      <c r="N28" s="64">
        <v>68.3</v>
      </c>
      <c r="O28" s="64">
        <v>0</v>
      </c>
      <c r="P28" s="64">
        <v>0.72</v>
      </c>
      <c r="Q28" s="64">
        <v>9.42</v>
      </c>
      <c r="R28" s="198"/>
      <c r="S28" s="198"/>
      <c r="T28" s="198"/>
      <c r="U28" s="198"/>
    </row>
    <row r="29" spans="1:21" s="12" customFormat="1" x14ac:dyDescent="0.25">
      <c r="A29" s="247" t="s">
        <v>456</v>
      </c>
      <c r="B29" s="64">
        <v>43.22</v>
      </c>
      <c r="C29" s="64">
        <v>71.150000000000006</v>
      </c>
      <c r="D29" s="64">
        <v>70.45</v>
      </c>
      <c r="E29" s="64">
        <v>5.29</v>
      </c>
      <c r="F29" s="64">
        <v>6.89</v>
      </c>
      <c r="G29" s="64">
        <v>73.87</v>
      </c>
      <c r="H29" s="64">
        <v>24.11</v>
      </c>
      <c r="I29" s="64">
        <v>4</v>
      </c>
      <c r="J29" s="64">
        <v>0.19</v>
      </c>
      <c r="K29" s="64">
        <v>175.99</v>
      </c>
      <c r="L29" s="64">
        <v>17.89</v>
      </c>
      <c r="M29" s="64">
        <v>70.040000000000006</v>
      </c>
      <c r="N29" s="64">
        <v>68.3</v>
      </c>
      <c r="O29" s="64">
        <v>0</v>
      </c>
      <c r="P29" s="64">
        <v>0.72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47" t="s">
        <v>457</v>
      </c>
      <c r="B30" s="64">
        <v>33.99</v>
      </c>
      <c r="C30" s="64">
        <v>69.16</v>
      </c>
      <c r="D30" s="64">
        <v>62.01</v>
      </c>
      <c r="E30" s="64">
        <v>5.33</v>
      </c>
      <c r="F30" s="64">
        <v>6.78</v>
      </c>
      <c r="G30" s="64">
        <v>76.56</v>
      </c>
      <c r="H30" s="64">
        <v>24.17</v>
      </c>
      <c r="I30" s="64">
        <v>4.0599999999999996</v>
      </c>
      <c r="J30" s="64">
        <v>0.32</v>
      </c>
      <c r="K30" s="64">
        <v>317.58999999999997</v>
      </c>
      <c r="L30" s="64">
        <v>17.84</v>
      </c>
      <c r="M30" s="64">
        <v>73.37</v>
      </c>
      <c r="N30" s="64">
        <v>68.2</v>
      </c>
      <c r="O30" s="64">
        <v>0</v>
      </c>
      <c r="P30" s="64">
        <v>0.72</v>
      </c>
      <c r="Q30" s="64">
        <v>9.4</v>
      </c>
      <c r="R30" s="198"/>
      <c r="S30" s="198"/>
      <c r="T30" s="198"/>
      <c r="U30" s="198"/>
    </row>
    <row r="31" spans="1:21" s="12" customFormat="1" x14ac:dyDescent="0.25">
      <c r="A31" s="247" t="s">
        <v>458</v>
      </c>
      <c r="B31" s="64">
        <v>56.68</v>
      </c>
      <c r="C31" s="64">
        <v>71.39</v>
      </c>
      <c r="D31" s="64">
        <v>81.37</v>
      </c>
      <c r="E31" s="64">
        <v>5.28</v>
      </c>
      <c r="F31" s="64">
        <v>6.6</v>
      </c>
      <c r="G31" s="64">
        <v>76.56</v>
      </c>
      <c r="H31" s="64">
        <v>24.17</v>
      </c>
      <c r="I31" s="64">
        <v>3.84</v>
      </c>
      <c r="J31" s="64">
        <v>0.12</v>
      </c>
      <c r="K31" s="64">
        <v>258.72000000000003</v>
      </c>
      <c r="L31" s="64">
        <v>17.52</v>
      </c>
      <c r="M31" s="64">
        <v>74.819999999999993</v>
      </c>
      <c r="N31" s="64">
        <v>68.099999999999994</v>
      </c>
      <c r="O31" s="64">
        <v>0</v>
      </c>
      <c r="P31" s="64">
        <v>0.78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47" t="s">
        <v>459</v>
      </c>
      <c r="B32" s="64">
        <v>54.08</v>
      </c>
      <c r="C32" s="64">
        <v>70.040000000000006</v>
      </c>
      <c r="D32" s="64">
        <v>78.59</v>
      </c>
      <c r="E32" s="64">
        <v>5.63</v>
      </c>
      <c r="F32" s="64">
        <v>7.51</v>
      </c>
      <c r="G32" s="64">
        <v>76.56</v>
      </c>
      <c r="H32" s="64">
        <v>24.17</v>
      </c>
      <c r="I32" s="64">
        <v>3.95</v>
      </c>
      <c r="J32" s="64">
        <v>0.28000000000000003</v>
      </c>
      <c r="K32" s="64">
        <v>45.57</v>
      </c>
      <c r="L32" s="64">
        <v>17.37</v>
      </c>
      <c r="M32" s="64">
        <v>73.11</v>
      </c>
      <c r="N32" s="64">
        <v>68.099999999999994</v>
      </c>
      <c r="O32" s="64">
        <v>0</v>
      </c>
      <c r="P32" s="64">
        <v>0.81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47" t="s">
        <v>460</v>
      </c>
      <c r="B33" s="64">
        <v>76.569999999999993</v>
      </c>
      <c r="C33" s="64">
        <v>73.81</v>
      </c>
      <c r="D33" s="64">
        <v>98.59</v>
      </c>
      <c r="E33" s="64">
        <v>5.5</v>
      </c>
      <c r="F33" s="64">
        <v>7.23</v>
      </c>
      <c r="G33" s="64">
        <v>81.17</v>
      </c>
      <c r="H33" s="64">
        <v>25.39</v>
      </c>
      <c r="I33" s="64">
        <v>3.72</v>
      </c>
      <c r="J33" s="64">
        <v>0.68</v>
      </c>
      <c r="K33" s="64">
        <v>343.03</v>
      </c>
      <c r="L33" s="64">
        <v>17.170000000000002</v>
      </c>
      <c r="M33" s="64">
        <v>77.66</v>
      </c>
      <c r="N33" s="64">
        <v>69.3</v>
      </c>
      <c r="O33" s="64">
        <v>0</v>
      </c>
      <c r="P33" s="64">
        <v>0.89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47" t="s">
        <v>461</v>
      </c>
      <c r="B34" s="64">
        <v>105.53</v>
      </c>
      <c r="C34" s="64">
        <v>81.23</v>
      </c>
      <c r="D34" s="64">
        <v>125.69</v>
      </c>
      <c r="E34" s="64">
        <v>5.76</v>
      </c>
      <c r="F34" s="64">
        <v>7.34</v>
      </c>
      <c r="G34" s="64">
        <v>89.12</v>
      </c>
      <c r="H34" s="64">
        <v>27.5</v>
      </c>
      <c r="I34" s="64">
        <v>3.92</v>
      </c>
      <c r="J34" s="64">
        <v>0.25</v>
      </c>
      <c r="K34" s="64">
        <v>101.37</v>
      </c>
      <c r="L34" s="64">
        <v>17.27</v>
      </c>
      <c r="M34" s="64">
        <v>76.36</v>
      </c>
      <c r="N34" s="64">
        <v>74.2</v>
      </c>
      <c r="O34" s="64">
        <v>0</v>
      </c>
      <c r="P34" s="64">
        <v>0.89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47" t="s">
        <v>462</v>
      </c>
      <c r="B35" s="64">
        <v>120.09</v>
      </c>
      <c r="C35" s="64">
        <v>83.15</v>
      </c>
      <c r="D35" s="64">
        <v>138.37</v>
      </c>
      <c r="E35" s="64">
        <v>6.23</v>
      </c>
      <c r="F35" s="64">
        <v>7.79</v>
      </c>
      <c r="G35" s="64">
        <v>89.12</v>
      </c>
      <c r="H35" s="64">
        <v>27.5</v>
      </c>
      <c r="I35" s="64">
        <v>4.13</v>
      </c>
      <c r="J35" s="64">
        <v>0.46</v>
      </c>
      <c r="K35" s="64">
        <v>247.46</v>
      </c>
      <c r="L35" s="64">
        <v>17.670000000000002</v>
      </c>
      <c r="M35" s="64">
        <v>74.069999999999993</v>
      </c>
      <c r="N35" s="64">
        <v>87.4</v>
      </c>
      <c r="O35" s="64">
        <v>0</v>
      </c>
      <c r="P35" s="64">
        <v>0.95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47" t="s">
        <v>463</v>
      </c>
      <c r="B36" s="64">
        <v>135.69</v>
      </c>
      <c r="C36" s="64">
        <v>88.22</v>
      </c>
      <c r="D36" s="64">
        <v>153.53</v>
      </c>
      <c r="E36" s="64">
        <v>6.4</v>
      </c>
      <c r="F36" s="64">
        <v>7.56</v>
      </c>
      <c r="G36" s="64">
        <v>89.12</v>
      </c>
      <c r="H36" s="64">
        <v>27.5</v>
      </c>
      <c r="I36" s="64">
        <v>4.05</v>
      </c>
      <c r="J36" s="64">
        <v>0.43</v>
      </c>
      <c r="K36" s="64">
        <v>314.58</v>
      </c>
      <c r="L36" s="64">
        <v>17.899999999999999</v>
      </c>
      <c r="M36" s="64">
        <v>76.150000000000006</v>
      </c>
      <c r="N36" s="64">
        <v>113.8</v>
      </c>
      <c r="O36" s="64">
        <v>0</v>
      </c>
      <c r="P36" s="64">
        <v>1.07</v>
      </c>
      <c r="Q36" s="64">
        <v>9.44</v>
      </c>
      <c r="R36" s="198"/>
      <c r="S36" s="198"/>
      <c r="T36" s="198"/>
      <c r="U36" s="198"/>
    </row>
    <row r="37" spans="1:21" s="12" customFormat="1" x14ac:dyDescent="0.25">
      <c r="A37" s="247" t="s">
        <v>464</v>
      </c>
      <c r="B37" s="64">
        <v>83.92</v>
      </c>
      <c r="C37" s="64">
        <v>80.52</v>
      </c>
      <c r="D37" s="64">
        <v>108</v>
      </c>
      <c r="E37" s="64">
        <v>6.53</v>
      </c>
      <c r="F37" s="64">
        <v>7.31</v>
      </c>
      <c r="G37" s="64">
        <v>99.37</v>
      </c>
      <c r="H37" s="64">
        <v>29.79</v>
      </c>
      <c r="I37" s="64">
        <v>3.86</v>
      </c>
      <c r="J37" s="64">
        <v>0.61</v>
      </c>
      <c r="K37" s="64">
        <v>224.77</v>
      </c>
      <c r="L37" s="64">
        <v>19.05</v>
      </c>
      <c r="M37" s="64">
        <v>62.71</v>
      </c>
      <c r="N37" s="64">
        <v>158.6</v>
      </c>
      <c r="O37" s="64">
        <v>0</v>
      </c>
      <c r="P37" s="64">
        <v>0.92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47" t="s">
        <v>465</v>
      </c>
      <c r="B38" s="64">
        <v>83.5</v>
      </c>
      <c r="C38" s="64">
        <v>88.26</v>
      </c>
      <c r="D38" s="64">
        <v>111.7</v>
      </c>
      <c r="E38" s="64">
        <v>7.13</v>
      </c>
      <c r="F38" s="64">
        <v>7.89</v>
      </c>
      <c r="G38" s="64">
        <v>117.08</v>
      </c>
      <c r="H38" s="64">
        <v>33.75</v>
      </c>
      <c r="I38" s="64">
        <v>3.9</v>
      </c>
      <c r="J38" s="64">
        <v>0.65</v>
      </c>
      <c r="K38" s="64">
        <v>201.13</v>
      </c>
      <c r="L38" s="64">
        <v>21</v>
      </c>
      <c r="M38" s="64">
        <v>55.21</v>
      </c>
      <c r="N38" s="64">
        <v>204.4</v>
      </c>
      <c r="O38" s="64">
        <v>0</v>
      </c>
      <c r="P38" s="64">
        <v>0.98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47" t="s">
        <v>466</v>
      </c>
      <c r="B39" s="64">
        <v>80.08</v>
      </c>
      <c r="C39" s="64">
        <v>78.680000000000007</v>
      </c>
      <c r="D39" s="64">
        <v>103.95</v>
      </c>
      <c r="E39" s="64">
        <v>6.14</v>
      </c>
      <c r="F39" s="64">
        <v>6.95</v>
      </c>
      <c r="G39" s="64">
        <v>117.08</v>
      </c>
      <c r="H39" s="64">
        <v>33.75</v>
      </c>
      <c r="I39" s="64">
        <v>4.0599999999999996</v>
      </c>
      <c r="J39" s="64">
        <v>1.3</v>
      </c>
      <c r="K39" s="64">
        <v>186.78</v>
      </c>
      <c r="L39" s="64">
        <v>20.53</v>
      </c>
      <c r="M39" s="64">
        <v>59.24</v>
      </c>
      <c r="N39" s="64">
        <v>256.2</v>
      </c>
      <c r="O39" s="64">
        <v>0</v>
      </c>
      <c r="P39" s="64">
        <v>0.94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47" t="s">
        <v>467</v>
      </c>
      <c r="B40" s="64">
        <v>74.88</v>
      </c>
      <c r="C40" s="64">
        <v>75.13</v>
      </c>
      <c r="D40" s="64">
        <v>97.92</v>
      </c>
      <c r="E40" s="64">
        <v>5.08</v>
      </c>
      <c r="F40" s="64">
        <v>6.99</v>
      </c>
      <c r="G40" s="64">
        <v>117.08</v>
      </c>
      <c r="H40" s="64">
        <v>33.75</v>
      </c>
      <c r="I40" s="64">
        <v>3.92</v>
      </c>
      <c r="J40" s="64">
        <v>1.28</v>
      </c>
      <c r="K40" s="64">
        <v>200.29</v>
      </c>
      <c r="L40" s="64">
        <v>20.89</v>
      </c>
      <c r="M40" s="64">
        <v>56.5</v>
      </c>
      <c r="N40" s="64">
        <v>312.60000000000002</v>
      </c>
      <c r="O40" s="64">
        <v>0</v>
      </c>
      <c r="P40" s="64">
        <v>0.93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47" t="s">
        <v>468</v>
      </c>
      <c r="B41" s="64">
        <v>66.040000000000006</v>
      </c>
      <c r="C41" s="64">
        <v>72.84</v>
      </c>
      <c r="D41" s="64">
        <v>89.64</v>
      </c>
      <c r="E41" s="64">
        <v>5.3</v>
      </c>
      <c r="F41" s="64">
        <v>7.03</v>
      </c>
      <c r="G41" s="64">
        <v>114.88</v>
      </c>
      <c r="H41" s="64">
        <v>34.299999999999997</v>
      </c>
      <c r="I41" s="64">
        <v>3.98</v>
      </c>
      <c r="J41" s="64">
        <v>0.8</v>
      </c>
      <c r="K41" s="64">
        <v>240.9</v>
      </c>
      <c r="L41" s="64">
        <v>21.81</v>
      </c>
      <c r="M41" s="64">
        <v>52.82</v>
      </c>
      <c r="N41" s="64">
        <v>354.8</v>
      </c>
      <c r="O41" s="64">
        <v>0</v>
      </c>
      <c r="P41" s="64">
        <v>0.92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47" t="s">
        <v>469</v>
      </c>
      <c r="B42" s="64">
        <v>62.18</v>
      </c>
      <c r="C42" s="64">
        <v>73.790000000000006</v>
      </c>
      <c r="D42" s="64">
        <v>87.04</v>
      </c>
      <c r="E42" s="64">
        <v>5.32</v>
      </c>
      <c r="F42" s="64">
        <v>7.35</v>
      </c>
      <c r="G42" s="64">
        <v>111.07</v>
      </c>
      <c r="H42" s="64">
        <v>35.26</v>
      </c>
      <c r="I42" s="64">
        <v>4.08</v>
      </c>
      <c r="J42" s="64">
        <v>0.82</v>
      </c>
      <c r="K42" s="64">
        <v>303.97000000000003</v>
      </c>
      <c r="L42" s="64">
        <v>25.1</v>
      </c>
      <c r="M42" s="64">
        <v>44.17</v>
      </c>
      <c r="N42" s="64">
        <v>402</v>
      </c>
      <c r="O42" s="64">
        <v>0</v>
      </c>
      <c r="P42" s="64">
        <v>0.92</v>
      </c>
      <c r="Q42" s="64">
        <v>9.58</v>
      </c>
      <c r="R42" s="198"/>
      <c r="S42" s="198"/>
      <c r="T42" s="198"/>
      <c r="U42" s="198"/>
    </row>
    <row r="43" spans="1:21" s="12" customFormat="1" x14ac:dyDescent="0.25">
      <c r="A43" s="247" t="s">
        <v>470</v>
      </c>
      <c r="B43" s="64">
        <v>58.94</v>
      </c>
      <c r="C43" s="64">
        <v>75.17</v>
      </c>
      <c r="D43" s="64">
        <v>85.16</v>
      </c>
      <c r="E43" s="64">
        <v>5.3</v>
      </c>
      <c r="F43" s="64">
        <v>6.81</v>
      </c>
      <c r="G43" s="64">
        <v>111.07</v>
      </c>
      <c r="H43" s="64">
        <v>35.26</v>
      </c>
      <c r="I43" s="64">
        <v>4.07</v>
      </c>
      <c r="J43" s="64">
        <v>0.81</v>
      </c>
      <c r="K43" s="64">
        <v>322.68</v>
      </c>
      <c r="L43" s="64">
        <v>27.01</v>
      </c>
      <c r="M43" s="64">
        <v>38.25</v>
      </c>
      <c r="N43" s="64">
        <v>447.4</v>
      </c>
      <c r="O43" s="64">
        <v>0</v>
      </c>
      <c r="P43" s="64">
        <v>0.92</v>
      </c>
      <c r="Q43" s="64">
        <v>9.58</v>
      </c>
      <c r="R43" s="198"/>
      <c r="S43" s="198"/>
      <c r="T43" s="198"/>
      <c r="U43" s="198"/>
    </row>
    <row r="44" spans="1:21" s="12" customFormat="1" x14ac:dyDescent="0.25">
      <c r="A44" s="247" t="s">
        <v>471</v>
      </c>
      <c r="B44" s="64">
        <v>55.25</v>
      </c>
      <c r="C44" s="64">
        <v>77.37</v>
      </c>
      <c r="D44" s="64">
        <v>83.35</v>
      </c>
      <c r="E44" s="64">
        <v>5.7</v>
      </c>
      <c r="F44" s="64">
        <v>7.41</v>
      </c>
      <c r="G44" s="64">
        <v>111.07</v>
      </c>
      <c r="H44" s="64">
        <v>35.26</v>
      </c>
      <c r="I44" s="64">
        <v>3.88</v>
      </c>
      <c r="J44" s="64">
        <v>1.1299999999999999</v>
      </c>
      <c r="K44" s="64">
        <v>331.29</v>
      </c>
      <c r="L44" s="64">
        <v>28.81</v>
      </c>
      <c r="M44" s="64">
        <v>35.020000000000003</v>
      </c>
      <c r="N44" s="64">
        <v>489.7</v>
      </c>
      <c r="O44" s="64">
        <v>0</v>
      </c>
      <c r="P44" s="64">
        <v>0.95</v>
      </c>
      <c r="Q44" s="64">
        <v>9.56</v>
      </c>
      <c r="R44" s="198"/>
      <c r="S44" s="198"/>
      <c r="T44" s="198"/>
      <c r="U44" s="198"/>
    </row>
    <row r="45" spans="1:21" s="12" customFormat="1" x14ac:dyDescent="0.25">
      <c r="A45" s="247" t="s">
        <v>472</v>
      </c>
      <c r="B45" s="64">
        <v>52.29</v>
      </c>
      <c r="C45" s="64">
        <v>79.819999999999993</v>
      </c>
      <c r="D45" s="64">
        <v>82.26</v>
      </c>
      <c r="E45" s="64">
        <v>5.75</v>
      </c>
      <c r="F45" s="64">
        <v>7.97</v>
      </c>
      <c r="G45" s="64">
        <v>112.75</v>
      </c>
      <c r="H45" s="64">
        <v>36.24</v>
      </c>
      <c r="I45" s="64">
        <v>4.1100000000000003</v>
      </c>
      <c r="J45" s="64">
        <v>1.32</v>
      </c>
      <c r="K45" s="64">
        <v>322.33</v>
      </c>
      <c r="L45" s="64">
        <v>30.33</v>
      </c>
      <c r="M45" s="64">
        <v>31.47</v>
      </c>
      <c r="N45" s="64">
        <v>526.79999999999995</v>
      </c>
      <c r="O45" s="64">
        <v>0</v>
      </c>
      <c r="P45" s="64">
        <v>0.97</v>
      </c>
      <c r="Q45" s="64">
        <v>9.52</v>
      </c>
      <c r="R45" s="198"/>
      <c r="S45" s="198"/>
      <c r="T45" s="198"/>
      <c r="U45" s="198"/>
    </row>
    <row r="46" spans="1:21" s="12" customFormat="1" x14ac:dyDescent="0.25">
      <c r="A46" s="247" t="s">
        <v>473</v>
      </c>
      <c r="B46" s="64">
        <v>47.93</v>
      </c>
      <c r="C46" s="64">
        <v>86.24</v>
      </c>
      <c r="D46" s="64">
        <v>82.11</v>
      </c>
      <c r="E46" s="64">
        <v>7.92</v>
      </c>
      <c r="F46" s="64">
        <v>9.2100000000000009</v>
      </c>
      <c r="G46" s="64">
        <v>115.65</v>
      </c>
      <c r="H46" s="64">
        <v>37.94</v>
      </c>
      <c r="I46" s="64">
        <v>3.97</v>
      </c>
      <c r="J46" s="64">
        <v>1.1100000000000001</v>
      </c>
      <c r="K46" s="64">
        <v>335.42</v>
      </c>
      <c r="L46" s="64">
        <v>30.99</v>
      </c>
      <c r="M46" s="64">
        <v>28.99</v>
      </c>
      <c r="N46" s="64">
        <v>560.79999999999995</v>
      </c>
      <c r="O46" s="64">
        <v>0</v>
      </c>
      <c r="P46" s="64">
        <v>0.99</v>
      </c>
      <c r="Q46" s="64">
        <v>9.49</v>
      </c>
      <c r="R46" s="198"/>
      <c r="S46" s="198"/>
      <c r="T46" s="198"/>
      <c r="U46" s="198"/>
    </row>
    <row r="47" spans="1:21" s="12" customFormat="1" x14ac:dyDescent="0.25">
      <c r="A47" s="247" t="s">
        <v>474</v>
      </c>
      <c r="B47" s="64">
        <v>45.1</v>
      </c>
      <c r="C47" s="64">
        <v>89</v>
      </c>
      <c r="D47" s="64">
        <v>81.290000000000006</v>
      </c>
      <c r="E47" s="64">
        <v>7.48</v>
      </c>
      <c r="F47" s="64">
        <v>9.64</v>
      </c>
      <c r="G47" s="64">
        <v>115.65</v>
      </c>
      <c r="H47" s="64">
        <v>37.94</v>
      </c>
      <c r="I47" s="64">
        <v>4.01</v>
      </c>
      <c r="J47" s="64">
        <v>0.89</v>
      </c>
      <c r="K47" s="64">
        <v>46.09</v>
      </c>
      <c r="L47" s="64">
        <v>29.48</v>
      </c>
      <c r="M47" s="64">
        <v>29.61</v>
      </c>
      <c r="N47" s="64">
        <v>647.6</v>
      </c>
      <c r="O47" s="64">
        <v>0</v>
      </c>
      <c r="P47" s="64">
        <v>0.97</v>
      </c>
      <c r="Q47" s="64">
        <v>9.4600000000000009</v>
      </c>
      <c r="R47" s="198"/>
      <c r="S47" s="198"/>
      <c r="T47" s="198"/>
      <c r="U47" s="198"/>
    </row>
    <row r="48" spans="1:21" s="12" customFormat="1" x14ac:dyDescent="0.25">
      <c r="A48" s="247" t="s">
        <v>475</v>
      </c>
      <c r="B48" s="64">
        <v>42.22</v>
      </c>
      <c r="C48" s="64">
        <v>87.72</v>
      </c>
      <c r="D48" s="64">
        <v>78.31</v>
      </c>
      <c r="E48" s="64">
        <v>6.16</v>
      </c>
      <c r="F48" s="64">
        <v>9.8800000000000008</v>
      </c>
      <c r="G48" s="64">
        <v>115.65</v>
      </c>
      <c r="H48" s="64">
        <v>37.94</v>
      </c>
      <c r="I48" s="64">
        <v>4.01</v>
      </c>
      <c r="J48" s="64">
        <v>1.3</v>
      </c>
      <c r="K48" s="64">
        <v>80.81</v>
      </c>
      <c r="L48" s="64">
        <v>27.48</v>
      </c>
      <c r="M48" s="64">
        <v>31.59</v>
      </c>
      <c r="N48" s="64">
        <v>702.7</v>
      </c>
      <c r="O48" s="64">
        <v>0</v>
      </c>
      <c r="P48" s="64">
        <v>0.94</v>
      </c>
      <c r="Q48" s="64">
        <v>9.4700000000000006</v>
      </c>
      <c r="R48" s="198"/>
      <c r="S48" s="198"/>
      <c r="T48" s="198"/>
      <c r="U48" s="198"/>
    </row>
    <row r="49" spans="1:21" s="12" customFormat="1" x14ac:dyDescent="0.25">
      <c r="A49" s="247" t="s">
        <v>476</v>
      </c>
      <c r="B49" s="64">
        <v>36.18</v>
      </c>
      <c r="C49" s="64">
        <v>81.87</v>
      </c>
      <c r="D49" s="64">
        <v>70.41</v>
      </c>
      <c r="E49" s="64">
        <v>8.4499999999999993</v>
      </c>
      <c r="F49" s="64">
        <v>13.92</v>
      </c>
      <c r="G49" s="64">
        <v>111.11</v>
      </c>
      <c r="H49" s="64">
        <v>37.450000000000003</v>
      </c>
      <c r="I49" s="64">
        <v>4.05</v>
      </c>
      <c r="J49" s="64">
        <v>1.26</v>
      </c>
      <c r="K49" s="64">
        <v>24.5</v>
      </c>
      <c r="L49" s="64">
        <v>28.76</v>
      </c>
      <c r="M49" s="64">
        <v>30.46</v>
      </c>
      <c r="N49" s="64">
        <v>734.3</v>
      </c>
      <c r="O49" s="64">
        <v>0</v>
      </c>
      <c r="P49" s="64">
        <v>0.87</v>
      </c>
      <c r="Q49" s="64">
        <v>9.48</v>
      </c>
      <c r="R49" s="198"/>
      <c r="S49" s="198"/>
      <c r="T49" s="198"/>
      <c r="U49" s="198"/>
    </row>
    <row r="50" spans="1:21" s="12" customFormat="1" x14ac:dyDescent="0.25">
      <c r="A50" s="247" t="s">
        <v>477</v>
      </c>
      <c r="B50" s="64">
        <v>35.72</v>
      </c>
      <c r="C50" s="64">
        <v>78.989999999999995</v>
      </c>
      <c r="D50" s="64">
        <v>68.540000000000006</v>
      </c>
      <c r="E50" s="64">
        <v>9.82</v>
      </c>
      <c r="F50" s="64">
        <v>12.71</v>
      </c>
      <c r="G50" s="64">
        <v>103.28</v>
      </c>
      <c r="H50" s="64">
        <v>36.6</v>
      </c>
      <c r="I50" s="64">
        <v>4.0999999999999996</v>
      </c>
      <c r="J50" s="64">
        <v>1.04</v>
      </c>
      <c r="K50" s="64">
        <v>34.92</v>
      </c>
      <c r="L50" s="64">
        <v>29.49</v>
      </c>
      <c r="M50" s="64">
        <v>29.55</v>
      </c>
      <c r="N50" s="64">
        <v>771.7</v>
      </c>
      <c r="O50" s="64">
        <v>0</v>
      </c>
      <c r="P50" s="64">
        <v>0.88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47" t="s">
        <v>478</v>
      </c>
      <c r="B51" s="64">
        <v>31.54</v>
      </c>
      <c r="C51" s="64">
        <v>83.83</v>
      </c>
      <c r="D51" s="64">
        <v>67.72</v>
      </c>
      <c r="E51" s="64">
        <v>10.52</v>
      </c>
      <c r="F51" s="64">
        <v>13.87</v>
      </c>
      <c r="G51" s="64">
        <v>103.28</v>
      </c>
      <c r="H51" s="64">
        <v>36.6</v>
      </c>
      <c r="I51" s="64">
        <v>3.91</v>
      </c>
      <c r="J51" s="64">
        <v>1.04</v>
      </c>
      <c r="K51" s="64">
        <v>82.42</v>
      </c>
      <c r="L51" s="64">
        <v>29.18</v>
      </c>
      <c r="M51" s="64">
        <v>28.73</v>
      </c>
      <c r="N51" s="64">
        <v>799</v>
      </c>
      <c r="O51" s="64">
        <v>0</v>
      </c>
      <c r="P51" s="64">
        <v>0.84</v>
      </c>
      <c r="Q51" s="64">
        <v>9.4600000000000009</v>
      </c>
      <c r="R51" s="198"/>
      <c r="S51" s="198"/>
      <c r="T51" s="198"/>
      <c r="U51" s="198"/>
    </row>
    <row r="52" spans="1:21" s="12" customFormat="1" x14ac:dyDescent="0.25">
      <c r="A52" s="247" t="s">
        <v>479</v>
      </c>
      <c r="B52" s="64">
        <v>29.67</v>
      </c>
      <c r="C52" s="64">
        <v>84.13</v>
      </c>
      <c r="D52" s="64">
        <v>66.37</v>
      </c>
      <c r="E52" s="64">
        <v>9.5</v>
      </c>
      <c r="F52" s="64">
        <v>13.63</v>
      </c>
      <c r="G52" s="64">
        <v>103.28</v>
      </c>
      <c r="H52" s="64">
        <v>36.6</v>
      </c>
      <c r="I52" s="64">
        <v>3.96</v>
      </c>
      <c r="J52" s="64">
        <v>0.82</v>
      </c>
      <c r="K52" s="64">
        <v>77.22</v>
      </c>
      <c r="L52" s="64">
        <v>28.72</v>
      </c>
      <c r="M52" s="64">
        <v>30.24</v>
      </c>
      <c r="N52" s="64">
        <v>799.6</v>
      </c>
      <c r="O52" s="64">
        <v>0</v>
      </c>
      <c r="P52" s="64">
        <v>0.82</v>
      </c>
      <c r="Q52" s="64">
        <v>9.43</v>
      </c>
      <c r="R52" s="198"/>
      <c r="S52" s="198"/>
      <c r="T52" s="198"/>
      <c r="U52" s="198"/>
    </row>
    <row r="53" spans="1:21" s="12" customFormat="1" x14ac:dyDescent="0.25">
      <c r="A53" s="247" t="s">
        <v>480</v>
      </c>
      <c r="B53" s="64">
        <v>26.65</v>
      </c>
      <c r="C53" s="64">
        <v>79.62</v>
      </c>
      <c r="D53" s="64">
        <v>61.59</v>
      </c>
      <c r="E53" s="64">
        <v>12.68</v>
      </c>
      <c r="F53" s="64">
        <v>18.59</v>
      </c>
      <c r="G53" s="64">
        <v>96.91</v>
      </c>
      <c r="H53" s="64">
        <v>33.49</v>
      </c>
      <c r="I53" s="64">
        <v>4</v>
      </c>
      <c r="J53" s="64">
        <v>1.51</v>
      </c>
      <c r="K53" s="64">
        <v>353.37</v>
      </c>
      <c r="L53" s="64">
        <v>32.090000000000003</v>
      </c>
      <c r="M53" s="64">
        <v>24.36</v>
      </c>
      <c r="N53" s="64">
        <v>790.4</v>
      </c>
      <c r="O53" s="64">
        <v>0</v>
      </c>
      <c r="P53" s="64">
        <v>0.82</v>
      </c>
      <c r="Q53" s="64">
        <v>9.43</v>
      </c>
      <c r="R53" s="198"/>
      <c r="S53" s="198"/>
      <c r="T53" s="198"/>
      <c r="U53" s="198"/>
    </row>
    <row r="54" spans="1:21" s="12" customFormat="1" x14ac:dyDescent="0.25">
      <c r="A54" s="247" t="s">
        <v>481</v>
      </c>
      <c r="B54" s="64">
        <v>28.23</v>
      </c>
      <c r="C54" s="64">
        <v>82.72</v>
      </c>
      <c r="D54" s="64">
        <v>64.48</v>
      </c>
      <c r="E54" s="64">
        <v>19.75</v>
      </c>
      <c r="F54" s="64">
        <v>17.21</v>
      </c>
      <c r="G54" s="64">
        <v>85.9</v>
      </c>
      <c r="H54" s="64">
        <v>28.13</v>
      </c>
      <c r="I54" s="64">
        <v>3.96</v>
      </c>
      <c r="J54" s="64">
        <v>1.25</v>
      </c>
      <c r="K54" s="64">
        <v>2.11</v>
      </c>
      <c r="L54" s="64">
        <v>32.93</v>
      </c>
      <c r="M54" s="64">
        <v>22.52</v>
      </c>
      <c r="N54" s="64">
        <v>751.7</v>
      </c>
      <c r="O54" s="64">
        <v>0</v>
      </c>
      <c r="P54" s="64">
        <v>0.81</v>
      </c>
      <c r="Q54" s="64">
        <v>9.43</v>
      </c>
      <c r="R54" s="198"/>
      <c r="S54" s="198"/>
      <c r="T54" s="198"/>
      <c r="U54" s="198"/>
    </row>
    <row r="55" spans="1:21" s="12" customFormat="1" x14ac:dyDescent="0.25">
      <c r="A55" s="247" t="s">
        <v>482</v>
      </c>
      <c r="B55" s="64">
        <v>28.15</v>
      </c>
      <c r="C55" s="64">
        <v>78.12</v>
      </c>
      <c r="D55" s="64">
        <v>62.01</v>
      </c>
      <c r="E55" s="64">
        <v>17.079999999999998</v>
      </c>
      <c r="F55" s="64">
        <v>15.27</v>
      </c>
      <c r="G55" s="64">
        <v>85.9</v>
      </c>
      <c r="H55" s="64">
        <v>28.13</v>
      </c>
      <c r="I55" s="64">
        <v>4.09</v>
      </c>
      <c r="J55" s="64">
        <v>-0.44</v>
      </c>
      <c r="K55" s="64">
        <v>1.9</v>
      </c>
      <c r="L55" s="64">
        <v>33.72</v>
      </c>
      <c r="M55" s="64">
        <v>20.25</v>
      </c>
      <c r="N55" s="64">
        <v>761.5</v>
      </c>
      <c r="O55" s="64">
        <v>0</v>
      </c>
      <c r="P55" s="64">
        <v>0.78</v>
      </c>
      <c r="Q55" s="64">
        <v>9.41</v>
      </c>
      <c r="R55" s="198"/>
      <c r="S55" s="198"/>
      <c r="T55" s="198"/>
      <c r="U55" s="198"/>
    </row>
    <row r="56" spans="1:21" s="12" customFormat="1" x14ac:dyDescent="0.25">
      <c r="A56" s="247" t="s">
        <v>483</v>
      </c>
      <c r="B56" s="64">
        <v>26.62</v>
      </c>
      <c r="C56" s="64">
        <v>79</v>
      </c>
      <c r="D56" s="64">
        <v>61.26</v>
      </c>
      <c r="E56" s="64">
        <v>11.1</v>
      </c>
      <c r="F56" s="64">
        <v>12.97</v>
      </c>
      <c r="G56" s="64">
        <v>85.9</v>
      </c>
      <c r="H56" s="64">
        <v>28.13</v>
      </c>
      <c r="I56" s="64">
        <v>4.07</v>
      </c>
      <c r="J56" s="64">
        <v>1.67</v>
      </c>
      <c r="K56" s="64">
        <v>347.79</v>
      </c>
      <c r="L56" s="64">
        <v>34.08</v>
      </c>
      <c r="M56" s="64">
        <v>19.53</v>
      </c>
      <c r="N56" s="64">
        <v>738</v>
      </c>
      <c r="O56" s="64">
        <v>0</v>
      </c>
      <c r="P56" s="64">
        <v>0.79</v>
      </c>
      <c r="Q56" s="64">
        <v>9.4</v>
      </c>
      <c r="R56" s="198"/>
      <c r="S56" s="198"/>
      <c r="T56" s="198"/>
      <c r="U56" s="198"/>
    </row>
    <row r="57" spans="1:21" s="12" customFormat="1" x14ac:dyDescent="0.25">
      <c r="A57" s="247" t="s">
        <v>484</v>
      </c>
      <c r="B57" s="64">
        <v>23.31</v>
      </c>
      <c r="C57" s="64">
        <v>78.22</v>
      </c>
      <c r="D57" s="64">
        <v>58.19</v>
      </c>
      <c r="E57" s="64">
        <v>11.3</v>
      </c>
      <c r="F57" s="64">
        <v>17.61</v>
      </c>
      <c r="G57" s="64">
        <v>84.91</v>
      </c>
      <c r="H57" s="64">
        <v>29.93</v>
      </c>
      <c r="I57" s="64">
        <v>4.0199999999999996</v>
      </c>
      <c r="J57" s="64">
        <v>1.6</v>
      </c>
      <c r="K57" s="64">
        <v>343.09</v>
      </c>
      <c r="L57" s="64">
        <v>34.64</v>
      </c>
      <c r="M57" s="64">
        <v>18.16</v>
      </c>
      <c r="N57" s="64">
        <v>771.2</v>
      </c>
      <c r="O57" s="64">
        <v>0</v>
      </c>
      <c r="P57" s="64">
        <v>0.75</v>
      </c>
      <c r="Q57" s="64">
        <v>9.3800000000000008</v>
      </c>
      <c r="R57" s="198"/>
      <c r="S57" s="198"/>
      <c r="T57" s="198"/>
      <c r="U57" s="198"/>
    </row>
    <row r="58" spans="1:21" s="12" customFormat="1" x14ac:dyDescent="0.25">
      <c r="A58" s="247" t="s">
        <v>485</v>
      </c>
      <c r="B58" s="64">
        <v>19.59</v>
      </c>
      <c r="C58" s="64">
        <v>77.67</v>
      </c>
      <c r="D58" s="64">
        <v>54.91</v>
      </c>
      <c r="E58" s="64">
        <v>9.32</v>
      </c>
      <c r="F58" s="64">
        <v>19.38</v>
      </c>
      <c r="G58" s="64">
        <v>83.2</v>
      </c>
      <c r="H58" s="64">
        <v>33.04</v>
      </c>
      <c r="I58" s="64">
        <v>3.78</v>
      </c>
      <c r="J58" s="64">
        <v>0.82</v>
      </c>
      <c r="K58" s="64">
        <v>79.61</v>
      </c>
      <c r="L58" s="64">
        <v>31.8</v>
      </c>
      <c r="M58" s="64">
        <v>20.87</v>
      </c>
      <c r="N58" s="64">
        <v>780.4</v>
      </c>
      <c r="O58" s="64">
        <v>0</v>
      </c>
      <c r="P58" s="64">
        <v>0.7</v>
      </c>
      <c r="Q58" s="64">
        <v>9.39</v>
      </c>
      <c r="R58" s="198"/>
      <c r="S58" s="198"/>
      <c r="T58" s="198"/>
      <c r="U58" s="198"/>
    </row>
    <row r="59" spans="1:21" s="12" customFormat="1" x14ac:dyDescent="0.25">
      <c r="A59" s="247" t="s">
        <v>486</v>
      </c>
      <c r="B59" s="64">
        <v>16.29</v>
      </c>
      <c r="C59" s="64">
        <v>74.84</v>
      </c>
      <c r="D59" s="64">
        <v>50.79</v>
      </c>
      <c r="E59" s="64">
        <v>10.59</v>
      </c>
      <c r="F59" s="64">
        <v>19.920000000000002</v>
      </c>
      <c r="G59" s="64">
        <v>83.2</v>
      </c>
      <c r="H59" s="64">
        <v>33.04</v>
      </c>
      <c r="I59" s="64">
        <v>3.96</v>
      </c>
      <c r="J59" s="64">
        <v>0.57999999999999996</v>
      </c>
      <c r="K59" s="64">
        <v>74.239999999999995</v>
      </c>
      <c r="L59" s="64">
        <v>30.85</v>
      </c>
      <c r="M59" s="64">
        <v>21.87</v>
      </c>
      <c r="N59" s="64">
        <v>793.5</v>
      </c>
      <c r="O59" s="64">
        <v>0</v>
      </c>
      <c r="P59" s="64">
        <v>0.68</v>
      </c>
      <c r="Q59" s="64">
        <v>9.41</v>
      </c>
      <c r="R59" s="198"/>
      <c r="S59" s="198"/>
      <c r="T59" s="198"/>
      <c r="U59" s="198"/>
    </row>
    <row r="60" spans="1:21" s="12" customFormat="1" x14ac:dyDescent="0.25">
      <c r="A60" s="247" t="s">
        <v>487</v>
      </c>
      <c r="B60" s="64">
        <v>15.74</v>
      </c>
      <c r="C60" s="64">
        <v>74.06</v>
      </c>
      <c r="D60" s="64">
        <v>49.94</v>
      </c>
      <c r="E60" s="64">
        <v>7.95</v>
      </c>
      <c r="F60" s="64">
        <v>16.489999999999998</v>
      </c>
      <c r="G60" s="64">
        <v>83.2</v>
      </c>
      <c r="H60" s="64">
        <v>33.04</v>
      </c>
      <c r="I60" s="64">
        <v>4.17</v>
      </c>
      <c r="J60" s="64">
        <v>1.05</v>
      </c>
      <c r="K60" s="64">
        <v>340.09</v>
      </c>
      <c r="L60" s="64">
        <v>33.78</v>
      </c>
      <c r="M60" s="64">
        <v>18.28</v>
      </c>
      <c r="N60" s="64">
        <v>774.5</v>
      </c>
      <c r="O60" s="64">
        <v>0</v>
      </c>
      <c r="P60" s="64">
        <v>0.71</v>
      </c>
      <c r="Q60" s="64">
        <v>9.3800000000000008</v>
      </c>
      <c r="R60" s="198"/>
      <c r="S60" s="198"/>
      <c r="T60" s="198"/>
      <c r="U60" s="198"/>
    </row>
    <row r="61" spans="1:21" s="12" customFormat="1" x14ac:dyDescent="0.25">
      <c r="A61" s="247" t="s">
        <v>488</v>
      </c>
      <c r="B61" s="64">
        <v>10.91</v>
      </c>
      <c r="C61" s="64">
        <v>65.83</v>
      </c>
      <c r="D61" s="64">
        <v>41.76</v>
      </c>
      <c r="E61" s="64">
        <v>11.38</v>
      </c>
      <c r="F61" s="64">
        <v>25.26</v>
      </c>
      <c r="G61" s="64">
        <v>79.97</v>
      </c>
      <c r="H61" s="64">
        <v>31.62</v>
      </c>
      <c r="I61" s="64">
        <v>4.07</v>
      </c>
      <c r="J61" s="64">
        <v>0.26</v>
      </c>
      <c r="K61" s="64">
        <v>233.55</v>
      </c>
      <c r="L61" s="64">
        <v>32.5</v>
      </c>
      <c r="M61" s="64">
        <v>19.57</v>
      </c>
      <c r="N61" s="64">
        <v>739.2</v>
      </c>
      <c r="O61" s="64">
        <v>0</v>
      </c>
      <c r="P61" s="64">
        <v>0.6</v>
      </c>
      <c r="Q61" s="64">
        <v>9.36</v>
      </c>
      <c r="R61" s="198"/>
      <c r="S61" s="198"/>
      <c r="T61" s="198"/>
      <c r="U61" s="198"/>
    </row>
    <row r="62" spans="1:21" s="12" customFormat="1" x14ac:dyDescent="0.25">
      <c r="A62" s="247" t="s">
        <v>489</v>
      </c>
      <c r="B62" s="64">
        <v>10.25</v>
      </c>
      <c r="C62" s="64">
        <v>72.349999999999994</v>
      </c>
      <c r="D62" s="64">
        <v>44.65</v>
      </c>
      <c r="E62" s="64">
        <v>8.86</v>
      </c>
      <c r="F62" s="64">
        <v>14.87</v>
      </c>
      <c r="G62" s="64">
        <v>74.400000000000006</v>
      </c>
      <c r="H62" s="64">
        <v>29.15</v>
      </c>
      <c r="I62" s="64">
        <v>4.05</v>
      </c>
      <c r="J62" s="64">
        <v>1.62</v>
      </c>
      <c r="K62" s="64">
        <v>327.79</v>
      </c>
      <c r="L62" s="64">
        <v>33.090000000000003</v>
      </c>
      <c r="M62" s="64">
        <v>19.82</v>
      </c>
      <c r="N62" s="64">
        <v>748.5</v>
      </c>
      <c r="O62" s="64">
        <v>0</v>
      </c>
      <c r="P62" s="64">
        <v>0.65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47" t="s">
        <v>490</v>
      </c>
      <c r="B63" s="64">
        <v>10.85</v>
      </c>
      <c r="C63" s="64">
        <v>76.930000000000007</v>
      </c>
      <c r="D63" s="64">
        <v>47.52</v>
      </c>
      <c r="E63" s="64">
        <v>6.01</v>
      </c>
      <c r="F63" s="64">
        <v>13.45</v>
      </c>
      <c r="G63" s="64">
        <v>74.400000000000006</v>
      </c>
      <c r="H63" s="64">
        <v>29.15</v>
      </c>
      <c r="I63" s="64">
        <v>3.86</v>
      </c>
      <c r="J63" s="64">
        <v>1.25</v>
      </c>
      <c r="K63" s="64">
        <v>315.85000000000002</v>
      </c>
      <c r="L63" s="64">
        <v>33.799999999999997</v>
      </c>
      <c r="M63" s="64">
        <v>18.75</v>
      </c>
      <c r="N63" s="64">
        <v>690.6</v>
      </c>
      <c r="O63" s="64">
        <v>0</v>
      </c>
      <c r="P63" s="64">
        <v>0.65</v>
      </c>
      <c r="Q63" s="64">
        <v>9.3800000000000008</v>
      </c>
      <c r="R63" s="198"/>
      <c r="S63" s="198"/>
      <c r="T63" s="198"/>
      <c r="U63" s="198"/>
    </row>
    <row r="64" spans="1:21" s="12" customFormat="1" x14ac:dyDescent="0.25">
      <c r="A64" s="247" t="s">
        <v>491</v>
      </c>
      <c r="B64" s="64">
        <v>8.48</v>
      </c>
      <c r="C64" s="64">
        <v>72.150000000000006</v>
      </c>
      <c r="D64" s="64">
        <v>43.12</v>
      </c>
      <c r="E64" s="64">
        <v>5.95</v>
      </c>
      <c r="F64" s="64">
        <v>19.22</v>
      </c>
      <c r="G64" s="64">
        <v>74.400000000000006</v>
      </c>
      <c r="H64" s="64">
        <v>29.15</v>
      </c>
      <c r="I64" s="64">
        <v>4.16</v>
      </c>
      <c r="J64" s="64">
        <v>1.04</v>
      </c>
      <c r="K64" s="64">
        <v>344.14</v>
      </c>
      <c r="L64" s="64">
        <v>34.4</v>
      </c>
      <c r="M64" s="64">
        <v>17.95</v>
      </c>
      <c r="N64" s="64">
        <v>592</v>
      </c>
      <c r="O64" s="64">
        <v>0</v>
      </c>
      <c r="P64" s="64">
        <v>0.62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47" t="s">
        <v>492</v>
      </c>
      <c r="B65" s="64">
        <v>8.9600000000000009</v>
      </c>
      <c r="C65" s="64">
        <v>66.14</v>
      </c>
      <c r="D65" s="64">
        <v>40.36</v>
      </c>
      <c r="E65" s="64">
        <v>8.23</v>
      </c>
      <c r="F65" s="64">
        <v>27.43</v>
      </c>
      <c r="G65" s="64">
        <v>72.349999999999994</v>
      </c>
      <c r="H65" s="64">
        <v>26.87</v>
      </c>
      <c r="I65" s="64">
        <v>3.9</v>
      </c>
      <c r="J65" s="64">
        <v>1.1499999999999999</v>
      </c>
      <c r="K65" s="64">
        <v>344.66</v>
      </c>
      <c r="L65" s="64">
        <v>33.479999999999997</v>
      </c>
      <c r="M65" s="64">
        <v>19.82</v>
      </c>
      <c r="N65" s="64">
        <v>712.3</v>
      </c>
      <c r="O65" s="64">
        <v>0</v>
      </c>
      <c r="P65" s="64">
        <v>0.56000000000000005</v>
      </c>
      <c r="Q65" s="64">
        <v>9.31</v>
      </c>
      <c r="R65" s="198"/>
      <c r="S65" s="198"/>
      <c r="T65" s="198"/>
      <c r="U65" s="198"/>
    </row>
    <row r="66" spans="1:21" s="12" customFormat="1" x14ac:dyDescent="0.25">
      <c r="A66" s="247" t="s">
        <v>493</v>
      </c>
      <c r="B66" s="64">
        <v>7.63</v>
      </c>
      <c r="C66" s="64">
        <v>70.56</v>
      </c>
      <c r="D66" s="64">
        <v>41.61</v>
      </c>
      <c r="E66" s="64">
        <v>6.31</v>
      </c>
      <c r="F66" s="64">
        <v>15.69</v>
      </c>
      <c r="G66" s="64">
        <v>68.81</v>
      </c>
      <c r="H66" s="64">
        <v>22.94</v>
      </c>
      <c r="I66" s="64">
        <v>3.86</v>
      </c>
      <c r="J66" s="64">
        <v>1.65</v>
      </c>
      <c r="K66" s="64">
        <v>313.10000000000002</v>
      </c>
      <c r="L66" s="64">
        <v>34.03</v>
      </c>
      <c r="M66" s="64">
        <v>19.100000000000001</v>
      </c>
      <c r="N66" s="64">
        <v>489</v>
      </c>
      <c r="O66" s="64">
        <v>0</v>
      </c>
      <c r="P66" s="64">
        <v>0.56999999999999995</v>
      </c>
      <c r="Q66" s="64">
        <v>9.27</v>
      </c>
      <c r="R66" s="198"/>
      <c r="S66" s="198"/>
      <c r="T66" s="198"/>
      <c r="U66" s="198"/>
    </row>
    <row r="67" spans="1:21" s="12" customFormat="1" x14ac:dyDescent="0.25">
      <c r="A67" s="247" t="s">
        <v>494</v>
      </c>
      <c r="B67" s="64">
        <v>5.78</v>
      </c>
      <c r="C67" s="64">
        <v>66.84</v>
      </c>
      <c r="D67" s="64">
        <v>38.18</v>
      </c>
      <c r="E67" s="64">
        <v>4.97</v>
      </c>
      <c r="F67" s="64">
        <v>13.67</v>
      </c>
      <c r="G67" s="64">
        <v>68.81</v>
      </c>
      <c r="H67" s="64">
        <v>22.94</v>
      </c>
      <c r="I67" s="64">
        <v>4</v>
      </c>
      <c r="J67" s="64">
        <v>1.82</v>
      </c>
      <c r="K67" s="64">
        <v>315.55</v>
      </c>
      <c r="L67" s="64">
        <v>33.75</v>
      </c>
      <c r="M67" s="64">
        <v>18.239999999999998</v>
      </c>
      <c r="N67" s="64">
        <v>445</v>
      </c>
      <c r="O67" s="64">
        <v>0</v>
      </c>
      <c r="P67" s="64">
        <v>0.59</v>
      </c>
      <c r="Q67" s="64">
        <v>9.25</v>
      </c>
      <c r="R67" s="198"/>
      <c r="S67" s="198"/>
      <c r="T67" s="198"/>
      <c r="U67" s="198"/>
    </row>
    <row r="68" spans="1:21" s="12" customFormat="1" x14ac:dyDescent="0.25">
      <c r="A68" s="247" t="s">
        <v>495</v>
      </c>
      <c r="B68" s="64">
        <v>5.85</v>
      </c>
      <c r="C68" s="64">
        <v>71.19</v>
      </c>
      <c r="D68" s="64">
        <v>40.51</v>
      </c>
      <c r="E68" s="64">
        <v>4.59</v>
      </c>
      <c r="F68" s="64">
        <v>10.130000000000001</v>
      </c>
      <c r="G68" s="64">
        <v>68.81</v>
      </c>
      <c r="H68" s="64">
        <v>22.94</v>
      </c>
      <c r="I68" s="64">
        <v>4.1900000000000004</v>
      </c>
      <c r="J68" s="64">
        <v>2.25</v>
      </c>
      <c r="K68" s="64">
        <v>320.48</v>
      </c>
      <c r="L68" s="64">
        <v>32.869999999999997</v>
      </c>
      <c r="M68" s="64">
        <v>17.760000000000002</v>
      </c>
      <c r="N68" s="64">
        <v>363.4</v>
      </c>
      <c r="O68" s="64">
        <v>0</v>
      </c>
      <c r="P68" s="64">
        <v>0.56999999999999995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47" t="s">
        <v>496</v>
      </c>
      <c r="B69" s="64">
        <v>6.18</v>
      </c>
      <c r="C69" s="64">
        <v>66.69</v>
      </c>
      <c r="D69" s="64">
        <v>38.42</v>
      </c>
      <c r="E69" s="64">
        <v>4.78</v>
      </c>
      <c r="F69" s="64">
        <v>12.59</v>
      </c>
      <c r="G69" s="64">
        <v>65.099999999999994</v>
      </c>
      <c r="H69" s="64">
        <v>24.32</v>
      </c>
      <c r="I69" s="64">
        <v>3.88</v>
      </c>
      <c r="J69" s="64">
        <v>2.1800000000000002</v>
      </c>
      <c r="K69" s="64">
        <v>322.91000000000003</v>
      </c>
      <c r="L69" s="64">
        <v>32.22</v>
      </c>
      <c r="M69" s="64">
        <v>18.32</v>
      </c>
      <c r="N69" s="64">
        <v>323.60000000000002</v>
      </c>
      <c r="O69" s="64">
        <v>0</v>
      </c>
      <c r="P69" s="64">
        <v>0.54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47" t="s">
        <v>497</v>
      </c>
      <c r="B70" s="64">
        <v>6.61</v>
      </c>
      <c r="C70" s="64">
        <v>66.25</v>
      </c>
      <c r="D70" s="64">
        <v>38.54</v>
      </c>
      <c r="E70" s="64">
        <v>4.57</v>
      </c>
      <c r="F70" s="64">
        <v>12.67</v>
      </c>
      <c r="G70" s="64">
        <v>58.67</v>
      </c>
      <c r="H70" s="64">
        <v>26.7</v>
      </c>
      <c r="I70" s="64">
        <v>3.99</v>
      </c>
      <c r="J70" s="64">
        <v>1.1299999999999999</v>
      </c>
      <c r="K70" s="64">
        <v>301.19</v>
      </c>
      <c r="L70" s="64">
        <v>31.33</v>
      </c>
      <c r="M70" s="64">
        <v>19.05</v>
      </c>
      <c r="N70" s="64">
        <v>293.8</v>
      </c>
      <c r="O70" s="64">
        <v>0</v>
      </c>
      <c r="P70" s="64">
        <v>0.53</v>
      </c>
      <c r="Q70" s="64">
        <v>9.17</v>
      </c>
      <c r="R70" s="198"/>
      <c r="S70" s="198"/>
      <c r="T70" s="198"/>
      <c r="U70" s="198"/>
    </row>
    <row r="71" spans="1:21" s="12" customFormat="1" x14ac:dyDescent="0.25">
      <c r="A71" s="247" t="s">
        <v>498</v>
      </c>
      <c r="B71" s="64">
        <v>7.62</v>
      </c>
      <c r="C71" s="64">
        <v>65.91</v>
      </c>
      <c r="D71" s="64">
        <v>39.17</v>
      </c>
      <c r="E71" s="64">
        <v>5.28</v>
      </c>
      <c r="F71" s="64">
        <v>16.420000000000002</v>
      </c>
      <c r="G71" s="64">
        <v>58.67</v>
      </c>
      <c r="H71" s="64">
        <v>26.7</v>
      </c>
      <c r="I71" s="64">
        <v>4.03</v>
      </c>
      <c r="J71" s="64">
        <v>1.2</v>
      </c>
      <c r="K71" s="64">
        <v>306.25</v>
      </c>
      <c r="L71" s="64">
        <v>31.71</v>
      </c>
      <c r="M71" s="64">
        <v>19.309999999999999</v>
      </c>
      <c r="N71" s="64">
        <v>244.6</v>
      </c>
      <c r="O71" s="64">
        <v>0</v>
      </c>
      <c r="P71" s="64">
        <v>0.51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47" t="s">
        <v>499</v>
      </c>
      <c r="B72" s="64">
        <v>7.84</v>
      </c>
      <c r="C72" s="64">
        <v>59.4</v>
      </c>
      <c r="D72" s="64">
        <v>35.950000000000003</v>
      </c>
      <c r="E72" s="64">
        <v>5.18</v>
      </c>
      <c r="F72" s="64">
        <v>23.3</v>
      </c>
      <c r="G72" s="64">
        <v>58.67</v>
      </c>
      <c r="H72" s="64">
        <v>26.7</v>
      </c>
      <c r="I72" s="64">
        <v>3.94</v>
      </c>
      <c r="J72" s="64">
        <v>1.1599999999999999</v>
      </c>
      <c r="K72" s="64">
        <v>320.93</v>
      </c>
      <c r="L72" s="64">
        <v>31.2</v>
      </c>
      <c r="M72" s="64">
        <v>20.190000000000001</v>
      </c>
      <c r="N72" s="64">
        <v>191.4</v>
      </c>
      <c r="O72" s="64">
        <v>0</v>
      </c>
      <c r="P72" s="64">
        <v>0.48</v>
      </c>
      <c r="Q72" s="64">
        <v>9.16</v>
      </c>
      <c r="R72" s="198"/>
      <c r="S72" s="198"/>
      <c r="T72" s="198"/>
      <c r="U72" s="198"/>
    </row>
    <row r="73" spans="1:21" s="12" customFormat="1" x14ac:dyDescent="0.25">
      <c r="A73" s="247" t="s">
        <v>500</v>
      </c>
      <c r="B73" s="64">
        <v>10.89</v>
      </c>
      <c r="C73" s="64">
        <v>54.32</v>
      </c>
      <c r="D73" s="64">
        <v>35.729999999999997</v>
      </c>
      <c r="E73" s="64">
        <v>5.07</v>
      </c>
      <c r="F73" s="64">
        <v>20.23</v>
      </c>
      <c r="G73" s="64">
        <v>55.46</v>
      </c>
      <c r="H73" s="64">
        <v>23.55</v>
      </c>
      <c r="I73" s="64">
        <v>4.13</v>
      </c>
      <c r="J73" s="64">
        <v>1.93</v>
      </c>
      <c r="K73" s="64">
        <v>342.29</v>
      </c>
      <c r="L73" s="64">
        <v>30.6</v>
      </c>
      <c r="M73" s="64">
        <v>21.78</v>
      </c>
      <c r="N73" s="64">
        <v>182.4</v>
      </c>
      <c r="O73" s="64">
        <v>0</v>
      </c>
      <c r="P73" s="64">
        <v>0.49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47" t="s">
        <v>501</v>
      </c>
      <c r="B74" s="64">
        <v>11.6</v>
      </c>
      <c r="C74" s="64">
        <v>65.48</v>
      </c>
      <c r="D74" s="64">
        <v>42.13</v>
      </c>
      <c r="E74" s="64">
        <v>4.2300000000000004</v>
      </c>
      <c r="F74" s="64">
        <v>19.97</v>
      </c>
      <c r="G74" s="64">
        <v>49.92</v>
      </c>
      <c r="H74" s="64">
        <v>18.09</v>
      </c>
      <c r="I74" s="64">
        <v>3.89</v>
      </c>
      <c r="J74" s="64">
        <v>1.79</v>
      </c>
      <c r="K74" s="64">
        <v>346.4</v>
      </c>
      <c r="L74" s="64">
        <v>29.98</v>
      </c>
      <c r="M74" s="64">
        <v>22.78</v>
      </c>
      <c r="N74" s="64">
        <v>130.30000000000001</v>
      </c>
      <c r="O74" s="64">
        <v>0</v>
      </c>
      <c r="P74" s="64">
        <v>0.52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47" t="s">
        <v>502</v>
      </c>
      <c r="B75" s="64">
        <v>17.55</v>
      </c>
      <c r="C75" s="64">
        <v>68.069999999999993</v>
      </c>
      <c r="D75" s="64">
        <v>48.26</v>
      </c>
      <c r="E75" s="64">
        <v>5.61</v>
      </c>
      <c r="F75" s="64">
        <v>30.86</v>
      </c>
      <c r="G75" s="64">
        <v>49.92</v>
      </c>
      <c r="H75" s="64">
        <v>18.09</v>
      </c>
      <c r="I75" s="64">
        <v>3.95</v>
      </c>
      <c r="J75" s="64">
        <v>1.42</v>
      </c>
      <c r="K75" s="64">
        <v>351.47</v>
      </c>
      <c r="L75" s="64">
        <v>29.51</v>
      </c>
      <c r="M75" s="64">
        <v>23.15</v>
      </c>
      <c r="N75" s="64">
        <v>119.2</v>
      </c>
      <c r="O75" s="64">
        <v>0</v>
      </c>
      <c r="P75" s="64">
        <v>0.51</v>
      </c>
      <c r="Q75" s="64">
        <v>9.17</v>
      </c>
      <c r="R75" s="198"/>
      <c r="S75" s="198"/>
      <c r="T75" s="198"/>
      <c r="U75" s="198"/>
    </row>
    <row r="76" spans="1:21" s="12" customFormat="1" x14ac:dyDescent="0.25">
      <c r="A76" s="247" t="s">
        <v>503</v>
      </c>
      <c r="B76" s="64">
        <v>12.08</v>
      </c>
      <c r="C76" s="64">
        <v>61.81</v>
      </c>
      <c r="D76" s="64">
        <v>40.6</v>
      </c>
      <c r="E76" s="64">
        <v>5.74</v>
      </c>
      <c r="F76" s="64">
        <v>25.75</v>
      </c>
      <c r="G76" s="64">
        <v>49.92</v>
      </c>
      <c r="H76" s="64">
        <v>18.09</v>
      </c>
      <c r="I76" s="64">
        <v>4.1500000000000004</v>
      </c>
      <c r="J76" s="64">
        <v>1.45</v>
      </c>
      <c r="K76" s="64">
        <v>348.94</v>
      </c>
      <c r="L76" s="64">
        <v>29.14</v>
      </c>
      <c r="M76" s="64">
        <v>23.98</v>
      </c>
      <c r="N76" s="64">
        <v>114.3</v>
      </c>
      <c r="O76" s="64">
        <v>0</v>
      </c>
      <c r="P76" s="64">
        <v>0.55000000000000004</v>
      </c>
      <c r="Q76" s="64">
        <v>9.1999999999999993</v>
      </c>
      <c r="R76" s="198"/>
      <c r="S76" s="198"/>
      <c r="T76" s="198"/>
      <c r="U76" s="198"/>
    </row>
    <row r="77" spans="1:21" s="12" customFormat="1" x14ac:dyDescent="0.25">
      <c r="A77" s="247" t="s">
        <v>504</v>
      </c>
      <c r="B77" s="64">
        <v>14.06</v>
      </c>
      <c r="C77" s="64">
        <v>66.25</v>
      </c>
      <c r="D77" s="64">
        <v>44.51</v>
      </c>
      <c r="E77" s="64">
        <v>5.81</v>
      </c>
      <c r="F77" s="64">
        <v>23.37</v>
      </c>
      <c r="G77" s="64">
        <v>49.79</v>
      </c>
      <c r="H77" s="64">
        <v>16.739999999999998</v>
      </c>
      <c r="I77" s="64">
        <v>3.89</v>
      </c>
      <c r="J77" s="64">
        <v>1.26</v>
      </c>
      <c r="K77" s="64">
        <v>326.45999999999998</v>
      </c>
      <c r="L77" s="64">
        <v>28.76</v>
      </c>
      <c r="M77" s="64">
        <v>24.9</v>
      </c>
      <c r="N77" s="64">
        <v>102.4</v>
      </c>
      <c r="O77" s="64">
        <v>0</v>
      </c>
      <c r="P77" s="64">
        <v>0.57999999999999996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47" t="s">
        <v>505</v>
      </c>
      <c r="B78" s="64">
        <v>16.04</v>
      </c>
      <c r="C78" s="64">
        <v>68.680000000000007</v>
      </c>
      <c r="D78" s="64">
        <v>47.37</v>
      </c>
      <c r="E78" s="64">
        <v>6.82</v>
      </c>
      <c r="F78" s="64">
        <v>26.16</v>
      </c>
      <c r="G78" s="64">
        <v>49.56</v>
      </c>
      <c r="H78" s="64">
        <v>14.4</v>
      </c>
      <c r="I78" s="64">
        <v>3.85</v>
      </c>
      <c r="J78" s="64">
        <v>1.23</v>
      </c>
      <c r="K78" s="64">
        <v>346.04</v>
      </c>
      <c r="L78" s="64">
        <v>28.29</v>
      </c>
      <c r="M78" s="64">
        <v>26.65</v>
      </c>
      <c r="N78" s="64">
        <v>91.7</v>
      </c>
      <c r="O78" s="64">
        <v>0</v>
      </c>
      <c r="P78" s="64">
        <v>0.7</v>
      </c>
      <c r="Q78" s="64">
        <v>9.23</v>
      </c>
      <c r="R78" s="198"/>
      <c r="S78" s="198"/>
      <c r="T78" s="198"/>
      <c r="U78" s="198"/>
    </row>
    <row r="79" spans="1:21" s="12" customFormat="1" x14ac:dyDescent="0.25">
      <c r="A79" s="247" t="s">
        <v>506</v>
      </c>
      <c r="B79" s="64">
        <v>14.72</v>
      </c>
      <c r="C79" s="64">
        <v>69.680000000000007</v>
      </c>
      <c r="D79" s="64">
        <v>46.83</v>
      </c>
      <c r="E79" s="64">
        <v>7.84</v>
      </c>
      <c r="F79" s="64">
        <v>25.7</v>
      </c>
      <c r="G79" s="64">
        <v>49.56</v>
      </c>
      <c r="H79" s="64">
        <v>14.4</v>
      </c>
      <c r="I79" s="64">
        <v>3.87</v>
      </c>
      <c r="J79" s="64">
        <v>1.38</v>
      </c>
      <c r="K79" s="64">
        <v>2.56</v>
      </c>
      <c r="L79" s="64">
        <v>27.83</v>
      </c>
      <c r="M79" s="64">
        <v>27.36</v>
      </c>
      <c r="N79" s="64">
        <v>80.400000000000006</v>
      </c>
      <c r="O79" s="64">
        <v>0</v>
      </c>
      <c r="P79" s="64">
        <v>0.67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47" t="s">
        <v>507</v>
      </c>
      <c r="B80" s="64">
        <v>16.66</v>
      </c>
      <c r="C80" s="64">
        <v>78.75</v>
      </c>
      <c r="D80" s="64">
        <v>53.13</v>
      </c>
      <c r="E80" s="64">
        <v>9.1</v>
      </c>
      <c r="F80" s="64">
        <v>22.22</v>
      </c>
      <c r="G80" s="64">
        <v>49.56</v>
      </c>
      <c r="H80" s="64">
        <v>14.4</v>
      </c>
      <c r="I80" s="64">
        <v>3.96</v>
      </c>
      <c r="J80" s="64">
        <v>1.1599999999999999</v>
      </c>
      <c r="K80" s="64">
        <v>3.14</v>
      </c>
      <c r="L80" s="64">
        <v>27.18</v>
      </c>
      <c r="M80" s="64">
        <v>29.24</v>
      </c>
      <c r="N80" s="64">
        <v>69.3</v>
      </c>
      <c r="O80" s="64">
        <v>0</v>
      </c>
      <c r="P80" s="64">
        <v>0.85</v>
      </c>
      <c r="Q80" s="64">
        <v>9.2799999999999994</v>
      </c>
      <c r="R80" s="198"/>
      <c r="S80" s="198"/>
      <c r="T80" s="198"/>
      <c r="U80" s="198"/>
    </row>
    <row r="81" spans="1:26" s="12" customFormat="1" x14ac:dyDescent="0.25">
      <c r="A81" s="247" t="s">
        <v>508</v>
      </c>
      <c r="B81" s="64">
        <v>47.34</v>
      </c>
      <c r="C81" s="64">
        <v>106.28</v>
      </c>
      <c r="D81" s="64">
        <v>92.11</v>
      </c>
      <c r="E81" s="64">
        <v>10.93</v>
      </c>
      <c r="F81" s="64">
        <v>16.59</v>
      </c>
      <c r="G81" s="64">
        <v>54.04</v>
      </c>
      <c r="H81" s="64">
        <v>15.61</v>
      </c>
      <c r="I81" s="64">
        <v>4.08</v>
      </c>
      <c r="J81" s="64">
        <v>0.97</v>
      </c>
      <c r="K81" s="64">
        <v>3.36</v>
      </c>
      <c r="L81" s="64">
        <v>26.32</v>
      </c>
      <c r="M81" s="64">
        <v>31.87</v>
      </c>
      <c r="N81" s="64">
        <v>63.3</v>
      </c>
      <c r="O81" s="64">
        <v>0</v>
      </c>
      <c r="P81" s="64">
        <v>1.1399999999999999</v>
      </c>
      <c r="Q81" s="64">
        <v>9.3000000000000007</v>
      </c>
      <c r="R81" s="198"/>
      <c r="S81" s="198"/>
      <c r="T81" s="198"/>
      <c r="U81" s="198"/>
    </row>
    <row r="82" spans="1:26" s="12" customFormat="1" x14ac:dyDescent="0.25">
      <c r="A82" s="247" t="s">
        <v>509</v>
      </c>
      <c r="B82" s="64">
        <v>30.52</v>
      </c>
      <c r="C82" s="64">
        <v>101.88</v>
      </c>
      <c r="D82" s="64">
        <v>76.33</v>
      </c>
      <c r="E82" s="64">
        <v>10.8</v>
      </c>
      <c r="F82" s="64">
        <v>15.43</v>
      </c>
      <c r="G82" s="64">
        <v>61.79</v>
      </c>
      <c r="H82" s="64">
        <v>17.71</v>
      </c>
      <c r="I82" s="64">
        <v>3.93</v>
      </c>
      <c r="J82" s="64">
        <v>0.87</v>
      </c>
      <c r="K82" s="64">
        <v>3.4</v>
      </c>
      <c r="L82" s="64">
        <v>25.52</v>
      </c>
      <c r="M82" s="64">
        <v>33.43</v>
      </c>
      <c r="N82" s="64">
        <v>61.9</v>
      </c>
      <c r="O82" s="64">
        <v>0</v>
      </c>
      <c r="P82" s="64">
        <v>1.4</v>
      </c>
      <c r="Q82" s="64">
        <v>9.31</v>
      </c>
      <c r="R82" s="198"/>
      <c r="S82" s="198"/>
      <c r="T82" s="198"/>
      <c r="U82" s="198"/>
    </row>
    <row r="83" spans="1:26" s="12" customFormat="1" x14ac:dyDescent="0.25">
      <c r="A83" s="247" t="s">
        <v>510</v>
      </c>
      <c r="B83" s="64">
        <v>55.37</v>
      </c>
      <c r="C83" s="64">
        <v>114.66</v>
      </c>
      <c r="D83" s="64">
        <v>102.93</v>
      </c>
      <c r="E83" s="64">
        <v>10.63</v>
      </c>
      <c r="F83" s="64">
        <v>10.25</v>
      </c>
      <c r="G83" s="64">
        <v>61.79</v>
      </c>
      <c r="H83" s="64">
        <v>17.71</v>
      </c>
      <c r="I83" s="64">
        <v>3.97</v>
      </c>
      <c r="J83" s="64">
        <v>0.57999999999999996</v>
      </c>
      <c r="K83" s="64">
        <v>19.440000000000001</v>
      </c>
      <c r="L83" s="64">
        <v>25.04</v>
      </c>
      <c r="M83" s="64">
        <v>33.479999999999997</v>
      </c>
      <c r="N83" s="64">
        <v>62</v>
      </c>
      <c r="O83" s="64">
        <v>0</v>
      </c>
      <c r="P83" s="64">
        <v>1.47</v>
      </c>
      <c r="Q83" s="64">
        <v>9.31</v>
      </c>
      <c r="R83" s="198"/>
      <c r="S83" s="198"/>
      <c r="T83" s="198"/>
      <c r="U83" s="198"/>
    </row>
    <row r="84" spans="1:26" s="12" customFormat="1" x14ac:dyDescent="0.25">
      <c r="A84" s="247" t="s">
        <v>511</v>
      </c>
      <c r="B84" s="64">
        <v>25.05</v>
      </c>
      <c r="C84" s="64">
        <v>113.29</v>
      </c>
      <c r="D84" s="64">
        <v>77.900000000000006</v>
      </c>
      <c r="E84" s="64">
        <v>11.41</v>
      </c>
      <c r="F84" s="64">
        <v>14.48</v>
      </c>
      <c r="G84" s="64">
        <v>61.79</v>
      </c>
      <c r="H84" s="64">
        <v>17.71</v>
      </c>
      <c r="I84" s="64">
        <v>3.97</v>
      </c>
      <c r="J84" s="64">
        <v>0.71</v>
      </c>
      <c r="K84" s="64">
        <v>69.680000000000007</v>
      </c>
      <c r="L84" s="64">
        <v>24.83</v>
      </c>
      <c r="M84" s="64">
        <v>34.340000000000003</v>
      </c>
      <c r="N84" s="64">
        <v>61.8</v>
      </c>
      <c r="O84" s="64">
        <v>0</v>
      </c>
      <c r="P84" s="64">
        <v>1.39</v>
      </c>
      <c r="Q84" s="64">
        <v>9.33</v>
      </c>
      <c r="R84" s="198"/>
      <c r="S84" s="198"/>
      <c r="T84" s="198"/>
      <c r="U84" s="198"/>
    </row>
    <row r="85" spans="1:26" s="12" customFormat="1" x14ac:dyDescent="0.25">
      <c r="A85" s="247" t="s">
        <v>512</v>
      </c>
      <c r="B85" s="64">
        <v>39.6</v>
      </c>
      <c r="C85" s="64">
        <v>116.32</v>
      </c>
      <c r="D85" s="64">
        <v>91.15</v>
      </c>
      <c r="E85" s="64">
        <v>11.76</v>
      </c>
      <c r="F85" s="64">
        <v>9.4700000000000006</v>
      </c>
      <c r="G85" s="64">
        <v>67.58</v>
      </c>
      <c r="H85" s="64">
        <v>19.899999999999999</v>
      </c>
      <c r="I85" s="64">
        <v>3.82</v>
      </c>
      <c r="J85" s="64">
        <v>1.01</v>
      </c>
      <c r="K85" s="64">
        <v>219.24</v>
      </c>
      <c r="L85" s="64">
        <v>24.52</v>
      </c>
      <c r="M85" s="64">
        <v>37.229999999999997</v>
      </c>
      <c r="N85" s="64">
        <v>61.6</v>
      </c>
      <c r="O85" s="64">
        <v>0</v>
      </c>
      <c r="P85" s="64">
        <v>1.17</v>
      </c>
      <c r="Q85" s="64">
        <v>9.35</v>
      </c>
      <c r="R85" s="198"/>
      <c r="S85" s="198"/>
      <c r="T85" s="198"/>
      <c r="U85" s="198"/>
    </row>
    <row r="86" spans="1:26" s="12" customFormat="1" x14ac:dyDescent="0.25">
      <c r="A86" s="247" t="s">
        <v>513</v>
      </c>
      <c r="B86" s="64">
        <v>22</v>
      </c>
      <c r="C86" s="64">
        <v>99.99</v>
      </c>
      <c r="D86" s="64">
        <v>68.510000000000005</v>
      </c>
      <c r="E86" s="64">
        <v>9.1300000000000008</v>
      </c>
      <c r="F86" s="64">
        <v>11.97</v>
      </c>
      <c r="G86" s="64">
        <v>77.569999999999993</v>
      </c>
      <c r="H86" s="64">
        <v>23.69</v>
      </c>
      <c r="I86" s="64">
        <v>3.9</v>
      </c>
      <c r="J86" s="64">
        <v>0.64</v>
      </c>
      <c r="K86" s="64">
        <v>221.17</v>
      </c>
      <c r="L86" s="64">
        <v>24.72</v>
      </c>
      <c r="M86" s="64">
        <v>36.11</v>
      </c>
      <c r="N86" s="64">
        <v>60.9</v>
      </c>
      <c r="O86" s="64">
        <v>0</v>
      </c>
      <c r="P86" s="64">
        <v>1.1200000000000001</v>
      </c>
      <c r="Q86" s="64">
        <v>9.3699999999999992</v>
      </c>
      <c r="R86" s="198"/>
      <c r="S86" s="198"/>
      <c r="T86" s="198"/>
      <c r="U86" s="198"/>
    </row>
    <row r="87" spans="1:26" s="12" customFormat="1" x14ac:dyDescent="0.25">
      <c r="A87" s="247" t="s">
        <v>514</v>
      </c>
      <c r="B87" s="64">
        <v>31.45</v>
      </c>
      <c r="C87" s="64">
        <v>108.01</v>
      </c>
      <c r="D87" s="64">
        <v>80.27</v>
      </c>
      <c r="E87" s="64">
        <v>9.6300000000000008</v>
      </c>
      <c r="F87" s="64">
        <v>11.86</v>
      </c>
      <c r="G87" s="64">
        <v>77.569999999999993</v>
      </c>
      <c r="H87" s="64">
        <v>23.69</v>
      </c>
      <c r="I87" s="64">
        <v>3.87</v>
      </c>
      <c r="J87" s="64">
        <v>0.53</v>
      </c>
      <c r="K87" s="64">
        <v>248</v>
      </c>
      <c r="L87" s="64">
        <v>24.32</v>
      </c>
      <c r="M87" s="64">
        <v>36.58</v>
      </c>
      <c r="N87" s="64">
        <v>61.3</v>
      </c>
      <c r="O87" s="64">
        <v>0</v>
      </c>
      <c r="P87" s="64">
        <v>1.31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47" t="s">
        <v>515</v>
      </c>
      <c r="B88" s="64">
        <v>53.34</v>
      </c>
      <c r="C88" s="64">
        <v>113.11</v>
      </c>
      <c r="D88" s="64">
        <v>100.5</v>
      </c>
      <c r="E88" s="64">
        <v>10.47</v>
      </c>
      <c r="F88" s="64">
        <v>9.77</v>
      </c>
      <c r="G88" s="64">
        <v>77.569999999999993</v>
      </c>
      <c r="H88" s="64">
        <v>23.69</v>
      </c>
      <c r="I88" s="64">
        <v>4.07</v>
      </c>
      <c r="J88" s="64">
        <v>7.0000000000000007E-2</v>
      </c>
      <c r="K88" s="64">
        <v>328.96</v>
      </c>
      <c r="L88" s="64">
        <v>24.03</v>
      </c>
      <c r="M88" s="64">
        <v>38.43</v>
      </c>
      <c r="N88" s="64">
        <v>62</v>
      </c>
      <c r="O88" s="64">
        <v>0</v>
      </c>
      <c r="P88" s="64">
        <v>1.71</v>
      </c>
      <c r="Q88" s="64">
        <v>9.39</v>
      </c>
      <c r="R88" s="198"/>
      <c r="S88" s="198"/>
      <c r="T88" s="198"/>
      <c r="U88" s="198"/>
    </row>
    <row r="89" spans="1:26" s="12" customFormat="1" x14ac:dyDescent="0.25">
      <c r="A89" s="247" t="s">
        <v>516</v>
      </c>
      <c r="B89" s="64">
        <v>55.38</v>
      </c>
      <c r="C89" s="64">
        <v>114.51</v>
      </c>
      <c r="D89" s="64">
        <v>102.86</v>
      </c>
      <c r="E89" s="64">
        <v>9.9</v>
      </c>
      <c r="F89" s="64">
        <v>8.43</v>
      </c>
      <c r="G89" s="64">
        <v>88.66</v>
      </c>
      <c r="H89" s="64">
        <v>24.99</v>
      </c>
      <c r="I89" s="64">
        <v>3.95</v>
      </c>
      <c r="J89" s="64">
        <v>0.61</v>
      </c>
      <c r="K89" s="64">
        <v>103.7</v>
      </c>
      <c r="L89" s="64">
        <v>23.23</v>
      </c>
      <c r="M89" s="64">
        <v>42.46</v>
      </c>
      <c r="N89" s="64">
        <v>61.9</v>
      </c>
      <c r="O89" s="64">
        <v>0</v>
      </c>
      <c r="P89" s="64">
        <v>2.0299999999999998</v>
      </c>
      <c r="Q89" s="64">
        <v>9.3800000000000008</v>
      </c>
      <c r="R89" s="198"/>
      <c r="S89" s="198"/>
      <c r="T89" s="198"/>
      <c r="U89" s="198"/>
    </row>
    <row r="90" spans="1:26" s="12" customFormat="1" x14ac:dyDescent="0.25">
      <c r="A90" s="247" t="s">
        <v>517</v>
      </c>
      <c r="B90" s="64">
        <v>146.82</v>
      </c>
      <c r="C90" s="64">
        <v>131.36000000000001</v>
      </c>
      <c r="D90" s="64">
        <v>184.99</v>
      </c>
      <c r="E90" s="64">
        <v>9.7899999999999991</v>
      </c>
      <c r="F90" s="64">
        <v>8.57</v>
      </c>
      <c r="G90" s="64">
        <v>107.82</v>
      </c>
      <c r="H90" s="64">
        <v>27.23</v>
      </c>
      <c r="I90" s="64">
        <v>4.1100000000000003</v>
      </c>
      <c r="J90" s="64">
        <v>0.46</v>
      </c>
      <c r="K90" s="64">
        <v>301.04000000000002</v>
      </c>
      <c r="L90" s="64">
        <v>22.76</v>
      </c>
      <c r="M90" s="64">
        <v>46.48</v>
      </c>
      <c r="N90" s="64">
        <v>61.8</v>
      </c>
      <c r="O90" s="64">
        <v>0</v>
      </c>
      <c r="P90" s="64">
        <v>2.06</v>
      </c>
      <c r="Q90" s="64">
        <v>9.39</v>
      </c>
      <c r="R90" s="198"/>
      <c r="S90" s="198"/>
      <c r="T90" s="198"/>
      <c r="U90" s="198"/>
    </row>
    <row r="91" spans="1:26" s="12" customFormat="1" x14ac:dyDescent="0.25">
      <c r="A91" s="247" t="s">
        <v>518</v>
      </c>
      <c r="B91" s="64">
        <v>124.88</v>
      </c>
      <c r="C91" s="64">
        <v>113.36</v>
      </c>
      <c r="D91" s="64">
        <v>157.99</v>
      </c>
      <c r="E91" s="64">
        <v>9.07</v>
      </c>
      <c r="F91" s="64">
        <v>8.15</v>
      </c>
      <c r="G91" s="64">
        <v>107.82</v>
      </c>
      <c r="H91" s="64">
        <v>27.23</v>
      </c>
      <c r="I91" s="64">
        <v>4.07</v>
      </c>
      <c r="J91" s="64">
        <v>0.54</v>
      </c>
      <c r="K91" s="64">
        <v>339.65</v>
      </c>
      <c r="L91" s="64">
        <v>22.19</v>
      </c>
      <c r="M91" s="64">
        <v>48.71</v>
      </c>
      <c r="N91" s="64">
        <v>61.7</v>
      </c>
      <c r="O91" s="64">
        <v>0</v>
      </c>
      <c r="P91" s="64">
        <v>2.17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47" t="s">
        <v>519</v>
      </c>
      <c r="B92" s="64">
        <v>100.15</v>
      </c>
      <c r="C92" s="64">
        <v>102.06</v>
      </c>
      <c r="D92" s="64">
        <v>132.26</v>
      </c>
      <c r="E92" s="64">
        <v>7.94</v>
      </c>
      <c r="F92" s="64">
        <v>8.09</v>
      </c>
      <c r="G92" s="64">
        <v>107.82</v>
      </c>
      <c r="H92" s="64">
        <v>27.23</v>
      </c>
      <c r="I92" s="64">
        <v>4.05</v>
      </c>
      <c r="J92" s="64">
        <v>0.25</v>
      </c>
      <c r="K92" s="64">
        <v>257.45999999999998</v>
      </c>
      <c r="L92" s="64">
        <v>21.94</v>
      </c>
      <c r="M92" s="64">
        <v>50.66</v>
      </c>
      <c r="N92" s="64">
        <v>61.6</v>
      </c>
      <c r="O92" s="64">
        <v>0</v>
      </c>
      <c r="P92" s="64">
        <v>2.0499999999999998</v>
      </c>
      <c r="Q92" s="64">
        <v>9.36</v>
      </c>
      <c r="R92" s="198"/>
      <c r="S92" s="198"/>
      <c r="T92" s="198"/>
      <c r="U92" s="198"/>
    </row>
    <row r="93" spans="1:26" s="12" customFormat="1" x14ac:dyDescent="0.25">
      <c r="A93" s="247" t="s">
        <v>520</v>
      </c>
      <c r="B93" s="64">
        <v>111.62</v>
      </c>
      <c r="C93" s="64">
        <v>113.23</v>
      </c>
      <c r="D93" s="64">
        <v>147.30000000000001</v>
      </c>
      <c r="E93" s="64">
        <v>8.6300000000000008</v>
      </c>
      <c r="F93" s="64">
        <v>7.35</v>
      </c>
      <c r="G93" s="64">
        <v>120.24</v>
      </c>
      <c r="H93" s="64">
        <v>29.39</v>
      </c>
      <c r="I93" s="64">
        <v>4.09</v>
      </c>
      <c r="J93" s="64">
        <v>0.46</v>
      </c>
      <c r="K93" s="64">
        <v>3.67</v>
      </c>
      <c r="L93" s="64">
        <v>21.8</v>
      </c>
      <c r="M93" s="64">
        <v>47.74</v>
      </c>
      <c r="N93" s="64">
        <v>61.6</v>
      </c>
      <c r="O93" s="64">
        <v>0</v>
      </c>
      <c r="P93" s="64">
        <v>2.2200000000000002</v>
      </c>
      <c r="Q93" s="64">
        <v>9.3699999999999992</v>
      </c>
      <c r="R93" s="198"/>
      <c r="S93" s="198"/>
      <c r="T93" s="198"/>
      <c r="U93" s="198"/>
    </row>
    <row r="94" spans="1:26" s="12" customFormat="1" x14ac:dyDescent="0.25">
      <c r="A94" s="247" t="s">
        <v>521</v>
      </c>
      <c r="B94" s="64">
        <v>93.57</v>
      </c>
      <c r="C94" s="64">
        <v>108.84</v>
      </c>
      <c r="D94" s="64">
        <v>130.53</v>
      </c>
      <c r="E94" s="64">
        <v>8.31</v>
      </c>
      <c r="F94" s="64">
        <v>7.3</v>
      </c>
      <c r="G94" s="64">
        <v>141.68</v>
      </c>
      <c r="H94" s="64">
        <v>33.11</v>
      </c>
      <c r="I94" s="64">
        <v>3.87</v>
      </c>
      <c r="J94" s="64">
        <v>0.4</v>
      </c>
      <c r="K94" s="64">
        <v>253.4</v>
      </c>
      <c r="L94" s="64">
        <v>22.08</v>
      </c>
      <c r="M94" s="64">
        <v>45.26</v>
      </c>
      <c r="N94" s="64">
        <v>61.3</v>
      </c>
      <c r="O94" s="64">
        <v>0</v>
      </c>
      <c r="P94" s="64">
        <v>1.92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47" t="s">
        <v>522</v>
      </c>
      <c r="B95" s="64">
        <v>71.239999999999995</v>
      </c>
      <c r="C95" s="64">
        <v>90.61</v>
      </c>
      <c r="D95" s="64">
        <v>103.1</v>
      </c>
      <c r="E95" s="64">
        <v>6.86</v>
      </c>
      <c r="F95" s="64">
        <v>7.85</v>
      </c>
      <c r="G95" s="64">
        <v>141.68</v>
      </c>
      <c r="H95" s="64">
        <v>33.11</v>
      </c>
      <c r="I95" s="64">
        <v>3.87</v>
      </c>
      <c r="J95" s="64">
        <v>0.75</v>
      </c>
      <c r="K95" s="64">
        <v>301.85000000000002</v>
      </c>
      <c r="L95" s="64">
        <v>21.86</v>
      </c>
      <c r="M95" s="64">
        <v>45.16</v>
      </c>
      <c r="N95" s="64">
        <v>61.2</v>
      </c>
      <c r="O95" s="64">
        <v>0</v>
      </c>
      <c r="P95" s="64">
        <v>1.61</v>
      </c>
      <c r="Q95" s="64">
        <v>9.4700000000000006</v>
      </c>
      <c r="R95" s="198"/>
      <c r="S95" s="198"/>
      <c r="T95" s="198"/>
      <c r="U95" s="198"/>
    </row>
    <row r="96" spans="1:26" s="12" customFormat="1" x14ac:dyDescent="0.25">
      <c r="A96" s="247" t="s">
        <v>523</v>
      </c>
      <c r="B96" s="64">
        <v>54.78</v>
      </c>
      <c r="C96" s="64">
        <v>84.5</v>
      </c>
      <c r="D96" s="64">
        <v>86.7</v>
      </c>
      <c r="E96" s="64">
        <v>5.82</v>
      </c>
      <c r="F96" s="64">
        <v>9.25</v>
      </c>
      <c r="G96" s="64">
        <v>141.68</v>
      </c>
      <c r="H96" s="64">
        <v>33.11</v>
      </c>
      <c r="I96" s="64">
        <v>3.94</v>
      </c>
      <c r="J96" s="64">
        <v>1.02</v>
      </c>
      <c r="K96" s="64">
        <v>310.38</v>
      </c>
      <c r="L96" s="64">
        <v>21.59</v>
      </c>
      <c r="M96" s="64">
        <v>41.87</v>
      </c>
      <c r="N96" s="64">
        <v>60.4</v>
      </c>
      <c r="O96" s="64">
        <v>0</v>
      </c>
      <c r="P96" s="64">
        <v>1.44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524</v>
      </c>
      <c r="B97" s="64">
        <v>56.78</v>
      </c>
      <c r="C97" s="64">
        <v>82.41</v>
      </c>
      <c r="D97" s="64">
        <v>87.21</v>
      </c>
      <c r="E97" s="64">
        <v>5.89</v>
      </c>
      <c r="F97" s="64">
        <v>9.92</v>
      </c>
      <c r="G97" s="64">
        <v>133.84</v>
      </c>
      <c r="H97" s="64">
        <v>32.33</v>
      </c>
      <c r="I97" s="64">
        <v>3.89</v>
      </c>
      <c r="J97" s="64">
        <v>1.63</v>
      </c>
      <c r="K97" s="64">
        <v>336.35</v>
      </c>
      <c r="L97" s="64">
        <v>21.84</v>
      </c>
      <c r="M97" s="64">
        <v>40.71</v>
      </c>
      <c r="N97" s="64">
        <v>59.9</v>
      </c>
      <c r="O97" s="64">
        <v>0</v>
      </c>
      <c r="P97" s="64">
        <v>1.4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47" t="s">
        <v>525</v>
      </c>
      <c r="B98" s="64">
        <v>56.45</v>
      </c>
      <c r="C98" s="64">
        <v>83.69</v>
      </c>
      <c r="D98" s="64">
        <v>87.62</v>
      </c>
      <c r="E98" s="64">
        <v>5.25</v>
      </c>
      <c r="F98" s="64">
        <v>9.11</v>
      </c>
      <c r="G98" s="64">
        <v>120.31</v>
      </c>
      <c r="H98" s="64">
        <v>30.98</v>
      </c>
      <c r="I98" s="64">
        <v>4.0199999999999996</v>
      </c>
      <c r="J98" s="64">
        <v>1.54</v>
      </c>
      <c r="K98" s="64">
        <v>344.69</v>
      </c>
      <c r="L98" s="64">
        <v>21.93</v>
      </c>
      <c r="M98" s="64">
        <v>39.700000000000003</v>
      </c>
      <c r="N98" s="64">
        <v>61.2</v>
      </c>
      <c r="O98" s="64">
        <v>0</v>
      </c>
      <c r="P98" s="64">
        <v>1.38</v>
      </c>
      <c r="Q98" s="64">
        <v>9.58</v>
      </c>
      <c r="R98" s="198"/>
      <c r="S98" s="198"/>
      <c r="T98" s="198"/>
      <c r="U98" s="198"/>
    </row>
    <row r="99" spans="1:33" s="12" customFormat="1" x14ac:dyDescent="0.25">
      <c r="A99" s="247" t="s">
        <v>526</v>
      </c>
      <c r="B99" s="64">
        <v>52.61</v>
      </c>
      <c r="C99" s="64">
        <v>82.51</v>
      </c>
      <c r="D99" s="64">
        <v>83.92</v>
      </c>
      <c r="E99" s="64">
        <v>5.64</v>
      </c>
      <c r="F99" s="64">
        <v>9.24</v>
      </c>
      <c r="G99" s="64">
        <v>120.31</v>
      </c>
      <c r="H99" s="64">
        <v>30.98</v>
      </c>
      <c r="I99" s="64">
        <v>4.2</v>
      </c>
      <c r="J99" s="64">
        <v>1.1200000000000001</v>
      </c>
      <c r="K99" s="64">
        <v>340.26</v>
      </c>
      <c r="L99" s="64">
        <v>21.58</v>
      </c>
      <c r="M99" s="64">
        <v>40.86</v>
      </c>
      <c r="N99" s="64">
        <v>61.7</v>
      </c>
      <c r="O99" s="64">
        <v>0</v>
      </c>
      <c r="P99" s="64">
        <v>1.29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47" t="s">
        <v>527</v>
      </c>
      <c r="B100" s="64">
        <v>64.73</v>
      </c>
      <c r="C100" s="64">
        <v>90.66</v>
      </c>
      <c r="D100" s="64">
        <v>97.9</v>
      </c>
      <c r="E100" s="64">
        <v>6.07</v>
      </c>
      <c r="F100" s="64">
        <v>9.3800000000000008</v>
      </c>
      <c r="G100" s="64">
        <v>120.31</v>
      </c>
      <c r="H100" s="64">
        <v>30.98</v>
      </c>
      <c r="I100" s="64">
        <v>3.97</v>
      </c>
      <c r="J100" s="64">
        <v>0.66</v>
      </c>
      <c r="K100" s="64">
        <v>22.13</v>
      </c>
      <c r="L100" s="64">
        <v>21.19</v>
      </c>
      <c r="M100" s="64">
        <v>41.26</v>
      </c>
      <c r="N100" s="64">
        <v>62.2</v>
      </c>
      <c r="O100" s="64">
        <v>0</v>
      </c>
      <c r="P100" s="64">
        <v>1.21</v>
      </c>
      <c r="Q100" s="64">
        <v>9.5399999999999991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528</v>
      </c>
      <c r="B101" s="64">
        <v>48.68</v>
      </c>
      <c r="C101" s="64">
        <v>91.8</v>
      </c>
      <c r="D101" s="64">
        <v>85.63</v>
      </c>
      <c r="E101" s="64">
        <v>7.08</v>
      </c>
      <c r="F101" s="64">
        <v>8.76</v>
      </c>
      <c r="G101" s="64">
        <v>110.77</v>
      </c>
      <c r="H101" s="64">
        <v>30.52</v>
      </c>
      <c r="I101" s="64">
        <v>3.96</v>
      </c>
      <c r="J101" s="64">
        <v>0.47</v>
      </c>
      <c r="K101" s="64">
        <v>32.64</v>
      </c>
      <c r="L101" s="64">
        <v>20.88</v>
      </c>
      <c r="M101" s="64">
        <v>43.16</v>
      </c>
      <c r="N101" s="64">
        <v>62</v>
      </c>
      <c r="O101" s="64">
        <v>0</v>
      </c>
      <c r="P101" s="64">
        <v>1.18</v>
      </c>
      <c r="Q101" s="64">
        <v>9.5399999999999991</v>
      </c>
      <c r="R101" s="198"/>
      <c r="S101" s="198"/>
      <c r="T101" s="198"/>
      <c r="U101" s="198"/>
    </row>
    <row r="102" spans="1:33" s="12" customFormat="1" x14ac:dyDescent="0.25">
      <c r="A102" s="247" t="s">
        <v>529</v>
      </c>
      <c r="B102" s="64">
        <v>45.52</v>
      </c>
      <c r="C102" s="64">
        <v>91.1</v>
      </c>
      <c r="D102" s="64">
        <v>82.73</v>
      </c>
      <c r="E102" s="64">
        <v>7.92</v>
      </c>
      <c r="F102" s="64">
        <v>10.56</v>
      </c>
      <c r="G102" s="64">
        <v>94.28</v>
      </c>
      <c r="H102" s="64">
        <v>29.72</v>
      </c>
      <c r="I102" s="64">
        <v>3.97</v>
      </c>
      <c r="J102" s="64">
        <v>0.56999999999999995</v>
      </c>
      <c r="K102" s="64">
        <v>359.48</v>
      </c>
      <c r="L102" s="64">
        <v>20.57</v>
      </c>
      <c r="M102" s="64">
        <v>42.94</v>
      </c>
      <c r="N102" s="64">
        <v>61.7</v>
      </c>
      <c r="O102" s="64">
        <v>0</v>
      </c>
      <c r="P102" s="64">
        <v>1.1200000000000001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47" t="s">
        <v>530</v>
      </c>
      <c r="B103" s="64">
        <v>44.11</v>
      </c>
      <c r="C103" s="64">
        <v>91.77</v>
      </c>
      <c r="D103" s="64">
        <v>81.94</v>
      </c>
      <c r="E103" s="64">
        <v>9.26</v>
      </c>
      <c r="F103" s="64">
        <v>10.91</v>
      </c>
      <c r="G103" s="64">
        <v>94.28</v>
      </c>
      <c r="H103" s="64">
        <v>29.72</v>
      </c>
      <c r="I103" s="64">
        <v>4.12</v>
      </c>
      <c r="J103" s="64">
        <v>0.55000000000000004</v>
      </c>
      <c r="K103" s="64">
        <v>32.93</v>
      </c>
      <c r="L103" s="64">
        <v>20.65</v>
      </c>
      <c r="M103" s="64">
        <v>42</v>
      </c>
      <c r="N103" s="64">
        <v>61.3</v>
      </c>
      <c r="O103" s="64">
        <v>0</v>
      </c>
      <c r="P103" s="64">
        <v>1.01</v>
      </c>
      <c r="Q103" s="64">
        <v>9.5500000000000007</v>
      </c>
      <c r="R103" s="198"/>
      <c r="S103" s="198"/>
      <c r="T103" s="198"/>
      <c r="U103" s="198"/>
    </row>
    <row r="104" spans="1:33" s="12" customFormat="1" x14ac:dyDescent="0.25">
      <c r="A104" s="247" t="s">
        <v>531</v>
      </c>
      <c r="B104" s="64">
        <v>33.409999999999997</v>
      </c>
      <c r="C104" s="64">
        <v>89.66</v>
      </c>
      <c r="D104" s="64">
        <v>72.260000000000005</v>
      </c>
      <c r="E104" s="64">
        <v>11.63</v>
      </c>
      <c r="F104" s="64">
        <v>13.28</v>
      </c>
      <c r="G104" s="64">
        <v>94.28</v>
      </c>
      <c r="H104" s="64">
        <v>29.72</v>
      </c>
      <c r="I104" s="64">
        <v>4.13</v>
      </c>
      <c r="J104" s="64">
        <v>0.72</v>
      </c>
      <c r="K104" s="64">
        <v>18.579999999999998</v>
      </c>
      <c r="L104" s="64">
        <v>20.61</v>
      </c>
      <c r="M104" s="64">
        <v>41.36</v>
      </c>
      <c r="N104" s="64">
        <v>61.3</v>
      </c>
      <c r="O104" s="64">
        <v>0</v>
      </c>
      <c r="P104" s="64">
        <v>0.98</v>
      </c>
      <c r="Q104" s="64">
        <v>9.5399999999999991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5.78</v>
      </c>
      <c r="C106" s="67">
        <f>MIN(C9:C104)</f>
        <v>54.32</v>
      </c>
      <c r="D106" s="67">
        <f t="shared" ref="D106:Q106" si="0">MIN(D9:D104)</f>
        <v>35.729999999999997</v>
      </c>
      <c r="E106" s="67">
        <f t="shared" si="0"/>
        <v>4.2300000000000004</v>
      </c>
      <c r="F106" s="67">
        <f t="shared" si="0"/>
        <v>6.56</v>
      </c>
      <c r="G106" s="67">
        <f t="shared" si="0"/>
        <v>49.56</v>
      </c>
      <c r="H106" s="67">
        <f t="shared" si="0"/>
        <v>14.4</v>
      </c>
      <c r="I106" s="67">
        <f t="shared" si="0"/>
        <v>3.72</v>
      </c>
      <c r="J106" s="67">
        <f t="shared" si="0"/>
        <v>-0.44</v>
      </c>
      <c r="K106" s="67">
        <f t="shared" si="0"/>
        <v>1.9</v>
      </c>
      <c r="L106" s="67">
        <f t="shared" si="0"/>
        <v>17.170000000000002</v>
      </c>
      <c r="M106" s="67">
        <f t="shared" si="0"/>
        <v>17.760000000000002</v>
      </c>
      <c r="N106" s="67">
        <f t="shared" si="0"/>
        <v>59.9</v>
      </c>
      <c r="O106" s="67">
        <f t="shared" si="0"/>
        <v>0</v>
      </c>
      <c r="P106" s="67">
        <f t="shared" si="0"/>
        <v>0.48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146.82</v>
      </c>
      <c r="C107" s="66">
        <f t="shared" ref="C107:Q107" si="1">MAX(C9:C104)</f>
        <v>131.36000000000001</v>
      </c>
      <c r="D107" s="66">
        <f t="shared" si="1"/>
        <v>184.99</v>
      </c>
      <c r="E107" s="66">
        <f t="shared" si="1"/>
        <v>19.75</v>
      </c>
      <c r="F107" s="66">
        <f t="shared" si="1"/>
        <v>30.86</v>
      </c>
      <c r="G107" s="66">
        <f t="shared" si="1"/>
        <v>141.68</v>
      </c>
      <c r="H107" s="66">
        <f t="shared" si="1"/>
        <v>37.94</v>
      </c>
      <c r="I107" s="66">
        <f t="shared" si="1"/>
        <v>4.2</v>
      </c>
      <c r="J107" s="66">
        <f t="shared" si="1"/>
        <v>2.25</v>
      </c>
      <c r="K107" s="66">
        <f t="shared" si="1"/>
        <v>359.48</v>
      </c>
      <c r="L107" s="66">
        <f t="shared" si="1"/>
        <v>34.64</v>
      </c>
      <c r="M107" s="66">
        <f t="shared" si="1"/>
        <v>77.66</v>
      </c>
      <c r="N107" s="66">
        <f t="shared" si="1"/>
        <v>799.6</v>
      </c>
      <c r="O107" s="66">
        <f t="shared" si="1"/>
        <v>0</v>
      </c>
      <c r="P107" s="66">
        <f t="shared" si="1"/>
        <v>2.2200000000000002</v>
      </c>
      <c r="Q107" s="66">
        <f t="shared" si="1"/>
        <v>9.6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40.809270833333336</v>
      </c>
      <c r="C108" s="67">
        <f t="shared" ref="C108:Q108" si="2">AVERAGE(C9:C104)</f>
        <v>80.033541666666636</v>
      </c>
      <c r="D108" s="67">
        <f t="shared" si="2"/>
        <v>73.164270833333319</v>
      </c>
      <c r="E108" s="67">
        <f t="shared" si="2"/>
        <v>7.5245833333333314</v>
      </c>
      <c r="F108" s="67">
        <f t="shared" si="2"/>
        <v>12.598645833333331</v>
      </c>
      <c r="G108" s="67">
        <f t="shared" si="2"/>
        <v>88.01437500000003</v>
      </c>
      <c r="H108" s="67">
        <f t="shared" si="2"/>
        <v>27.931770833333335</v>
      </c>
      <c r="I108" s="67">
        <f t="shared" si="2"/>
        <v>3.9817708333333335</v>
      </c>
      <c r="J108" s="67">
        <f t="shared" si="2"/>
        <v>0.8536458333333331</v>
      </c>
      <c r="K108" s="67">
        <f t="shared" si="2"/>
        <v>220.43260416666669</v>
      </c>
      <c r="L108" s="67">
        <f t="shared" si="2"/>
        <v>24.926979166666669</v>
      </c>
      <c r="M108" s="67">
        <f t="shared" si="2"/>
        <v>41.482395833333342</v>
      </c>
      <c r="N108" s="67">
        <f t="shared" si="2"/>
        <v>255.33229166666672</v>
      </c>
      <c r="O108" s="67">
        <f t="shared" si="2"/>
        <v>0</v>
      </c>
      <c r="P108" s="67">
        <f t="shared" si="2"/>
        <v>0.94697916666666693</v>
      </c>
      <c r="Q108" s="67">
        <f t="shared" si="2"/>
        <v>9.4185416666666626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30.597129801572834</v>
      </c>
      <c r="C109" s="67">
        <f t="shared" ref="C109:Q109" si="3">STDEV(C9:C104)</f>
        <v>15.541191445159189</v>
      </c>
      <c r="D109" s="67">
        <f t="shared" si="3"/>
        <v>30.016495000154507</v>
      </c>
      <c r="E109" s="67">
        <f t="shared" si="3"/>
        <v>2.6069263679128554</v>
      </c>
      <c r="F109" s="67">
        <f t="shared" si="3"/>
        <v>5.5320879507016461</v>
      </c>
      <c r="G109" s="67">
        <f t="shared" si="3"/>
        <v>22.547888957668775</v>
      </c>
      <c r="H109" s="67">
        <f t="shared" si="3"/>
        <v>5.6994864024921235</v>
      </c>
      <c r="I109" s="67">
        <f t="shared" si="3"/>
        <v>0.1018253901918343</v>
      </c>
      <c r="J109" s="67">
        <f t="shared" si="3"/>
        <v>0.50846129033775067</v>
      </c>
      <c r="K109" s="67">
        <f t="shared" si="3"/>
        <v>122.71197526810317</v>
      </c>
      <c r="L109" s="67">
        <f t="shared" si="3"/>
        <v>5.471821426716815</v>
      </c>
      <c r="M109" s="67">
        <f t="shared" si="3"/>
        <v>17.641545208894129</v>
      </c>
      <c r="N109" s="67">
        <f t="shared" si="3"/>
        <v>271.51897035393569</v>
      </c>
      <c r="O109" s="67">
        <f t="shared" si="3"/>
        <v>0</v>
      </c>
      <c r="P109" s="67">
        <f t="shared" si="3"/>
        <v>0.39059231617652157</v>
      </c>
      <c r="Q109" s="67">
        <f t="shared" si="3"/>
        <v>0.11946353036688344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57" sqref="A5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532</v>
      </c>
      <c r="B9" s="64">
        <v>26.19</v>
      </c>
      <c r="C9" s="64">
        <v>82.38</v>
      </c>
      <c r="D9" s="64">
        <v>62.67</v>
      </c>
      <c r="E9" s="64">
        <v>14.16</v>
      </c>
      <c r="F9" s="64">
        <v>13.77</v>
      </c>
      <c r="G9" s="64">
        <v>92.58</v>
      </c>
      <c r="H9" s="64">
        <v>28.54</v>
      </c>
      <c r="I9" s="64">
        <v>4.01</v>
      </c>
      <c r="J9" s="64">
        <v>0.57999999999999996</v>
      </c>
      <c r="K9" s="64">
        <v>54.07</v>
      </c>
      <c r="L9" s="64">
        <v>20.7</v>
      </c>
      <c r="M9" s="64">
        <v>39.01</v>
      </c>
      <c r="N9" s="64">
        <v>61.4</v>
      </c>
      <c r="O9" s="64">
        <v>0</v>
      </c>
      <c r="P9" s="64">
        <v>0.84</v>
      </c>
      <c r="Q9" s="64">
        <v>9.5399999999999991</v>
      </c>
      <c r="R9" s="198"/>
      <c r="S9" s="198"/>
      <c r="T9" s="198"/>
      <c r="U9" s="198"/>
    </row>
    <row r="10" spans="1:21" s="12" customFormat="1" x14ac:dyDescent="0.25">
      <c r="A10" s="247" t="s">
        <v>533</v>
      </c>
      <c r="B10" s="64">
        <v>27.44</v>
      </c>
      <c r="C10" s="64">
        <v>76.69</v>
      </c>
      <c r="D10" s="64">
        <v>60.7</v>
      </c>
      <c r="E10" s="64">
        <v>15.85</v>
      </c>
      <c r="F10" s="64">
        <v>12.73</v>
      </c>
      <c r="G10" s="64">
        <v>89.65</v>
      </c>
      <c r="H10" s="64">
        <v>26.49</v>
      </c>
      <c r="I10" s="64">
        <v>3.88</v>
      </c>
      <c r="J10" s="64">
        <v>0.66</v>
      </c>
      <c r="K10" s="64">
        <v>34.43</v>
      </c>
      <c r="L10" s="64">
        <v>20.57</v>
      </c>
      <c r="M10" s="64">
        <v>40.21</v>
      </c>
      <c r="N10" s="64">
        <v>61.4</v>
      </c>
      <c r="O10" s="64">
        <v>0</v>
      </c>
      <c r="P10" s="64">
        <v>0.92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47" t="s">
        <v>534</v>
      </c>
      <c r="B11" s="64">
        <v>28.01</v>
      </c>
      <c r="C11" s="64">
        <v>83.4</v>
      </c>
      <c r="D11" s="64">
        <v>64.66</v>
      </c>
      <c r="E11" s="64">
        <v>17.97</v>
      </c>
      <c r="F11" s="64">
        <v>10.73</v>
      </c>
      <c r="G11" s="64">
        <v>89.65</v>
      </c>
      <c r="H11" s="64">
        <v>26.49</v>
      </c>
      <c r="I11" s="64">
        <v>3.75</v>
      </c>
      <c r="J11" s="64">
        <v>0.7</v>
      </c>
      <c r="K11" s="64">
        <v>49.7</v>
      </c>
      <c r="L11" s="64">
        <v>20.350000000000001</v>
      </c>
      <c r="M11" s="64">
        <v>41.02</v>
      </c>
      <c r="N11" s="64">
        <v>61.3</v>
      </c>
      <c r="O11" s="64">
        <v>0</v>
      </c>
      <c r="P11" s="64">
        <v>0.94</v>
      </c>
      <c r="Q11" s="64">
        <v>9.52</v>
      </c>
      <c r="R11" s="198"/>
      <c r="S11" s="198"/>
      <c r="T11" s="198"/>
      <c r="U11" s="198"/>
    </row>
    <row r="12" spans="1:21" s="12" customFormat="1" x14ac:dyDescent="0.25">
      <c r="A12" s="247" t="s">
        <v>535</v>
      </c>
      <c r="B12" s="64">
        <v>40.07</v>
      </c>
      <c r="C12" s="64">
        <v>81.05</v>
      </c>
      <c r="D12" s="64">
        <v>73.099999999999994</v>
      </c>
      <c r="E12" s="64">
        <v>21.99</v>
      </c>
      <c r="F12" s="64">
        <v>10.15</v>
      </c>
      <c r="G12" s="64">
        <v>89.65</v>
      </c>
      <c r="H12" s="64">
        <v>26.49</v>
      </c>
      <c r="I12" s="64">
        <v>3.97</v>
      </c>
      <c r="J12" s="64">
        <v>0.77</v>
      </c>
      <c r="K12" s="64">
        <v>17.98</v>
      </c>
      <c r="L12" s="64">
        <v>20.14</v>
      </c>
      <c r="M12" s="64">
        <v>43.44</v>
      </c>
      <c r="N12" s="64">
        <v>61.1</v>
      </c>
      <c r="O12" s="64">
        <v>0</v>
      </c>
      <c r="P12" s="64">
        <v>1.01</v>
      </c>
      <c r="Q12" s="64">
        <v>9.52</v>
      </c>
      <c r="R12" s="198"/>
      <c r="S12" s="198"/>
      <c r="T12" s="198"/>
      <c r="U12" s="198"/>
    </row>
    <row r="13" spans="1:21" s="12" customFormat="1" x14ac:dyDescent="0.25">
      <c r="A13" s="247" t="s">
        <v>536</v>
      </c>
      <c r="B13" s="64">
        <v>45.48</v>
      </c>
      <c r="C13" s="64">
        <v>77.73</v>
      </c>
      <c r="D13" s="64">
        <v>75.709999999999994</v>
      </c>
      <c r="E13" s="64">
        <v>10.32</v>
      </c>
      <c r="F13" s="64">
        <v>8.2899999999999991</v>
      </c>
      <c r="G13" s="64">
        <v>96.15</v>
      </c>
      <c r="H13" s="64">
        <v>26.11</v>
      </c>
      <c r="I13" s="64">
        <v>4.16</v>
      </c>
      <c r="J13" s="64">
        <v>0.77</v>
      </c>
      <c r="K13" s="64">
        <v>14.68</v>
      </c>
      <c r="L13" s="64">
        <v>20.079999999999998</v>
      </c>
      <c r="M13" s="64">
        <v>43.26</v>
      </c>
      <c r="N13" s="64">
        <v>61.2</v>
      </c>
      <c r="O13" s="64">
        <v>0</v>
      </c>
      <c r="P13" s="64">
        <v>1.1299999999999999</v>
      </c>
      <c r="Q13" s="64">
        <v>9.5</v>
      </c>
      <c r="R13" s="198"/>
      <c r="S13" s="198"/>
      <c r="T13" s="198"/>
      <c r="U13" s="198"/>
    </row>
    <row r="14" spans="1:21" s="12" customFormat="1" x14ac:dyDescent="0.25">
      <c r="A14" s="247" t="s">
        <v>537</v>
      </c>
      <c r="B14" s="64">
        <v>36.61</v>
      </c>
      <c r="C14" s="64">
        <v>78.09</v>
      </c>
      <c r="D14" s="64">
        <v>68.78</v>
      </c>
      <c r="E14" s="64">
        <v>11.05</v>
      </c>
      <c r="F14" s="64">
        <v>7.89</v>
      </c>
      <c r="G14" s="64">
        <v>107.39</v>
      </c>
      <c r="H14" s="64">
        <v>25.47</v>
      </c>
      <c r="I14" s="64">
        <v>3.93</v>
      </c>
      <c r="J14" s="64">
        <v>0.6</v>
      </c>
      <c r="K14" s="64">
        <v>17.11</v>
      </c>
      <c r="L14" s="64">
        <v>19.73</v>
      </c>
      <c r="M14" s="64">
        <v>44.26</v>
      </c>
      <c r="N14" s="64">
        <v>61.7</v>
      </c>
      <c r="O14" s="64">
        <v>0</v>
      </c>
      <c r="P14" s="64">
        <v>1.08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47" t="s">
        <v>538</v>
      </c>
      <c r="B15" s="64">
        <v>40.270000000000003</v>
      </c>
      <c r="C15" s="64">
        <v>76.38</v>
      </c>
      <c r="D15" s="64">
        <v>70.83</v>
      </c>
      <c r="E15" s="64">
        <v>8.92</v>
      </c>
      <c r="F15" s="64">
        <v>8.02</v>
      </c>
      <c r="G15" s="64">
        <v>107.39</v>
      </c>
      <c r="H15" s="64">
        <v>25.47</v>
      </c>
      <c r="I15" s="64">
        <v>4.07</v>
      </c>
      <c r="J15" s="64">
        <v>1.28</v>
      </c>
      <c r="K15" s="64">
        <v>4</v>
      </c>
      <c r="L15" s="64">
        <v>19.579999999999998</v>
      </c>
      <c r="M15" s="64">
        <v>44.19</v>
      </c>
      <c r="N15" s="64">
        <v>60.9</v>
      </c>
      <c r="O15" s="64">
        <v>0</v>
      </c>
      <c r="P15" s="64">
        <v>1.0900000000000001</v>
      </c>
      <c r="Q15" s="64">
        <v>9.48</v>
      </c>
      <c r="R15" s="198"/>
      <c r="S15" s="198"/>
      <c r="T15" s="198"/>
      <c r="U15" s="198"/>
    </row>
    <row r="16" spans="1:21" s="12" customFormat="1" x14ac:dyDescent="0.25">
      <c r="A16" s="247" t="s">
        <v>539</v>
      </c>
      <c r="B16" s="64">
        <v>29.92</v>
      </c>
      <c r="C16" s="64">
        <v>68.95</v>
      </c>
      <c r="D16" s="64">
        <v>58.64</v>
      </c>
      <c r="E16" s="64">
        <v>8.81</v>
      </c>
      <c r="F16" s="64">
        <v>10.57</v>
      </c>
      <c r="G16" s="64">
        <v>107.39</v>
      </c>
      <c r="H16" s="64">
        <v>25.47</v>
      </c>
      <c r="I16" s="64">
        <v>4.21</v>
      </c>
      <c r="J16" s="64">
        <v>0.63</v>
      </c>
      <c r="K16" s="64">
        <v>42.26</v>
      </c>
      <c r="L16" s="64">
        <v>19.47</v>
      </c>
      <c r="M16" s="64">
        <v>43.44</v>
      </c>
      <c r="N16" s="64">
        <v>61.4</v>
      </c>
      <c r="O16" s="64">
        <v>0</v>
      </c>
      <c r="P16" s="64">
        <v>0.96</v>
      </c>
      <c r="Q16" s="64">
        <v>9.48</v>
      </c>
      <c r="R16" s="198"/>
      <c r="S16" s="198"/>
      <c r="T16" s="198"/>
      <c r="U16" s="198"/>
    </row>
    <row r="17" spans="1:21" s="12" customFormat="1" x14ac:dyDescent="0.25">
      <c r="A17" s="247" t="s">
        <v>540</v>
      </c>
      <c r="B17" s="64">
        <v>31.02</v>
      </c>
      <c r="C17" s="64">
        <v>69.150000000000006</v>
      </c>
      <c r="D17" s="64">
        <v>59.63</v>
      </c>
      <c r="E17" s="64">
        <v>7.9</v>
      </c>
      <c r="F17" s="64">
        <v>10.36</v>
      </c>
      <c r="G17" s="64">
        <v>108.06</v>
      </c>
      <c r="H17" s="64">
        <v>22.2</v>
      </c>
      <c r="I17" s="64">
        <v>3.93</v>
      </c>
      <c r="J17" s="64">
        <v>0.59</v>
      </c>
      <c r="K17" s="64">
        <v>11.97</v>
      </c>
      <c r="L17" s="64">
        <v>19.28</v>
      </c>
      <c r="M17" s="64">
        <v>44.47</v>
      </c>
      <c r="N17" s="64">
        <v>61.5</v>
      </c>
      <c r="O17" s="64">
        <v>0</v>
      </c>
      <c r="P17" s="64">
        <v>0.95</v>
      </c>
      <c r="Q17" s="64">
        <v>9.51</v>
      </c>
      <c r="R17" s="198"/>
      <c r="S17" s="198"/>
      <c r="T17" s="198"/>
      <c r="U17" s="198"/>
    </row>
    <row r="18" spans="1:21" s="12" customFormat="1" x14ac:dyDescent="0.25">
      <c r="A18" s="247" t="s">
        <v>541</v>
      </c>
      <c r="B18" s="64">
        <v>28.16</v>
      </c>
      <c r="C18" s="64">
        <v>66.2</v>
      </c>
      <c r="D18" s="64">
        <v>55.79</v>
      </c>
      <c r="E18" s="64">
        <v>7.08</v>
      </c>
      <c r="F18" s="64">
        <v>9.89</v>
      </c>
      <c r="G18" s="64">
        <v>109.21</v>
      </c>
      <c r="H18" s="64">
        <v>16.55</v>
      </c>
      <c r="I18" s="64">
        <v>3.88</v>
      </c>
      <c r="J18" s="64">
        <v>0.56000000000000005</v>
      </c>
      <c r="K18" s="64">
        <v>20.83</v>
      </c>
      <c r="L18" s="64">
        <v>18.899999999999999</v>
      </c>
      <c r="M18" s="64">
        <v>46.36</v>
      </c>
      <c r="N18" s="64">
        <v>61.8</v>
      </c>
      <c r="O18" s="64">
        <v>0</v>
      </c>
      <c r="P18" s="64">
        <v>0.92</v>
      </c>
      <c r="Q18" s="64">
        <v>9.5</v>
      </c>
      <c r="R18" s="198"/>
      <c r="S18" s="198"/>
      <c r="T18" s="198"/>
      <c r="U18" s="198"/>
    </row>
    <row r="19" spans="1:21" s="12" customFormat="1" x14ac:dyDescent="0.25">
      <c r="A19" s="247" t="s">
        <v>542</v>
      </c>
      <c r="B19" s="64">
        <v>25.37</v>
      </c>
      <c r="C19" s="64">
        <v>62.93</v>
      </c>
      <c r="D19" s="64">
        <v>51.85</v>
      </c>
      <c r="E19" s="64">
        <v>6.63</v>
      </c>
      <c r="F19" s="64">
        <v>10.050000000000001</v>
      </c>
      <c r="G19" s="64">
        <v>109.21</v>
      </c>
      <c r="H19" s="64">
        <v>16.55</v>
      </c>
      <c r="I19" s="64">
        <v>4.04</v>
      </c>
      <c r="J19" s="64">
        <v>0.45</v>
      </c>
      <c r="K19" s="64">
        <v>17.37</v>
      </c>
      <c r="L19" s="64">
        <v>18.59</v>
      </c>
      <c r="M19" s="64">
        <v>48.54</v>
      </c>
      <c r="N19" s="64">
        <v>61.6</v>
      </c>
      <c r="O19" s="64">
        <v>0</v>
      </c>
      <c r="P19" s="64">
        <v>0.84</v>
      </c>
      <c r="Q19" s="64">
        <v>9.4499999999999993</v>
      </c>
      <c r="R19" s="198"/>
      <c r="S19" s="198"/>
      <c r="T19" s="198"/>
      <c r="U19" s="198"/>
    </row>
    <row r="20" spans="1:21" s="12" customFormat="1" x14ac:dyDescent="0.25">
      <c r="A20" s="247" t="s">
        <v>543</v>
      </c>
      <c r="B20" s="64">
        <v>23.31</v>
      </c>
      <c r="C20" s="64">
        <v>62.42</v>
      </c>
      <c r="D20" s="64">
        <v>49.93</v>
      </c>
      <c r="E20" s="64">
        <v>6.53</v>
      </c>
      <c r="F20" s="64">
        <v>10.55</v>
      </c>
      <c r="G20" s="64">
        <v>109.21</v>
      </c>
      <c r="H20" s="64">
        <v>16.55</v>
      </c>
      <c r="I20" s="64">
        <v>4.12</v>
      </c>
      <c r="J20" s="64">
        <v>0.65</v>
      </c>
      <c r="K20" s="64">
        <v>27.53</v>
      </c>
      <c r="L20" s="64">
        <v>18.29</v>
      </c>
      <c r="M20" s="64">
        <v>51.16</v>
      </c>
      <c r="N20" s="64">
        <v>61.6</v>
      </c>
      <c r="O20" s="64">
        <v>0</v>
      </c>
      <c r="P20" s="64">
        <v>0.83</v>
      </c>
      <c r="Q20" s="64">
        <v>9.44</v>
      </c>
      <c r="R20" s="198"/>
      <c r="S20" s="198"/>
      <c r="T20" s="198"/>
      <c r="U20" s="198"/>
    </row>
    <row r="21" spans="1:21" s="12" customFormat="1" x14ac:dyDescent="0.25">
      <c r="A21" s="247" t="s">
        <v>544</v>
      </c>
      <c r="B21" s="64">
        <v>22.69</v>
      </c>
      <c r="C21" s="64">
        <v>62.28</v>
      </c>
      <c r="D21" s="64">
        <v>49.36</v>
      </c>
      <c r="E21" s="64">
        <v>6.8</v>
      </c>
      <c r="F21" s="64">
        <v>10.17</v>
      </c>
      <c r="G21" s="64">
        <v>100.03</v>
      </c>
      <c r="H21" s="64">
        <v>24.96</v>
      </c>
      <c r="I21" s="64">
        <v>3.97</v>
      </c>
      <c r="J21" s="64">
        <v>0.53</v>
      </c>
      <c r="K21" s="64">
        <v>20.64</v>
      </c>
      <c r="L21" s="64">
        <v>18.079999999999998</v>
      </c>
      <c r="M21" s="64">
        <v>52.68</v>
      </c>
      <c r="N21" s="64">
        <v>61.5</v>
      </c>
      <c r="O21" s="64">
        <v>0</v>
      </c>
      <c r="P21" s="64">
        <v>0.82</v>
      </c>
      <c r="Q21" s="64">
        <v>9.4499999999999993</v>
      </c>
      <c r="R21" s="198"/>
      <c r="S21" s="198"/>
      <c r="T21" s="198"/>
      <c r="U21" s="198"/>
    </row>
    <row r="22" spans="1:21" s="12" customFormat="1" x14ac:dyDescent="0.25">
      <c r="A22" s="247" t="s">
        <v>545</v>
      </c>
      <c r="B22" s="64">
        <v>21.85</v>
      </c>
      <c r="C22" s="64">
        <v>63.69</v>
      </c>
      <c r="D22" s="64">
        <v>49.42</v>
      </c>
      <c r="E22" s="64">
        <v>6</v>
      </c>
      <c r="F22" s="64">
        <v>9.1</v>
      </c>
      <c r="G22" s="64">
        <v>84.18</v>
      </c>
      <c r="H22" s="64">
        <v>39.479999999999997</v>
      </c>
      <c r="I22" s="64">
        <v>3.83</v>
      </c>
      <c r="J22" s="64">
        <v>0.66</v>
      </c>
      <c r="K22" s="64">
        <v>8.8000000000000007</v>
      </c>
      <c r="L22" s="64">
        <v>17.899999999999999</v>
      </c>
      <c r="M22" s="64">
        <v>53.52</v>
      </c>
      <c r="N22" s="64">
        <v>61.5</v>
      </c>
      <c r="O22" s="64">
        <v>0</v>
      </c>
      <c r="P22" s="64">
        <v>0.81</v>
      </c>
      <c r="Q22" s="64">
        <v>9.4499999999999993</v>
      </c>
      <c r="R22" s="198"/>
      <c r="S22" s="198"/>
      <c r="T22" s="198"/>
      <c r="U22" s="198"/>
    </row>
    <row r="23" spans="1:21" s="12" customFormat="1" x14ac:dyDescent="0.25">
      <c r="A23" s="247" t="s">
        <v>546</v>
      </c>
      <c r="B23" s="64">
        <v>17.670000000000002</v>
      </c>
      <c r="C23" s="64">
        <v>56.18</v>
      </c>
      <c r="D23" s="64">
        <v>42.15</v>
      </c>
      <c r="E23" s="64">
        <v>6.32</v>
      </c>
      <c r="F23" s="64">
        <v>12.14</v>
      </c>
      <c r="G23" s="64">
        <v>84.18</v>
      </c>
      <c r="H23" s="64">
        <v>39.479999999999997</v>
      </c>
      <c r="I23" s="64">
        <v>4.2</v>
      </c>
      <c r="J23" s="64">
        <v>0.42</v>
      </c>
      <c r="K23" s="64">
        <v>312.45</v>
      </c>
      <c r="L23" s="64">
        <v>17.5</v>
      </c>
      <c r="M23" s="64">
        <v>58.78</v>
      </c>
      <c r="N23" s="64">
        <v>62</v>
      </c>
      <c r="O23" s="64">
        <v>0</v>
      </c>
      <c r="P23" s="64">
        <v>0.67</v>
      </c>
      <c r="Q23" s="64">
        <v>9.4499999999999993</v>
      </c>
      <c r="R23" s="198"/>
      <c r="S23" s="198"/>
      <c r="T23" s="198"/>
      <c r="U23" s="198"/>
    </row>
    <row r="24" spans="1:21" s="12" customFormat="1" x14ac:dyDescent="0.25">
      <c r="A24" s="247" t="s">
        <v>547</v>
      </c>
      <c r="B24" s="64">
        <v>19.97</v>
      </c>
      <c r="C24" s="64">
        <v>62.8</v>
      </c>
      <c r="D24" s="64">
        <v>47.45</v>
      </c>
      <c r="E24" s="64">
        <v>6.47</v>
      </c>
      <c r="F24" s="64">
        <v>9.31</v>
      </c>
      <c r="G24" s="64">
        <v>84.18</v>
      </c>
      <c r="H24" s="64">
        <v>39.479999999999997</v>
      </c>
      <c r="I24" s="64">
        <v>3.88</v>
      </c>
      <c r="J24" s="64">
        <v>0.17</v>
      </c>
      <c r="K24" s="64">
        <v>27.46</v>
      </c>
      <c r="L24" s="64">
        <v>17.170000000000002</v>
      </c>
      <c r="M24" s="64">
        <v>58.43</v>
      </c>
      <c r="N24" s="64">
        <v>61.9</v>
      </c>
      <c r="O24" s="64">
        <v>0</v>
      </c>
      <c r="P24" s="64">
        <v>0.7</v>
      </c>
      <c r="Q24" s="64">
        <v>9.44</v>
      </c>
      <c r="R24" s="198"/>
      <c r="S24" s="198"/>
      <c r="T24" s="198"/>
      <c r="U24" s="198"/>
    </row>
    <row r="25" spans="1:21" s="12" customFormat="1" x14ac:dyDescent="0.25">
      <c r="A25" s="247" t="s">
        <v>548</v>
      </c>
      <c r="B25" s="64">
        <v>29.23</v>
      </c>
      <c r="C25" s="64">
        <v>67.13</v>
      </c>
      <c r="D25" s="64">
        <v>57.14</v>
      </c>
      <c r="E25" s="64">
        <v>6.43</v>
      </c>
      <c r="F25" s="64">
        <v>9.34</v>
      </c>
      <c r="G25" s="64">
        <v>80.97</v>
      </c>
      <c r="H25" s="64">
        <v>36.61</v>
      </c>
      <c r="I25" s="64">
        <v>4.01</v>
      </c>
      <c r="J25" s="64">
        <v>0.25</v>
      </c>
      <c r="K25" s="64">
        <v>44.09</v>
      </c>
      <c r="L25" s="64">
        <v>16.86</v>
      </c>
      <c r="M25" s="64">
        <v>59.37</v>
      </c>
      <c r="N25" s="64">
        <v>61.7</v>
      </c>
      <c r="O25" s="64">
        <v>0</v>
      </c>
      <c r="P25" s="64">
        <v>0.71</v>
      </c>
      <c r="Q25" s="64">
        <v>9.4499999999999993</v>
      </c>
      <c r="R25" s="198"/>
      <c r="S25" s="198"/>
      <c r="T25" s="198"/>
      <c r="U25" s="198"/>
    </row>
    <row r="26" spans="1:21" s="12" customFormat="1" x14ac:dyDescent="0.25">
      <c r="A26" s="247" t="s">
        <v>549</v>
      </c>
      <c r="B26" s="64">
        <v>26.76</v>
      </c>
      <c r="C26" s="64">
        <v>67.239999999999995</v>
      </c>
      <c r="D26" s="64">
        <v>55.21</v>
      </c>
      <c r="E26" s="64">
        <v>6.74</v>
      </c>
      <c r="F26" s="64">
        <v>10.15</v>
      </c>
      <c r="G26" s="64">
        <v>75.430000000000007</v>
      </c>
      <c r="H26" s="64">
        <v>31.64</v>
      </c>
      <c r="I26" s="64">
        <v>4.08</v>
      </c>
      <c r="J26" s="64">
        <v>0.61</v>
      </c>
      <c r="K26" s="64">
        <v>32.770000000000003</v>
      </c>
      <c r="L26" s="64">
        <v>17.2</v>
      </c>
      <c r="M26" s="64">
        <v>54.69</v>
      </c>
      <c r="N26" s="64">
        <v>61.2</v>
      </c>
      <c r="O26" s="64">
        <v>0</v>
      </c>
      <c r="P26" s="64">
        <v>0.68</v>
      </c>
      <c r="Q26" s="64">
        <v>9.43</v>
      </c>
      <c r="R26" s="198"/>
      <c r="S26" s="198"/>
      <c r="T26" s="198"/>
      <c r="U26" s="198"/>
    </row>
    <row r="27" spans="1:21" s="12" customFormat="1" x14ac:dyDescent="0.25">
      <c r="A27" s="247" t="s">
        <v>550</v>
      </c>
      <c r="B27" s="64">
        <v>23.29</v>
      </c>
      <c r="C27" s="64">
        <v>64.64</v>
      </c>
      <c r="D27" s="64">
        <v>51.08</v>
      </c>
      <c r="E27" s="64">
        <v>7.25</v>
      </c>
      <c r="F27" s="64">
        <v>11.53</v>
      </c>
      <c r="G27" s="64">
        <v>75.430000000000007</v>
      </c>
      <c r="H27" s="64">
        <v>31.64</v>
      </c>
      <c r="I27" s="64">
        <v>3.94</v>
      </c>
      <c r="J27" s="64">
        <v>0.51</v>
      </c>
      <c r="K27" s="64">
        <v>17.62</v>
      </c>
      <c r="L27" s="64">
        <v>17.739999999999998</v>
      </c>
      <c r="M27" s="64">
        <v>49.22</v>
      </c>
      <c r="N27" s="64">
        <v>60.9</v>
      </c>
      <c r="O27" s="64">
        <v>0</v>
      </c>
      <c r="P27" s="64">
        <v>0.64</v>
      </c>
      <c r="Q27" s="64">
        <v>9.44</v>
      </c>
      <c r="R27" s="198"/>
      <c r="S27" s="198"/>
      <c r="T27" s="198"/>
      <c r="U27" s="198"/>
    </row>
    <row r="28" spans="1:21" s="12" customFormat="1" x14ac:dyDescent="0.25">
      <c r="A28" s="247" t="s">
        <v>551</v>
      </c>
      <c r="B28" s="64">
        <v>18.18</v>
      </c>
      <c r="C28" s="64">
        <v>59.83</v>
      </c>
      <c r="D28" s="64">
        <v>44.46</v>
      </c>
      <c r="E28" s="64">
        <v>7.41</v>
      </c>
      <c r="F28" s="64">
        <v>14.59</v>
      </c>
      <c r="G28" s="64">
        <v>75.430000000000007</v>
      </c>
      <c r="H28" s="64">
        <v>31.64</v>
      </c>
      <c r="I28" s="64">
        <v>3.98</v>
      </c>
      <c r="J28" s="64">
        <v>0.52</v>
      </c>
      <c r="K28" s="64">
        <v>48.38</v>
      </c>
      <c r="L28" s="64">
        <v>17.88</v>
      </c>
      <c r="M28" s="64">
        <v>47.2</v>
      </c>
      <c r="N28" s="64">
        <v>61.4</v>
      </c>
      <c r="O28" s="64">
        <v>0</v>
      </c>
      <c r="P28" s="64">
        <v>0.6</v>
      </c>
      <c r="Q28" s="64">
        <v>9.4600000000000009</v>
      </c>
      <c r="R28" s="198"/>
      <c r="S28" s="198"/>
      <c r="T28" s="198"/>
      <c r="U28" s="198"/>
    </row>
    <row r="29" spans="1:21" s="12" customFormat="1" x14ac:dyDescent="0.25">
      <c r="A29" s="247" t="s">
        <v>552</v>
      </c>
      <c r="B29" s="64">
        <v>17.75</v>
      </c>
      <c r="C29" s="64">
        <v>56.09</v>
      </c>
      <c r="D29" s="64">
        <v>42.16</v>
      </c>
      <c r="E29" s="64">
        <v>7.88</v>
      </c>
      <c r="F29" s="64">
        <v>14.19</v>
      </c>
      <c r="G29" s="64">
        <v>74.709999999999994</v>
      </c>
      <c r="H29" s="64">
        <v>29.28</v>
      </c>
      <c r="I29" s="64">
        <v>4.07</v>
      </c>
      <c r="J29" s="64">
        <v>0.22</v>
      </c>
      <c r="K29" s="64">
        <v>137.69999999999999</v>
      </c>
      <c r="L29" s="64">
        <v>17.88</v>
      </c>
      <c r="M29" s="64">
        <v>47.43</v>
      </c>
      <c r="N29" s="64">
        <v>61.4</v>
      </c>
      <c r="O29" s="64">
        <v>0</v>
      </c>
      <c r="P29" s="64">
        <v>0.62</v>
      </c>
      <c r="Q29" s="64">
        <v>9.44</v>
      </c>
      <c r="R29" s="198"/>
      <c r="S29" s="198"/>
      <c r="T29" s="198"/>
      <c r="U29" s="198"/>
    </row>
    <row r="30" spans="1:21" s="12" customFormat="1" x14ac:dyDescent="0.25">
      <c r="A30" s="247" t="s">
        <v>553</v>
      </c>
      <c r="B30" s="64">
        <v>24.41</v>
      </c>
      <c r="C30" s="64">
        <v>66.239999999999995</v>
      </c>
      <c r="D30" s="64">
        <v>52.81</v>
      </c>
      <c r="E30" s="64">
        <v>6.49</v>
      </c>
      <c r="F30" s="64">
        <v>7.91</v>
      </c>
      <c r="G30" s="64">
        <v>73.459999999999994</v>
      </c>
      <c r="H30" s="64">
        <v>25.21</v>
      </c>
      <c r="I30" s="64">
        <v>3.87</v>
      </c>
      <c r="J30" s="64">
        <v>0.6</v>
      </c>
      <c r="K30" s="64">
        <v>254.71</v>
      </c>
      <c r="L30" s="64">
        <v>17.53</v>
      </c>
      <c r="M30" s="64">
        <v>51.53</v>
      </c>
      <c r="N30" s="64">
        <v>61.9</v>
      </c>
      <c r="O30" s="64">
        <v>0</v>
      </c>
      <c r="P30" s="64">
        <v>0.68</v>
      </c>
      <c r="Q30" s="64">
        <v>9.4499999999999993</v>
      </c>
      <c r="R30" s="198"/>
      <c r="S30" s="198"/>
      <c r="T30" s="198"/>
      <c r="U30" s="198"/>
    </row>
    <row r="31" spans="1:21" s="12" customFormat="1" x14ac:dyDescent="0.25">
      <c r="A31" s="247" t="s">
        <v>554</v>
      </c>
      <c r="B31" s="64">
        <v>24.45</v>
      </c>
      <c r="C31" s="64">
        <v>64.89</v>
      </c>
      <c r="D31" s="64">
        <v>52.13</v>
      </c>
      <c r="E31" s="64">
        <v>5.85</v>
      </c>
      <c r="F31" s="64">
        <v>6.68</v>
      </c>
      <c r="G31" s="64">
        <v>73.459999999999994</v>
      </c>
      <c r="H31" s="64">
        <v>25.21</v>
      </c>
      <c r="I31" s="64">
        <v>4.04</v>
      </c>
      <c r="J31" s="64">
        <v>1.05</v>
      </c>
      <c r="K31" s="64">
        <v>209.2</v>
      </c>
      <c r="L31" s="64">
        <v>17.2</v>
      </c>
      <c r="M31" s="64">
        <v>55.84</v>
      </c>
      <c r="N31" s="64">
        <v>61.4</v>
      </c>
      <c r="O31" s="64">
        <v>0</v>
      </c>
      <c r="P31" s="64">
        <v>0.71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47" t="s">
        <v>555</v>
      </c>
      <c r="B32" s="64">
        <v>23.69</v>
      </c>
      <c r="C32" s="64">
        <v>64.28</v>
      </c>
      <c r="D32" s="64">
        <v>51.21</v>
      </c>
      <c r="E32" s="64">
        <v>5.95</v>
      </c>
      <c r="F32" s="64">
        <v>6.48</v>
      </c>
      <c r="G32" s="64">
        <v>73.459999999999994</v>
      </c>
      <c r="H32" s="64">
        <v>25.21</v>
      </c>
      <c r="I32" s="64">
        <v>4.03</v>
      </c>
      <c r="J32" s="64">
        <v>0.85</v>
      </c>
      <c r="K32" s="64">
        <v>215.3</v>
      </c>
      <c r="L32" s="64">
        <v>16.600000000000001</v>
      </c>
      <c r="M32" s="64">
        <v>63.34</v>
      </c>
      <c r="N32" s="64">
        <v>62.1</v>
      </c>
      <c r="O32" s="64">
        <v>0</v>
      </c>
      <c r="P32" s="64">
        <v>0.69</v>
      </c>
      <c r="Q32" s="64">
        <v>9.44</v>
      </c>
      <c r="R32" s="198"/>
      <c r="S32" s="198"/>
      <c r="T32" s="198"/>
      <c r="U32" s="198"/>
    </row>
    <row r="33" spans="1:21" s="12" customFormat="1" x14ac:dyDescent="0.25">
      <c r="A33" s="247" t="s">
        <v>556</v>
      </c>
      <c r="B33" s="64">
        <v>24.01</v>
      </c>
      <c r="C33" s="64">
        <v>64.19</v>
      </c>
      <c r="D33" s="64">
        <v>51.41</v>
      </c>
      <c r="E33" s="64">
        <v>5.76</v>
      </c>
      <c r="F33" s="64">
        <v>6.23</v>
      </c>
      <c r="G33" s="64">
        <v>75.459999999999994</v>
      </c>
      <c r="H33" s="64">
        <v>25.58</v>
      </c>
      <c r="I33" s="64">
        <v>3.97</v>
      </c>
      <c r="J33" s="64">
        <v>0.31</v>
      </c>
      <c r="K33" s="64">
        <v>314.54000000000002</v>
      </c>
      <c r="L33" s="64">
        <v>16.11</v>
      </c>
      <c r="M33" s="64">
        <v>66.8</v>
      </c>
      <c r="N33" s="64">
        <v>63.6</v>
      </c>
      <c r="O33" s="64">
        <v>0</v>
      </c>
      <c r="P33" s="64">
        <v>0.69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47" t="s">
        <v>557</v>
      </c>
      <c r="B34" s="64">
        <v>26.37</v>
      </c>
      <c r="C34" s="64">
        <v>64.37</v>
      </c>
      <c r="D34" s="64">
        <v>53.4</v>
      </c>
      <c r="E34" s="64">
        <v>5.73</v>
      </c>
      <c r="F34" s="64">
        <v>6.46</v>
      </c>
      <c r="G34" s="64">
        <v>78.92</v>
      </c>
      <c r="H34" s="64">
        <v>26.21</v>
      </c>
      <c r="I34" s="64">
        <v>3.95</v>
      </c>
      <c r="J34" s="64">
        <v>0.51</v>
      </c>
      <c r="K34" s="64">
        <v>240.61</v>
      </c>
      <c r="L34" s="64">
        <v>15.79</v>
      </c>
      <c r="M34" s="64">
        <v>68.489999999999995</v>
      </c>
      <c r="N34" s="64">
        <v>69.8</v>
      </c>
      <c r="O34" s="64">
        <v>0</v>
      </c>
      <c r="P34" s="64">
        <v>0.68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47" t="s">
        <v>558</v>
      </c>
      <c r="B35" s="64">
        <v>29.42</v>
      </c>
      <c r="C35" s="64">
        <v>64.709999999999994</v>
      </c>
      <c r="D35" s="64">
        <v>56.03</v>
      </c>
      <c r="E35" s="64">
        <v>5.71</v>
      </c>
      <c r="F35" s="64">
        <v>6.62</v>
      </c>
      <c r="G35" s="64">
        <v>78.92</v>
      </c>
      <c r="H35" s="64">
        <v>26.21</v>
      </c>
      <c r="I35" s="64">
        <v>4.12</v>
      </c>
      <c r="J35" s="64">
        <v>0.71</v>
      </c>
      <c r="K35" s="64">
        <v>219.76</v>
      </c>
      <c r="L35" s="64">
        <v>16.22</v>
      </c>
      <c r="M35" s="64">
        <v>66.09</v>
      </c>
      <c r="N35" s="64">
        <v>84.7</v>
      </c>
      <c r="O35" s="64">
        <v>0</v>
      </c>
      <c r="P35" s="64">
        <v>0.69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47" t="s">
        <v>559</v>
      </c>
      <c r="B36" s="64">
        <v>31.63</v>
      </c>
      <c r="C36" s="64">
        <v>64.87</v>
      </c>
      <c r="D36" s="64">
        <v>57.88</v>
      </c>
      <c r="E36" s="64">
        <v>5.6</v>
      </c>
      <c r="F36" s="64">
        <v>6.23</v>
      </c>
      <c r="G36" s="64">
        <v>78.92</v>
      </c>
      <c r="H36" s="64">
        <v>26.21</v>
      </c>
      <c r="I36" s="64">
        <v>4.03</v>
      </c>
      <c r="J36" s="64">
        <v>1.05</v>
      </c>
      <c r="K36" s="64">
        <v>205.2</v>
      </c>
      <c r="L36" s="64">
        <v>16.55</v>
      </c>
      <c r="M36" s="64">
        <v>63.61</v>
      </c>
      <c r="N36" s="64">
        <v>118.1</v>
      </c>
      <c r="O36" s="64">
        <v>0</v>
      </c>
      <c r="P36" s="64">
        <v>0.7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47" t="s">
        <v>560</v>
      </c>
      <c r="B37" s="64">
        <v>31.98</v>
      </c>
      <c r="C37" s="64">
        <v>64.739999999999995</v>
      </c>
      <c r="D37" s="64">
        <v>58.09</v>
      </c>
      <c r="E37" s="64">
        <v>5.66</v>
      </c>
      <c r="F37" s="64">
        <v>6.54</v>
      </c>
      <c r="G37" s="64">
        <v>82.82</v>
      </c>
      <c r="H37" s="64">
        <v>25.58</v>
      </c>
      <c r="I37" s="64">
        <v>3.92</v>
      </c>
      <c r="J37" s="64">
        <v>1.0900000000000001</v>
      </c>
      <c r="K37" s="64">
        <v>205.61</v>
      </c>
      <c r="L37" s="64">
        <v>17.04</v>
      </c>
      <c r="M37" s="64">
        <v>62.44</v>
      </c>
      <c r="N37" s="64">
        <v>169.5</v>
      </c>
      <c r="O37" s="64">
        <v>0</v>
      </c>
      <c r="P37" s="64">
        <v>0.68</v>
      </c>
      <c r="Q37" s="64">
        <v>9.43</v>
      </c>
      <c r="R37" s="198"/>
      <c r="S37" s="198"/>
      <c r="T37" s="198"/>
      <c r="U37" s="198"/>
    </row>
    <row r="38" spans="1:21" s="12" customFormat="1" x14ac:dyDescent="0.25">
      <c r="A38" s="247" t="s">
        <v>561</v>
      </c>
      <c r="B38" s="64">
        <v>31.54</v>
      </c>
      <c r="C38" s="64">
        <v>64.81</v>
      </c>
      <c r="D38" s="64">
        <v>57.78</v>
      </c>
      <c r="E38" s="64">
        <v>6.09</v>
      </c>
      <c r="F38" s="64">
        <v>6.66</v>
      </c>
      <c r="G38" s="64">
        <v>89.54</v>
      </c>
      <c r="H38" s="64">
        <v>24.49</v>
      </c>
      <c r="I38" s="64">
        <v>4.0199999999999996</v>
      </c>
      <c r="J38" s="64">
        <v>0.7</v>
      </c>
      <c r="K38" s="64">
        <v>192.66</v>
      </c>
      <c r="L38" s="64">
        <v>18.309999999999999</v>
      </c>
      <c r="M38" s="64">
        <v>57.13</v>
      </c>
      <c r="N38" s="64">
        <v>223.7</v>
      </c>
      <c r="O38" s="64">
        <v>0</v>
      </c>
      <c r="P38" s="64">
        <v>0.69</v>
      </c>
      <c r="Q38" s="64">
        <v>9.4700000000000006</v>
      </c>
      <c r="R38" s="198"/>
      <c r="S38" s="198"/>
      <c r="T38" s="198"/>
      <c r="U38" s="198"/>
    </row>
    <row r="39" spans="1:21" s="12" customFormat="1" x14ac:dyDescent="0.25">
      <c r="A39" s="247" t="s">
        <v>562</v>
      </c>
      <c r="B39" s="64">
        <v>31.14</v>
      </c>
      <c r="C39" s="64">
        <v>65.52</v>
      </c>
      <c r="D39" s="64">
        <v>57.82</v>
      </c>
      <c r="E39" s="64">
        <v>5.79</v>
      </c>
      <c r="F39" s="64">
        <v>6.94</v>
      </c>
      <c r="G39" s="64">
        <v>89.54</v>
      </c>
      <c r="H39" s="64">
        <v>24.49</v>
      </c>
      <c r="I39" s="64">
        <v>3.88</v>
      </c>
      <c r="J39" s="64">
        <v>0.66</v>
      </c>
      <c r="K39" s="64">
        <v>143.24</v>
      </c>
      <c r="L39" s="64">
        <v>20.65</v>
      </c>
      <c r="M39" s="64">
        <v>49.34</v>
      </c>
      <c r="N39" s="64">
        <v>278.2</v>
      </c>
      <c r="O39" s="64">
        <v>0</v>
      </c>
      <c r="P39" s="64">
        <v>0.69</v>
      </c>
      <c r="Q39" s="64">
        <v>9.48</v>
      </c>
      <c r="R39" s="198"/>
      <c r="S39" s="198"/>
      <c r="T39" s="198"/>
      <c r="U39" s="198"/>
    </row>
    <row r="40" spans="1:21" s="12" customFormat="1" x14ac:dyDescent="0.25">
      <c r="A40" s="247" t="s">
        <v>563</v>
      </c>
      <c r="B40" s="64">
        <v>30.15</v>
      </c>
      <c r="C40" s="64">
        <v>67.209999999999994</v>
      </c>
      <c r="D40" s="64">
        <v>57.92</v>
      </c>
      <c r="E40" s="64">
        <v>4.4800000000000004</v>
      </c>
      <c r="F40" s="64">
        <v>7.76</v>
      </c>
      <c r="G40" s="64">
        <v>89.54</v>
      </c>
      <c r="H40" s="64">
        <v>24.49</v>
      </c>
      <c r="I40" s="64">
        <v>3.89</v>
      </c>
      <c r="J40" s="64">
        <v>0.85</v>
      </c>
      <c r="K40" s="64">
        <v>134.38999999999999</v>
      </c>
      <c r="L40" s="64">
        <v>22.61</v>
      </c>
      <c r="M40" s="64">
        <v>41.17</v>
      </c>
      <c r="N40" s="64">
        <v>340.3</v>
      </c>
      <c r="O40" s="64">
        <v>0</v>
      </c>
      <c r="P40" s="64">
        <v>0.69</v>
      </c>
      <c r="Q40" s="64">
        <v>9.4499999999999993</v>
      </c>
      <c r="R40" s="198"/>
      <c r="S40" s="198"/>
      <c r="T40" s="198"/>
      <c r="U40" s="198"/>
    </row>
    <row r="41" spans="1:21" s="12" customFormat="1" x14ac:dyDescent="0.25">
      <c r="A41" s="247" t="s">
        <v>564</v>
      </c>
      <c r="B41" s="64">
        <v>25.71</v>
      </c>
      <c r="C41" s="64">
        <v>63.04</v>
      </c>
      <c r="D41" s="64">
        <v>52.18</v>
      </c>
      <c r="E41" s="64">
        <v>5.15</v>
      </c>
      <c r="F41" s="64">
        <v>9.64</v>
      </c>
      <c r="G41" s="64">
        <v>88.8</v>
      </c>
      <c r="H41" s="64">
        <v>23.82</v>
      </c>
      <c r="I41" s="64">
        <v>3.93</v>
      </c>
      <c r="J41" s="64">
        <v>1.05</v>
      </c>
      <c r="K41" s="64">
        <v>103.9</v>
      </c>
      <c r="L41" s="64">
        <v>22.32</v>
      </c>
      <c r="M41" s="64">
        <v>37.53</v>
      </c>
      <c r="N41" s="64">
        <v>401.3</v>
      </c>
      <c r="O41" s="64">
        <v>0</v>
      </c>
      <c r="P41" s="64">
        <v>0.66</v>
      </c>
      <c r="Q41" s="64">
        <v>9.4499999999999993</v>
      </c>
      <c r="R41" s="198"/>
      <c r="S41" s="198"/>
      <c r="T41" s="198"/>
      <c r="U41" s="198"/>
    </row>
    <row r="42" spans="1:21" s="12" customFormat="1" x14ac:dyDescent="0.25">
      <c r="A42" s="247" t="s">
        <v>565</v>
      </c>
      <c r="B42" s="64">
        <v>24.72</v>
      </c>
      <c r="C42" s="64">
        <v>65.64</v>
      </c>
      <c r="D42" s="64">
        <v>52.74</v>
      </c>
      <c r="E42" s="64">
        <v>4.71</v>
      </c>
      <c r="F42" s="64">
        <v>9.41</v>
      </c>
      <c r="G42" s="64">
        <v>87.5</v>
      </c>
      <c r="H42" s="64">
        <v>22.66</v>
      </c>
      <c r="I42" s="64">
        <v>4.1100000000000003</v>
      </c>
      <c r="J42" s="64">
        <v>1.69</v>
      </c>
      <c r="K42" s="64">
        <v>98.51</v>
      </c>
      <c r="L42" s="64">
        <v>22.44</v>
      </c>
      <c r="M42" s="64">
        <v>36.729999999999997</v>
      </c>
      <c r="N42" s="64">
        <v>453.8</v>
      </c>
      <c r="O42" s="64">
        <v>0</v>
      </c>
      <c r="P42" s="64">
        <v>0.66</v>
      </c>
      <c r="Q42" s="64">
        <v>9.4700000000000006</v>
      </c>
      <c r="R42" s="198"/>
      <c r="S42" s="198"/>
      <c r="T42" s="198"/>
      <c r="U42" s="198"/>
    </row>
    <row r="43" spans="1:21" s="12" customFormat="1" x14ac:dyDescent="0.25">
      <c r="A43" s="247" t="s">
        <v>566</v>
      </c>
      <c r="B43" s="64">
        <v>24.98</v>
      </c>
      <c r="C43" s="64">
        <v>65.17</v>
      </c>
      <c r="D43" s="64">
        <v>52.7</v>
      </c>
      <c r="E43" s="64">
        <v>4.43</v>
      </c>
      <c r="F43" s="64">
        <v>9.5299999999999994</v>
      </c>
      <c r="G43" s="64">
        <v>87.5</v>
      </c>
      <c r="H43" s="64">
        <v>22.66</v>
      </c>
      <c r="I43" s="64">
        <v>4.07</v>
      </c>
      <c r="J43" s="64">
        <v>2.12</v>
      </c>
      <c r="K43" s="64">
        <v>97.88</v>
      </c>
      <c r="L43" s="64">
        <v>22.42</v>
      </c>
      <c r="M43" s="64">
        <v>36.49</v>
      </c>
      <c r="N43" s="64">
        <v>507.3</v>
      </c>
      <c r="O43" s="64">
        <v>0</v>
      </c>
      <c r="P43" s="64">
        <v>0.65</v>
      </c>
      <c r="Q43" s="64">
        <v>9.48</v>
      </c>
      <c r="R43" s="198"/>
      <c r="S43" s="198"/>
      <c r="T43" s="198"/>
      <c r="U43" s="198"/>
    </row>
    <row r="44" spans="1:21" s="12" customFormat="1" x14ac:dyDescent="0.25">
      <c r="A44" s="247" t="s">
        <v>567</v>
      </c>
      <c r="B44" s="64">
        <v>20.68</v>
      </c>
      <c r="C44" s="64">
        <v>65.45</v>
      </c>
      <c r="D44" s="64">
        <v>49.4</v>
      </c>
      <c r="E44" s="64">
        <v>5.79</v>
      </c>
      <c r="F44" s="64">
        <v>11.67</v>
      </c>
      <c r="G44" s="64">
        <v>87.5</v>
      </c>
      <c r="H44" s="64">
        <v>22.66</v>
      </c>
      <c r="I44" s="64">
        <v>4.0199999999999996</v>
      </c>
      <c r="J44" s="64">
        <v>1.45</v>
      </c>
      <c r="K44" s="64">
        <v>94.35</v>
      </c>
      <c r="L44" s="64">
        <v>23.69</v>
      </c>
      <c r="M44" s="64">
        <v>34.520000000000003</v>
      </c>
      <c r="N44" s="64">
        <v>550.70000000000005</v>
      </c>
      <c r="O44" s="64">
        <v>0</v>
      </c>
      <c r="P44" s="64">
        <v>0.61</v>
      </c>
      <c r="Q44" s="64">
        <v>9.4700000000000006</v>
      </c>
      <c r="R44" s="198"/>
      <c r="S44" s="198"/>
      <c r="T44" s="198"/>
      <c r="U44" s="198"/>
    </row>
    <row r="45" spans="1:21" s="12" customFormat="1" x14ac:dyDescent="0.25">
      <c r="A45" s="247" t="s">
        <v>568</v>
      </c>
      <c r="B45" s="64">
        <v>19.72</v>
      </c>
      <c r="C45" s="64">
        <v>67.7</v>
      </c>
      <c r="D45" s="64">
        <v>49.81</v>
      </c>
      <c r="E45" s="64">
        <v>6.32</v>
      </c>
      <c r="F45" s="64">
        <v>12.38</v>
      </c>
      <c r="G45" s="64">
        <v>84.09</v>
      </c>
      <c r="H45" s="64">
        <v>22.36</v>
      </c>
      <c r="I45" s="64">
        <v>3.91</v>
      </c>
      <c r="J45" s="64">
        <v>1.64</v>
      </c>
      <c r="K45" s="64">
        <v>99.39</v>
      </c>
      <c r="L45" s="64">
        <v>24.5</v>
      </c>
      <c r="M45" s="64">
        <v>32.79</v>
      </c>
      <c r="N45" s="64">
        <v>600.79999999999995</v>
      </c>
      <c r="O45" s="64">
        <v>0</v>
      </c>
      <c r="P45" s="64">
        <v>0.59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47" t="s">
        <v>569</v>
      </c>
      <c r="B46" s="64">
        <v>19.86</v>
      </c>
      <c r="C46" s="64">
        <v>67.900000000000006</v>
      </c>
      <c r="D46" s="64">
        <v>50.02</v>
      </c>
      <c r="E46" s="64">
        <v>5.74</v>
      </c>
      <c r="F46" s="64">
        <v>10.18</v>
      </c>
      <c r="G46" s="64">
        <v>78.180000000000007</v>
      </c>
      <c r="H46" s="64">
        <v>21.86</v>
      </c>
      <c r="I46" s="64">
        <v>4.16</v>
      </c>
      <c r="J46" s="64">
        <v>1.74</v>
      </c>
      <c r="K46" s="64">
        <v>89.95</v>
      </c>
      <c r="L46" s="64">
        <v>24.51</v>
      </c>
      <c r="M46" s="64">
        <v>32.18</v>
      </c>
      <c r="N46" s="64">
        <v>649</v>
      </c>
      <c r="O46" s="64">
        <v>0</v>
      </c>
      <c r="P46" s="64">
        <v>0.59</v>
      </c>
      <c r="Q46" s="64">
        <v>9.4499999999999993</v>
      </c>
      <c r="R46" s="198"/>
      <c r="S46" s="198"/>
      <c r="T46" s="198"/>
      <c r="U46" s="198"/>
    </row>
    <row r="47" spans="1:21" s="12" customFormat="1" x14ac:dyDescent="0.25">
      <c r="A47" s="247" t="s">
        <v>570</v>
      </c>
      <c r="B47" s="64">
        <v>18.96</v>
      </c>
      <c r="C47" s="64">
        <v>66.709999999999994</v>
      </c>
      <c r="D47" s="64">
        <v>48.69</v>
      </c>
      <c r="E47" s="64">
        <v>6.18</v>
      </c>
      <c r="F47" s="64">
        <v>11.71</v>
      </c>
      <c r="G47" s="64">
        <v>78.180000000000007</v>
      </c>
      <c r="H47" s="64">
        <v>21.86</v>
      </c>
      <c r="I47" s="64">
        <v>4.21</v>
      </c>
      <c r="J47" s="64">
        <v>1.02</v>
      </c>
      <c r="K47" s="64">
        <v>83.05</v>
      </c>
      <c r="L47" s="64">
        <v>26.14</v>
      </c>
      <c r="M47" s="64">
        <v>31.53</v>
      </c>
      <c r="N47" s="64">
        <v>686.6</v>
      </c>
      <c r="O47" s="64">
        <v>0</v>
      </c>
      <c r="P47" s="64">
        <v>0.55000000000000004</v>
      </c>
      <c r="Q47" s="64">
        <v>9.44</v>
      </c>
      <c r="R47" s="198"/>
      <c r="S47" s="198"/>
      <c r="T47" s="198"/>
      <c r="U47" s="198"/>
    </row>
    <row r="48" spans="1:21" s="12" customFormat="1" x14ac:dyDescent="0.25">
      <c r="A48" s="247" t="s">
        <v>571</v>
      </c>
      <c r="B48" s="64">
        <v>17.38</v>
      </c>
      <c r="C48" s="64">
        <v>66.92</v>
      </c>
      <c r="D48" s="64">
        <v>47.52</v>
      </c>
      <c r="E48" s="64">
        <v>5.16</v>
      </c>
      <c r="F48" s="64">
        <v>8.19</v>
      </c>
      <c r="G48" s="64">
        <v>78.180000000000007</v>
      </c>
      <c r="H48" s="64">
        <v>21.86</v>
      </c>
      <c r="I48" s="64">
        <v>3.99</v>
      </c>
      <c r="J48" s="64">
        <v>1.01</v>
      </c>
      <c r="K48" s="64">
        <v>88.32</v>
      </c>
      <c r="L48" s="64">
        <v>26.97</v>
      </c>
      <c r="M48" s="64">
        <v>29.03</v>
      </c>
      <c r="N48" s="64">
        <v>729.3</v>
      </c>
      <c r="O48" s="64">
        <v>0</v>
      </c>
      <c r="P48" s="64">
        <v>0.56999999999999995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47" t="s">
        <v>572</v>
      </c>
      <c r="B49" s="64">
        <v>14.97</v>
      </c>
      <c r="C49" s="64">
        <v>65.69</v>
      </c>
      <c r="D49" s="64">
        <v>44.95</v>
      </c>
      <c r="E49" s="64">
        <v>5.78</v>
      </c>
      <c r="F49" s="64">
        <v>14.06</v>
      </c>
      <c r="G49" s="64">
        <v>73.88</v>
      </c>
      <c r="H49" s="64">
        <v>22.97</v>
      </c>
      <c r="I49" s="64">
        <v>3.96</v>
      </c>
      <c r="J49" s="64">
        <v>1.08</v>
      </c>
      <c r="K49" s="64">
        <v>94.49</v>
      </c>
      <c r="L49" s="64">
        <v>27.51</v>
      </c>
      <c r="M49" s="64">
        <v>26.99</v>
      </c>
      <c r="N49" s="64">
        <v>770.5</v>
      </c>
      <c r="O49" s="64">
        <v>0</v>
      </c>
      <c r="P49" s="64">
        <v>0.52</v>
      </c>
      <c r="Q49" s="64">
        <v>9.41</v>
      </c>
      <c r="R49" s="198"/>
      <c r="S49" s="198"/>
      <c r="T49" s="198"/>
      <c r="U49" s="198"/>
    </row>
    <row r="50" spans="1:21" s="12" customFormat="1" x14ac:dyDescent="0.25">
      <c r="A50" s="247" t="s">
        <v>573</v>
      </c>
      <c r="B50" s="64">
        <v>11.89</v>
      </c>
      <c r="C50" s="64">
        <v>64.13</v>
      </c>
      <c r="D50" s="64">
        <v>41.66</v>
      </c>
      <c r="E50" s="64">
        <v>6.92</v>
      </c>
      <c r="F50" s="64">
        <v>19.13</v>
      </c>
      <c r="G50" s="64">
        <v>66.44</v>
      </c>
      <c r="H50" s="64">
        <v>24.89</v>
      </c>
      <c r="I50" s="64">
        <v>3.94</v>
      </c>
      <c r="J50" s="64">
        <v>1.06</v>
      </c>
      <c r="K50" s="64">
        <v>89.91</v>
      </c>
      <c r="L50" s="64">
        <v>27.84</v>
      </c>
      <c r="M50" s="64">
        <v>26.91</v>
      </c>
      <c r="N50" s="64">
        <v>805</v>
      </c>
      <c r="O50" s="64">
        <v>0</v>
      </c>
      <c r="P50" s="64">
        <v>0.47</v>
      </c>
      <c r="Q50" s="64">
        <v>9.39</v>
      </c>
      <c r="R50" s="198"/>
      <c r="S50" s="198"/>
      <c r="T50" s="198"/>
      <c r="U50" s="198"/>
    </row>
    <row r="51" spans="1:21" s="12" customFormat="1" x14ac:dyDescent="0.25">
      <c r="A51" s="247" t="s">
        <v>574</v>
      </c>
      <c r="B51" s="210" t="s">
        <v>40</v>
      </c>
      <c r="C51" s="210" t="s">
        <v>40</v>
      </c>
      <c r="D51" s="210" t="s">
        <v>40</v>
      </c>
      <c r="E51" s="64">
        <v>7.45</v>
      </c>
      <c r="F51" s="64">
        <v>20.93</v>
      </c>
      <c r="G51" s="64">
        <v>66.44</v>
      </c>
      <c r="H51" s="64">
        <v>24.89</v>
      </c>
      <c r="I51" s="64">
        <v>4.04</v>
      </c>
      <c r="J51" s="64">
        <v>1.06</v>
      </c>
      <c r="K51" s="64">
        <v>102.5</v>
      </c>
      <c r="L51" s="64">
        <v>28</v>
      </c>
      <c r="M51" s="64">
        <v>25.76</v>
      </c>
      <c r="N51" s="64">
        <v>833.4</v>
      </c>
      <c r="O51" s="64">
        <v>0</v>
      </c>
      <c r="P51" s="64">
        <v>0.4</v>
      </c>
      <c r="Q51" s="64">
        <v>9.24</v>
      </c>
      <c r="R51" s="198"/>
      <c r="S51" s="198"/>
      <c r="T51" s="198"/>
      <c r="U51" s="198"/>
    </row>
    <row r="52" spans="1:21" s="12" customFormat="1" x14ac:dyDescent="0.25">
      <c r="A52" s="247" t="s">
        <v>575</v>
      </c>
      <c r="B52" s="210" t="s">
        <v>40</v>
      </c>
      <c r="C52" s="210" t="s">
        <v>40</v>
      </c>
      <c r="D52" s="210" t="s">
        <v>40</v>
      </c>
      <c r="E52" s="64">
        <v>6.69</v>
      </c>
      <c r="F52" s="64">
        <v>20.079999999999998</v>
      </c>
      <c r="G52" s="64">
        <v>66.44</v>
      </c>
      <c r="H52" s="64">
        <v>24.89</v>
      </c>
      <c r="I52" s="64">
        <v>3.99</v>
      </c>
      <c r="J52" s="64">
        <v>0.68</v>
      </c>
      <c r="K52" s="64">
        <v>31.92</v>
      </c>
      <c r="L52" s="64">
        <v>30.18</v>
      </c>
      <c r="M52" s="64">
        <v>23.64</v>
      </c>
      <c r="N52" s="64">
        <v>844.3</v>
      </c>
      <c r="O52" s="64">
        <v>0</v>
      </c>
      <c r="P52" s="64">
        <v>0.4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47" t="s">
        <v>576</v>
      </c>
      <c r="B53" s="210" t="s">
        <v>40</v>
      </c>
      <c r="C53" s="210" t="s">
        <v>40</v>
      </c>
      <c r="D53" s="210" t="s">
        <v>40</v>
      </c>
      <c r="E53" s="64">
        <v>6.64</v>
      </c>
      <c r="F53" s="64">
        <v>23</v>
      </c>
      <c r="G53" s="64">
        <v>66.44</v>
      </c>
      <c r="H53" s="64">
        <v>24.89</v>
      </c>
      <c r="I53" s="64">
        <v>3.91</v>
      </c>
      <c r="J53" s="64">
        <v>1.0900000000000001</v>
      </c>
      <c r="K53" s="64">
        <v>94.01</v>
      </c>
      <c r="L53" s="64">
        <v>29.85</v>
      </c>
      <c r="M53" s="64">
        <v>23.64</v>
      </c>
      <c r="N53" s="64">
        <v>854.1</v>
      </c>
      <c r="O53" s="64">
        <v>0</v>
      </c>
      <c r="P53" s="64">
        <v>0.39</v>
      </c>
      <c r="Q53" s="64">
        <v>9.16</v>
      </c>
      <c r="R53" s="198"/>
      <c r="S53" s="198"/>
      <c r="T53" s="198"/>
      <c r="U53" s="198"/>
    </row>
    <row r="54" spans="1:21" s="12" customFormat="1" x14ac:dyDescent="0.25">
      <c r="A54" s="247" t="s">
        <v>577</v>
      </c>
      <c r="B54" s="210" t="s">
        <v>40</v>
      </c>
      <c r="C54" s="210" t="s">
        <v>40</v>
      </c>
      <c r="D54" s="210" t="s">
        <v>40</v>
      </c>
      <c r="E54" s="64">
        <v>7.45</v>
      </c>
      <c r="F54" s="64">
        <v>22.24</v>
      </c>
      <c r="G54" s="64">
        <v>66.44</v>
      </c>
      <c r="H54" s="64">
        <v>24.89</v>
      </c>
      <c r="I54" s="64">
        <v>3.91</v>
      </c>
      <c r="J54" s="64">
        <v>0.63</v>
      </c>
      <c r="K54" s="64">
        <v>62.47</v>
      </c>
      <c r="L54" s="64">
        <v>30.34</v>
      </c>
      <c r="M54" s="64">
        <v>22.56</v>
      </c>
      <c r="N54" s="64">
        <v>842.2</v>
      </c>
      <c r="O54" s="64">
        <v>0</v>
      </c>
      <c r="P54" s="64">
        <v>0.41</v>
      </c>
      <c r="Q54" s="64">
        <v>9.16</v>
      </c>
      <c r="R54" s="198"/>
      <c r="S54" s="198"/>
      <c r="T54" s="198"/>
      <c r="U54" s="198"/>
    </row>
    <row r="55" spans="1:21" s="12" customFormat="1" x14ac:dyDescent="0.25">
      <c r="A55" s="247" t="s">
        <v>578</v>
      </c>
      <c r="B55" s="64">
        <v>7.25</v>
      </c>
      <c r="C55" s="64">
        <v>67.709999999999994</v>
      </c>
      <c r="D55" s="64">
        <v>72.86</v>
      </c>
      <c r="E55" s="64">
        <v>6.56</v>
      </c>
      <c r="F55" s="64">
        <v>23</v>
      </c>
      <c r="G55" s="64">
        <v>66.44</v>
      </c>
      <c r="H55" s="64">
        <v>24.89</v>
      </c>
      <c r="I55" s="64">
        <v>3.97</v>
      </c>
      <c r="J55" s="64">
        <v>1.03</v>
      </c>
      <c r="K55" s="64">
        <v>351.86</v>
      </c>
      <c r="L55" s="64">
        <v>31.67</v>
      </c>
      <c r="M55" s="64">
        <v>20.399999999999999</v>
      </c>
      <c r="N55" s="64">
        <v>829.6</v>
      </c>
      <c r="O55" s="64">
        <v>0</v>
      </c>
      <c r="P55" s="64">
        <v>0.41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47" t="s">
        <v>579</v>
      </c>
      <c r="B56" s="64">
        <v>5.89</v>
      </c>
      <c r="C56" s="64">
        <v>67.400000000000006</v>
      </c>
      <c r="D56" s="64">
        <v>71.19</v>
      </c>
      <c r="E56" s="64">
        <v>2.95</v>
      </c>
      <c r="F56" s="64">
        <v>25.61</v>
      </c>
      <c r="G56" s="64">
        <v>66.44</v>
      </c>
      <c r="H56" s="64">
        <v>24.89</v>
      </c>
      <c r="I56" s="64">
        <v>4.13</v>
      </c>
      <c r="J56" s="64">
        <v>1.19</v>
      </c>
      <c r="K56" s="64">
        <v>340.88</v>
      </c>
      <c r="L56" s="64">
        <v>34.630000000000003</v>
      </c>
      <c r="M56" s="64">
        <v>16.079999999999998</v>
      </c>
      <c r="N56" s="64">
        <v>815.1</v>
      </c>
      <c r="O56" s="64">
        <v>0</v>
      </c>
      <c r="P56" s="64">
        <v>0.42</v>
      </c>
      <c r="Q56" s="64">
        <v>9.19</v>
      </c>
      <c r="R56" s="198"/>
      <c r="S56" s="198"/>
      <c r="T56" s="198"/>
      <c r="U56" s="198"/>
    </row>
    <row r="57" spans="1:21" s="12" customFormat="1" x14ac:dyDescent="0.25">
      <c r="A57" s="247" t="s">
        <v>580</v>
      </c>
      <c r="B57" s="64">
        <v>4.88</v>
      </c>
      <c r="C57" s="64">
        <v>70.75</v>
      </c>
      <c r="D57" s="64">
        <v>73.53</v>
      </c>
      <c r="E57" s="64">
        <v>91.33</v>
      </c>
      <c r="F57" s="64">
        <v>32.159999999999997</v>
      </c>
      <c r="G57" s="210" t="s">
        <v>40</v>
      </c>
      <c r="H57" s="210" t="s">
        <v>40</v>
      </c>
      <c r="I57" s="64">
        <v>4.1100000000000003</v>
      </c>
      <c r="J57" s="64">
        <v>0.92</v>
      </c>
      <c r="K57" s="64">
        <v>342.6</v>
      </c>
      <c r="L57" s="64">
        <v>34.69</v>
      </c>
      <c r="M57" s="64">
        <v>16.22</v>
      </c>
      <c r="N57" s="64">
        <v>797</v>
      </c>
      <c r="O57" s="64">
        <v>0</v>
      </c>
      <c r="P57" s="64">
        <v>0.44</v>
      </c>
      <c r="Q57" s="64">
        <v>9.1999999999999993</v>
      </c>
      <c r="R57" s="198"/>
      <c r="S57" s="198"/>
      <c r="T57" s="198"/>
      <c r="U57" s="198"/>
    </row>
    <row r="58" spans="1:21" s="12" customFormat="1" x14ac:dyDescent="0.25">
      <c r="A58" s="247" t="s">
        <v>581</v>
      </c>
      <c r="B58" s="64">
        <v>5.17</v>
      </c>
      <c r="C58" s="64">
        <v>64.67</v>
      </c>
      <c r="D58" s="64">
        <v>40.04</v>
      </c>
      <c r="E58" s="210" t="s">
        <v>40</v>
      </c>
      <c r="F58" s="64">
        <v>48.91</v>
      </c>
      <c r="G58" s="210" t="s">
        <v>40</v>
      </c>
      <c r="H58" s="210" t="s">
        <v>40</v>
      </c>
      <c r="I58" s="64">
        <v>4.16</v>
      </c>
      <c r="J58" s="64">
        <v>1.0900000000000001</v>
      </c>
      <c r="K58" s="64">
        <v>4.1399999999999997</v>
      </c>
      <c r="L58" s="64">
        <v>34.49</v>
      </c>
      <c r="M58" s="64">
        <v>16.27</v>
      </c>
      <c r="N58" s="64">
        <v>784.8</v>
      </c>
      <c r="O58" s="64">
        <v>0</v>
      </c>
      <c r="P58" s="64">
        <v>0.45</v>
      </c>
      <c r="Q58" s="64">
        <v>9.18</v>
      </c>
      <c r="R58" s="198"/>
      <c r="S58" s="198"/>
      <c r="T58" s="198"/>
      <c r="U58" s="198"/>
    </row>
    <row r="59" spans="1:21" s="12" customFormat="1" x14ac:dyDescent="0.25">
      <c r="A59" s="247" t="s">
        <v>582</v>
      </c>
      <c r="B59" s="64">
        <v>3.26</v>
      </c>
      <c r="C59" s="64">
        <v>52.3</v>
      </c>
      <c r="D59" s="64">
        <v>29.94</v>
      </c>
      <c r="E59" s="210" t="s">
        <v>40</v>
      </c>
      <c r="F59" s="64">
        <v>44.66</v>
      </c>
      <c r="G59" s="210" t="s">
        <v>40</v>
      </c>
      <c r="H59" s="210" t="s">
        <v>40</v>
      </c>
      <c r="I59" s="64">
        <v>3.97</v>
      </c>
      <c r="J59" s="64">
        <v>1.51</v>
      </c>
      <c r="K59" s="64">
        <v>109.11</v>
      </c>
      <c r="L59" s="64">
        <v>30.87</v>
      </c>
      <c r="M59" s="64">
        <v>19.87</v>
      </c>
      <c r="N59" s="64">
        <v>772.3</v>
      </c>
      <c r="O59" s="64">
        <v>0</v>
      </c>
      <c r="P59" s="64">
        <v>0.38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47" t="s">
        <v>583</v>
      </c>
      <c r="B60" s="64">
        <v>2.8</v>
      </c>
      <c r="C60" s="64">
        <v>53.72</v>
      </c>
      <c r="D60" s="64">
        <v>30.32</v>
      </c>
      <c r="E60" s="210" t="s">
        <v>40</v>
      </c>
      <c r="F60" s="64">
        <v>29.65</v>
      </c>
      <c r="G60" s="210" t="s">
        <v>40</v>
      </c>
      <c r="H60" s="210" t="s">
        <v>40</v>
      </c>
      <c r="I60" s="64">
        <v>4.13</v>
      </c>
      <c r="J60" s="64">
        <v>0.79</v>
      </c>
      <c r="K60" s="64">
        <v>192.12</v>
      </c>
      <c r="L60" s="64">
        <v>30.74</v>
      </c>
      <c r="M60" s="64">
        <v>19.84</v>
      </c>
      <c r="N60" s="64">
        <v>762</v>
      </c>
      <c r="O60" s="64">
        <v>0</v>
      </c>
      <c r="P60" s="64">
        <v>0.37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47" t="s">
        <v>584</v>
      </c>
      <c r="B61" s="64">
        <v>2.4900000000000002</v>
      </c>
      <c r="C61" s="64">
        <v>53.9</v>
      </c>
      <c r="D61" s="64">
        <v>30.16</v>
      </c>
      <c r="E61" s="210" t="s">
        <v>40</v>
      </c>
      <c r="F61" s="64">
        <v>35.89</v>
      </c>
      <c r="G61" s="64">
        <v>30.42</v>
      </c>
      <c r="H61" s="64">
        <v>10.59</v>
      </c>
      <c r="I61" s="64">
        <v>4</v>
      </c>
      <c r="J61" s="64">
        <v>0.28999999999999998</v>
      </c>
      <c r="K61" s="64">
        <v>225.39</v>
      </c>
      <c r="L61" s="64">
        <v>31.68</v>
      </c>
      <c r="M61" s="64">
        <v>18.89</v>
      </c>
      <c r="N61" s="64">
        <v>742.7</v>
      </c>
      <c r="O61" s="64">
        <v>0</v>
      </c>
      <c r="P61" s="64">
        <v>0.1</v>
      </c>
      <c r="Q61" s="64">
        <v>9.1300000000000008</v>
      </c>
      <c r="R61" s="198"/>
      <c r="S61" s="198"/>
      <c r="T61" s="198"/>
      <c r="U61" s="198"/>
    </row>
    <row r="62" spans="1:21" s="12" customFormat="1" x14ac:dyDescent="0.25">
      <c r="A62" s="247" t="s">
        <v>585</v>
      </c>
      <c r="B62" s="64">
        <v>5.27</v>
      </c>
      <c r="C62" s="64">
        <v>52.56</v>
      </c>
      <c r="D62" s="64">
        <v>31.69</v>
      </c>
      <c r="E62" s="210" t="s">
        <v>40</v>
      </c>
      <c r="F62" s="64">
        <v>23.87</v>
      </c>
      <c r="G62" s="64">
        <v>30.42</v>
      </c>
      <c r="H62" s="64">
        <v>10.59</v>
      </c>
      <c r="I62" s="64">
        <v>3.91</v>
      </c>
      <c r="J62" s="64">
        <v>1.63</v>
      </c>
      <c r="K62" s="64">
        <v>334.98</v>
      </c>
      <c r="L62" s="64">
        <v>33.93</v>
      </c>
      <c r="M62" s="64">
        <v>16.100000000000001</v>
      </c>
      <c r="N62" s="64">
        <v>750.5</v>
      </c>
      <c r="O62" s="64">
        <v>0</v>
      </c>
      <c r="P62" s="64">
        <v>0.1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47" t="s">
        <v>586</v>
      </c>
      <c r="B63" s="64">
        <v>5.73</v>
      </c>
      <c r="C63" s="64">
        <v>52.37</v>
      </c>
      <c r="D63" s="64">
        <v>31.95</v>
      </c>
      <c r="E63" s="64">
        <v>6.42</v>
      </c>
      <c r="F63" s="64">
        <v>40.619999999999997</v>
      </c>
      <c r="G63" s="64">
        <v>30.42</v>
      </c>
      <c r="H63" s="64">
        <v>10.59</v>
      </c>
      <c r="I63" s="64">
        <v>4.03</v>
      </c>
      <c r="J63" s="64">
        <v>0.6</v>
      </c>
      <c r="K63" s="64">
        <v>36.57</v>
      </c>
      <c r="L63" s="64">
        <v>33.049999999999997</v>
      </c>
      <c r="M63" s="64">
        <v>16.96</v>
      </c>
      <c r="N63" s="64">
        <v>692.7</v>
      </c>
      <c r="O63" s="64">
        <v>0</v>
      </c>
      <c r="P63" s="64">
        <v>0.1</v>
      </c>
      <c r="Q63" s="64">
        <v>9.08</v>
      </c>
      <c r="R63" s="198"/>
      <c r="S63" s="198"/>
      <c r="T63" s="198"/>
      <c r="U63" s="198"/>
    </row>
    <row r="64" spans="1:21" s="12" customFormat="1" x14ac:dyDescent="0.25">
      <c r="A64" s="247" t="s">
        <v>587</v>
      </c>
      <c r="B64" s="64">
        <v>5.44</v>
      </c>
      <c r="C64" s="64">
        <v>60.64</v>
      </c>
      <c r="D64" s="64">
        <v>36.049999999999997</v>
      </c>
      <c r="E64" s="64">
        <v>4.6399999999999997</v>
      </c>
      <c r="F64" s="64">
        <v>18.09</v>
      </c>
      <c r="G64" s="64">
        <v>30.42</v>
      </c>
      <c r="H64" s="64">
        <v>10.59</v>
      </c>
      <c r="I64" s="64">
        <v>3.89</v>
      </c>
      <c r="J64" s="64">
        <v>1.5</v>
      </c>
      <c r="K64" s="64">
        <v>334.72</v>
      </c>
      <c r="L64" s="64">
        <v>33.82</v>
      </c>
      <c r="M64" s="64">
        <v>17.14</v>
      </c>
      <c r="N64" s="64">
        <v>669.5</v>
      </c>
      <c r="O64" s="64">
        <v>0</v>
      </c>
      <c r="P64" s="210" t="s">
        <v>40</v>
      </c>
      <c r="Q64" s="64">
        <v>9.11</v>
      </c>
      <c r="R64" s="198"/>
      <c r="S64" s="198"/>
      <c r="T64" s="198"/>
      <c r="U64" s="198"/>
    </row>
    <row r="65" spans="1:21" s="12" customFormat="1" x14ac:dyDescent="0.25">
      <c r="A65" s="247" t="s">
        <v>588</v>
      </c>
      <c r="B65" s="64">
        <v>8.25</v>
      </c>
      <c r="C65" s="64">
        <v>59.57</v>
      </c>
      <c r="D65" s="64">
        <v>37.74</v>
      </c>
      <c r="E65" s="64">
        <v>3.31</v>
      </c>
      <c r="F65" s="64">
        <v>20.71</v>
      </c>
      <c r="G65" s="64">
        <v>39.369999999999997</v>
      </c>
      <c r="H65" s="64">
        <v>16.55</v>
      </c>
      <c r="I65" s="64">
        <v>4.16</v>
      </c>
      <c r="J65" s="64">
        <v>2.0699999999999998</v>
      </c>
      <c r="K65" s="64">
        <v>335.62</v>
      </c>
      <c r="L65" s="64">
        <v>34.909999999999997</v>
      </c>
      <c r="M65" s="64">
        <v>16.29</v>
      </c>
      <c r="N65" s="64">
        <v>685.9</v>
      </c>
      <c r="O65" s="64">
        <v>0</v>
      </c>
      <c r="P65" s="210" t="s">
        <v>40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47" t="s">
        <v>589</v>
      </c>
      <c r="B66" s="64">
        <v>5.49</v>
      </c>
      <c r="C66" s="64">
        <v>58.18</v>
      </c>
      <c r="D66" s="64">
        <v>34.799999999999997</v>
      </c>
      <c r="E66" s="64">
        <v>6.08</v>
      </c>
      <c r="F66" s="64">
        <v>34.5</v>
      </c>
      <c r="G66" s="64">
        <v>39.369999999999997</v>
      </c>
      <c r="H66" s="64">
        <v>16.55</v>
      </c>
      <c r="I66" s="64">
        <v>3.89</v>
      </c>
      <c r="J66" s="64">
        <v>1.87</v>
      </c>
      <c r="K66" s="64">
        <v>336.54</v>
      </c>
      <c r="L66" s="64">
        <v>34.86</v>
      </c>
      <c r="M66" s="64">
        <v>16.45</v>
      </c>
      <c r="N66" s="64">
        <v>530.29999999999995</v>
      </c>
      <c r="O66" s="64">
        <v>0</v>
      </c>
      <c r="P66" s="64">
        <v>0.66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47" t="s">
        <v>590</v>
      </c>
      <c r="B67" s="64">
        <v>5.51</v>
      </c>
      <c r="C67" s="64">
        <v>61.96</v>
      </c>
      <c r="D67" s="64">
        <v>36.79</v>
      </c>
      <c r="E67" s="64">
        <v>5.16</v>
      </c>
      <c r="F67" s="64">
        <v>30.4</v>
      </c>
      <c r="G67" s="64">
        <v>39.369999999999997</v>
      </c>
      <c r="H67" s="64">
        <v>16.55</v>
      </c>
      <c r="I67" s="64">
        <v>3.93</v>
      </c>
      <c r="J67" s="64">
        <v>0.85</v>
      </c>
      <c r="K67" s="64">
        <v>336.65</v>
      </c>
      <c r="L67" s="64">
        <v>33.46</v>
      </c>
      <c r="M67" s="64">
        <v>17.16</v>
      </c>
      <c r="N67" s="64">
        <v>408.3</v>
      </c>
      <c r="O67" s="64">
        <v>0</v>
      </c>
      <c r="P67" s="64">
        <v>0.65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47" t="s">
        <v>591</v>
      </c>
      <c r="B68" s="64">
        <v>4.21</v>
      </c>
      <c r="C68" s="64">
        <v>63.93</v>
      </c>
      <c r="D68" s="64">
        <v>36.78</v>
      </c>
      <c r="E68" s="64">
        <v>3.51</v>
      </c>
      <c r="F68" s="64">
        <v>22.9</v>
      </c>
      <c r="G68" s="64">
        <v>39.369999999999997</v>
      </c>
      <c r="H68" s="64">
        <v>16.55</v>
      </c>
      <c r="I68" s="64">
        <v>4.0999999999999996</v>
      </c>
      <c r="J68" s="64">
        <v>1.1599999999999999</v>
      </c>
      <c r="K68" s="64">
        <v>309.22000000000003</v>
      </c>
      <c r="L68" s="64">
        <v>33.53</v>
      </c>
      <c r="M68" s="64">
        <v>17.010000000000002</v>
      </c>
      <c r="N68" s="64">
        <v>276.60000000000002</v>
      </c>
      <c r="O68" s="64">
        <v>0</v>
      </c>
      <c r="P68" s="64">
        <v>0.64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47" t="s">
        <v>592</v>
      </c>
      <c r="B69" s="64">
        <v>8.51</v>
      </c>
      <c r="C69" s="64">
        <v>54.48</v>
      </c>
      <c r="D69" s="64">
        <v>35.29</v>
      </c>
      <c r="E69" s="64">
        <v>4.78</v>
      </c>
      <c r="F69" s="64">
        <v>29.36</v>
      </c>
      <c r="G69" s="64">
        <v>54.99</v>
      </c>
      <c r="H69" s="64">
        <v>19.68</v>
      </c>
      <c r="I69" s="64">
        <v>3.92</v>
      </c>
      <c r="J69" s="64">
        <v>1.55</v>
      </c>
      <c r="K69" s="64">
        <v>328.72</v>
      </c>
      <c r="L69" s="64">
        <v>33.799999999999997</v>
      </c>
      <c r="M69" s="64">
        <v>16.28</v>
      </c>
      <c r="N69" s="64">
        <v>372.7</v>
      </c>
      <c r="O69" s="64">
        <v>0</v>
      </c>
      <c r="P69" s="64">
        <v>0.6</v>
      </c>
      <c r="Q69" s="64">
        <v>9.2799999999999994</v>
      </c>
      <c r="R69" s="198"/>
      <c r="S69" s="198"/>
      <c r="T69" s="198"/>
      <c r="U69" s="198"/>
    </row>
    <row r="70" spans="1:21" s="12" customFormat="1" x14ac:dyDescent="0.25">
      <c r="A70" s="247" t="s">
        <v>593</v>
      </c>
      <c r="B70" s="64">
        <v>4.04</v>
      </c>
      <c r="C70" s="64">
        <v>61.52</v>
      </c>
      <c r="D70" s="64">
        <v>35.380000000000003</v>
      </c>
      <c r="E70" s="64">
        <v>3.13</v>
      </c>
      <c r="F70" s="64">
        <v>13.41</v>
      </c>
      <c r="G70" s="64">
        <v>54.99</v>
      </c>
      <c r="H70" s="64">
        <v>19.68</v>
      </c>
      <c r="I70" s="64">
        <v>3.93</v>
      </c>
      <c r="J70" s="64">
        <v>1.76</v>
      </c>
      <c r="K70" s="64">
        <v>316.51</v>
      </c>
      <c r="L70" s="64">
        <v>32.590000000000003</v>
      </c>
      <c r="M70" s="64">
        <v>18.170000000000002</v>
      </c>
      <c r="N70" s="64">
        <v>302.2</v>
      </c>
      <c r="O70" s="64">
        <v>0</v>
      </c>
      <c r="P70" s="64">
        <v>0.6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47" t="s">
        <v>594</v>
      </c>
      <c r="B71" s="64">
        <v>5.91</v>
      </c>
      <c r="C71" s="64">
        <v>60.85</v>
      </c>
      <c r="D71" s="64">
        <v>36.53</v>
      </c>
      <c r="E71" s="64">
        <v>3.39</v>
      </c>
      <c r="F71" s="64">
        <v>18.809999999999999</v>
      </c>
      <c r="G71" s="64">
        <v>54.99</v>
      </c>
      <c r="H71" s="64">
        <v>19.68</v>
      </c>
      <c r="I71" s="64">
        <v>4.1500000000000004</v>
      </c>
      <c r="J71" s="64">
        <v>1.57</v>
      </c>
      <c r="K71" s="64">
        <v>311.39</v>
      </c>
      <c r="L71" s="64">
        <v>31.96</v>
      </c>
      <c r="M71" s="64">
        <v>19.03</v>
      </c>
      <c r="N71" s="64">
        <v>275.39999999999998</v>
      </c>
      <c r="O71" s="64">
        <v>0</v>
      </c>
      <c r="P71" s="64">
        <v>0.57999999999999996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47" t="s">
        <v>595</v>
      </c>
      <c r="B72" s="64">
        <v>5</v>
      </c>
      <c r="C72" s="64">
        <v>61.08</v>
      </c>
      <c r="D72" s="64">
        <v>35.92</v>
      </c>
      <c r="E72" s="64">
        <v>3.3</v>
      </c>
      <c r="F72" s="64">
        <v>16.71</v>
      </c>
      <c r="G72" s="64">
        <v>54.99</v>
      </c>
      <c r="H72" s="64">
        <v>19.68</v>
      </c>
      <c r="I72" s="64">
        <v>4.07</v>
      </c>
      <c r="J72" s="64">
        <v>0.72</v>
      </c>
      <c r="K72" s="64">
        <v>226.97</v>
      </c>
      <c r="L72" s="64">
        <v>30.72</v>
      </c>
      <c r="M72" s="64">
        <v>18.95</v>
      </c>
      <c r="N72" s="64">
        <v>192.9</v>
      </c>
      <c r="O72" s="64">
        <v>0</v>
      </c>
      <c r="P72" s="64">
        <v>0.56000000000000005</v>
      </c>
      <c r="Q72" s="64">
        <v>9.43</v>
      </c>
      <c r="R72" s="198"/>
      <c r="S72" s="198"/>
      <c r="T72" s="198"/>
      <c r="U72" s="198"/>
    </row>
    <row r="73" spans="1:21" s="12" customFormat="1" x14ac:dyDescent="0.25">
      <c r="A73" s="247" t="s">
        <v>596</v>
      </c>
      <c r="B73" s="64">
        <v>4.53</v>
      </c>
      <c r="C73" s="64">
        <v>62.07</v>
      </c>
      <c r="D73" s="64">
        <v>36.06</v>
      </c>
      <c r="E73" s="64">
        <v>4.17</v>
      </c>
      <c r="F73" s="64">
        <v>15.83</v>
      </c>
      <c r="G73" s="64">
        <v>40.53</v>
      </c>
      <c r="H73" s="64">
        <v>15.93</v>
      </c>
      <c r="I73" s="64">
        <v>4.01</v>
      </c>
      <c r="J73" s="64">
        <v>1.27</v>
      </c>
      <c r="K73" s="64">
        <v>302.07</v>
      </c>
      <c r="L73" s="64">
        <v>30.48</v>
      </c>
      <c r="M73" s="64">
        <v>20.28</v>
      </c>
      <c r="N73" s="64">
        <v>169.8</v>
      </c>
      <c r="O73" s="64">
        <v>0</v>
      </c>
      <c r="P73" s="64">
        <v>0.56000000000000005</v>
      </c>
      <c r="Q73" s="64">
        <v>9.51</v>
      </c>
      <c r="R73" s="198"/>
      <c r="S73" s="198"/>
      <c r="T73" s="198"/>
      <c r="U73" s="198"/>
    </row>
    <row r="74" spans="1:21" s="12" customFormat="1" x14ac:dyDescent="0.25">
      <c r="A74" s="247" t="s">
        <v>597</v>
      </c>
      <c r="B74" s="64">
        <v>5.2</v>
      </c>
      <c r="C74" s="64">
        <v>64.290000000000006</v>
      </c>
      <c r="D74" s="64">
        <v>37.76</v>
      </c>
      <c r="E74" s="64">
        <v>4.47</v>
      </c>
      <c r="F74" s="64">
        <v>19.79</v>
      </c>
      <c r="G74" s="64">
        <v>40.53</v>
      </c>
      <c r="H74" s="64">
        <v>15.93</v>
      </c>
      <c r="I74" s="64">
        <v>4.0199999999999996</v>
      </c>
      <c r="J74" s="64">
        <v>0.88</v>
      </c>
      <c r="K74" s="64">
        <v>295.37</v>
      </c>
      <c r="L74" s="64">
        <v>30.25</v>
      </c>
      <c r="M74" s="64">
        <v>20.18</v>
      </c>
      <c r="N74" s="64">
        <v>141.80000000000001</v>
      </c>
      <c r="O74" s="64">
        <v>0</v>
      </c>
      <c r="P74" s="64">
        <v>0.57999999999999996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47" t="s">
        <v>598</v>
      </c>
      <c r="B75" s="64">
        <v>6.59</v>
      </c>
      <c r="C75" s="64">
        <v>65.069999999999993</v>
      </c>
      <c r="D75" s="64">
        <v>39.28</v>
      </c>
      <c r="E75" s="64">
        <v>5.36</v>
      </c>
      <c r="F75" s="64">
        <v>24.18</v>
      </c>
      <c r="G75" s="64">
        <v>40.53</v>
      </c>
      <c r="H75" s="64">
        <v>15.93</v>
      </c>
      <c r="I75" s="64">
        <v>4.08</v>
      </c>
      <c r="J75" s="64">
        <v>0.64</v>
      </c>
      <c r="K75" s="64">
        <v>287.61</v>
      </c>
      <c r="L75" s="64">
        <v>30</v>
      </c>
      <c r="M75" s="64">
        <v>20.5</v>
      </c>
      <c r="N75" s="64">
        <v>125.7</v>
      </c>
      <c r="O75" s="64">
        <v>0</v>
      </c>
      <c r="P75" s="64">
        <v>0.6</v>
      </c>
      <c r="Q75" s="64">
        <v>9.6999999999999993</v>
      </c>
      <c r="R75" s="198"/>
      <c r="S75" s="198"/>
      <c r="T75" s="198"/>
      <c r="U75" s="198"/>
    </row>
    <row r="76" spans="1:21" s="12" customFormat="1" x14ac:dyDescent="0.25">
      <c r="A76" s="247" t="s">
        <v>599</v>
      </c>
      <c r="B76" s="64">
        <v>7.47</v>
      </c>
      <c r="C76" s="64">
        <v>57.65</v>
      </c>
      <c r="D76" s="64">
        <v>36.11</v>
      </c>
      <c r="E76" s="64">
        <v>5.72</v>
      </c>
      <c r="F76" s="64">
        <v>24.91</v>
      </c>
      <c r="G76" s="64">
        <v>40.53</v>
      </c>
      <c r="H76" s="64">
        <v>15.93</v>
      </c>
      <c r="I76" s="64">
        <v>4.05</v>
      </c>
      <c r="J76" s="64">
        <v>1.35</v>
      </c>
      <c r="K76" s="64">
        <v>319.60000000000002</v>
      </c>
      <c r="L76" s="64">
        <v>29.7</v>
      </c>
      <c r="M76" s="64">
        <v>22</v>
      </c>
      <c r="N76" s="64">
        <v>116.4</v>
      </c>
      <c r="O76" s="64">
        <v>0</v>
      </c>
      <c r="P76" s="64">
        <v>0.6</v>
      </c>
      <c r="Q76" s="64">
        <v>9.81</v>
      </c>
      <c r="R76" s="198"/>
      <c r="S76" s="198"/>
      <c r="T76" s="198"/>
      <c r="U76" s="198"/>
    </row>
    <row r="77" spans="1:21" s="12" customFormat="1" x14ac:dyDescent="0.25">
      <c r="A77" s="247" t="s">
        <v>600</v>
      </c>
      <c r="B77" s="64">
        <v>7.58</v>
      </c>
      <c r="C77" s="64">
        <v>63.68</v>
      </c>
      <c r="D77" s="64">
        <v>39.35</v>
      </c>
      <c r="E77" s="64">
        <v>8.43</v>
      </c>
      <c r="F77" s="64">
        <v>39.65</v>
      </c>
      <c r="G77" s="64">
        <v>43.4</v>
      </c>
      <c r="H77" s="64">
        <v>16.63</v>
      </c>
      <c r="I77" s="64">
        <v>4.2300000000000004</v>
      </c>
      <c r="J77" s="64">
        <v>0.49</v>
      </c>
      <c r="K77" s="64">
        <v>259.63</v>
      </c>
      <c r="L77" s="64">
        <v>29.35</v>
      </c>
      <c r="M77" s="64">
        <v>21.1</v>
      </c>
      <c r="N77" s="64">
        <v>105.5</v>
      </c>
      <c r="O77" s="64">
        <v>0</v>
      </c>
      <c r="P77" s="64">
        <v>0.6</v>
      </c>
      <c r="Q77" s="64">
        <v>9.89</v>
      </c>
      <c r="R77" s="198"/>
      <c r="S77" s="198"/>
      <c r="T77" s="198"/>
      <c r="U77" s="198"/>
    </row>
    <row r="78" spans="1:21" s="12" customFormat="1" x14ac:dyDescent="0.25">
      <c r="A78" s="247" t="s">
        <v>601</v>
      </c>
      <c r="B78" s="64">
        <v>8.1300000000000008</v>
      </c>
      <c r="C78" s="64">
        <v>77.69</v>
      </c>
      <c r="D78" s="64">
        <v>47.11</v>
      </c>
      <c r="E78" s="64">
        <v>8.1</v>
      </c>
      <c r="F78" s="64">
        <v>32.619999999999997</v>
      </c>
      <c r="G78" s="64">
        <v>43.4</v>
      </c>
      <c r="H78" s="64">
        <v>16.63</v>
      </c>
      <c r="I78" s="64">
        <v>4.17</v>
      </c>
      <c r="J78" s="64">
        <v>0.39</v>
      </c>
      <c r="K78" s="64">
        <v>250.61</v>
      </c>
      <c r="L78" s="64">
        <v>29.15</v>
      </c>
      <c r="M78" s="64">
        <v>21.24</v>
      </c>
      <c r="N78" s="64">
        <v>92.5</v>
      </c>
      <c r="O78" s="64">
        <v>0</v>
      </c>
      <c r="P78" s="64">
        <v>0.73</v>
      </c>
      <c r="Q78" s="64">
        <v>9.9600000000000009</v>
      </c>
      <c r="R78" s="198"/>
      <c r="S78" s="198"/>
      <c r="T78" s="198"/>
      <c r="U78" s="198"/>
    </row>
    <row r="79" spans="1:21" s="12" customFormat="1" x14ac:dyDescent="0.25">
      <c r="A79" s="247" t="s">
        <v>602</v>
      </c>
      <c r="B79" s="64">
        <v>3.76</v>
      </c>
      <c r="C79" s="64">
        <v>57.14</v>
      </c>
      <c r="D79" s="64">
        <v>32.869999999999997</v>
      </c>
      <c r="E79" s="64">
        <v>11.02</v>
      </c>
      <c r="F79" s="64">
        <v>48.8</v>
      </c>
      <c r="G79" s="64">
        <v>43.4</v>
      </c>
      <c r="H79" s="64">
        <v>16.63</v>
      </c>
      <c r="I79" s="64">
        <v>3.79</v>
      </c>
      <c r="J79" s="64">
        <v>0.9</v>
      </c>
      <c r="K79" s="64">
        <v>224.71</v>
      </c>
      <c r="L79" s="64">
        <v>28.66</v>
      </c>
      <c r="M79" s="64">
        <v>22.48</v>
      </c>
      <c r="N79" s="64">
        <v>81.5</v>
      </c>
      <c r="O79" s="64">
        <v>0</v>
      </c>
      <c r="P79" s="64">
        <v>0.68</v>
      </c>
      <c r="Q79" s="64">
        <v>9.9700000000000006</v>
      </c>
      <c r="R79" s="198"/>
      <c r="S79" s="198"/>
      <c r="T79" s="198"/>
      <c r="U79" s="198"/>
    </row>
    <row r="80" spans="1:21" s="12" customFormat="1" x14ac:dyDescent="0.25">
      <c r="A80" s="247" t="s">
        <v>603</v>
      </c>
      <c r="B80" s="64">
        <v>4.4000000000000004</v>
      </c>
      <c r="C80" s="64">
        <v>84.17</v>
      </c>
      <c r="D80" s="64">
        <v>47.51</v>
      </c>
      <c r="E80" s="64">
        <v>11.64</v>
      </c>
      <c r="F80" s="64">
        <v>33.33</v>
      </c>
      <c r="G80" s="64">
        <v>43.4</v>
      </c>
      <c r="H80" s="64">
        <v>16.63</v>
      </c>
      <c r="I80" s="64">
        <v>4.0199999999999996</v>
      </c>
      <c r="J80" s="64">
        <v>0.51</v>
      </c>
      <c r="K80" s="64">
        <v>225.38</v>
      </c>
      <c r="L80" s="64">
        <v>28.04</v>
      </c>
      <c r="M80" s="64">
        <v>24.47</v>
      </c>
      <c r="N80" s="64">
        <v>70.8</v>
      </c>
      <c r="O80" s="64">
        <v>0</v>
      </c>
      <c r="P80" s="64">
        <v>0.83</v>
      </c>
      <c r="Q80" s="64">
        <v>9.99</v>
      </c>
      <c r="R80" s="198"/>
      <c r="S80" s="198"/>
      <c r="T80" s="198"/>
      <c r="U80" s="198"/>
    </row>
    <row r="81" spans="1:26" s="12" customFormat="1" x14ac:dyDescent="0.25">
      <c r="A81" s="247" t="s">
        <v>604</v>
      </c>
      <c r="B81" s="64">
        <v>5.99</v>
      </c>
      <c r="C81" s="64">
        <v>87.2</v>
      </c>
      <c r="D81" s="64">
        <v>50.36</v>
      </c>
      <c r="E81" s="64">
        <v>11.56</v>
      </c>
      <c r="F81" s="64">
        <v>32.78</v>
      </c>
      <c r="G81" s="64">
        <v>62.89</v>
      </c>
      <c r="H81" s="64">
        <v>16.37</v>
      </c>
      <c r="I81" s="64">
        <v>4.1500000000000004</v>
      </c>
      <c r="J81" s="64">
        <v>0.77</v>
      </c>
      <c r="K81" s="64">
        <v>233.02</v>
      </c>
      <c r="L81" s="64">
        <v>27.14</v>
      </c>
      <c r="M81" s="64">
        <v>26.51</v>
      </c>
      <c r="N81" s="64">
        <v>63.6</v>
      </c>
      <c r="O81" s="64">
        <v>0</v>
      </c>
      <c r="P81" s="64">
        <v>1.07</v>
      </c>
      <c r="Q81" s="64">
        <v>10.02</v>
      </c>
      <c r="R81" s="198"/>
      <c r="S81" s="198"/>
      <c r="T81" s="198"/>
      <c r="U81" s="198"/>
    </row>
    <row r="82" spans="1:26" s="12" customFormat="1" x14ac:dyDescent="0.25">
      <c r="A82" s="247" t="s">
        <v>605</v>
      </c>
      <c r="B82" s="64">
        <v>20.149999999999999</v>
      </c>
      <c r="C82" s="64">
        <v>78.040000000000006</v>
      </c>
      <c r="D82" s="64">
        <v>56.93</v>
      </c>
      <c r="E82" s="64">
        <v>8.4</v>
      </c>
      <c r="F82" s="64">
        <v>21.48</v>
      </c>
      <c r="G82" s="64">
        <v>62.89</v>
      </c>
      <c r="H82" s="64">
        <v>16.37</v>
      </c>
      <c r="I82" s="64">
        <v>4.0199999999999996</v>
      </c>
      <c r="J82" s="64">
        <v>0.76</v>
      </c>
      <c r="K82" s="64">
        <v>302.56</v>
      </c>
      <c r="L82" s="64">
        <v>26.54</v>
      </c>
      <c r="M82" s="64">
        <v>25.78</v>
      </c>
      <c r="N82" s="64">
        <v>61.8</v>
      </c>
      <c r="O82" s="64">
        <v>0</v>
      </c>
      <c r="P82" s="64">
        <v>1.02</v>
      </c>
      <c r="Q82" s="64">
        <v>10.06</v>
      </c>
      <c r="R82" s="198"/>
      <c r="S82" s="198"/>
      <c r="T82" s="198"/>
      <c r="U82" s="198"/>
    </row>
    <row r="83" spans="1:26" s="12" customFormat="1" x14ac:dyDescent="0.25">
      <c r="A83" s="247" t="s">
        <v>606</v>
      </c>
      <c r="B83" s="64">
        <v>36.96</v>
      </c>
      <c r="C83" s="64">
        <v>92.22</v>
      </c>
      <c r="D83" s="64">
        <v>77.819999999999993</v>
      </c>
      <c r="E83" s="64">
        <v>6.78</v>
      </c>
      <c r="F83" s="64">
        <v>14.18</v>
      </c>
      <c r="G83" s="64">
        <v>62.89</v>
      </c>
      <c r="H83" s="64">
        <v>16.37</v>
      </c>
      <c r="I83" s="64">
        <v>3.97</v>
      </c>
      <c r="J83" s="64">
        <v>0.81</v>
      </c>
      <c r="K83" s="64">
        <v>294.23</v>
      </c>
      <c r="L83" s="64">
        <v>25.98</v>
      </c>
      <c r="M83" s="64">
        <v>25.51</v>
      </c>
      <c r="N83" s="64">
        <v>61.5</v>
      </c>
      <c r="O83" s="64">
        <v>0</v>
      </c>
      <c r="P83" s="64">
        <v>1.28</v>
      </c>
      <c r="Q83" s="64">
        <v>10.050000000000001</v>
      </c>
      <c r="R83" s="198"/>
      <c r="S83" s="198"/>
      <c r="T83" s="198"/>
      <c r="U83" s="198"/>
    </row>
    <row r="84" spans="1:26" s="12" customFormat="1" x14ac:dyDescent="0.25">
      <c r="A84" s="247" t="s">
        <v>607</v>
      </c>
      <c r="B84" s="64">
        <v>16.23</v>
      </c>
      <c r="C84" s="64">
        <v>77.78</v>
      </c>
      <c r="D84" s="64">
        <v>53.65</v>
      </c>
      <c r="E84" s="64">
        <v>5.63</v>
      </c>
      <c r="F84" s="64">
        <v>14.45</v>
      </c>
      <c r="G84" s="64">
        <v>62.89</v>
      </c>
      <c r="H84" s="64">
        <v>16.37</v>
      </c>
      <c r="I84" s="64">
        <v>4.04</v>
      </c>
      <c r="J84" s="64">
        <v>0.72</v>
      </c>
      <c r="K84" s="64">
        <v>296.43</v>
      </c>
      <c r="L84" s="64">
        <v>25.7</v>
      </c>
      <c r="M84" s="64">
        <v>25.86</v>
      </c>
      <c r="N84" s="64">
        <v>61.4</v>
      </c>
      <c r="O84" s="64">
        <v>0</v>
      </c>
      <c r="P84" s="64">
        <v>1.05</v>
      </c>
      <c r="Q84" s="64">
        <v>10.06</v>
      </c>
      <c r="R84" s="198"/>
      <c r="S84" s="198"/>
      <c r="T84" s="198"/>
      <c r="U84" s="198"/>
    </row>
    <row r="85" spans="1:26" s="12" customFormat="1" x14ac:dyDescent="0.25">
      <c r="A85" s="247" t="s">
        <v>608</v>
      </c>
      <c r="B85" s="64">
        <v>19.100000000000001</v>
      </c>
      <c r="C85" s="64">
        <v>85.59</v>
      </c>
      <c r="D85" s="64">
        <v>60.04</v>
      </c>
      <c r="E85" s="64">
        <v>6.43</v>
      </c>
      <c r="F85" s="64">
        <v>15.63</v>
      </c>
      <c r="G85" s="64">
        <v>73.31</v>
      </c>
      <c r="H85" s="64">
        <v>14.87</v>
      </c>
      <c r="I85" s="64">
        <v>3.94</v>
      </c>
      <c r="J85" s="64">
        <v>0.57999999999999996</v>
      </c>
      <c r="K85" s="64">
        <v>284.16000000000003</v>
      </c>
      <c r="L85" s="64">
        <v>25.56</v>
      </c>
      <c r="M85" s="64">
        <v>26.08</v>
      </c>
      <c r="N85" s="64">
        <v>61.5</v>
      </c>
      <c r="O85" s="64">
        <v>0</v>
      </c>
      <c r="P85" s="64">
        <v>1.17</v>
      </c>
      <c r="Q85" s="64">
        <v>10.08</v>
      </c>
      <c r="R85" s="198"/>
      <c r="S85" s="198"/>
      <c r="T85" s="198"/>
      <c r="U85" s="198"/>
    </row>
    <row r="86" spans="1:26" s="12" customFormat="1" x14ac:dyDescent="0.25">
      <c r="A86" s="247" t="s">
        <v>609</v>
      </c>
      <c r="B86" s="64">
        <v>34.729999999999997</v>
      </c>
      <c r="C86" s="64">
        <v>89.46</v>
      </c>
      <c r="D86" s="64">
        <v>74.59</v>
      </c>
      <c r="E86" s="64">
        <v>5.87</v>
      </c>
      <c r="F86" s="64">
        <v>13.97</v>
      </c>
      <c r="G86" s="64">
        <v>73.31</v>
      </c>
      <c r="H86" s="64">
        <v>14.87</v>
      </c>
      <c r="I86" s="64">
        <v>4.05</v>
      </c>
      <c r="J86" s="64">
        <v>0.73</v>
      </c>
      <c r="K86" s="64">
        <v>295.89</v>
      </c>
      <c r="L86" s="64">
        <v>25.06</v>
      </c>
      <c r="M86" s="64">
        <v>27.55</v>
      </c>
      <c r="N86" s="64">
        <v>61.5</v>
      </c>
      <c r="O86" s="64">
        <v>0</v>
      </c>
      <c r="P86" s="64">
        <v>1.41</v>
      </c>
      <c r="Q86" s="64">
        <v>10.09</v>
      </c>
      <c r="R86" s="198"/>
      <c r="S86" s="198"/>
      <c r="T86" s="198"/>
      <c r="U86" s="198"/>
    </row>
    <row r="87" spans="1:26" s="12" customFormat="1" x14ac:dyDescent="0.25">
      <c r="A87" s="247" t="s">
        <v>610</v>
      </c>
      <c r="B87" s="64">
        <v>49.88</v>
      </c>
      <c r="C87" s="64">
        <v>98.09</v>
      </c>
      <c r="D87" s="64">
        <v>91.25</v>
      </c>
      <c r="E87" s="64">
        <v>5.71</v>
      </c>
      <c r="F87" s="64">
        <v>12.33</v>
      </c>
      <c r="G87" s="64">
        <v>73.31</v>
      </c>
      <c r="H87" s="64">
        <v>14.87</v>
      </c>
      <c r="I87" s="64">
        <v>3.86</v>
      </c>
      <c r="J87" s="64">
        <v>0.49</v>
      </c>
      <c r="K87" s="64">
        <v>308.97000000000003</v>
      </c>
      <c r="L87" s="64">
        <v>24.57</v>
      </c>
      <c r="M87" s="64">
        <v>29.01</v>
      </c>
      <c r="N87" s="64">
        <v>62</v>
      </c>
      <c r="O87" s="64">
        <v>0</v>
      </c>
      <c r="P87" s="64">
        <v>1.61</v>
      </c>
      <c r="Q87" s="64">
        <v>10.08</v>
      </c>
      <c r="R87" s="198"/>
      <c r="S87" s="198"/>
      <c r="T87" s="198"/>
      <c r="U87" s="198"/>
    </row>
    <row r="88" spans="1:26" s="12" customFormat="1" x14ac:dyDescent="0.25">
      <c r="A88" s="247" t="s">
        <v>611</v>
      </c>
      <c r="B88" s="64">
        <v>70.77</v>
      </c>
      <c r="C88" s="64">
        <v>96.15</v>
      </c>
      <c r="D88" s="64">
        <v>106.99</v>
      </c>
      <c r="E88" s="64">
        <v>6.33</v>
      </c>
      <c r="F88" s="64">
        <v>10.19</v>
      </c>
      <c r="G88" s="64">
        <v>73.31</v>
      </c>
      <c r="H88" s="64">
        <v>14.87</v>
      </c>
      <c r="I88" s="64">
        <v>3.87</v>
      </c>
      <c r="J88" s="64">
        <v>0.66</v>
      </c>
      <c r="K88" s="64">
        <v>340.47</v>
      </c>
      <c r="L88" s="64">
        <v>24.04</v>
      </c>
      <c r="M88" s="64">
        <v>32.14</v>
      </c>
      <c r="N88" s="64">
        <v>61.8</v>
      </c>
      <c r="O88" s="64">
        <v>0</v>
      </c>
      <c r="P88" s="64">
        <v>1.88</v>
      </c>
      <c r="Q88" s="64">
        <v>10.050000000000001</v>
      </c>
      <c r="R88" s="198"/>
      <c r="S88" s="198"/>
      <c r="T88" s="198"/>
      <c r="U88" s="198"/>
    </row>
    <row r="89" spans="1:26" s="12" customFormat="1" x14ac:dyDescent="0.25">
      <c r="A89" s="247" t="s">
        <v>612</v>
      </c>
      <c r="B89" s="64">
        <v>58.49</v>
      </c>
      <c r="C89" s="64">
        <v>92.67</v>
      </c>
      <c r="D89" s="64">
        <v>95.32</v>
      </c>
      <c r="E89" s="64">
        <v>6.81</v>
      </c>
      <c r="F89" s="64">
        <v>9.14</v>
      </c>
      <c r="G89" s="64">
        <v>76.45</v>
      </c>
      <c r="H89" s="64">
        <v>24.16</v>
      </c>
      <c r="I89" s="64">
        <v>4.1500000000000004</v>
      </c>
      <c r="J89" s="64">
        <v>0.65</v>
      </c>
      <c r="K89" s="64">
        <v>341.39</v>
      </c>
      <c r="L89" s="64">
        <v>23.54</v>
      </c>
      <c r="M89" s="64">
        <v>35.479999999999997</v>
      </c>
      <c r="N89" s="64">
        <v>61.5</v>
      </c>
      <c r="O89" s="64">
        <v>0</v>
      </c>
      <c r="P89" s="64">
        <v>1.6</v>
      </c>
      <c r="Q89" s="64">
        <v>10.06</v>
      </c>
      <c r="R89" s="198"/>
      <c r="S89" s="198"/>
      <c r="T89" s="198"/>
      <c r="U89" s="198"/>
    </row>
    <row r="90" spans="1:26" s="12" customFormat="1" x14ac:dyDescent="0.25">
      <c r="A90" s="247" t="s">
        <v>613</v>
      </c>
      <c r="B90" s="64">
        <v>38.299999999999997</v>
      </c>
      <c r="C90" s="64">
        <v>88.04</v>
      </c>
      <c r="D90" s="64">
        <v>76.709999999999994</v>
      </c>
      <c r="E90" s="64">
        <v>7.5</v>
      </c>
      <c r="F90" s="64">
        <v>10.66</v>
      </c>
      <c r="G90" s="64">
        <v>76.45</v>
      </c>
      <c r="H90" s="64">
        <v>24.16</v>
      </c>
      <c r="I90" s="64">
        <v>4.0199999999999996</v>
      </c>
      <c r="J90" s="64">
        <v>0.4</v>
      </c>
      <c r="K90" s="64">
        <v>325.58</v>
      </c>
      <c r="L90" s="64">
        <v>23.37</v>
      </c>
      <c r="M90" s="64">
        <v>34.56</v>
      </c>
      <c r="N90" s="64">
        <v>61.4</v>
      </c>
      <c r="O90" s="64">
        <v>0</v>
      </c>
      <c r="P90" s="64">
        <v>1.58</v>
      </c>
      <c r="Q90" s="64">
        <v>10.119999999999999</v>
      </c>
      <c r="R90" s="198"/>
      <c r="S90" s="198"/>
      <c r="T90" s="198"/>
      <c r="U90" s="198"/>
    </row>
    <row r="91" spans="1:26" s="12" customFormat="1" x14ac:dyDescent="0.25">
      <c r="A91" s="247" t="s">
        <v>614</v>
      </c>
      <c r="B91" s="64">
        <v>45.99</v>
      </c>
      <c r="C91" s="64">
        <v>85.68</v>
      </c>
      <c r="D91" s="64">
        <v>81.650000000000006</v>
      </c>
      <c r="E91" s="64">
        <v>7.84</v>
      </c>
      <c r="F91" s="64">
        <v>10.97</v>
      </c>
      <c r="G91" s="64">
        <v>76.45</v>
      </c>
      <c r="H91" s="64">
        <v>24.16</v>
      </c>
      <c r="I91" s="64">
        <v>3.9</v>
      </c>
      <c r="J91" s="64">
        <v>0.79</v>
      </c>
      <c r="K91" s="64">
        <v>317.01</v>
      </c>
      <c r="L91" s="64">
        <v>23.35</v>
      </c>
      <c r="M91" s="64">
        <v>34.29</v>
      </c>
      <c r="N91" s="64">
        <v>61</v>
      </c>
      <c r="O91" s="64">
        <v>0</v>
      </c>
      <c r="P91" s="64">
        <v>1.5</v>
      </c>
      <c r="Q91" s="64">
        <v>10.14</v>
      </c>
      <c r="R91" s="198"/>
      <c r="S91" s="198"/>
      <c r="T91" s="198"/>
      <c r="U91" s="198"/>
    </row>
    <row r="92" spans="1:26" s="12" customFormat="1" x14ac:dyDescent="0.25">
      <c r="A92" s="247" t="s">
        <v>615</v>
      </c>
      <c r="B92" s="64">
        <v>44.01</v>
      </c>
      <c r="C92" s="64">
        <v>84.33</v>
      </c>
      <c r="D92" s="64">
        <v>79.349999999999994</v>
      </c>
      <c r="E92" s="64">
        <v>7.09</v>
      </c>
      <c r="F92" s="64">
        <v>11.94</v>
      </c>
      <c r="G92" s="64">
        <v>76.45</v>
      </c>
      <c r="H92" s="64">
        <v>24.16</v>
      </c>
      <c r="I92" s="64">
        <v>3.99</v>
      </c>
      <c r="J92" s="64">
        <v>1.04</v>
      </c>
      <c r="K92" s="64">
        <v>334.53</v>
      </c>
      <c r="L92" s="64">
        <v>23.39</v>
      </c>
      <c r="M92" s="64">
        <v>36.07</v>
      </c>
      <c r="N92" s="64">
        <v>61</v>
      </c>
      <c r="O92" s="64">
        <v>0</v>
      </c>
      <c r="P92" s="64">
        <v>1.51</v>
      </c>
      <c r="Q92" s="64">
        <v>10.15</v>
      </c>
      <c r="R92" s="198"/>
      <c r="S92" s="198"/>
      <c r="T92" s="198"/>
      <c r="U92" s="198"/>
    </row>
    <row r="93" spans="1:26" s="12" customFormat="1" x14ac:dyDescent="0.25">
      <c r="A93" s="247" t="s">
        <v>616</v>
      </c>
      <c r="B93" s="64">
        <v>41.3</v>
      </c>
      <c r="C93" s="64">
        <v>74.81</v>
      </c>
      <c r="D93" s="64">
        <v>72.209999999999994</v>
      </c>
      <c r="E93" s="64">
        <v>5.51</v>
      </c>
      <c r="F93" s="64">
        <v>13.16</v>
      </c>
      <c r="G93" s="64">
        <v>83.23</v>
      </c>
      <c r="H93" s="64">
        <v>24.27</v>
      </c>
      <c r="I93" s="64">
        <v>4.0999999999999996</v>
      </c>
      <c r="J93" s="64">
        <v>1.34</v>
      </c>
      <c r="K93" s="64">
        <v>334.71</v>
      </c>
      <c r="L93" s="64">
        <v>23.27</v>
      </c>
      <c r="M93" s="64">
        <v>36.29</v>
      </c>
      <c r="N93" s="64">
        <v>60.7</v>
      </c>
      <c r="O93" s="64">
        <v>0</v>
      </c>
      <c r="P93" s="64">
        <v>1.46</v>
      </c>
      <c r="Q93" s="64">
        <v>10.18</v>
      </c>
      <c r="R93" s="198"/>
      <c r="S93" s="198"/>
      <c r="T93" s="198"/>
      <c r="U93" s="198"/>
    </row>
    <row r="94" spans="1:26" s="12" customFormat="1" x14ac:dyDescent="0.25">
      <c r="A94" s="247" t="s">
        <v>617</v>
      </c>
      <c r="B94" s="64">
        <v>37.33</v>
      </c>
      <c r="C94" s="64">
        <v>71.48</v>
      </c>
      <c r="D94" s="64">
        <v>67.28</v>
      </c>
      <c r="E94" s="64">
        <v>4.49</v>
      </c>
      <c r="F94" s="64">
        <v>11.71</v>
      </c>
      <c r="G94" s="64">
        <v>83.23</v>
      </c>
      <c r="H94" s="64">
        <v>24.27</v>
      </c>
      <c r="I94" s="64">
        <v>3.99</v>
      </c>
      <c r="J94" s="64">
        <v>1.74</v>
      </c>
      <c r="K94" s="64">
        <v>323.55</v>
      </c>
      <c r="L94" s="64">
        <v>23.21</v>
      </c>
      <c r="M94" s="64">
        <v>36.17</v>
      </c>
      <c r="N94" s="64">
        <v>60.3</v>
      </c>
      <c r="O94" s="64">
        <v>0</v>
      </c>
      <c r="P94" s="64">
        <v>1.33</v>
      </c>
      <c r="Q94" s="64">
        <v>10.17</v>
      </c>
      <c r="R94" s="198"/>
      <c r="S94" s="198"/>
      <c r="T94" s="198"/>
      <c r="U94" s="198"/>
    </row>
    <row r="95" spans="1:26" s="12" customFormat="1" x14ac:dyDescent="0.25">
      <c r="A95" s="247" t="s">
        <v>618</v>
      </c>
      <c r="B95" s="64">
        <v>33.1</v>
      </c>
      <c r="C95" s="64">
        <v>68.94</v>
      </c>
      <c r="D95" s="64">
        <v>62.57</v>
      </c>
      <c r="E95" s="64">
        <v>4.0599999999999996</v>
      </c>
      <c r="F95" s="64">
        <v>10.79</v>
      </c>
      <c r="G95" s="64">
        <v>83.23</v>
      </c>
      <c r="H95" s="64">
        <v>24.27</v>
      </c>
      <c r="I95" s="64">
        <v>3.96</v>
      </c>
      <c r="J95" s="64">
        <v>1.99</v>
      </c>
      <c r="K95" s="64">
        <v>323.12</v>
      </c>
      <c r="L95" s="64">
        <v>23.26</v>
      </c>
      <c r="M95" s="64">
        <v>35.799999999999997</v>
      </c>
      <c r="N95" s="64">
        <v>60.8</v>
      </c>
      <c r="O95" s="64">
        <v>0</v>
      </c>
      <c r="P95" s="64">
        <v>1.32</v>
      </c>
      <c r="Q95" s="64">
        <v>10.199999999999999</v>
      </c>
      <c r="R95" s="198"/>
      <c r="S95" s="198"/>
      <c r="T95" s="198"/>
      <c r="U95" s="198"/>
    </row>
    <row r="96" spans="1:26" s="12" customFormat="1" x14ac:dyDescent="0.25">
      <c r="A96" s="247" t="s">
        <v>619</v>
      </c>
      <c r="B96" s="64">
        <v>32.04</v>
      </c>
      <c r="C96" s="64">
        <v>66.86</v>
      </c>
      <c r="D96" s="64">
        <v>60.63</v>
      </c>
      <c r="E96" s="64">
        <v>4.03</v>
      </c>
      <c r="F96" s="64">
        <v>9.43</v>
      </c>
      <c r="G96" s="64">
        <v>83.23</v>
      </c>
      <c r="H96" s="64">
        <v>24.27</v>
      </c>
      <c r="I96" s="64">
        <v>3.89</v>
      </c>
      <c r="J96" s="64">
        <v>2.2999999999999998</v>
      </c>
      <c r="K96" s="64">
        <v>332.18</v>
      </c>
      <c r="L96" s="64">
        <v>23.43</v>
      </c>
      <c r="M96" s="64">
        <v>34.47</v>
      </c>
      <c r="N96" s="64">
        <v>61</v>
      </c>
      <c r="O96" s="64">
        <v>0</v>
      </c>
      <c r="P96" s="64">
        <v>1.31</v>
      </c>
      <c r="Q96" s="64">
        <v>10.199999999999999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620</v>
      </c>
      <c r="B97" s="64">
        <v>28.61</v>
      </c>
      <c r="C97" s="64">
        <v>66.73</v>
      </c>
      <c r="D97" s="64">
        <v>57.81</v>
      </c>
      <c r="E97" s="64">
        <v>4.3</v>
      </c>
      <c r="F97" s="64">
        <v>11.6</v>
      </c>
      <c r="G97" s="64">
        <v>70.31</v>
      </c>
      <c r="H97" s="64">
        <v>20.48</v>
      </c>
      <c r="I97" s="64">
        <v>4.1399999999999997</v>
      </c>
      <c r="J97" s="64">
        <v>2.0099999999999998</v>
      </c>
      <c r="K97" s="64">
        <v>344.47</v>
      </c>
      <c r="L97" s="64">
        <v>23.3</v>
      </c>
      <c r="M97" s="64">
        <v>34.549999999999997</v>
      </c>
      <c r="N97" s="64">
        <v>61.7</v>
      </c>
      <c r="O97" s="64">
        <v>0</v>
      </c>
      <c r="P97" s="64">
        <v>1.17</v>
      </c>
      <c r="Q97" s="64">
        <v>10.23</v>
      </c>
      <c r="R97" s="198"/>
      <c r="S97" s="198"/>
      <c r="T97" s="198"/>
      <c r="U97" s="198"/>
    </row>
    <row r="98" spans="1:33" s="12" customFormat="1" x14ac:dyDescent="0.25">
      <c r="A98" s="247" t="s">
        <v>621</v>
      </c>
      <c r="B98" s="64">
        <v>28.24</v>
      </c>
      <c r="C98" s="64">
        <v>69.87</v>
      </c>
      <c r="D98" s="64">
        <v>59.16</v>
      </c>
      <c r="E98" s="64">
        <v>4.45</v>
      </c>
      <c r="F98" s="64">
        <v>11.23</v>
      </c>
      <c r="G98" s="64">
        <v>70.31</v>
      </c>
      <c r="H98" s="64">
        <v>20.48</v>
      </c>
      <c r="I98" s="64">
        <v>4.05</v>
      </c>
      <c r="J98" s="64">
        <v>1.97</v>
      </c>
      <c r="K98" s="64">
        <v>341.37</v>
      </c>
      <c r="L98" s="64">
        <v>23.04</v>
      </c>
      <c r="M98" s="64">
        <v>35.75</v>
      </c>
      <c r="N98" s="64">
        <v>62</v>
      </c>
      <c r="O98" s="64">
        <v>0</v>
      </c>
      <c r="P98" s="64">
        <v>1.2</v>
      </c>
      <c r="Q98" s="64">
        <v>10.210000000000001</v>
      </c>
      <c r="R98" s="198"/>
      <c r="S98" s="198"/>
      <c r="T98" s="198"/>
      <c r="U98" s="198"/>
    </row>
    <row r="99" spans="1:33" s="12" customFormat="1" x14ac:dyDescent="0.25">
      <c r="A99" s="247" t="s">
        <v>622</v>
      </c>
      <c r="B99" s="64">
        <v>25.77</v>
      </c>
      <c r="C99" s="64">
        <v>73.63</v>
      </c>
      <c r="D99" s="64">
        <v>59.14</v>
      </c>
      <c r="E99" s="64">
        <v>4.5599999999999996</v>
      </c>
      <c r="F99" s="64">
        <v>8.77</v>
      </c>
      <c r="G99" s="64">
        <v>70.31</v>
      </c>
      <c r="H99" s="64">
        <v>20.48</v>
      </c>
      <c r="I99" s="64">
        <v>3.94</v>
      </c>
      <c r="J99" s="64">
        <v>2.1800000000000002</v>
      </c>
      <c r="K99" s="64">
        <v>331.32</v>
      </c>
      <c r="L99" s="64">
        <v>22.62</v>
      </c>
      <c r="M99" s="64">
        <v>36.65</v>
      </c>
      <c r="N99" s="64">
        <v>61.7</v>
      </c>
      <c r="O99" s="64">
        <v>0</v>
      </c>
      <c r="P99" s="64">
        <v>1.19</v>
      </c>
      <c r="Q99" s="64">
        <v>10.19</v>
      </c>
      <c r="R99" s="198"/>
      <c r="S99" s="198"/>
      <c r="T99" s="198"/>
      <c r="U99" s="198"/>
    </row>
    <row r="100" spans="1:33" s="12" customFormat="1" x14ac:dyDescent="0.25">
      <c r="A100" s="247" t="s">
        <v>623</v>
      </c>
      <c r="B100" s="64">
        <v>23.61</v>
      </c>
      <c r="C100" s="64">
        <v>66.37</v>
      </c>
      <c r="D100" s="64">
        <v>53.61</v>
      </c>
      <c r="E100" s="64">
        <v>6.17</v>
      </c>
      <c r="F100" s="64">
        <v>12.5</v>
      </c>
      <c r="G100" s="64">
        <v>70.31</v>
      </c>
      <c r="H100" s="64">
        <v>20.48</v>
      </c>
      <c r="I100" s="64">
        <v>4.13</v>
      </c>
      <c r="J100" s="64">
        <v>1.79</v>
      </c>
      <c r="K100" s="64">
        <v>342.05</v>
      </c>
      <c r="L100" s="64">
        <v>22.22</v>
      </c>
      <c r="M100" s="64">
        <v>38.17</v>
      </c>
      <c r="N100" s="64">
        <v>62.1</v>
      </c>
      <c r="O100" s="64">
        <v>0</v>
      </c>
      <c r="P100" s="64">
        <v>1.0900000000000001</v>
      </c>
      <c r="Q100" s="64">
        <v>10.18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624</v>
      </c>
      <c r="B101" s="64">
        <v>24.31</v>
      </c>
      <c r="C101" s="64">
        <v>65.53</v>
      </c>
      <c r="D101" s="64">
        <v>53.73</v>
      </c>
      <c r="E101" s="64">
        <v>6.25</v>
      </c>
      <c r="F101" s="64">
        <v>9.1</v>
      </c>
      <c r="G101" s="64">
        <v>62.88</v>
      </c>
      <c r="H101" s="64">
        <v>20.41</v>
      </c>
      <c r="I101" s="64">
        <v>4.05</v>
      </c>
      <c r="J101" s="64">
        <v>1.86</v>
      </c>
      <c r="K101" s="64">
        <v>351.43</v>
      </c>
      <c r="L101" s="64">
        <v>21.97</v>
      </c>
      <c r="M101" s="64">
        <v>39.130000000000003</v>
      </c>
      <c r="N101" s="64">
        <v>61.6</v>
      </c>
      <c r="O101" s="64">
        <v>0</v>
      </c>
      <c r="P101" s="64">
        <v>1.1499999999999999</v>
      </c>
      <c r="Q101" s="64">
        <v>10.119999999999999</v>
      </c>
      <c r="R101" s="198"/>
      <c r="S101" s="198"/>
      <c r="T101" s="198"/>
      <c r="U101" s="198"/>
    </row>
    <row r="102" spans="1:33" s="12" customFormat="1" x14ac:dyDescent="0.25">
      <c r="A102" s="247" t="s">
        <v>625</v>
      </c>
      <c r="B102" s="64">
        <v>22.86</v>
      </c>
      <c r="C102" s="64">
        <v>67.89</v>
      </c>
      <c r="D102" s="64">
        <v>53.8</v>
      </c>
      <c r="E102" s="64">
        <v>6.48</v>
      </c>
      <c r="F102" s="64">
        <v>8.77</v>
      </c>
      <c r="G102" s="64">
        <v>62.88</v>
      </c>
      <c r="H102" s="64">
        <v>20.41</v>
      </c>
      <c r="I102" s="64">
        <v>4.0199999999999996</v>
      </c>
      <c r="J102" s="64">
        <v>2.14</v>
      </c>
      <c r="K102" s="64">
        <v>348.7</v>
      </c>
      <c r="L102" s="64">
        <v>22.01</v>
      </c>
      <c r="M102" s="64">
        <v>39.229999999999997</v>
      </c>
      <c r="N102" s="64">
        <v>61.2</v>
      </c>
      <c r="O102" s="64">
        <v>0</v>
      </c>
      <c r="P102" s="64">
        <v>1.1299999999999999</v>
      </c>
      <c r="Q102" s="64">
        <v>10.1</v>
      </c>
      <c r="R102" s="198"/>
      <c r="S102" s="198"/>
      <c r="T102" s="198"/>
      <c r="U102" s="198"/>
    </row>
    <row r="103" spans="1:33" s="12" customFormat="1" x14ac:dyDescent="0.25">
      <c r="A103" s="247" t="s">
        <v>626</v>
      </c>
      <c r="B103" s="64">
        <v>20.65</v>
      </c>
      <c r="C103" s="64">
        <v>69.17</v>
      </c>
      <c r="D103" s="64">
        <v>52.7</v>
      </c>
      <c r="E103" s="64">
        <v>5.87</v>
      </c>
      <c r="F103" s="64">
        <v>8.6</v>
      </c>
      <c r="G103" s="64">
        <v>62.88</v>
      </c>
      <c r="H103" s="64">
        <v>20.41</v>
      </c>
      <c r="I103" s="64">
        <v>4.17</v>
      </c>
      <c r="J103" s="64">
        <v>2.31</v>
      </c>
      <c r="K103" s="64">
        <v>348.6</v>
      </c>
      <c r="L103" s="64">
        <v>22.21</v>
      </c>
      <c r="M103" s="64">
        <v>38.619999999999997</v>
      </c>
      <c r="N103" s="64">
        <v>61.3</v>
      </c>
      <c r="O103" s="64">
        <v>0</v>
      </c>
      <c r="P103" s="64">
        <v>1.1000000000000001</v>
      </c>
      <c r="Q103" s="64">
        <v>10.119999999999999</v>
      </c>
      <c r="R103" s="198"/>
      <c r="S103" s="198"/>
      <c r="T103" s="198"/>
      <c r="U103" s="198"/>
    </row>
    <row r="104" spans="1:33" s="12" customFormat="1" x14ac:dyDescent="0.25">
      <c r="A104" s="247" t="s">
        <v>627</v>
      </c>
      <c r="B104" s="64">
        <v>18.149999999999999</v>
      </c>
      <c r="C104" s="64">
        <v>69.08</v>
      </c>
      <c r="D104" s="64">
        <v>50.65</v>
      </c>
      <c r="E104" s="64">
        <v>2.93</v>
      </c>
      <c r="F104" s="64">
        <v>8.26</v>
      </c>
      <c r="G104" s="64">
        <v>62.88</v>
      </c>
      <c r="H104" s="64">
        <v>20.41</v>
      </c>
      <c r="I104" s="64">
        <v>4.08</v>
      </c>
      <c r="J104" s="64">
        <v>2.2599999999999998</v>
      </c>
      <c r="K104" s="64">
        <v>344.75</v>
      </c>
      <c r="L104" s="64">
        <v>22.1</v>
      </c>
      <c r="M104" s="64">
        <v>38.85</v>
      </c>
      <c r="N104" s="64">
        <v>61.6</v>
      </c>
      <c r="O104" s="64">
        <v>0</v>
      </c>
      <c r="P104" s="64">
        <v>1.05</v>
      </c>
      <c r="Q104" s="64">
        <v>10.130000000000001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2.4900000000000002</v>
      </c>
      <c r="C106" s="67">
        <f>MIN(C9:C104)</f>
        <v>52.3</v>
      </c>
      <c r="D106" s="67">
        <f t="shared" ref="D106:Q106" si="0">MIN(D9:D104)</f>
        <v>29.94</v>
      </c>
      <c r="E106" s="67">
        <f t="shared" si="0"/>
        <v>2.93</v>
      </c>
      <c r="F106" s="67">
        <f t="shared" si="0"/>
        <v>6.23</v>
      </c>
      <c r="G106" s="67">
        <f t="shared" si="0"/>
        <v>30.42</v>
      </c>
      <c r="H106" s="67">
        <f t="shared" si="0"/>
        <v>10.59</v>
      </c>
      <c r="I106" s="67">
        <f t="shared" si="0"/>
        <v>3.75</v>
      </c>
      <c r="J106" s="67">
        <f t="shared" si="0"/>
        <v>0.17</v>
      </c>
      <c r="K106" s="67">
        <f t="shared" si="0"/>
        <v>4</v>
      </c>
      <c r="L106" s="67">
        <f t="shared" si="0"/>
        <v>15.79</v>
      </c>
      <c r="M106" s="67">
        <f t="shared" si="0"/>
        <v>16.079999999999998</v>
      </c>
      <c r="N106" s="67">
        <f t="shared" si="0"/>
        <v>60.3</v>
      </c>
      <c r="O106" s="67">
        <f t="shared" si="0"/>
        <v>0</v>
      </c>
      <c r="P106" s="67">
        <f t="shared" si="0"/>
        <v>0.1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70.77</v>
      </c>
      <c r="C107" s="66">
        <f t="shared" ref="C107:Q107" si="1">MAX(C9:C104)</f>
        <v>98.09</v>
      </c>
      <c r="D107" s="66">
        <f t="shared" si="1"/>
        <v>106.99</v>
      </c>
      <c r="E107" s="66">
        <f t="shared" si="1"/>
        <v>91.33</v>
      </c>
      <c r="F107" s="66">
        <f t="shared" si="1"/>
        <v>48.91</v>
      </c>
      <c r="G107" s="66">
        <f t="shared" si="1"/>
        <v>109.21</v>
      </c>
      <c r="H107" s="66">
        <f t="shared" si="1"/>
        <v>39.479999999999997</v>
      </c>
      <c r="I107" s="66">
        <f t="shared" si="1"/>
        <v>4.2300000000000004</v>
      </c>
      <c r="J107" s="66">
        <f t="shared" si="1"/>
        <v>2.31</v>
      </c>
      <c r="K107" s="66">
        <f t="shared" si="1"/>
        <v>351.86</v>
      </c>
      <c r="L107" s="66">
        <f t="shared" si="1"/>
        <v>34.909999999999997</v>
      </c>
      <c r="M107" s="66">
        <f t="shared" si="1"/>
        <v>68.489999999999995</v>
      </c>
      <c r="N107" s="66">
        <f t="shared" si="1"/>
        <v>854.1</v>
      </c>
      <c r="O107" s="66">
        <f t="shared" si="1"/>
        <v>0</v>
      </c>
      <c r="P107" s="66">
        <f t="shared" si="1"/>
        <v>1.88</v>
      </c>
      <c r="Q107" s="66">
        <f t="shared" si="1"/>
        <v>10.23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21.806847826086962</v>
      </c>
      <c r="C108" s="67">
        <f t="shared" ref="C108:Q108" si="2">AVERAGE(C9:C104)</f>
        <v>68.634673913043457</v>
      </c>
      <c r="D108" s="67">
        <f t="shared" si="2"/>
        <v>53.780760869565235</v>
      </c>
      <c r="E108" s="67">
        <f t="shared" si="2"/>
        <v>7.6324175824175793</v>
      </c>
      <c r="F108" s="67">
        <f t="shared" si="2"/>
        <v>16.147812500000004</v>
      </c>
      <c r="G108" s="67">
        <f t="shared" si="2"/>
        <v>71.675326086956517</v>
      </c>
      <c r="H108" s="67">
        <f t="shared" si="2"/>
        <v>22.197608695652185</v>
      </c>
      <c r="I108" s="67">
        <f t="shared" si="2"/>
        <v>4.0112499999999995</v>
      </c>
      <c r="J108" s="67">
        <f t="shared" si="2"/>
        <v>1.0276041666666671</v>
      </c>
      <c r="K108" s="67">
        <f t="shared" si="2"/>
        <v>200.07468749999995</v>
      </c>
      <c r="L108" s="67">
        <f t="shared" si="2"/>
        <v>24.553333333333327</v>
      </c>
      <c r="M108" s="67">
        <f t="shared" si="2"/>
        <v>35.090000000000003</v>
      </c>
      <c r="N108" s="67">
        <f t="shared" si="2"/>
        <v>264.50520833333331</v>
      </c>
      <c r="O108" s="67">
        <f t="shared" si="2"/>
        <v>0</v>
      </c>
      <c r="P108" s="67">
        <f t="shared" si="2"/>
        <v>0.81106382978723401</v>
      </c>
      <c r="Q108" s="67">
        <f t="shared" si="2"/>
        <v>9.5938541666666666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13.744353640225405</v>
      </c>
      <c r="C109" s="67">
        <f t="shared" ref="C109:Q109" si="3">STDEV(C9:C104)</f>
        <v>10.117569035554128</v>
      </c>
      <c r="D109" s="67">
        <f t="shared" si="3"/>
        <v>15.132329645947243</v>
      </c>
      <c r="E109" s="67">
        <f t="shared" si="3"/>
        <v>9.3611015900503389</v>
      </c>
      <c r="F109" s="67">
        <f t="shared" si="3"/>
        <v>10.09273456274102</v>
      </c>
      <c r="G109" s="67">
        <f t="shared" si="3"/>
        <v>19.893764468487664</v>
      </c>
      <c r="H109" s="67">
        <f t="shared" si="3"/>
        <v>5.9462677128875949</v>
      </c>
      <c r="I109" s="67">
        <f t="shared" si="3"/>
        <v>0.10269269435400073</v>
      </c>
      <c r="J109" s="67">
        <f t="shared" si="3"/>
        <v>0.55501302932390417</v>
      </c>
      <c r="K109" s="67">
        <f t="shared" si="3"/>
        <v>125.96806290278622</v>
      </c>
      <c r="L109" s="67">
        <f t="shared" si="3"/>
        <v>5.6685536383523472</v>
      </c>
      <c r="M109" s="67">
        <f t="shared" si="3"/>
        <v>14.338074890965908</v>
      </c>
      <c r="N109" s="67">
        <f t="shared" si="3"/>
        <v>287.26658199394251</v>
      </c>
      <c r="O109" s="67">
        <f t="shared" si="3"/>
        <v>0</v>
      </c>
      <c r="P109" s="67">
        <f t="shared" si="3"/>
        <v>0.3569177131307234</v>
      </c>
      <c r="Q109" s="67">
        <f t="shared" si="3"/>
        <v>0.35318809597769701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 t="shared" ref="C110:D110" si="4">COUNT(C9:C104)+4</f>
        <v>96</v>
      </c>
      <c r="D110" s="66">
        <f t="shared" si="4"/>
        <v>96</v>
      </c>
      <c r="E110" s="66">
        <f>COUNT(E9:E104)+5</f>
        <v>96</v>
      </c>
      <c r="F110" s="66">
        <f t="shared" ref="B110:Q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COUNT(P9:P104)+2</f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628</v>
      </c>
      <c r="B9" s="64">
        <v>15.63</v>
      </c>
      <c r="C9" s="64">
        <v>69.73</v>
      </c>
      <c r="D9" s="64">
        <v>48.96</v>
      </c>
      <c r="E9" s="64">
        <v>3.37</v>
      </c>
      <c r="F9" s="64">
        <v>8.2100000000000009</v>
      </c>
      <c r="G9" s="64">
        <v>67.39</v>
      </c>
      <c r="H9" s="64">
        <v>20.98</v>
      </c>
      <c r="I9" s="64">
        <v>4.03</v>
      </c>
      <c r="J9" s="64">
        <v>2.16</v>
      </c>
      <c r="K9" s="64">
        <v>347.26</v>
      </c>
      <c r="L9" s="64">
        <v>21.83</v>
      </c>
      <c r="M9" s="64">
        <v>39.630000000000003</v>
      </c>
      <c r="N9" s="64">
        <v>61.9</v>
      </c>
      <c r="O9" s="64">
        <v>0</v>
      </c>
      <c r="P9" s="64">
        <v>1.01</v>
      </c>
      <c r="Q9" s="64">
        <v>10.09</v>
      </c>
      <c r="R9" s="198"/>
      <c r="S9" s="198"/>
      <c r="T9" s="198"/>
      <c r="U9" s="198"/>
    </row>
    <row r="10" spans="1:21" s="12" customFormat="1" x14ac:dyDescent="0.25">
      <c r="A10" s="247" t="s">
        <v>629</v>
      </c>
      <c r="B10" s="64">
        <v>12.69</v>
      </c>
      <c r="C10" s="64">
        <v>67.150000000000006</v>
      </c>
      <c r="D10" s="64">
        <v>45.26</v>
      </c>
      <c r="E10" s="64">
        <v>3.37</v>
      </c>
      <c r="F10" s="64">
        <v>8.59</v>
      </c>
      <c r="G10" s="64">
        <v>67.39</v>
      </c>
      <c r="H10" s="64">
        <v>20.98</v>
      </c>
      <c r="I10" s="64">
        <v>4.12</v>
      </c>
      <c r="J10" s="64">
        <v>2.33</v>
      </c>
      <c r="K10" s="64">
        <v>343.73</v>
      </c>
      <c r="L10" s="64">
        <v>21.69</v>
      </c>
      <c r="M10" s="64">
        <v>39.69</v>
      </c>
      <c r="N10" s="64">
        <v>61.6</v>
      </c>
      <c r="O10" s="64">
        <v>0</v>
      </c>
      <c r="P10" s="64">
        <v>0.95</v>
      </c>
      <c r="Q10" s="64">
        <v>10.06</v>
      </c>
      <c r="R10" s="198"/>
      <c r="S10" s="198"/>
      <c r="T10" s="198"/>
      <c r="U10" s="198"/>
    </row>
    <row r="11" spans="1:21" s="12" customFormat="1" x14ac:dyDescent="0.25">
      <c r="A11" s="247" t="s">
        <v>630</v>
      </c>
      <c r="B11" s="64">
        <v>11.46</v>
      </c>
      <c r="C11" s="64">
        <v>68.27</v>
      </c>
      <c r="D11" s="64">
        <v>44.86</v>
      </c>
      <c r="E11" s="64">
        <v>3.16</v>
      </c>
      <c r="F11" s="64">
        <v>8.77</v>
      </c>
      <c r="G11" s="64">
        <v>67.39</v>
      </c>
      <c r="H11" s="64">
        <v>20.98</v>
      </c>
      <c r="I11" s="64">
        <v>3.98</v>
      </c>
      <c r="J11" s="64">
        <v>2.23</v>
      </c>
      <c r="K11" s="64">
        <v>352.9</v>
      </c>
      <c r="L11" s="64">
        <v>21.48</v>
      </c>
      <c r="M11" s="64">
        <v>40.049999999999997</v>
      </c>
      <c r="N11" s="64">
        <v>61.8</v>
      </c>
      <c r="O11" s="64">
        <v>0</v>
      </c>
      <c r="P11" s="64">
        <v>0.92</v>
      </c>
      <c r="Q11" s="64">
        <v>10.039999999999999</v>
      </c>
      <c r="R11" s="198"/>
      <c r="S11" s="198"/>
      <c r="T11" s="198"/>
      <c r="U11" s="198"/>
    </row>
    <row r="12" spans="1:21" s="12" customFormat="1" x14ac:dyDescent="0.25">
      <c r="A12" s="247" t="s">
        <v>631</v>
      </c>
      <c r="B12" s="64">
        <v>10.16</v>
      </c>
      <c r="C12" s="64">
        <v>67.78</v>
      </c>
      <c r="D12" s="64">
        <v>43.56</v>
      </c>
      <c r="E12" s="64">
        <v>3.34</v>
      </c>
      <c r="F12" s="64">
        <v>8.5299999999999994</v>
      </c>
      <c r="G12" s="64">
        <v>67.39</v>
      </c>
      <c r="H12" s="64">
        <v>20.98</v>
      </c>
      <c r="I12" s="64">
        <v>3.84</v>
      </c>
      <c r="J12" s="64">
        <v>2.1</v>
      </c>
      <c r="K12" s="64">
        <v>352.53</v>
      </c>
      <c r="L12" s="64">
        <v>21.23</v>
      </c>
      <c r="M12" s="64">
        <v>40.770000000000003</v>
      </c>
      <c r="N12" s="64">
        <v>62</v>
      </c>
      <c r="O12" s="64">
        <v>0</v>
      </c>
      <c r="P12" s="64">
        <v>0.88</v>
      </c>
      <c r="Q12" s="64">
        <v>10.029999999999999</v>
      </c>
      <c r="R12" s="198"/>
      <c r="S12" s="198"/>
      <c r="T12" s="198"/>
      <c r="U12" s="198"/>
    </row>
    <row r="13" spans="1:21" s="12" customFormat="1" x14ac:dyDescent="0.25">
      <c r="A13" s="247" t="s">
        <v>632</v>
      </c>
      <c r="B13" s="64">
        <v>8.86</v>
      </c>
      <c r="C13" s="64">
        <v>67.150000000000006</v>
      </c>
      <c r="D13" s="64">
        <v>42.19</v>
      </c>
      <c r="E13" s="64">
        <v>2.89</v>
      </c>
      <c r="F13" s="64">
        <v>9.43</v>
      </c>
      <c r="G13" s="64">
        <v>63.53</v>
      </c>
      <c r="H13" s="64">
        <v>16.61</v>
      </c>
      <c r="I13" s="64">
        <v>4.04</v>
      </c>
      <c r="J13" s="64">
        <v>2.2200000000000002</v>
      </c>
      <c r="K13" s="64">
        <v>352.62</v>
      </c>
      <c r="L13" s="64">
        <v>21.02</v>
      </c>
      <c r="M13" s="64">
        <v>41.04</v>
      </c>
      <c r="N13" s="64">
        <v>61.9</v>
      </c>
      <c r="O13" s="64">
        <v>0</v>
      </c>
      <c r="P13" s="64">
        <v>0.81</v>
      </c>
      <c r="Q13" s="64">
        <v>10.02</v>
      </c>
      <c r="R13" s="198"/>
      <c r="S13" s="198"/>
      <c r="T13" s="198"/>
      <c r="U13" s="198"/>
    </row>
    <row r="14" spans="1:21" s="12" customFormat="1" x14ac:dyDescent="0.25">
      <c r="A14" s="247" t="s">
        <v>633</v>
      </c>
      <c r="B14" s="64">
        <v>7.69</v>
      </c>
      <c r="C14" s="64">
        <v>66.400000000000006</v>
      </c>
      <c r="D14" s="64">
        <v>40.85</v>
      </c>
      <c r="E14" s="64">
        <v>2.89</v>
      </c>
      <c r="F14" s="64">
        <v>8.35</v>
      </c>
      <c r="G14" s="64">
        <v>63.53</v>
      </c>
      <c r="H14" s="64">
        <v>16.61</v>
      </c>
      <c r="I14" s="64">
        <v>4.0199999999999996</v>
      </c>
      <c r="J14" s="64">
        <v>2.08</v>
      </c>
      <c r="K14" s="64">
        <v>357.92</v>
      </c>
      <c r="L14" s="64">
        <v>20.81</v>
      </c>
      <c r="M14" s="64">
        <v>41.57</v>
      </c>
      <c r="N14" s="64">
        <v>61.8</v>
      </c>
      <c r="O14" s="64">
        <v>0</v>
      </c>
      <c r="P14" s="64">
        <v>0.82</v>
      </c>
      <c r="Q14" s="64">
        <v>9.99</v>
      </c>
      <c r="R14" s="198"/>
      <c r="S14" s="198"/>
      <c r="T14" s="198"/>
      <c r="U14" s="198"/>
    </row>
    <row r="15" spans="1:21" s="12" customFormat="1" x14ac:dyDescent="0.25">
      <c r="A15" s="247" t="s">
        <v>634</v>
      </c>
      <c r="B15" s="64">
        <v>6.83</v>
      </c>
      <c r="C15" s="64">
        <v>68</v>
      </c>
      <c r="D15" s="64">
        <v>41</v>
      </c>
      <c r="E15" s="64">
        <v>5.84</v>
      </c>
      <c r="F15" s="64">
        <v>8.3699999999999992</v>
      </c>
      <c r="G15" s="64">
        <v>63.53</v>
      </c>
      <c r="H15" s="64">
        <v>16.61</v>
      </c>
      <c r="I15" s="64">
        <v>3.97</v>
      </c>
      <c r="J15" s="64">
        <v>2.2999999999999998</v>
      </c>
      <c r="K15" s="64">
        <v>1.81</v>
      </c>
      <c r="L15" s="64">
        <v>20.79</v>
      </c>
      <c r="M15" s="64">
        <v>41.11</v>
      </c>
      <c r="N15" s="64">
        <v>61.9</v>
      </c>
      <c r="O15" s="64">
        <v>0</v>
      </c>
      <c r="P15" s="64">
        <v>0.78</v>
      </c>
      <c r="Q15" s="64">
        <v>9.9600000000000009</v>
      </c>
      <c r="R15" s="198"/>
      <c r="S15" s="198"/>
      <c r="T15" s="198"/>
      <c r="U15" s="198"/>
    </row>
    <row r="16" spans="1:21" s="12" customFormat="1" x14ac:dyDescent="0.25">
      <c r="A16" s="247" t="s">
        <v>635</v>
      </c>
      <c r="B16" s="64">
        <v>6.27</v>
      </c>
      <c r="C16" s="64">
        <v>63.21</v>
      </c>
      <c r="D16" s="64">
        <v>38.049999999999997</v>
      </c>
      <c r="E16" s="64">
        <v>4.66</v>
      </c>
      <c r="F16" s="64">
        <v>11.73</v>
      </c>
      <c r="G16" s="64">
        <v>63.53</v>
      </c>
      <c r="H16" s="64">
        <v>16.61</v>
      </c>
      <c r="I16" s="64">
        <v>3.93</v>
      </c>
      <c r="J16" s="64">
        <v>2.6</v>
      </c>
      <c r="K16" s="64">
        <v>0.85</v>
      </c>
      <c r="L16" s="64">
        <v>20.56</v>
      </c>
      <c r="M16" s="64">
        <v>41.59</v>
      </c>
      <c r="N16" s="64">
        <v>62</v>
      </c>
      <c r="O16" s="64">
        <v>0</v>
      </c>
      <c r="P16" s="64">
        <v>0.74</v>
      </c>
      <c r="Q16" s="64">
        <v>9.9499999999999993</v>
      </c>
      <c r="R16" s="198"/>
      <c r="S16" s="198"/>
      <c r="T16" s="198"/>
      <c r="U16" s="198"/>
    </row>
    <row r="17" spans="1:21" s="12" customFormat="1" x14ac:dyDescent="0.25">
      <c r="A17" s="247" t="s">
        <v>636</v>
      </c>
      <c r="B17" s="64">
        <v>6.3</v>
      </c>
      <c r="C17" s="64">
        <v>59.7</v>
      </c>
      <c r="D17" s="64">
        <v>36.24</v>
      </c>
      <c r="E17" s="64">
        <v>2.82</v>
      </c>
      <c r="F17" s="64">
        <v>11.23</v>
      </c>
      <c r="G17" s="64">
        <v>65.28</v>
      </c>
      <c r="H17" s="64">
        <v>20.66</v>
      </c>
      <c r="I17" s="64">
        <v>3.96</v>
      </c>
      <c r="J17" s="64">
        <v>2.65</v>
      </c>
      <c r="K17" s="64">
        <v>357.9</v>
      </c>
      <c r="L17" s="64">
        <v>20.309999999999999</v>
      </c>
      <c r="M17" s="64">
        <v>42.69</v>
      </c>
      <c r="N17" s="64">
        <v>62.2</v>
      </c>
      <c r="O17" s="64">
        <v>0</v>
      </c>
      <c r="P17" s="64">
        <v>0.7</v>
      </c>
      <c r="Q17" s="64">
        <v>9.93</v>
      </c>
      <c r="R17" s="198"/>
      <c r="S17" s="198"/>
      <c r="T17" s="198"/>
      <c r="U17" s="198"/>
    </row>
    <row r="18" spans="1:21" s="12" customFormat="1" x14ac:dyDescent="0.25">
      <c r="A18" s="247" t="s">
        <v>637</v>
      </c>
      <c r="B18" s="64">
        <v>5.35</v>
      </c>
      <c r="C18" s="64">
        <v>57.51</v>
      </c>
      <c r="D18" s="64">
        <v>34.340000000000003</v>
      </c>
      <c r="E18" s="64">
        <v>3.52</v>
      </c>
      <c r="F18" s="64">
        <v>11.34</v>
      </c>
      <c r="G18" s="64">
        <v>65.3</v>
      </c>
      <c r="H18" s="64">
        <v>20.66</v>
      </c>
      <c r="I18" s="64">
        <v>4.05</v>
      </c>
      <c r="J18" s="64">
        <v>1.99</v>
      </c>
      <c r="K18" s="64">
        <v>357.59</v>
      </c>
      <c r="L18" s="64">
        <v>19.95</v>
      </c>
      <c r="M18" s="64">
        <v>44.48</v>
      </c>
      <c r="N18" s="64">
        <v>62.3</v>
      </c>
      <c r="O18" s="64">
        <v>0</v>
      </c>
      <c r="P18" s="64">
        <v>0.65</v>
      </c>
      <c r="Q18" s="64">
        <v>9.92</v>
      </c>
      <c r="R18" s="198"/>
      <c r="S18" s="198"/>
      <c r="T18" s="198"/>
      <c r="U18" s="198"/>
    </row>
    <row r="19" spans="1:21" s="12" customFormat="1" x14ac:dyDescent="0.25">
      <c r="A19" s="247" t="s">
        <v>638</v>
      </c>
      <c r="B19" s="64">
        <v>5.0199999999999996</v>
      </c>
      <c r="C19" s="64">
        <v>60.04</v>
      </c>
      <c r="D19" s="64">
        <v>35.39</v>
      </c>
      <c r="E19" s="64">
        <v>3.04</v>
      </c>
      <c r="F19" s="64">
        <v>9.56</v>
      </c>
      <c r="G19" s="64">
        <v>65.3</v>
      </c>
      <c r="H19" s="64">
        <v>20.66</v>
      </c>
      <c r="I19" s="64">
        <v>3.97</v>
      </c>
      <c r="J19" s="64">
        <v>2.36</v>
      </c>
      <c r="K19" s="64">
        <v>359.87</v>
      </c>
      <c r="L19" s="64">
        <v>19.73</v>
      </c>
      <c r="M19" s="64">
        <v>44.6</v>
      </c>
      <c r="N19" s="64">
        <v>61.8</v>
      </c>
      <c r="O19" s="64">
        <v>0</v>
      </c>
      <c r="P19" s="64">
        <v>0.66</v>
      </c>
      <c r="Q19" s="64">
        <v>9.92</v>
      </c>
      <c r="R19" s="198"/>
      <c r="S19" s="198"/>
      <c r="T19" s="198"/>
      <c r="U19" s="198"/>
    </row>
    <row r="20" spans="1:21" s="12" customFormat="1" x14ac:dyDescent="0.25">
      <c r="A20" s="247" t="s">
        <v>639</v>
      </c>
      <c r="B20" s="64">
        <v>4.57</v>
      </c>
      <c r="C20" s="64">
        <v>58.11</v>
      </c>
      <c r="D20" s="64">
        <v>34.03</v>
      </c>
      <c r="E20" s="64">
        <v>3.4</v>
      </c>
      <c r="F20" s="64">
        <v>10.210000000000001</v>
      </c>
      <c r="G20" s="64">
        <v>65.3</v>
      </c>
      <c r="H20" s="64">
        <v>20.66</v>
      </c>
      <c r="I20" s="64">
        <v>4.13</v>
      </c>
      <c r="J20" s="64">
        <v>2.4</v>
      </c>
      <c r="K20" s="64">
        <v>357.06</v>
      </c>
      <c r="L20" s="64">
        <v>19.600000000000001</v>
      </c>
      <c r="M20" s="64">
        <v>44.72</v>
      </c>
      <c r="N20" s="64">
        <v>62</v>
      </c>
      <c r="O20" s="64">
        <v>0</v>
      </c>
      <c r="P20" s="64">
        <v>0.63</v>
      </c>
      <c r="Q20" s="64">
        <v>9.93</v>
      </c>
      <c r="R20" s="198"/>
      <c r="S20" s="198"/>
      <c r="T20" s="198"/>
      <c r="U20" s="198"/>
    </row>
    <row r="21" spans="1:21" s="12" customFormat="1" x14ac:dyDescent="0.25">
      <c r="A21" s="247" t="s">
        <v>640</v>
      </c>
      <c r="B21" s="64">
        <v>4.3499999999999996</v>
      </c>
      <c r="C21" s="64">
        <v>56.76</v>
      </c>
      <c r="D21" s="64">
        <v>33.15</v>
      </c>
      <c r="E21" s="64">
        <v>2.76</v>
      </c>
      <c r="F21" s="64">
        <v>10.039999999999999</v>
      </c>
      <c r="G21" s="64">
        <v>56.99</v>
      </c>
      <c r="H21" s="64">
        <v>19.52</v>
      </c>
      <c r="I21" s="64">
        <v>3.95</v>
      </c>
      <c r="J21" s="64">
        <v>2.52</v>
      </c>
      <c r="K21" s="64">
        <v>358.5</v>
      </c>
      <c r="L21" s="64">
        <v>19.420000000000002</v>
      </c>
      <c r="M21" s="64">
        <v>44.56</v>
      </c>
      <c r="N21" s="64">
        <v>62.1</v>
      </c>
      <c r="O21" s="64">
        <v>0</v>
      </c>
      <c r="P21" s="64">
        <v>0.61</v>
      </c>
      <c r="Q21" s="64">
        <v>9.93</v>
      </c>
      <c r="R21" s="198"/>
      <c r="S21" s="198"/>
      <c r="T21" s="198"/>
      <c r="U21" s="198"/>
    </row>
    <row r="22" spans="1:21" s="12" customFormat="1" x14ac:dyDescent="0.25">
      <c r="A22" s="247" t="s">
        <v>641</v>
      </c>
      <c r="B22" s="64">
        <v>4.22</v>
      </c>
      <c r="C22" s="64">
        <v>56.22</v>
      </c>
      <c r="D22" s="64">
        <v>32.76</v>
      </c>
      <c r="E22" s="64">
        <v>3.37</v>
      </c>
      <c r="F22" s="64">
        <v>11.73</v>
      </c>
      <c r="G22" s="64">
        <v>56.89</v>
      </c>
      <c r="H22" s="64">
        <v>19.52</v>
      </c>
      <c r="I22" s="64">
        <v>4.1399999999999997</v>
      </c>
      <c r="J22" s="64">
        <v>2.2200000000000002</v>
      </c>
      <c r="K22" s="64">
        <v>359.16</v>
      </c>
      <c r="L22" s="64">
        <v>19.21</v>
      </c>
      <c r="M22" s="64">
        <v>44.97</v>
      </c>
      <c r="N22" s="64">
        <v>62.2</v>
      </c>
      <c r="O22" s="64">
        <v>0</v>
      </c>
      <c r="P22" s="64">
        <v>0.59</v>
      </c>
      <c r="Q22" s="64">
        <v>9.92</v>
      </c>
      <c r="R22" s="198"/>
      <c r="S22" s="198"/>
      <c r="T22" s="198"/>
      <c r="U22" s="198"/>
    </row>
    <row r="23" spans="1:21" s="12" customFormat="1" x14ac:dyDescent="0.25">
      <c r="A23" s="247" t="s">
        <v>642</v>
      </c>
      <c r="B23" s="64">
        <v>4.1500000000000004</v>
      </c>
      <c r="C23" s="64">
        <v>57.52</v>
      </c>
      <c r="D23" s="64">
        <v>33.380000000000003</v>
      </c>
      <c r="E23" s="64">
        <v>2.59</v>
      </c>
      <c r="F23" s="64">
        <v>8.91</v>
      </c>
      <c r="G23" s="64">
        <v>56.89</v>
      </c>
      <c r="H23" s="64">
        <v>19.52</v>
      </c>
      <c r="I23" s="64">
        <v>3.91</v>
      </c>
      <c r="J23" s="64">
        <v>2.31</v>
      </c>
      <c r="K23" s="64">
        <v>353.82</v>
      </c>
      <c r="L23" s="64">
        <v>18.95</v>
      </c>
      <c r="M23" s="64">
        <v>45.22</v>
      </c>
      <c r="N23" s="64">
        <v>62</v>
      </c>
      <c r="O23" s="64">
        <v>0</v>
      </c>
      <c r="P23" s="64">
        <v>0.59</v>
      </c>
      <c r="Q23" s="64">
        <v>9.89</v>
      </c>
      <c r="R23" s="198"/>
      <c r="S23" s="198"/>
      <c r="T23" s="198"/>
      <c r="U23" s="198"/>
    </row>
    <row r="24" spans="1:21" s="12" customFormat="1" x14ac:dyDescent="0.25">
      <c r="A24" s="247" t="s">
        <v>643</v>
      </c>
      <c r="B24" s="64">
        <v>4</v>
      </c>
      <c r="C24" s="64">
        <v>56.79</v>
      </c>
      <c r="D24" s="64">
        <v>32.880000000000003</v>
      </c>
      <c r="E24" s="64">
        <v>2.57</v>
      </c>
      <c r="F24" s="64">
        <v>8.39</v>
      </c>
      <c r="G24" s="64">
        <v>56.89</v>
      </c>
      <c r="H24" s="64">
        <v>19.52</v>
      </c>
      <c r="I24" s="64">
        <v>4.03</v>
      </c>
      <c r="J24" s="64">
        <v>2</v>
      </c>
      <c r="K24" s="64">
        <v>359.68</v>
      </c>
      <c r="L24" s="64">
        <v>18.79</v>
      </c>
      <c r="M24" s="64">
        <v>45.62</v>
      </c>
      <c r="N24" s="64">
        <v>62.1</v>
      </c>
      <c r="O24" s="64">
        <v>0</v>
      </c>
      <c r="P24" s="64">
        <v>0.56999999999999995</v>
      </c>
      <c r="Q24" s="64">
        <v>9.8699999999999992</v>
      </c>
      <c r="R24" s="198"/>
      <c r="S24" s="198"/>
      <c r="T24" s="198"/>
      <c r="U24" s="198"/>
    </row>
    <row r="25" spans="1:21" s="12" customFormat="1" x14ac:dyDescent="0.25">
      <c r="A25" s="247" t="s">
        <v>644</v>
      </c>
      <c r="B25" s="64">
        <v>4.03</v>
      </c>
      <c r="C25" s="64">
        <v>56.5</v>
      </c>
      <c r="D25" s="64">
        <v>32.75</v>
      </c>
      <c r="E25" s="64">
        <v>2.63</v>
      </c>
      <c r="F25" s="64">
        <v>8.1199999999999992</v>
      </c>
      <c r="G25" s="64">
        <v>57.67</v>
      </c>
      <c r="H25" s="64">
        <v>16.87</v>
      </c>
      <c r="I25" s="64">
        <v>4.01</v>
      </c>
      <c r="J25" s="64">
        <v>1.64</v>
      </c>
      <c r="K25" s="64">
        <v>356.05</v>
      </c>
      <c r="L25" s="64">
        <v>18.66</v>
      </c>
      <c r="M25" s="64">
        <v>45.52</v>
      </c>
      <c r="N25" s="64">
        <v>62</v>
      </c>
      <c r="O25" s="64">
        <v>0</v>
      </c>
      <c r="P25" s="64">
        <v>0.56000000000000005</v>
      </c>
      <c r="Q25" s="64">
        <v>9.83</v>
      </c>
      <c r="R25" s="198"/>
      <c r="S25" s="198"/>
      <c r="T25" s="198"/>
      <c r="U25" s="198"/>
    </row>
    <row r="26" spans="1:21" s="12" customFormat="1" x14ac:dyDescent="0.25">
      <c r="A26" s="247" t="s">
        <v>645</v>
      </c>
      <c r="B26" s="64">
        <v>4.33</v>
      </c>
      <c r="C26" s="64">
        <v>56.56</v>
      </c>
      <c r="D26" s="64">
        <v>33.03</v>
      </c>
      <c r="E26" s="64">
        <v>2.56</v>
      </c>
      <c r="F26" s="64">
        <v>7.68</v>
      </c>
      <c r="G26" s="64">
        <v>57.67</v>
      </c>
      <c r="H26" s="64">
        <v>16.87</v>
      </c>
      <c r="I26" s="64">
        <v>3.91</v>
      </c>
      <c r="J26" s="64">
        <v>1.72</v>
      </c>
      <c r="K26" s="64">
        <v>2.68</v>
      </c>
      <c r="L26" s="64">
        <v>18.64</v>
      </c>
      <c r="M26" s="64">
        <v>43.77</v>
      </c>
      <c r="N26" s="64">
        <v>61.8</v>
      </c>
      <c r="O26" s="64">
        <v>0</v>
      </c>
      <c r="P26" s="64">
        <v>0.56999999999999995</v>
      </c>
      <c r="Q26" s="64">
        <v>9.81</v>
      </c>
      <c r="R26" s="198"/>
      <c r="S26" s="198"/>
      <c r="T26" s="198"/>
      <c r="U26" s="198"/>
    </row>
    <row r="27" spans="1:21" s="12" customFormat="1" x14ac:dyDescent="0.25">
      <c r="A27" s="247" t="s">
        <v>646</v>
      </c>
      <c r="B27" s="64">
        <v>4.5599999999999996</v>
      </c>
      <c r="C27" s="64">
        <v>55.75</v>
      </c>
      <c r="D27" s="64">
        <v>32.78</v>
      </c>
      <c r="E27" s="64">
        <v>2.72</v>
      </c>
      <c r="F27" s="64">
        <v>8.43</v>
      </c>
      <c r="G27" s="64">
        <v>57.67</v>
      </c>
      <c r="H27" s="64">
        <v>16.87</v>
      </c>
      <c r="I27" s="64">
        <v>3.96</v>
      </c>
      <c r="J27" s="64">
        <v>1.99</v>
      </c>
      <c r="K27" s="64">
        <v>353.36</v>
      </c>
      <c r="L27" s="64">
        <v>18.559999999999999</v>
      </c>
      <c r="M27" s="64">
        <v>42.94</v>
      </c>
      <c r="N27" s="64">
        <v>61.8</v>
      </c>
      <c r="O27" s="64">
        <v>0</v>
      </c>
      <c r="P27" s="64">
        <v>0.55000000000000004</v>
      </c>
      <c r="Q27" s="64">
        <v>9.7899999999999991</v>
      </c>
      <c r="R27" s="198"/>
      <c r="S27" s="198"/>
      <c r="T27" s="198"/>
      <c r="U27" s="198"/>
    </row>
    <row r="28" spans="1:21" s="12" customFormat="1" x14ac:dyDescent="0.25">
      <c r="A28" s="247" t="s">
        <v>647</v>
      </c>
      <c r="B28" s="64">
        <v>4.8600000000000003</v>
      </c>
      <c r="C28" s="64">
        <v>55.46</v>
      </c>
      <c r="D28" s="64">
        <v>32.869999999999997</v>
      </c>
      <c r="E28" s="64">
        <v>2.61</v>
      </c>
      <c r="F28" s="64">
        <v>8.6</v>
      </c>
      <c r="G28" s="64">
        <v>57.67</v>
      </c>
      <c r="H28" s="64">
        <v>16.87</v>
      </c>
      <c r="I28" s="64">
        <v>4.01</v>
      </c>
      <c r="J28" s="64">
        <v>1.87</v>
      </c>
      <c r="K28" s="64">
        <v>355.83</v>
      </c>
      <c r="L28" s="64">
        <v>18.399999999999999</v>
      </c>
      <c r="M28" s="64">
        <v>42.78</v>
      </c>
      <c r="N28" s="64">
        <v>61.9</v>
      </c>
      <c r="O28" s="64">
        <v>0</v>
      </c>
      <c r="P28" s="64">
        <v>0.55000000000000004</v>
      </c>
      <c r="Q28" s="64">
        <v>9.76</v>
      </c>
      <c r="R28" s="198"/>
      <c r="S28" s="198"/>
      <c r="T28" s="198"/>
      <c r="U28" s="198"/>
    </row>
    <row r="29" spans="1:21" s="12" customFormat="1" x14ac:dyDescent="0.25">
      <c r="A29" s="247" t="s">
        <v>648</v>
      </c>
      <c r="B29" s="64">
        <v>4.93</v>
      </c>
      <c r="C29" s="64">
        <v>56.81</v>
      </c>
      <c r="D29" s="64">
        <v>33.64</v>
      </c>
      <c r="E29" s="64">
        <v>2.4500000000000002</v>
      </c>
      <c r="F29" s="64">
        <v>8.43</v>
      </c>
      <c r="G29" s="64">
        <v>57.01</v>
      </c>
      <c r="H29" s="64">
        <v>16.100000000000001</v>
      </c>
      <c r="I29" s="64">
        <v>3.98</v>
      </c>
      <c r="J29" s="64">
        <v>2.09</v>
      </c>
      <c r="K29" s="64">
        <v>357.57</v>
      </c>
      <c r="L29" s="64">
        <v>18.21</v>
      </c>
      <c r="M29" s="64">
        <v>43.34</v>
      </c>
      <c r="N29" s="64">
        <v>61.9</v>
      </c>
      <c r="O29" s="64">
        <v>0</v>
      </c>
      <c r="P29" s="64">
        <v>0.54</v>
      </c>
      <c r="Q29" s="64">
        <v>9.75</v>
      </c>
      <c r="R29" s="198"/>
      <c r="S29" s="198"/>
      <c r="T29" s="198"/>
      <c r="U29" s="198"/>
    </row>
    <row r="30" spans="1:21" s="12" customFormat="1" x14ac:dyDescent="0.25">
      <c r="A30" s="247" t="s">
        <v>649</v>
      </c>
      <c r="B30" s="64">
        <v>4.91</v>
      </c>
      <c r="C30" s="64">
        <v>56.26</v>
      </c>
      <c r="D30" s="64">
        <v>33.33</v>
      </c>
      <c r="E30" s="64">
        <v>2.66</v>
      </c>
      <c r="F30" s="64">
        <v>8.83</v>
      </c>
      <c r="G30" s="64">
        <v>57.01</v>
      </c>
      <c r="H30" s="64">
        <v>16.100000000000001</v>
      </c>
      <c r="I30" s="64">
        <v>4.08</v>
      </c>
      <c r="J30" s="64">
        <v>1.92</v>
      </c>
      <c r="K30" s="64">
        <v>355.93</v>
      </c>
      <c r="L30" s="64">
        <v>18.07</v>
      </c>
      <c r="M30" s="64">
        <v>43.33</v>
      </c>
      <c r="N30" s="64">
        <v>61.9</v>
      </c>
      <c r="O30" s="64">
        <v>0</v>
      </c>
      <c r="P30" s="64">
        <v>0.53</v>
      </c>
      <c r="Q30" s="64">
        <v>9.7200000000000006</v>
      </c>
      <c r="R30" s="198"/>
      <c r="S30" s="198"/>
      <c r="T30" s="198"/>
      <c r="U30" s="198"/>
    </row>
    <row r="31" spans="1:21" s="12" customFormat="1" x14ac:dyDescent="0.25">
      <c r="A31" s="247" t="s">
        <v>650</v>
      </c>
      <c r="B31" s="64">
        <v>4.93</v>
      </c>
      <c r="C31" s="64">
        <v>55.96</v>
      </c>
      <c r="D31" s="64">
        <v>33.18</v>
      </c>
      <c r="E31" s="64">
        <v>2.61</v>
      </c>
      <c r="F31" s="64">
        <v>8.2799999999999994</v>
      </c>
      <c r="G31" s="64">
        <v>57.01</v>
      </c>
      <c r="H31" s="64">
        <v>16.100000000000001</v>
      </c>
      <c r="I31" s="64">
        <v>3.97</v>
      </c>
      <c r="J31" s="64">
        <v>1.7</v>
      </c>
      <c r="K31" s="64">
        <v>354.26</v>
      </c>
      <c r="L31" s="64">
        <v>17.920000000000002</v>
      </c>
      <c r="M31" s="64">
        <v>44.16</v>
      </c>
      <c r="N31" s="64">
        <v>62.1</v>
      </c>
      <c r="O31" s="64">
        <v>0</v>
      </c>
      <c r="P31" s="64">
        <v>0.53</v>
      </c>
      <c r="Q31" s="64">
        <v>9.68</v>
      </c>
      <c r="R31" s="198"/>
      <c r="S31" s="198"/>
      <c r="T31" s="198"/>
      <c r="U31" s="198"/>
    </row>
    <row r="32" spans="1:21" s="12" customFormat="1" x14ac:dyDescent="0.25">
      <c r="A32" s="247" t="s">
        <v>651</v>
      </c>
      <c r="B32" s="64">
        <v>5.31</v>
      </c>
      <c r="C32" s="64">
        <v>56.82</v>
      </c>
      <c r="D32" s="64">
        <v>33.950000000000003</v>
      </c>
      <c r="E32" s="64">
        <v>2.6</v>
      </c>
      <c r="F32" s="64">
        <v>7.29</v>
      </c>
      <c r="G32" s="64">
        <v>57.01</v>
      </c>
      <c r="H32" s="64">
        <v>16.100000000000001</v>
      </c>
      <c r="I32" s="64">
        <v>4.12</v>
      </c>
      <c r="J32" s="64">
        <v>1.82</v>
      </c>
      <c r="K32" s="64">
        <v>327.72</v>
      </c>
      <c r="L32" s="64">
        <v>17.27</v>
      </c>
      <c r="M32" s="64">
        <v>49.03</v>
      </c>
      <c r="N32" s="64">
        <v>61.9</v>
      </c>
      <c r="O32" s="64">
        <v>0</v>
      </c>
      <c r="P32" s="64">
        <v>0.55000000000000004</v>
      </c>
      <c r="Q32" s="64">
        <v>9.68</v>
      </c>
      <c r="R32" s="198"/>
      <c r="S32" s="198"/>
      <c r="T32" s="198"/>
      <c r="U32" s="198"/>
    </row>
    <row r="33" spans="1:21" s="12" customFormat="1" x14ac:dyDescent="0.25">
      <c r="A33" s="247" t="s">
        <v>652</v>
      </c>
      <c r="B33" s="64">
        <v>7.02</v>
      </c>
      <c r="C33" s="64">
        <v>56.13</v>
      </c>
      <c r="D33" s="64">
        <v>34.96</v>
      </c>
      <c r="E33" s="64">
        <v>2.76</v>
      </c>
      <c r="F33" s="64">
        <v>7.97</v>
      </c>
      <c r="G33" s="64">
        <v>57.94</v>
      </c>
      <c r="H33" s="64">
        <v>15.62</v>
      </c>
      <c r="I33" s="64">
        <v>4.01</v>
      </c>
      <c r="J33" s="64">
        <v>1.55</v>
      </c>
      <c r="K33" s="64">
        <v>327.43</v>
      </c>
      <c r="L33" s="64">
        <v>16.96</v>
      </c>
      <c r="M33" s="64">
        <v>49.97</v>
      </c>
      <c r="N33" s="64">
        <v>63.1</v>
      </c>
      <c r="O33" s="64">
        <v>0</v>
      </c>
      <c r="P33" s="64">
        <v>0.56999999999999995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47" t="s">
        <v>653</v>
      </c>
      <c r="B34" s="64">
        <v>9.27</v>
      </c>
      <c r="C34" s="64">
        <v>56.3</v>
      </c>
      <c r="D34" s="64">
        <v>36.85</v>
      </c>
      <c r="E34" s="64">
        <v>2.69</v>
      </c>
      <c r="F34" s="64">
        <v>8.0500000000000007</v>
      </c>
      <c r="G34" s="64">
        <v>57.94</v>
      </c>
      <c r="H34" s="64">
        <v>15.62</v>
      </c>
      <c r="I34" s="64">
        <v>4.01</v>
      </c>
      <c r="J34" s="64">
        <v>1.73</v>
      </c>
      <c r="K34" s="64">
        <v>341.18</v>
      </c>
      <c r="L34" s="64">
        <v>16.95</v>
      </c>
      <c r="M34" s="64">
        <v>49.47</v>
      </c>
      <c r="N34" s="64">
        <v>69.8</v>
      </c>
      <c r="O34" s="64">
        <v>0</v>
      </c>
      <c r="P34" s="64">
        <v>0.57999999999999996</v>
      </c>
      <c r="Q34" s="64">
        <v>9.6999999999999993</v>
      </c>
      <c r="R34" s="198"/>
      <c r="S34" s="198"/>
      <c r="T34" s="198"/>
      <c r="U34" s="198"/>
    </row>
    <row r="35" spans="1:21" s="12" customFormat="1" x14ac:dyDescent="0.25">
      <c r="A35" s="247" t="s">
        <v>654</v>
      </c>
      <c r="B35" s="64">
        <v>8.75</v>
      </c>
      <c r="C35" s="64">
        <v>58.09</v>
      </c>
      <c r="D35" s="64">
        <v>37.369999999999997</v>
      </c>
      <c r="E35" s="64">
        <v>2.81</v>
      </c>
      <c r="F35" s="64">
        <v>7.5</v>
      </c>
      <c r="G35" s="64">
        <v>57.94</v>
      </c>
      <c r="H35" s="64">
        <v>15.62</v>
      </c>
      <c r="I35" s="64">
        <v>3.98</v>
      </c>
      <c r="J35" s="64">
        <v>1.98</v>
      </c>
      <c r="K35" s="64">
        <v>338.57</v>
      </c>
      <c r="L35" s="64">
        <v>17.12</v>
      </c>
      <c r="M35" s="64">
        <v>48.05</v>
      </c>
      <c r="N35" s="64">
        <v>86.6</v>
      </c>
      <c r="O35" s="64">
        <v>0</v>
      </c>
      <c r="P35" s="64">
        <v>0.59</v>
      </c>
      <c r="Q35" s="64">
        <v>9.77</v>
      </c>
      <c r="R35" s="198"/>
      <c r="S35" s="198"/>
      <c r="T35" s="198"/>
      <c r="U35" s="198"/>
    </row>
    <row r="36" spans="1:21" s="12" customFormat="1" x14ac:dyDescent="0.25">
      <c r="A36" s="247" t="s">
        <v>655</v>
      </c>
      <c r="B36" s="64">
        <v>9.44</v>
      </c>
      <c r="C36" s="64">
        <v>62.59</v>
      </c>
      <c r="D36" s="64">
        <v>40.270000000000003</v>
      </c>
      <c r="E36" s="64">
        <v>2.84</v>
      </c>
      <c r="F36" s="64">
        <v>7.5</v>
      </c>
      <c r="G36" s="64">
        <v>57.94</v>
      </c>
      <c r="H36" s="64">
        <v>15.62</v>
      </c>
      <c r="I36" s="64">
        <v>4.0999999999999996</v>
      </c>
      <c r="J36" s="64">
        <v>2.11</v>
      </c>
      <c r="K36" s="64">
        <v>346.46</v>
      </c>
      <c r="L36" s="64">
        <v>17.649999999999999</v>
      </c>
      <c r="M36" s="64">
        <v>45.78</v>
      </c>
      <c r="N36" s="64">
        <v>119.1</v>
      </c>
      <c r="O36" s="64">
        <v>0</v>
      </c>
      <c r="P36" s="64">
        <v>0.6</v>
      </c>
      <c r="Q36" s="64">
        <v>9.83</v>
      </c>
      <c r="R36" s="198"/>
      <c r="S36" s="198"/>
      <c r="T36" s="198"/>
      <c r="U36" s="198"/>
    </row>
    <row r="37" spans="1:21" s="12" customFormat="1" x14ac:dyDescent="0.25">
      <c r="A37" s="247" t="s">
        <v>656</v>
      </c>
      <c r="B37" s="64">
        <v>10.45</v>
      </c>
      <c r="C37" s="64">
        <v>61.91</v>
      </c>
      <c r="D37" s="64">
        <v>40.72</v>
      </c>
      <c r="E37" s="64">
        <v>3.66</v>
      </c>
      <c r="F37" s="64">
        <v>7.59</v>
      </c>
      <c r="G37" s="64">
        <v>78.849999999999994</v>
      </c>
      <c r="H37" s="64">
        <v>19.600000000000001</v>
      </c>
      <c r="I37" s="64">
        <v>3.98</v>
      </c>
      <c r="J37" s="64">
        <v>2.2000000000000002</v>
      </c>
      <c r="K37" s="64">
        <v>346.93</v>
      </c>
      <c r="L37" s="64">
        <v>18.91</v>
      </c>
      <c r="M37" s="64">
        <v>41.52</v>
      </c>
      <c r="N37" s="64">
        <v>170.9</v>
      </c>
      <c r="O37" s="64">
        <v>0</v>
      </c>
      <c r="P37" s="64">
        <v>0.6</v>
      </c>
      <c r="Q37" s="64">
        <v>9.86</v>
      </c>
      <c r="R37" s="198"/>
      <c r="S37" s="198"/>
      <c r="T37" s="198"/>
      <c r="U37" s="198"/>
    </row>
    <row r="38" spans="1:21" s="12" customFormat="1" x14ac:dyDescent="0.25">
      <c r="A38" s="247" t="s">
        <v>657</v>
      </c>
      <c r="B38" s="64">
        <v>12.88</v>
      </c>
      <c r="C38" s="64">
        <v>64.290000000000006</v>
      </c>
      <c r="D38" s="64">
        <v>43.91</v>
      </c>
      <c r="E38" s="64">
        <v>4.62</v>
      </c>
      <c r="F38" s="64">
        <v>7.74</v>
      </c>
      <c r="G38" s="64">
        <v>78.849999999999994</v>
      </c>
      <c r="H38" s="64">
        <v>19.600000000000001</v>
      </c>
      <c r="I38" s="64">
        <v>3.86</v>
      </c>
      <c r="J38" s="64">
        <v>2.0699999999999998</v>
      </c>
      <c r="K38" s="64">
        <v>350.8</v>
      </c>
      <c r="L38" s="64">
        <v>20.5</v>
      </c>
      <c r="M38" s="64">
        <v>36.85</v>
      </c>
      <c r="N38" s="64">
        <v>235.9</v>
      </c>
      <c r="O38" s="64">
        <v>0</v>
      </c>
      <c r="P38" s="64">
        <v>0.64</v>
      </c>
      <c r="Q38" s="64">
        <v>9.85</v>
      </c>
      <c r="R38" s="198"/>
      <c r="S38" s="198"/>
      <c r="T38" s="198"/>
      <c r="U38" s="198"/>
    </row>
    <row r="39" spans="1:21" s="12" customFormat="1" x14ac:dyDescent="0.25">
      <c r="A39" s="247" t="s">
        <v>658</v>
      </c>
      <c r="B39" s="64">
        <v>13.58</v>
      </c>
      <c r="C39" s="64">
        <v>64.680000000000007</v>
      </c>
      <c r="D39" s="64">
        <v>44.68</v>
      </c>
      <c r="E39" s="64">
        <v>4</v>
      </c>
      <c r="F39" s="64">
        <v>8.34</v>
      </c>
      <c r="G39" s="64">
        <v>78.849999999999994</v>
      </c>
      <c r="H39" s="64">
        <v>19.600000000000001</v>
      </c>
      <c r="I39" s="64">
        <v>4.08</v>
      </c>
      <c r="J39" s="64">
        <v>2.33</v>
      </c>
      <c r="K39" s="64">
        <v>352.64</v>
      </c>
      <c r="L39" s="64">
        <v>21.72</v>
      </c>
      <c r="M39" s="64">
        <v>33.020000000000003</v>
      </c>
      <c r="N39" s="64">
        <v>299.2</v>
      </c>
      <c r="O39" s="64">
        <v>0</v>
      </c>
      <c r="P39" s="64">
        <v>0.65</v>
      </c>
      <c r="Q39" s="64">
        <v>9.85</v>
      </c>
      <c r="R39" s="198"/>
      <c r="S39" s="198"/>
      <c r="T39" s="198"/>
      <c r="U39" s="198"/>
    </row>
    <row r="40" spans="1:21" s="12" customFormat="1" x14ac:dyDescent="0.25">
      <c r="A40" s="247" t="s">
        <v>659</v>
      </c>
      <c r="B40" s="64">
        <v>13.13</v>
      </c>
      <c r="C40" s="64">
        <v>64.05</v>
      </c>
      <c r="D40" s="64">
        <v>43.99</v>
      </c>
      <c r="E40" s="64">
        <v>4.0999999999999996</v>
      </c>
      <c r="F40" s="64">
        <v>9.67</v>
      </c>
      <c r="G40" s="64">
        <v>78.849999999999994</v>
      </c>
      <c r="H40" s="64">
        <v>19.600000000000001</v>
      </c>
      <c r="I40" s="64">
        <v>4.05</v>
      </c>
      <c r="J40" s="64">
        <v>2.75</v>
      </c>
      <c r="K40" s="64">
        <v>2.84</v>
      </c>
      <c r="L40" s="64">
        <v>22.09</v>
      </c>
      <c r="M40" s="64">
        <v>30.71</v>
      </c>
      <c r="N40" s="64">
        <v>372.7</v>
      </c>
      <c r="O40" s="64">
        <v>0</v>
      </c>
      <c r="P40" s="64">
        <v>0.65</v>
      </c>
      <c r="Q40" s="64">
        <v>9.83</v>
      </c>
      <c r="R40" s="198"/>
      <c r="S40" s="198"/>
      <c r="T40" s="198"/>
      <c r="U40" s="198"/>
    </row>
    <row r="41" spans="1:21" s="12" customFormat="1" x14ac:dyDescent="0.25">
      <c r="A41" s="247" t="s">
        <v>660</v>
      </c>
      <c r="B41" s="64">
        <v>12.67</v>
      </c>
      <c r="C41" s="64">
        <v>63.79</v>
      </c>
      <c r="D41" s="64">
        <v>43.49</v>
      </c>
      <c r="E41" s="64">
        <v>3.77</v>
      </c>
      <c r="F41" s="64">
        <v>8.0299999999999994</v>
      </c>
      <c r="G41" s="64">
        <v>95.76</v>
      </c>
      <c r="H41" s="64">
        <v>20.95</v>
      </c>
      <c r="I41" s="64">
        <v>3.86</v>
      </c>
      <c r="J41" s="64">
        <v>2.62</v>
      </c>
      <c r="K41" s="64">
        <v>1.59</v>
      </c>
      <c r="L41" s="64">
        <v>22.78</v>
      </c>
      <c r="M41" s="64">
        <v>28.78</v>
      </c>
      <c r="N41" s="64">
        <v>432.1</v>
      </c>
      <c r="O41" s="64">
        <v>0</v>
      </c>
      <c r="P41" s="64">
        <v>0.65</v>
      </c>
      <c r="Q41" s="64">
        <v>9.83</v>
      </c>
      <c r="R41" s="198"/>
      <c r="S41" s="198"/>
      <c r="T41" s="198"/>
      <c r="U41" s="198"/>
    </row>
    <row r="42" spans="1:21" s="12" customFormat="1" x14ac:dyDescent="0.25">
      <c r="A42" s="247" t="s">
        <v>661</v>
      </c>
      <c r="B42" s="64">
        <v>12.02</v>
      </c>
      <c r="C42" s="64">
        <v>64.819999999999993</v>
      </c>
      <c r="D42" s="64">
        <v>43.51</v>
      </c>
      <c r="E42" s="64">
        <v>3.48</v>
      </c>
      <c r="F42" s="64">
        <v>7.53</v>
      </c>
      <c r="G42" s="64">
        <v>95.76</v>
      </c>
      <c r="H42" s="64">
        <v>20.95</v>
      </c>
      <c r="I42" s="64">
        <v>3.99</v>
      </c>
      <c r="J42" s="64">
        <v>2.41</v>
      </c>
      <c r="K42" s="64">
        <v>1.49</v>
      </c>
      <c r="L42" s="64">
        <v>23.75</v>
      </c>
      <c r="M42" s="64">
        <v>27.34</v>
      </c>
      <c r="N42" s="64">
        <v>478.7</v>
      </c>
      <c r="O42" s="64">
        <v>0</v>
      </c>
      <c r="P42" s="64">
        <v>0.66</v>
      </c>
      <c r="Q42" s="64">
        <v>9.83</v>
      </c>
      <c r="R42" s="198"/>
      <c r="S42" s="198"/>
      <c r="T42" s="198"/>
      <c r="U42" s="198"/>
    </row>
    <row r="43" spans="1:21" s="12" customFormat="1" x14ac:dyDescent="0.25">
      <c r="A43" s="247" t="s">
        <v>662</v>
      </c>
      <c r="B43" s="64">
        <v>11.51</v>
      </c>
      <c r="C43" s="64">
        <v>67.09</v>
      </c>
      <c r="D43" s="64">
        <v>44.28</v>
      </c>
      <c r="E43" s="64">
        <v>3.97</v>
      </c>
      <c r="F43" s="64">
        <v>7.49</v>
      </c>
      <c r="G43" s="64">
        <v>95.76</v>
      </c>
      <c r="H43" s="64">
        <v>20.95</v>
      </c>
      <c r="I43" s="64">
        <v>4.1500000000000004</v>
      </c>
      <c r="J43" s="64">
        <v>2.5499999999999998</v>
      </c>
      <c r="K43" s="64">
        <v>348.31</v>
      </c>
      <c r="L43" s="64">
        <v>24.56</v>
      </c>
      <c r="M43" s="64">
        <v>25.41</v>
      </c>
      <c r="N43" s="64">
        <v>524.29999999999995</v>
      </c>
      <c r="O43" s="64">
        <v>0</v>
      </c>
      <c r="P43" s="64">
        <v>0.67</v>
      </c>
      <c r="Q43" s="64">
        <v>9.82</v>
      </c>
      <c r="R43" s="198"/>
      <c r="S43" s="198"/>
      <c r="T43" s="198"/>
      <c r="U43" s="198"/>
    </row>
    <row r="44" spans="1:21" s="12" customFormat="1" x14ac:dyDescent="0.25">
      <c r="A44" s="247" t="s">
        <v>663</v>
      </c>
      <c r="B44" s="64">
        <v>11.16</v>
      </c>
      <c r="C44" s="64">
        <v>68.599999999999994</v>
      </c>
      <c r="D44" s="64">
        <v>44.79</v>
      </c>
      <c r="E44" s="64">
        <v>2.92</v>
      </c>
      <c r="F44" s="64">
        <v>8.15</v>
      </c>
      <c r="G44" s="64">
        <v>95.76</v>
      </c>
      <c r="H44" s="64">
        <v>20.95</v>
      </c>
      <c r="I44" s="64">
        <v>4.1399999999999997</v>
      </c>
      <c r="J44" s="64">
        <v>2.5</v>
      </c>
      <c r="K44" s="64">
        <v>355.4</v>
      </c>
      <c r="L44" s="64">
        <v>26.02</v>
      </c>
      <c r="M44" s="64">
        <v>21.69</v>
      </c>
      <c r="N44" s="64">
        <v>576.29999999999995</v>
      </c>
      <c r="O44" s="64">
        <v>0</v>
      </c>
      <c r="P44" s="64">
        <v>0.67</v>
      </c>
      <c r="Q44" s="64">
        <v>9.82</v>
      </c>
      <c r="R44" s="198"/>
      <c r="S44" s="198"/>
      <c r="T44" s="198"/>
      <c r="U44" s="198"/>
    </row>
    <row r="45" spans="1:21" s="12" customFormat="1" x14ac:dyDescent="0.25">
      <c r="A45" s="247" t="s">
        <v>664</v>
      </c>
      <c r="B45" s="64">
        <v>10.69</v>
      </c>
      <c r="C45" s="64">
        <v>70.180000000000007</v>
      </c>
      <c r="D45" s="64">
        <v>45.24</v>
      </c>
      <c r="E45" s="64">
        <v>3.19</v>
      </c>
      <c r="F45" s="64">
        <v>8.89</v>
      </c>
      <c r="G45" s="64">
        <v>100.52</v>
      </c>
      <c r="H45" s="64">
        <v>34.14</v>
      </c>
      <c r="I45" s="64">
        <v>3.99</v>
      </c>
      <c r="J45" s="64">
        <v>2.42</v>
      </c>
      <c r="K45" s="64">
        <v>3.77</v>
      </c>
      <c r="L45" s="64">
        <v>25.88</v>
      </c>
      <c r="M45" s="64">
        <v>20.8</v>
      </c>
      <c r="N45" s="64">
        <v>624.1</v>
      </c>
      <c r="O45" s="64">
        <v>0</v>
      </c>
      <c r="P45" s="64">
        <v>0.67</v>
      </c>
      <c r="Q45" s="64">
        <v>9.83</v>
      </c>
      <c r="R45" s="198"/>
      <c r="S45" s="198"/>
      <c r="T45" s="198"/>
      <c r="U45" s="198"/>
    </row>
    <row r="46" spans="1:21" s="12" customFormat="1" x14ac:dyDescent="0.25">
      <c r="A46" s="247" t="s">
        <v>665</v>
      </c>
      <c r="B46" s="64">
        <v>9.57</v>
      </c>
      <c r="C46" s="64">
        <v>69.010000000000005</v>
      </c>
      <c r="D46" s="64">
        <v>43.73</v>
      </c>
      <c r="E46" s="64">
        <v>2.98</v>
      </c>
      <c r="F46" s="64">
        <v>9.33</v>
      </c>
      <c r="G46" s="64">
        <v>100.52</v>
      </c>
      <c r="H46" s="64">
        <v>34.14</v>
      </c>
      <c r="I46" s="64">
        <v>4.09</v>
      </c>
      <c r="J46" s="64">
        <v>2.89</v>
      </c>
      <c r="K46" s="64">
        <v>346.11</v>
      </c>
      <c r="L46" s="64">
        <v>26.54</v>
      </c>
      <c r="M46" s="64">
        <v>18.62</v>
      </c>
      <c r="N46" s="64">
        <v>672.4</v>
      </c>
      <c r="O46" s="64">
        <v>0</v>
      </c>
      <c r="P46" s="64">
        <v>0.66</v>
      </c>
      <c r="Q46" s="64">
        <v>9.8000000000000007</v>
      </c>
      <c r="R46" s="198"/>
      <c r="S46" s="198"/>
      <c r="T46" s="198"/>
      <c r="U46" s="198"/>
    </row>
    <row r="47" spans="1:21" s="12" customFormat="1" x14ac:dyDescent="0.25">
      <c r="A47" s="247" t="s">
        <v>666</v>
      </c>
      <c r="B47" s="64">
        <v>9.0299999999999994</v>
      </c>
      <c r="C47" s="64">
        <v>69.56</v>
      </c>
      <c r="D47" s="64">
        <v>43.58</v>
      </c>
      <c r="E47" s="64">
        <v>2.61</v>
      </c>
      <c r="F47" s="64">
        <v>9.24</v>
      </c>
      <c r="G47" s="64">
        <v>100.52</v>
      </c>
      <c r="H47" s="64">
        <v>34.14</v>
      </c>
      <c r="I47" s="64">
        <v>3.99</v>
      </c>
      <c r="J47" s="64">
        <v>1.9</v>
      </c>
      <c r="K47" s="64">
        <v>354.01</v>
      </c>
      <c r="L47" s="64">
        <v>27.29</v>
      </c>
      <c r="M47" s="64">
        <v>18.149999999999999</v>
      </c>
      <c r="N47" s="64">
        <v>710.6</v>
      </c>
      <c r="O47" s="64">
        <v>0</v>
      </c>
      <c r="P47" s="64">
        <v>0.66</v>
      </c>
      <c r="Q47" s="64">
        <v>9.7799999999999994</v>
      </c>
      <c r="R47" s="198"/>
      <c r="S47" s="198"/>
      <c r="T47" s="198"/>
      <c r="U47" s="198"/>
    </row>
    <row r="48" spans="1:21" s="12" customFormat="1" x14ac:dyDescent="0.25">
      <c r="A48" s="247" t="s">
        <v>667</v>
      </c>
      <c r="B48" s="64">
        <v>9.4600000000000009</v>
      </c>
      <c r="C48" s="64">
        <v>67.05</v>
      </c>
      <c r="D48" s="64">
        <v>42.61</v>
      </c>
      <c r="E48" s="64">
        <v>2.66</v>
      </c>
      <c r="F48" s="64">
        <v>10.130000000000001</v>
      </c>
      <c r="G48" s="64">
        <v>100.52</v>
      </c>
      <c r="H48" s="64">
        <v>34.14</v>
      </c>
      <c r="I48" s="64">
        <v>3.91</v>
      </c>
      <c r="J48" s="64">
        <v>2.2400000000000002</v>
      </c>
      <c r="K48" s="64">
        <v>355.06</v>
      </c>
      <c r="L48" s="64">
        <v>27.91</v>
      </c>
      <c r="M48" s="64">
        <v>17.489999999999998</v>
      </c>
      <c r="N48" s="64">
        <v>742.5</v>
      </c>
      <c r="O48" s="64">
        <v>0</v>
      </c>
      <c r="P48" s="64">
        <v>0.66</v>
      </c>
      <c r="Q48" s="64">
        <v>9.7799999999999994</v>
      </c>
      <c r="R48" s="198"/>
      <c r="S48" s="198"/>
      <c r="T48" s="198"/>
      <c r="U48" s="198"/>
    </row>
    <row r="49" spans="1:21" s="12" customFormat="1" x14ac:dyDescent="0.25">
      <c r="A49" s="247" t="s">
        <v>668</v>
      </c>
      <c r="B49" s="64">
        <v>8.14</v>
      </c>
      <c r="C49" s="64">
        <v>69.650000000000006</v>
      </c>
      <c r="D49" s="64">
        <v>42.92</v>
      </c>
      <c r="E49" s="64">
        <v>2.4900000000000002</v>
      </c>
      <c r="F49" s="64">
        <v>9.36</v>
      </c>
      <c r="G49" s="64">
        <v>92.29</v>
      </c>
      <c r="H49" s="64">
        <v>31.26</v>
      </c>
      <c r="I49" s="64">
        <v>4.0199999999999996</v>
      </c>
      <c r="J49" s="64">
        <v>2.19</v>
      </c>
      <c r="K49" s="64">
        <v>350.83</v>
      </c>
      <c r="L49" s="64">
        <v>28.37</v>
      </c>
      <c r="M49" s="64">
        <v>16.88</v>
      </c>
      <c r="N49" s="64">
        <v>804.7</v>
      </c>
      <c r="O49" s="64">
        <v>0</v>
      </c>
      <c r="P49" s="64">
        <v>0.65</v>
      </c>
      <c r="Q49" s="64">
        <v>9.7799999999999994</v>
      </c>
      <c r="R49" s="198"/>
      <c r="S49" s="198"/>
      <c r="T49" s="198"/>
      <c r="U49" s="198"/>
    </row>
    <row r="50" spans="1:21" s="12" customFormat="1" x14ac:dyDescent="0.25">
      <c r="A50" s="247" t="s">
        <v>669</v>
      </c>
      <c r="B50" s="64">
        <v>8.4700000000000006</v>
      </c>
      <c r="C50" s="64">
        <v>67.760000000000005</v>
      </c>
      <c r="D50" s="64">
        <v>42.19</v>
      </c>
      <c r="E50" s="64">
        <v>2.67</v>
      </c>
      <c r="F50" s="64">
        <v>9.99</v>
      </c>
      <c r="G50" s="64">
        <v>92.29</v>
      </c>
      <c r="H50" s="64">
        <v>31.26</v>
      </c>
      <c r="I50" s="64">
        <v>3.85</v>
      </c>
      <c r="J50" s="64">
        <v>2.34</v>
      </c>
      <c r="K50" s="64">
        <v>350.74</v>
      </c>
      <c r="L50" s="64">
        <v>28.3</v>
      </c>
      <c r="M50" s="64">
        <v>15.97</v>
      </c>
      <c r="N50" s="64">
        <v>846.6</v>
      </c>
      <c r="O50" s="64">
        <v>0</v>
      </c>
      <c r="P50" s="64">
        <v>0.64</v>
      </c>
      <c r="Q50" s="64">
        <v>9.77</v>
      </c>
      <c r="R50" s="198"/>
      <c r="S50" s="198"/>
      <c r="T50" s="198"/>
      <c r="U50" s="198"/>
    </row>
    <row r="51" spans="1:21" s="12" customFormat="1" x14ac:dyDescent="0.25">
      <c r="A51" s="247" t="s">
        <v>670</v>
      </c>
      <c r="B51" s="64">
        <v>8.89</v>
      </c>
      <c r="C51" s="64">
        <v>69.180000000000007</v>
      </c>
      <c r="D51" s="64">
        <v>43.27</v>
      </c>
      <c r="E51" s="64">
        <v>2.23</v>
      </c>
      <c r="F51" s="64">
        <v>8.59</v>
      </c>
      <c r="G51" s="64">
        <v>92.29</v>
      </c>
      <c r="H51" s="64">
        <v>31.26</v>
      </c>
      <c r="I51" s="64">
        <v>3.9</v>
      </c>
      <c r="J51" s="64">
        <v>2.38</v>
      </c>
      <c r="K51" s="64">
        <v>322.14999999999998</v>
      </c>
      <c r="L51" s="64">
        <v>29.12</v>
      </c>
      <c r="M51" s="64">
        <v>15.36</v>
      </c>
      <c r="N51" s="64">
        <v>901</v>
      </c>
      <c r="O51" s="64">
        <v>0</v>
      </c>
      <c r="P51" s="64">
        <v>0.64</v>
      </c>
      <c r="Q51" s="64">
        <v>9.77</v>
      </c>
      <c r="R51" s="198"/>
      <c r="S51" s="198"/>
      <c r="T51" s="198"/>
      <c r="U51" s="198"/>
    </row>
    <row r="52" spans="1:21" s="12" customFormat="1" x14ac:dyDescent="0.25">
      <c r="A52" s="247" t="s">
        <v>671</v>
      </c>
      <c r="B52" s="64">
        <v>8.44</v>
      </c>
      <c r="C52" s="64">
        <v>68</v>
      </c>
      <c r="D52" s="64">
        <v>42.29</v>
      </c>
      <c r="E52" s="64">
        <v>2.0299999999999998</v>
      </c>
      <c r="F52" s="64">
        <v>10.47</v>
      </c>
      <c r="G52" s="64">
        <v>92.29</v>
      </c>
      <c r="H52" s="64">
        <v>31.26</v>
      </c>
      <c r="I52" s="64">
        <v>4.18</v>
      </c>
      <c r="J52" s="64">
        <v>1.96</v>
      </c>
      <c r="K52" s="64">
        <v>345.3</v>
      </c>
      <c r="L52" s="64">
        <v>29.97</v>
      </c>
      <c r="M52" s="64">
        <v>14.18</v>
      </c>
      <c r="N52" s="64">
        <v>916.3</v>
      </c>
      <c r="O52" s="64">
        <v>0</v>
      </c>
      <c r="P52" s="64">
        <v>0.64</v>
      </c>
      <c r="Q52" s="64">
        <v>9.77</v>
      </c>
      <c r="R52" s="198"/>
      <c r="S52" s="198"/>
      <c r="T52" s="198"/>
      <c r="U52" s="198"/>
    </row>
    <row r="53" spans="1:21" s="12" customFormat="1" x14ac:dyDescent="0.25">
      <c r="A53" s="247" t="s">
        <v>672</v>
      </c>
      <c r="B53" s="64">
        <v>6.23</v>
      </c>
      <c r="C53" s="64">
        <v>69.05</v>
      </c>
      <c r="D53" s="64">
        <v>41.07</v>
      </c>
      <c r="E53" s="64">
        <v>2.13</v>
      </c>
      <c r="F53" s="64">
        <v>8.77</v>
      </c>
      <c r="G53" s="64">
        <v>88.12</v>
      </c>
      <c r="H53" s="64">
        <v>27.25</v>
      </c>
      <c r="I53" s="64">
        <v>4.07</v>
      </c>
      <c r="J53" s="64">
        <v>2.2200000000000002</v>
      </c>
      <c r="K53" s="64">
        <v>323.12</v>
      </c>
      <c r="L53" s="64">
        <v>30.38</v>
      </c>
      <c r="M53" s="64">
        <v>13.99</v>
      </c>
      <c r="N53" s="64">
        <v>933.7</v>
      </c>
      <c r="O53" s="64">
        <v>0</v>
      </c>
      <c r="P53" s="64">
        <v>0.62</v>
      </c>
      <c r="Q53" s="64">
        <v>9.76</v>
      </c>
      <c r="R53" s="198"/>
      <c r="S53" s="198"/>
      <c r="T53" s="198"/>
      <c r="U53" s="198"/>
    </row>
    <row r="54" spans="1:21" s="12" customFormat="1" x14ac:dyDescent="0.25">
      <c r="A54" s="247" t="s">
        <v>673</v>
      </c>
      <c r="B54" s="64">
        <v>6.22</v>
      </c>
      <c r="C54" s="64">
        <v>67.81</v>
      </c>
      <c r="D54" s="64">
        <v>40.42</v>
      </c>
      <c r="E54" s="64">
        <v>1.94</v>
      </c>
      <c r="F54" s="64">
        <v>9.3800000000000008</v>
      </c>
      <c r="G54" s="64">
        <v>88.12</v>
      </c>
      <c r="H54" s="64">
        <v>27.25</v>
      </c>
      <c r="I54" s="64">
        <v>4.1100000000000003</v>
      </c>
      <c r="J54" s="64">
        <v>2.11</v>
      </c>
      <c r="K54" s="64">
        <v>332.74</v>
      </c>
      <c r="L54" s="64">
        <v>29.89</v>
      </c>
      <c r="M54" s="64">
        <v>14.42</v>
      </c>
      <c r="N54" s="64">
        <v>915.7</v>
      </c>
      <c r="O54" s="64">
        <v>0</v>
      </c>
      <c r="P54" s="64">
        <v>0.61</v>
      </c>
      <c r="Q54" s="64">
        <v>9.77</v>
      </c>
      <c r="R54" s="198"/>
      <c r="S54" s="198"/>
      <c r="T54" s="198"/>
      <c r="U54" s="198"/>
    </row>
    <row r="55" spans="1:21" s="12" customFormat="1" x14ac:dyDescent="0.25">
      <c r="A55" s="247" t="s">
        <v>674</v>
      </c>
      <c r="B55" s="64">
        <v>6.76</v>
      </c>
      <c r="C55" s="64">
        <v>65.150000000000006</v>
      </c>
      <c r="D55" s="64">
        <v>39.46</v>
      </c>
      <c r="E55" s="64">
        <v>1.93</v>
      </c>
      <c r="F55" s="64">
        <v>9.23</v>
      </c>
      <c r="G55" s="64">
        <v>88.12</v>
      </c>
      <c r="H55" s="64">
        <v>27.25</v>
      </c>
      <c r="I55" s="64">
        <v>4.01</v>
      </c>
      <c r="J55" s="64">
        <v>2.27</v>
      </c>
      <c r="K55" s="64">
        <v>333.8</v>
      </c>
      <c r="L55" s="64">
        <v>30.17</v>
      </c>
      <c r="M55" s="64">
        <v>14.05</v>
      </c>
      <c r="N55" s="64">
        <v>906</v>
      </c>
      <c r="O55" s="64">
        <v>0</v>
      </c>
      <c r="P55" s="64">
        <v>0.61</v>
      </c>
      <c r="Q55" s="64">
        <v>9.76</v>
      </c>
      <c r="R55" s="198"/>
      <c r="S55" s="198"/>
      <c r="T55" s="198"/>
      <c r="U55" s="198"/>
    </row>
    <row r="56" spans="1:21" s="12" customFormat="1" x14ac:dyDescent="0.25">
      <c r="A56" s="247" t="s">
        <v>675</v>
      </c>
      <c r="B56" s="64">
        <v>6.65</v>
      </c>
      <c r="C56" s="64">
        <v>60.5</v>
      </c>
      <c r="D56" s="64">
        <v>36.94</v>
      </c>
      <c r="E56" s="64">
        <v>2.14</v>
      </c>
      <c r="F56" s="64">
        <v>11.08</v>
      </c>
      <c r="G56" s="64">
        <v>88.12</v>
      </c>
      <c r="H56" s="64">
        <v>27.25</v>
      </c>
      <c r="I56" s="64">
        <v>3.91</v>
      </c>
      <c r="J56" s="64">
        <v>1.89</v>
      </c>
      <c r="K56" s="64">
        <v>333.44</v>
      </c>
      <c r="L56" s="64">
        <v>30.3</v>
      </c>
      <c r="M56" s="64">
        <v>13.78</v>
      </c>
      <c r="N56" s="64">
        <v>893.4</v>
      </c>
      <c r="O56" s="64">
        <v>0</v>
      </c>
      <c r="P56" s="64">
        <v>0.6</v>
      </c>
      <c r="Q56" s="64">
        <v>9.76</v>
      </c>
      <c r="R56" s="198"/>
      <c r="S56" s="198"/>
      <c r="T56" s="198"/>
      <c r="U56" s="198"/>
    </row>
    <row r="57" spans="1:21" s="12" customFormat="1" x14ac:dyDescent="0.25">
      <c r="A57" s="247" t="s">
        <v>676</v>
      </c>
      <c r="B57" s="64">
        <v>6.03</v>
      </c>
      <c r="C57" s="64">
        <v>59.59</v>
      </c>
      <c r="D57" s="64">
        <v>35.97</v>
      </c>
      <c r="E57" s="64">
        <v>2.33</v>
      </c>
      <c r="F57" s="64">
        <v>11.51</v>
      </c>
      <c r="G57" s="64">
        <v>77.599999999999994</v>
      </c>
      <c r="H57" s="64">
        <v>25.51</v>
      </c>
      <c r="I57" s="64">
        <v>3.96</v>
      </c>
      <c r="J57" s="64">
        <v>2.02</v>
      </c>
      <c r="K57" s="64">
        <v>321.98</v>
      </c>
      <c r="L57" s="64">
        <v>30.52</v>
      </c>
      <c r="M57" s="64">
        <v>13.78</v>
      </c>
      <c r="N57" s="64">
        <v>875.8</v>
      </c>
      <c r="O57" s="64">
        <v>0</v>
      </c>
      <c r="P57" s="64">
        <v>0.6</v>
      </c>
      <c r="Q57" s="64">
        <v>9.75</v>
      </c>
      <c r="R57" s="198"/>
      <c r="S57" s="198"/>
      <c r="T57" s="198"/>
      <c r="U57" s="198"/>
    </row>
    <row r="58" spans="1:21" s="12" customFormat="1" x14ac:dyDescent="0.25">
      <c r="A58" s="247" t="s">
        <v>677</v>
      </c>
      <c r="B58" s="64">
        <v>5.09</v>
      </c>
      <c r="C58" s="64">
        <v>63.68</v>
      </c>
      <c r="D58" s="64">
        <v>37.35</v>
      </c>
      <c r="E58" s="64">
        <v>1.88</v>
      </c>
      <c r="F58" s="64">
        <v>8.69</v>
      </c>
      <c r="G58" s="64">
        <v>77.599999999999994</v>
      </c>
      <c r="H58" s="64">
        <v>25.51</v>
      </c>
      <c r="I58" s="64">
        <v>3.96</v>
      </c>
      <c r="J58" s="64">
        <v>1.85</v>
      </c>
      <c r="K58" s="64">
        <v>317.83</v>
      </c>
      <c r="L58" s="64">
        <v>30.22</v>
      </c>
      <c r="M58" s="64">
        <v>13.48</v>
      </c>
      <c r="N58" s="64">
        <v>877.3</v>
      </c>
      <c r="O58" s="64">
        <v>0</v>
      </c>
      <c r="P58" s="64">
        <v>0.57999999999999996</v>
      </c>
      <c r="Q58" s="64">
        <v>9.74</v>
      </c>
      <c r="R58" s="198"/>
      <c r="S58" s="198"/>
      <c r="T58" s="198"/>
      <c r="U58" s="198"/>
    </row>
    <row r="59" spans="1:21" s="12" customFormat="1" x14ac:dyDescent="0.25">
      <c r="A59" s="247" t="s">
        <v>678</v>
      </c>
      <c r="B59" s="64">
        <v>5.33</v>
      </c>
      <c r="C59" s="64">
        <v>60.78</v>
      </c>
      <c r="D59" s="64">
        <v>36.03</v>
      </c>
      <c r="E59" s="64">
        <v>2.2999999999999998</v>
      </c>
      <c r="F59" s="64">
        <v>10.82</v>
      </c>
      <c r="G59" s="64">
        <v>77.599999999999994</v>
      </c>
      <c r="H59" s="64">
        <v>25.51</v>
      </c>
      <c r="I59" s="64">
        <v>3.84</v>
      </c>
      <c r="J59" s="64">
        <v>1.98</v>
      </c>
      <c r="K59" s="64">
        <v>346.25</v>
      </c>
      <c r="L59" s="64">
        <v>30.45</v>
      </c>
      <c r="M59" s="64">
        <v>13.18</v>
      </c>
      <c r="N59" s="64">
        <v>865.3</v>
      </c>
      <c r="O59" s="64">
        <v>0</v>
      </c>
      <c r="P59" s="64">
        <v>0.56999999999999995</v>
      </c>
      <c r="Q59" s="64">
        <v>9.73</v>
      </c>
      <c r="R59" s="198"/>
      <c r="S59" s="198"/>
      <c r="T59" s="198"/>
      <c r="U59" s="198"/>
    </row>
    <row r="60" spans="1:21" s="12" customFormat="1" x14ac:dyDescent="0.25">
      <c r="A60" s="247" t="s">
        <v>679</v>
      </c>
      <c r="B60" s="64">
        <v>5.01</v>
      </c>
      <c r="C60" s="64">
        <v>60.7</v>
      </c>
      <c r="D60" s="64">
        <v>35.729999999999997</v>
      </c>
      <c r="E60" s="64">
        <v>1.94</v>
      </c>
      <c r="F60" s="64">
        <v>8.92</v>
      </c>
      <c r="G60" s="64">
        <v>77.599999999999994</v>
      </c>
      <c r="H60" s="64">
        <v>25.51</v>
      </c>
      <c r="I60" s="64">
        <v>3.91</v>
      </c>
      <c r="J60" s="64">
        <v>2.35</v>
      </c>
      <c r="K60" s="64">
        <v>319.45999999999998</v>
      </c>
      <c r="L60" s="64">
        <v>30.89</v>
      </c>
      <c r="M60" s="64">
        <v>12.74</v>
      </c>
      <c r="N60" s="64">
        <v>879.2</v>
      </c>
      <c r="O60" s="64">
        <v>0</v>
      </c>
      <c r="P60" s="64">
        <v>0.56999999999999995</v>
      </c>
      <c r="Q60" s="64">
        <v>9.7100000000000009</v>
      </c>
      <c r="R60" s="198"/>
      <c r="S60" s="198"/>
      <c r="T60" s="198"/>
      <c r="U60" s="198"/>
    </row>
    <row r="61" spans="1:21" s="12" customFormat="1" x14ac:dyDescent="0.25">
      <c r="A61" s="247" t="s">
        <v>680</v>
      </c>
      <c r="B61" s="64">
        <v>4.84</v>
      </c>
      <c r="C61" s="64">
        <v>60.71</v>
      </c>
      <c r="D61" s="64">
        <v>35.6</v>
      </c>
      <c r="E61" s="64">
        <v>1.96</v>
      </c>
      <c r="F61" s="64">
        <v>10.55</v>
      </c>
      <c r="G61" s="64">
        <v>73.19</v>
      </c>
      <c r="H61" s="64">
        <v>19.48</v>
      </c>
      <c r="I61" s="64">
        <v>4.01</v>
      </c>
      <c r="J61" s="64">
        <v>1.96</v>
      </c>
      <c r="K61" s="64">
        <v>347.26</v>
      </c>
      <c r="L61" s="64">
        <v>30.42</v>
      </c>
      <c r="M61" s="64">
        <v>12.35</v>
      </c>
      <c r="N61" s="64">
        <v>875.5</v>
      </c>
      <c r="O61" s="64">
        <v>0</v>
      </c>
      <c r="P61" s="64">
        <v>0.56999999999999995</v>
      </c>
      <c r="Q61" s="64">
        <v>9.69</v>
      </c>
      <c r="R61" s="198"/>
      <c r="S61" s="198"/>
      <c r="T61" s="198"/>
      <c r="U61" s="198"/>
    </row>
    <row r="62" spans="1:21" s="12" customFormat="1" x14ac:dyDescent="0.25">
      <c r="A62" s="247" t="s">
        <v>681</v>
      </c>
      <c r="B62" s="64">
        <v>5.87</v>
      </c>
      <c r="C62" s="64">
        <v>55.8</v>
      </c>
      <c r="D62" s="64">
        <v>33.86</v>
      </c>
      <c r="E62" s="64">
        <v>1.93</v>
      </c>
      <c r="F62" s="64">
        <v>12.49</v>
      </c>
      <c r="G62" s="64">
        <v>73.19</v>
      </c>
      <c r="H62" s="64">
        <v>19.48</v>
      </c>
      <c r="I62" s="64">
        <v>3.86</v>
      </c>
      <c r="J62" s="64">
        <v>0.54</v>
      </c>
      <c r="K62" s="64">
        <v>316.52</v>
      </c>
      <c r="L62" s="64">
        <v>29.71</v>
      </c>
      <c r="M62" s="64">
        <v>12.79</v>
      </c>
      <c r="N62" s="64">
        <v>860.9</v>
      </c>
      <c r="O62" s="64">
        <v>0</v>
      </c>
      <c r="P62" s="64">
        <v>0.57999999999999996</v>
      </c>
      <c r="Q62" s="64">
        <v>9.69</v>
      </c>
      <c r="R62" s="198"/>
      <c r="S62" s="198"/>
      <c r="T62" s="198"/>
      <c r="U62" s="198"/>
    </row>
    <row r="63" spans="1:21" s="12" customFormat="1" x14ac:dyDescent="0.25">
      <c r="A63" s="247" t="s">
        <v>682</v>
      </c>
      <c r="B63" s="64">
        <v>4.9400000000000004</v>
      </c>
      <c r="C63" s="64">
        <v>57.3</v>
      </c>
      <c r="D63" s="64">
        <v>33.89</v>
      </c>
      <c r="E63" s="64">
        <v>1.8</v>
      </c>
      <c r="F63" s="64">
        <v>9.34</v>
      </c>
      <c r="G63" s="64">
        <v>73.19</v>
      </c>
      <c r="H63" s="64">
        <v>19.48</v>
      </c>
      <c r="I63" s="64">
        <v>4.0599999999999996</v>
      </c>
      <c r="J63" s="64">
        <v>1.47</v>
      </c>
      <c r="K63" s="64">
        <v>308.04000000000002</v>
      </c>
      <c r="L63" s="64">
        <v>30.21</v>
      </c>
      <c r="M63" s="64">
        <v>13.12</v>
      </c>
      <c r="N63" s="64">
        <v>798.8</v>
      </c>
      <c r="O63" s="64">
        <v>0</v>
      </c>
      <c r="P63" s="64">
        <v>0.59</v>
      </c>
      <c r="Q63" s="64">
        <v>9.68</v>
      </c>
      <c r="R63" s="198"/>
      <c r="S63" s="198"/>
      <c r="T63" s="198"/>
      <c r="U63" s="198"/>
    </row>
    <row r="64" spans="1:21" s="12" customFormat="1" x14ac:dyDescent="0.25">
      <c r="A64" s="247" t="s">
        <v>683</v>
      </c>
      <c r="B64" s="64">
        <v>4.53</v>
      </c>
      <c r="C64" s="64">
        <v>58.82</v>
      </c>
      <c r="D64" s="64">
        <v>34.36</v>
      </c>
      <c r="E64" s="64">
        <v>1.56</v>
      </c>
      <c r="F64" s="64">
        <v>9.9499999999999993</v>
      </c>
      <c r="G64" s="64">
        <v>73.19</v>
      </c>
      <c r="H64" s="64">
        <v>19.48</v>
      </c>
      <c r="I64" s="64">
        <v>4.0199999999999996</v>
      </c>
      <c r="J64" s="64">
        <v>1.08</v>
      </c>
      <c r="K64" s="64">
        <v>228.69</v>
      </c>
      <c r="L64" s="64">
        <v>27.75</v>
      </c>
      <c r="M64" s="64">
        <v>14.02</v>
      </c>
      <c r="N64" s="64">
        <v>753.6</v>
      </c>
      <c r="O64" s="64">
        <v>0</v>
      </c>
      <c r="P64" s="64">
        <v>0.56999999999999995</v>
      </c>
      <c r="Q64" s="64">
        <v>9.67</v>
      </c>
      <c r="R64" s="198"/>
      <c r="S64" s="198"/>
      <c r="T64" s="198"/>
      <c r="U64" s="198"/>
    </row>
    <row r="65" spans="1:21" s="12" customFormat="1" x14ac:dyDescent="0.25">
      <c r="A65" s="247" t="s">
        <v>684</v>
      </c>
      <c r="B65" s="64">
        <v>3.71</v>
      </c>
      <c r="C65" s="64">
        <v>51.59</v>
      </c>
      <c r="D65" s="64">
        <v>29.93</v>
      </c>
      <c r="E65" s="64">
        <v>2.0699999999999998</v>
      </c>
      <c r="F65" s="64">
        <v>13.87</v>
      </c>
      <c r="G65" s="64">
        <v>63.82</v>
      </c>
      <c r="H65" s="64">
        <v>17.14</v>
      </c>
      <c r="I65" s="64">
        <v>3.88</v>
      </c>
      <c r="J65" s="64">
        <v>0.81</v>
      </c>
      <c r="K65" s="64">
        <v>229.46</v>
      </c>
      <c r="L65" s="64">
        <v>27.04</v>
      </c>
      <c r="M65" s="64">
        <v>15.5</v>
      </c>
      <c r="N65" s="64">
        <v>817.2</v>
      </c>
      <c r="O65" s="64">
        <v>0</v>
      </c>
      <c r="P65" s="64">
        <v>0.54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47" t="s">
        <v>685</v>
      </c>
      <c r="B66" s="64">
        <v>4.4400000000000004</v>
      </c>
      <c r="C66" s="64">
        <v>49.42</v>
      </c>
      <c r="D66" s="64">
        <v>29.38</v>
      </c>
      <c r="E66" s="64">
        <v>1.91</v>
      </c>
      <c r="F66" s="64">
        <v>16.22</v>
      </c>
      <c r="G66" s="64">
        <v>63.82</v>
      </c>
      <c r="H66" s="64">
        <v>17.14</v>
      </c>
      <c r="I66" s="64">
        <v>4.0999999999999996</v>
      </c>
      <c r="J66" s="64">
        <v>0.31</v>
      </c>
      <c r="K66" s="64">
        <v>233.68</v>
      </c>
      <c r="L66" s="64">
        <v>28.54</v>
      </c>
      <c r="M66" s="64">
        <v>14.43</v>
      </c>
      <c r="N66" s="64">
        <v>589.70000000000005</v>
      </c>
      <c r="O66" s="64">
        <v>0</v>
      </c>
      <c r="P66" s="64">
        <v>0.51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47" t="s">
        <v>686</v>
      </c>
      <c r="B67" s="64">
        <v>4.5599999999999996</v>
      </c>
      <c r="C67" s="64">
        <v>51.08</v>
      </c>
      <c r="D67" s="64">
        <v>30.34</v>
      </c>
      <c r="E67" s="64">
        <v>1.69</v>
      </c>
      <c r="F67" s="64">
        <v>12.21</v>
      </c>
      <c r="G67" s="64">
        <v>63.82</v>
      </c>
      <c r="H67" s="64">
        <v>17.14</v>
      </c>
      <c r="I67" s="64">
        <v>4.04</v>
      </c>
      <c r="J67" s="64">
        <v>1.27</v>
      </c>
      <c r="K67" s="64">
        <v>319.93</v>
      </c>
      <c r="L67" s="64">
        <v>29.45</v>
      </c>
      <c r="M67" s="64">
        <v>13.23</v>
      </c>
      <c r="N67" s="64">
        <v>394.1</v>
      </c>
      <c r="O67" s="64">
        <v>0</v>
      </c>
      <c r="P67" s="64">
        <v>0.54</v>
      </c>
      <c r="Q67" s="64">
        <v>9.58</v>
      </c>
      <c r="R67" s="198"/>
      <c r="S67" s="198"/>
      <c r="T67" s="198"/>
      <c r="U67" s="198"/>
    </row>
    <row r="68" spans="1:21" s="12" customFormat="1" x14ac:dyDescent="0.25">
      <c r="A68" s="247" t="s">
        <v>687</v>
      </c>
      <c r="B68" s="64">
        <v>4.82</v>
      </c>
      <c r="C68" s="64">
        <v>52.17</v>
      </c>
      <c r="D68" s="64">
        <v>31.12</v>
      </c>
      <c r="E68" s="64">
        <v>1.1100000000000001</v>
      </c>
      <c r="F68" s="64">
        <v>12.02</v>
      </c>
      <c r="G68" s="64">
        <v>63.82</v>
      </c>
      <c r="H68" s="64">
        <v>17.14</v>
      </c>
      <c r="I68" s="64">
        <v>4.07</v>
      </c>
      <c r="J68" s="64">
        <v>1.42</v>
      </c>
      <c r="K68" s="64">
        <v>307.7</v>
      </c>
      <c r="L68" s="64">
        <v>29.5</v>
      </c>
      <c r="M68" s="64">
        <v>12.09</v>
      </c>
      <c r="N68" s="64">
        <v>292.60000000000002</v>
      </c>
      <c r="O68" s="64">
        <v>0</v>
      </c>
      <c r="P68" s="64">
        <v>0.53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47" t="s">
        <v>688</v>
      </c>
      <c r="B69" s="64">
        <v>5.69</v>
      </c>
      <c r="C69" s="64">
        <v>51.2</v>
      </c>
      <c r="D69" s="64">
        <v>31.31</v>
      </c>
      <c r="E69" s="64">
        <v>1.59</v>
      </c>
      <c r="F69" s="64">
        <v>13.76</v>
      </c>
      <c r="G69" s="64">
        <v>55.76</v>
      </c>
      <c r="H69" s="64">
        <v>16.72</v>
      </c>
      <c r="I69" s="64">
        <v>4.12</v>
      </c>
      <c r="J69" s="64">
        <v>1.51</v>
      </c>
      <c r="K69" s="64">
        <v>316.85000000000002</v>
      </c>
      <c r="L69" s="64">
        <v>29.52</v>
      </c>
      <c r="M69" s="64">
        <v>11.58</v>
      </c>
      <c r="N69" s="64">
        <v>340.4</v>
      </c>
      <c r="O69" s="64">
        <v>0</v>
      </c>
      <c r="P69" s="64">
        <v>0.53</v>
      </c>
      <c r="Q69" s="64">
        <v>9.5</v>
      </c>
      <c r="R69" s="198"/>
      <c r="S69" s="198"/>
      <c r="T69" s="198"/>
      <c r="U69" s="198"/>
    </row>
    <row r="70" spans="1:21" s="12" customFormat="1" x14ac:dyDescent="0.25">
      <c r="A70" s="247" t="s">
        <v>689</v>
      </c>
      <c r="B70" s="64">
        <v>5.63</v>
      </c>
      <c r="C70" s="64">
        <v>51.32</v>
      </c>
      <c r="D70" s="64">
        <v>31.33</v>
      </c>
      <c r="E70" s="64">
        <v>1.55</v>
      </c>
      <c r="F70" s="64">
        <v>11.84</v>
      </c>
      <c r="G70" s="64">
        <v>55.76</v>
      </c>
      <c r="H70" s="64">
        <v>16.72</v>
      </c>
      <c r="I70" s="64">
        <v>4.0599999999999996</v>
      </c>
      <c r="J70" s="64">
        <v>1.77</v>
      </c>
      <c r="K70" s="64">
        <v>318.01</v>
      </c>
      <c r="L70" s="64">
        <v>28.98</v>
      </c>
      <c r="M70" s="64">
        <v>11.15</v>
      </c>
      <c r="N70" s="64">
        <v>282.89999999999998</v>
      </c>
      <c r="O70" s="64">
        <v>0</v>
      </c>
      <c r="P70" s="64">
        <v>0.52</v>
      </c>
      <c r="Q70" s="64">
        <v>9.5</v>
      </c>
      <c r="R70" s="198"/>
      <c r="S70" s="198"/>
      <c r="T70" s="198"/>
      <c r="U70" s="198"/>
    </row>
    <row r="71" spans="1:21" s="12" customFormat="1" x14ac:dyDescent="0.25">
      <c r="A71" s="247" t="s">
        <v>690</v>
      </c>
      <c r="B71" s="64">
        <v>4.7300000000000004</v>
      </c>
      <c r="C71" s="64">
        <v>52.25</v>
      </c>
      <c r="D71" s="64">
        <v>31.09</v>
      </c>
      <c r="E71" s="64">
        <v>1.61</v>
      </c>
      <c r="F71" s="64">
        <v>9.82</v>
      </c>
      <c r="G71" s="64">
        <v>55.76</v>
      </c>
      <c r="H71" s="64">
        <v>16.72</v>
      </c>
      <c r="I71" s="64">
        <v>4.0599999999999996</v>
      </c>
      <c r="J71" s="64">
        <v>2.17</v>
      </c>
      <c r="K71" s="64">
        <v>307.08</v>
      </c>
      <c r="L71" s="64">
        <v>27.81</v>
      </c>
      <c r="M71" s="64">
        <v>11.92</v>
      </c>
      <c r="N71" s="64">
        <v>301.89999999999998</v>
      </c>
      <c r="O71" s="64">
        <v>0</v>
      </c>
      <c r="P71" s="64">
        <v>0.52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47" t="s">
        <v>691</v>
      </c>
      <c r="B72" s="64">
        <v>4.8899999999999997</v>
      </c>
      <c r="C72" s="64">
        <v>51.53</v>
      </c>
      <c r="D72" s="64">
        <v>30.84</v>
      </c>
      <c r="E72" s="64">
        <v>1.88</v>
      </c>
      <c r="F72" s="64">
        <v>11.14</v>
      </c>
      <c r="G72" s="64">
        <v>55.76</v>
      </c>
      <c r="H72" s="64">
        <v>16.72</v>
      </c>
      <c r="I72" s="64">
        <v>3.8</v>
      </c>
      <c r="J72" s="64">
        <v>1.7</v>
      </c>
      <c r="K72" s="64">
        <v>324.41000000000003</v>
      </c>
      <c r="L72" s="64">
        <v>27.11</v>
      </c>
      <c r="M72" s="64">
        <v>12.31</v>
      </c>
      <c r="N72" s="64">
        <v>190.3</v>
      </c>
      <c r="O72" s="64">
        <v>0</v>
      </c>
      <c r="P72" s="64">
        <v>0.51</v>
      </c>
      <c r="Q72" s="64">
        <v>9.49</v>
      </c>
      <c r="R72" s="198"/>
      <c r="S72" s="198"/>
      <c r="T72" s="198"/>
      <c r="U72" s="198"/>
    </row>
    <row r="73" spans="1:21" s="12" customFormat="1" x14ac:dyDescent="0.25">
      <c r="A73" s="247" t="s">
        <v>692</v>
      </c>
      <c r="B73" s="64">
        <v>7.44</v>
      </c>
      <c r="C73" s="64">
        <v>54.58</v>
      </c>
      <c r="D73" s="64">
        <v>34.49</v>
      </c>
      <c r="E73" s="64">
        <v>2.35</v>
      </c>
      <c r="F73" s="64">
        <v>11.91</v>
      </c>
      <c r="G73" s="64">
        <v>60.79</v>
      </c>
      <c r="H73" s="64">
        <v>16.09</v>
      </c>
      <c r="I73" s="64">
        <v>3.89</v>
      </c>
      <c r="J73" s="64">
        <v>1.08</v>
      </c>
      <c r="K73" s="64">
        <v>305.93</v>
      </c>
      <c r="L73" s="64">
        <v>26.75</v>
      </c>
      <c r="M73" s="64">
        <v>11.67</v>
      </c>
      <c r="N73" s="64">
        <v>196.9</v>
      </c>
      <c r="O73" s="64">
        <v>0</v>
      </c>
      <c r="P73" s="64">
        <v>0.5</v>
      </c>
      <c r="Q73" s="64">
        <v>9.4700000000000006</v>
      </c>
      <c r="R73" s="198"/>
      <c r="S73" s="198"/>
      <c r="T73" s="198"/>
      <c r="U73" s="198"/>
    </row>
    <row r="74" spans="1:21" s="12" customFormat="1" x14ac:dyDescent="0.25">
      <c r="A74" s="247" t="s">
        <v>693</v>
      </c>
      <c r="B74" s="64">
        <v>7.83</v>
      </c>
      <c r="C74" s="64">
        <v>50.09</v>
      </c>
      <c r="D74" s="64">
        <v>32.450000000000003</v>
      </c>
      <c r="E74" s="64">
        <v>2.62</v>
      </c>
      <c r="F74" s="64">
        <v>13.15</v>
      </c>
      <c r="G74" s="64">
        <v>60.79</v>
      </c>
      <c r="H74" s="64">
        <v>16.09</v>
      </c>
      <c r="I74" s="64">
        <v>3.89</v>
      </c>
      <c r="J74" s="64">
        <v>1.71</v>
      </c>
      <c r="K74" s="64">
        <v>321.13</v>
      </c>
      <c r="L74" s="64">
        <v>26.49</v>
      </c>
      <c r="M74" s="64">
        <v>12.67</v>
      </c>
      <c r="N74" s="64">
        <v>131.4</v>
      </c>
      <c r="O74" s="64">
        <v>0</v>
      </c>
      <c r="P74" s="64">
        <v>0.52</v>
      </c>
      <c r="Q74" s="64">
        <v>9.4499999999999993</v>
      </c>
      <c r="R74" s="198"/>
      <c r="S74" s="198"/>
      <c r="T74" s="198"/>
      <c r="U74" s="198"/>
    </row>
    <row r="75" spans="1:21" s="12" customFormat="1" x14ac:dyDescent="0.25">
      <c r="A75" s="247" t="s">
        <v>694</v>
      </c>
      <c r="B75" s="64">
        <v>9.6999999999999993</v>
      </c>
      <c r="C75" s="64">
        <v>55.7</v>
      </c>
      <c r="D75" s="64">
        <v>36.880000000000003</v>
      </c>
      <c r="E75" s="64">
        <v>2.98</v>
      </c>
      <c r="F75" s="64">
        <v>13.4</v>
      </c>
      <c r="G75" s="64">
        <v>60.79</v>
      </c>
      <c r="H75" s="64">
        <v>16.09</v>
      </c>
      <c r="I75" s="64">
        <v>4.03</v>
      </c>
      <c r="J75" s="64">
        <v>1.61</v>
      </c>
      <c r="K75" s="64">
        <v>349.83</v>
      </c>
      <c r="L75" s="64">
        <v>26.38</v>
      </c>
      <c r="M75" s="64">
        <v>12.9</v>
      </c>
      <c r="N75" s="64">
        <v>125.6</v>
      </c>
      <c r="O75" s="64">
        <v>0</v>
      </c>
      <c r="P75" s="64">
        <v>0.55000000000000004</v>
      </c>
      <c r="Q75" s="64">
        <v>9.4499999999999993</v>
      </c>
      <c r="R75" s="198"/>
      <c r="S75" s="198"/>
      <c r="T75" s="198"/>
      <c r="U75" s="198"/>
    </row>
    <row r="76" spans="1:21" s="12" customFormat="1" x14ac:dyDescent="0.25">
      <c r="A76" s="247" t="s">
        <v>695</v>
      </c>
      <c r="B76" s="64">
        <v>7.37</v>
      </c>
      <c r="C76" s="64">
        <v>52.58</v>
      </c>
      <c r="D76" s="64">
        <v>33.39</v>
      </c>
      <c r="E76" s="64">
        <v>2.66</v>
      </c>
      <c r="F76" s="64">
        <v>14.17</v>
      </c>
      <c r="G76" s="64">
        <v>60.79</v>
      </c>
      <c r="H76" s="64">
        <v>16.09</v>
      </c>
      <c r="I76" s="64">
        <v>3.98</v>
      </c>
      <c r="J76" s="64">
        <v>1.7</v>
      </c>
      <c r="K76" s="64">
        <v>336.22</v>
      </c>
      <c r="L76" s="64">
        <v>26.1</v>
      </c>
      <c r="M76" s="64">
        <v>13.07</v>
      </c>
      <c r="N76" s="64">
        <v>120.1</v>
      </c>
      <c r="O76" s="64">
        <v>0</v>
      </c>
      <c r="P76" s="64">
        <v>0.55000000000000004</v>
      </c>
      <c r="Q76" s="64">
        <v>9.4700000000000006</v>
      </c>
      <c r="R76" s="198"/>
      <c r="S76" s="198"/>
      <c r="T76" s="198"/>
      <c r="U76" s="198"/>
    </row>
    <row r="77" spans="1:21" s="12" customFormat="1" x14ac:dyDescent="0.25">
      <c r="A77" s="247" t="s">
        <v>696</v>
      </c>
      <c r="B77" s="64">
        <v>6.02</v>
      </c>
      <c r="C77" s="64">
        <v>55.23</v>
      </c>
      <c r="D77" s="64">
        <v>33.68</v>
      </c>
      <c r="E77" s="64">
        <v>2.34</v>
      </c>
      <c r="F77" s="64">
        <v>9.3800000000000008</v>
      </c>
      <c r="G77" s="64">
        <v>56.36</v>
      </c>
      <c r="H77" s="64">
        <v>16.489999999999998</v>
      </c>
      <c r="I77" s="64">
        <v>3.94</v>
      </c>
      <c r="J77" s="64">
        <v>2.44</v>
      </c>
      <c r="K77" s="64">
        <v>327.14</v>
      </c>
      <c r="L77" s="64">
        <v>25.62</v>
      </c>
      <c r="M77" s="64">
        <v>13.04</v>
      </c>
      <c r="N77" s="64">
        <v>107.5</v>
      </c>
      <c r="O77" s="64">
        <v>0</v>
      </c>
      <c r="P77" s="64">
        <v>0.55000000000000004</v>
      </c>
      <c r="Q77" s="64">
        <v>9.51</v>
      </c>
      <c r="R77" s="198"/>
      <c r="S77" s="198"/>
      <c r="T77" s="198"/>
      <c r="U77" s="198"/>
    </row>
    <row r="78" spans="1:21" s="12" customFormat="1" x14ac:dyDescent="0.25">
      <c r="A78" s="247" t="s">
        <v>697</v>
      </c>
      <c r="B78" s="64">
        <v>5.63</v>
      </c>
      <c r="C78" s="64">
        <v>55.28</v>
      </c>
      <c r="D78" s="64">
        <v>33.4</v>
      </c>
      <c r="E78" s="64">
        <v>2.39</v>
      </c>
      <c r="F78" s="64">
        <v>8.6999999999999993</v>
      </c>
      <c r="G78" s="64">
        <v>56.36</v>
      </c>
      <c r="H78" s="64">
        <v>16.489999999999998</v>
      </c>
      <c r="I78" s="64">
        <v>4.05</v>
      </c>
      <c r="J78" s="64">
        <v>1.79</v>
      </c>
      <c r="K78" s="64">
        <v>304.27999999999997</v>
      </c>
      <c r="L78" s="64">
        <v>25.28</v>
      </c>
      <c r="M78" s="64">
        <v>13.51</v>
      </c>
      <c r="N78" s="64">
        <v>96.8</v>
      </c>
      <c r="O78" s="64">
        <v>0</v>
      </c>
      <c r="P78" s="64">
        <v>0.56000000000000005</v>
      </c>
      <c r="Q78" s="64">
        <v>9.5</v>
      </c>
      <c r="R78" s="198"/>
      <c r="S78" s="198"/>
      <c r="T78" s="198"/>
      <c r="U78" s="198"/>
    </row>
    <row r="79" spans="1:21" s="12" customFormat="1" x14ac:dyDescent="0.25">
      <c r="A79" s="247" t="s">
        <v>698</v>
      </c>
      <c r="B79" s="64">
        <v>5.42</v>
      </c>
      <c r="C79" s="64">
        <v>55.29</v>
      </c>
      <c r="D79" s="64">
        <v>33.229999999999997</v>
      </c>
      <c r="E79" s="64">
        <v>2.2999999999999998</v>
      </c>
      <c r="F79" s="64">
        <v>9.1199999999999992</v>
      </c>
      <c r="G79" s="64">
        <v>56.36</v>
      </c>
      <c r="H79" s="64">
        <v>16.489999999999998</v>
      </c>
      <c r="I79" s="64">
        <v>3.8</v>
      </c>
      <c r="J79" s="64">
        <v>2.4500000000000002</v>
      </c>
      <c r="K79" s="64">
        <v>320.74</v>
      </c>
      <c r="L79" s="64">
        <v>24.63</v>
      </c>
      <c r="M79" s="64">
        <v>18.739999999999998</v>
      </c>
      <c r="N79" s="64">
        <v>87.3</v>
      </c>
      <c r="O79" s="64">
        <v>0</v>
      </c>
      <c r="P79" s="64">
        <v>0.55000000000000004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47" t="s">
        <v>699</v>
      </c>
      <c r="B80" s="64">
        <v>5.16</v>
      </c>
      <c r="C80" s="64">
        <v>55.77</v>
      </c>
      <c r="D80" s="64">
        <v>33.28</v>
      </c>
      <c r="E80" s="64">
        <v>2.04</v>
      </c>
      <c r="F80" s="64">
        <v>9.1</v>
      </c>
      <c r="G80" s="64">
        <v>56.36</v>
      </c>
      <c r="H80" s="64">
        <v>16.489999999999998</v>
      </c>
      <c r="I80" s="64">
        <v>3.97</v>
      </c>
      <c r="J80" s="64">
        <v>2.2000000000000002</v>
      </c>
      <c r="K80" s="64">
        <v>321.92</v>
      </c>
      <c r="L80" s="64">
        <v>23.91</v>
      </c>
      <c r="M80" s="64">
        <v>19.8</v>
      </c>
      <c r="N80" s="64">
        <v>75.599999999999994</v>
      </c>
      <c r="O80" s="64">
        <v>0</v>
      </c>
      <c r="P80" s="64">
        <v>0.56000000000000005</v>
      </c>
      <c r="Q80" s="64">
        <v>9.43</v>
      </c>
      <c r="R80" s="198"/>
      <c r="S80" s="198"/>
      <c r="T80" s="198"/>
      <c r="U80" s="198"/>
    </row>
    <row r="81" spans="1:26" s="12" customFormat="1" x14ac:dyDescent="0.25">
      <c r="A81" s="247" t="s">
        <v>700</v>
      </c>
      <c r="B81" s="64">
        <v>10.33</v>
      </c>
      <c r="C81" s="64">
        <v>59.81</v>
      </c>
      <c r="D81" s="64">
        <v>39.53</v>
      </c>
      <c r="E81" s="64">
        <v>1.93</v>
      </c>
      <c r="F81" s="64">
        <v>9.14</v>
      </c>
      <c r="G81" s="64">
        <v>51.61</v>
      </c>
      <c r="H81" s="64">
        <v>13.89</v>
      </c>
      <c r="I81" s="64">
        <v>4.1500000000000004</v>
      </c>
      <c r="J81" s="64">
        <v>1.64</v>
      </c>
      <c r="K81" s="64">
        <v>324.3</v>
      </c>
      <c r="L81" s="64">
        <v>23.33</v>
      </c>
      <c r="M81" s="64">
        <v>16.75</v>
      </c>
      <c r="N81" s="64">
        <v>68</v>
      </c>
      <c r="O81" s="64">
        <v>0</v>
      </c>
      <c r="P81" s="64">
        <v>0.61</v>
      </c>
      <c r="Q81" s="64">
        <v>9.44</v>
      </c>
      <c r="R81" s="198"/>
      <c r="S81" s="198"/>
      <c r="T81" s="198"/>
      <c r="U81" s="198"/>
    </row>
    <row r="82" spans="1:26" s="12" customFormat="1" x14ac:dyDescent="0.25">
      <c r="A82" s="247" t="s">
        <v>701</v>
      </c>
      <c r="B82" s="64">
        <v>9.17</v>
      </c>
      <c r="C82" s="64">
        <v>60.71</v>
      </c>
      <c r="D82" s="64">
        <v>39.07</v>
      </c>
      <c r="E82" s="64">
        <v>2.4500000000000002</v>
      </c>
      <c r="F82" s="64">
        <v>8.89</v>
      </c>
      <c r="G82" s="64">
        <v>51.61</v>
      </c>
      <c r="H82" s="64">
        <v>13.89</v>
      </c>
      <c r="I82" s="64">
        <v>4.05</v>
      </c>
      <c r="J82" s="64">
        <v>1.43</v>
      </c>
      <c r="K82" s="64">
        <v>311.17</v>
      </c>
      <c r="L82" s="64">
        <v>22.68</v>
      </c>
      <c r="M82" s="64">
        <v>16.47</v>
      </c>
      <c r="N82" s="64">
        <v>65.900000000000006</v>
      </c>
      <c r="O82" s="64">
        <v>0</v>
      </c>
      <c r="P82" s="64">
        <v>0.61</v>
      </c>
      <c r="Q82" s="64">
        <v>9.52</v>
      </c>
      <c r="R82" s="198"/>
      <c r="S82" s="198"/>
      <c r="T82" s="198"/>
      <c r="U82" s="198"/>
    </row>
    <row r="83" spans="1:26" s="12" customFormat="1" x14ac:dyDescent="0.25">
      <c r="A83" s="247" t="s">
        <v>702</v>
      </c>
      <c r="B83" s="64">
        <v>9.7799999999999994</v>
      </c>
      <c r="C83" s="64">
        <v>60.68</v>
      </c>
      <c r="D83" s="64">
        <v>39.54</v>
      </c>
      <c r="E83" s="64">
        <v>3.26</v>
      </c>
      <c r="F83" s="64">
        <v>8.08</v>
      </c>
      <c r="G83" s="64">
        <v>51.61</v>
      </c>
      <c r="H83" s="64">
        <v>13.89</v>
      </c>
      <c r="I83" s="64">
        <v>4.01</v>
      </c>
      <c r="J83" s="64">
        <v>1.58</v>
      </c>
      <c r="K83" s="64">
        <v>313.74</v>
      </c>
      <c r="L83" s="64">
        <v>22.19</v>
      </c>
      <c r="M83" s="64">
        <v>17.22</v>
      </c>
      <c r="N83" s="64">
        <v>65.2</v>
      </c>
      <c r="O83" s="64">
        <v>0</v>
      </c>
      <c r="P83" s="64">
        <v>0.63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47" t="s">
        <v>703</v>
      </c>
      <c r="B84" s="64">
        <v>13.01</v>
      </c>
      <c r="C84" s="64">
        <v>63.73</v>
      </c>
      <c r="D84" s="64">
        <v>43.73</v>
      </c>
      <c r="E84" s="64">
        <v>3.58</v>
      </c>
      <c r="F84" s="64">
        <v>8.4499999999999993</v>
      </c>
      <c r="G84" s="64">
        <v>51.61</v>
      </c>
      <c r="H84" s="64">
        <v>13.89</v>
      </c>
      <c r="I84" s="64">
        <v>4.01</v>
      </c>
      <c r="J84" s="64">
        <v>1.37</v>
      </c>
      <c r="K84" s="64">
        <v>318.76</v>
      </c>
      <c r="L84" s="64">
        <v>21.76</v>
      </c>
      <c r="M84" s="64">
        <v>17.940000000000001</v>
      </c>
      <c r="N84" s="64">
        <v>65.5</v>
      </c>
      <c r="O84" s="64">
        <v>0</v>
      </c>
      <c r="P84" s="64">
        <v>0.69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47" t="s">
        <v>704</v>
      </c>
      <c r="B85" s="64">
        <v>17.16</v>
      </c>
      <c r="C85" s="64">
        <v>65.38</v>
      </c>
      <c r="D85" s="64">
        <v>47.92</v>
      </c>
      <c r="E85" s="64">
        <v>4.13</v>
      </c>
      <c r="F85" s="64">
        <v>9.89</v>
      </c>
      <c r="G85" s="64">
        <v>49.41</v>
      </c>
      <c r="H85" s="64">
        <v>14.05</v>
      </c>
      <c r="I85" s="64">
        <v>4.01</v>
      </c>
      <c r="J85" s="64">
        <v>1.27</v>
      </c>
      <c r="K85" s="64">
        <v>330.53</v>
      </c>
      <c r="L85" s="64">
        <v>21.37</v>
      </c>
      <c r="M85" s="64">
        <v>19</v>
      </c>
      <c r="N85" s="64">
        <v>65.8</v>
      </c>
      <c r="O85" s="64">
        <v>0</v>
      </c>
      <c r="P85" s="64">
        <v>0.81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47" t="s">
        <v>705</v>
      </c>
      <c r="B86" s="64">
        <v>21.58</v>
      </c>
      <c r="C86" s="64">
        <v>64.84</v>
      </c>
      <c r="D86" s="64">
        <v>51.18</v>
      </c>
      <c r="E86" s="64">
        <v>3.32</v>
      </c>
      <c r="F86" s="64">
        <v>12.5</v>
      </c>
      <c r="G86" s="64">
        <v>49.41</v>
      </c>
      <c r="H86" s="64">
        <v>14.05</v>
      </c>
      <c r="I86" s="64">
        <v>3.82</v>
      </c>
      <c r="J86" s="64">
        <v>1.35</v>
      </c>
      <c r="K86" s="64">
        <v>335.7</v>
      </c>
      <c r="L86" s="64">
        <v>20.78</v>
      </c>
      <c r="M86" s="64">
        <v>20</v>
      </c>
      <c r="N86" s="64">
        <v>65.599999999999994</v>
      </c>
      <c r="O86" s="64">
        <v>0</v>
      </c>
      <c r="P86" s="64">
        <v>0.87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47" t="s">
        <v>706</v>
      </c>
      <c r="B87" s="64">
        <v>19.45</v>
      </c>
      <c r="C87" s="64">
        <v>65.150000000000006</v>
      </c>
      <c r="D87" s="64">
        <v>49.64</v>
      </c>
      <c r="E87" s="64">
        <v>3.03</v>
      </c>
      <c r="F87" s="64">
        <v>9.65</v>
      </c>
      <c r="G87" s="64">
        <v>49.41</v>
      </c>
      <c r="H87" s="64">
        <v>14.05</v>
      </c>
      <c r="I87" s="64">
        <v>4.1399999999999997</v>
      </c>
      <c r="J87" s="64">
        <v>1.8</v>
      </c>
      <c r="K87" s="64">
        <v>325.47000000000003</v>
      </c>
      <c r="L87" s="64">
        <v>20.63</v>
      </c>
      <c r="M87" s="64">
        <v>19.829999999999998</v>
      </c>
      <c r="N87" s="64">
        <v>64.599999999999994</v>
      </c>
      <c r="O87" s="64">
        <v>0</v>
      </c>
      <c r="P87" s="64">
        <v>0.87</v>
      </c>
      <c r="Q87" s="64">
        <v>9.7100000000000009</v>
      </c>
      <c r="R87" s="198"/>
      <c r="S87" s="198"/>
      <c r="T87" s="198"/>
      <c r="U87" s="198"/>
    </row>
    <row r="88" spans="1:26" s="12" customFormat="1" x14ac:dyDescent="0.25">
      <c r="A88" s="247" t="s">
        <v>707</v>
      </c>
      <c r="B88" s="64">
        <v>17.14</v>
      </c>
      <c r="C88" s="64">
        <v>63.97</v>
      </c>
      <c r="D88" s="64">
        <v>47.16</v>
      </c>
      <c r="E88" s="64">
        <v>2.29</v>
      </c>
      <c r="F88" s="64">
        <v>8.3000000000000007</v>
      </c>
      <c r="G88" s="64">
        <v>49.41</v>
      </c>
      <c r="H88" s="64">
        <v>14.05</v>
      </c>
      <c r="I88" s="64">
        <v>4.12</v>
      </c>
      <c r="J88" s="64">
        <v>1.81</v>
      </c>
      <c r="K88" s="64">
        <v>315.63</v>
      </c>
      <c r="L88" s="64">
        <v>20.5</v>
      </c>
      <c r="M88" s="64">
        <v>19.59</v>
      </c>
      <c r="N88" s="64">
        <v>65.3</v>
      </c>
      <c r="O88" s="64">
        <v>0</v>
      </c>
      <c r="P88" s="64">
        <v>0.79</v>
      </c>
      <c r="Q88" s="64">
        <v>9.76</v>
      </c>
      <c r="R88" s="198"/>
      <c r="S88" s="198"/>
      <c r="T88" s="198"/>
      <c r="U88" s="198"/>
    </row>
    <row r="89" spans="1:26" s="12" customFormat="1" x14ac:dyDescent="0.25">
      <c r="A89" s="247" t="s">
        <v>708</v>
      </c>
      <c r="B89" s="64">
        <v>16.09</v>
      </c>
      <c r="C89" s="64">
        <v>65.900000000000006</v>
      </c>
      <c r="D89" s="64">
        <v>47.34</v>
      </c>
      <c r="E89" s="64">
        <v>2.62</v>
      </c>
      <c r="F89" s="64">
        <v>7.72</v>
      </c>
      <c r="G89" s="64">
        <v>57.43</v>
      </c>
      <c r="H89" s="64">
        <v>195.28</v>
      </c>
      <c r="I89" s="64">
        <v>4.0199999999999996</v>
      </c>
      <c r="J89" s="64">
        <v>2.04</v>
      </c>
      <c r="K89" s="64">
        <v>319.99</v>
      </c>
      <c r="L89" s="64">
        <v>20.16</v>
      </c>
      <c r="M89" s="64">
        <v>20.32</v>
      </c>
      <c r="N89" s="64">
        <v>65.2</v>
      </c>
      <c r="O89" s="64">
        <v>0</v>
      </c>
      <c r="P89" s="64">
        <v>0.81</v>
      </c>
      <c r="Q89" s="64">
        <v>9.7799999999999994</v>
      </c>
      <c r="R89" s="198"/>
      <c r="S89" s="198"/>
      <c r="T89" s="198"/>
      <c r="U89" s="198"/>
    </row>
    <row r="90" spans="1:26" s="12" customFormat="1" x14ac:dyDescent="0.25">
      <c r="A90" s="247" t="s">
        <v>709</v>
      </c>
      <c r="B90" s="64">
        <v>16.37</v>
      </c>
      <c r="C90" s="64">
        <v>64.78</v>
      </c>
      <c r="D90" s="64">
        <v>46.97</v>
      </c>
      <c r="E90" s="64">
        <v>2.73</v>
      </c>
      <c r="F90" s="64">
        <v>7.56</v>
      </c>
      <c r="G90" s="64">
        <v>57.43</v>
      </c>
      <c r="H90" s="64">
        <v>195.28</v>
      </c>
      <c r="I90" s="64">
        <v>3.93</v>
      </c>
      <c r="J90" s="64">
        <v>1.77</v>
      </c>
      <c r="K90" s="64">
        <v>324.32</v>
      </c>
      <c r="L90" s="64">
        <v>19.8</v>
      </c>
      <c r="M90" s="64">
        <v>21.01</v>
      </c>
      <c r="N90" s="64">
        <v>65.5</v>
      </c>
      <c r="O90" s="64">
        <v>0</v>
      </c>
      <c r="P90" s="64">
        <v>0.82</v>
      </c>
      <c r="Q90" s="64">
        <v>9.81</v>
      </c>
      <c r="R90" s="198"/>
      <c r="S90" s="198"/>
      <c r="T90" s="198"/>
      <c r="U90" s="198"/>
    </row>
    <row r="91" spans="1:26" s="12" customFormat="1" x14ac:dyDescent="0.25">
      <c r="A91" s="247" t="s">
        <v>710</v>
      </c>
      <c r="B91" s="64">
        <v>16.09</v>
      </c>
      <c r="C91" s="64">
        <v>65.47</v>
      </c>
      <c r="D91" s="64">
        <v>47.1</v>
      </c>
      <c r="E91" s="64">
        <v>2.96</v>
      </c>
      <c r="F91" s="64">
        <v>7.45</v>
      </c>
      <c r="G91" s="64">
        <v>57.43</v>
      </c>
      <c r="H91" s="64">
        <v>195.28</v>
      </c>
      <c r="I91" s="64">
        <v>4.04</v>
      </c>
      <c r="J91" s="64">
        <v>1.99</v>
      </c>
      <c r="K91" s="64">
        <v>324.26</v>
      </c>
      <c r="L91" s="64">
        <v>19.54</v>
      </c>
      <c r="M91" s="64">
        <v>21.11</v>
      </c>
      <c r="N91" s="64">
        <v>65.2</v>
      </c>
      <c r="O91" s="64">
        <v>0</v>
      </c>
      <c r="P91" s="64">
        <v>0.82</v>
      </c>
      <c r="Q91" s="64">
        <v>9.7899999999999991</v>
      </c>
      <c r="R91" s="198"/>
      <c r="S91" s="198"/>
      <c r="T91" s="198"/>
      <c r="U91" s="198"/>
    </row>
    <row r="92" spans="1:26" s="12" customFormat="1" x14ac:dyDescent="0.25">
      <c r="A92" s="247" t="s">
        <v>711</v>
      </c>
      <c r="B92" s="64">
        <v>15.91</v>
      </c>
      <c r="C92" s="64">
        <v>64.400000000000006</v>
      </c>
      <c r="D92" s="64">
        <v>46.4</v>
      </c>
      <c r="E92" s="64">
        <v>2.31</v>
      </c>
      <c r="F92" s="64">
        <v>8.19</v>
      </c>
      <c r="G92" s="64">
        <v>57.43</v>
      </c>
      <c r="H92" s="64">
        <v>195.28</v>
      </c>
      <c r="I92" s="64">
        <v>4.0599999999999996</v>
      </c>
      <c r="J92" s="64">
        <v>2.19</v>
      </c>
      <c r="K92" s="64">
        <v>327.72</v>
      </c>
      <c r="L92" s="64">
        <v>19.38</v>
      </c>
      <c r="M92" s="64">
        <v>20.29</v>
      </c>
      <c r="N92" s="64">
        <v>65.3</v>
      </c>
      <c r="O92" s="64">
        <v>0</v>
      </c>
      <c r="P92" s="64">
        <v>0.82</v>
      </c>
      <c r="Q92" s="64">
        <v>9.76</v>
      </c>
      <c r="R92" s="198"/>
      <c r="S92" s="198"/>
      <c r="T92" s="198"/>
      <c r="U92" s="198"/>
    </row>
    <row r="93" spans="1:26" s="12" customFormat="1" x14ac:dyDescent="0.25">
      <c r="A93" s="247" t="s">
        <v>712</v>
      </c>
      <c r="B93" s="64">
        <v>14.96</v>
      </c>
      <c r="C93" s="64">
        <v>64.260000000000005</v>
      </c>
      <c r="D93" s="64">
        <v>45.57</v>
      </c>
      <c r="E93" s="64">
        <v>2.35</v>
      </c>
      <c r="F93" s="64">
        <v>7.33</v>
      </c>
      <c r="G93" s="64">
        <v>54.59</v>
      </c>
      <c r="H93" s="64">
        <v>14.9</v>
      </c>
      <c r="I93" s="64">
        <v>4.0599999999999996</v>
      </c>
      <c r="J93" s="64">
        <v>2.13</v>
      </c>
      <c r="K93" s="64">
        <v>320.75</v>
      </c>
      <c r="L93" s="64">
        <v>19.059999999999999</v>
      </c>
      <c r="M93" s="64">
        <v>20.86</v>
      </c>
      <c r="N93" s="64">
        <v>65.3</v>
      </c>
      <c r="O93" s="64">
        <v>0</v>
      </c>
      <c r="P93" s="64">
        <v>0.81</v>
      </c>
      <c r="Q93" s="64">
        <v>9.77</v>
      </c>
      <c r="R93" s="198"/>
      <c r="S93" s="198"/>
      <c r="T93" s="198"/>
      <c r="U93" s="198"/>
    </row>
    <row r="94" spans="1:26" s="12" customFormat="1" x14ac:dyDescent="0.25">
      <c r="A94" s="247" t="s">
        <v>713</v>
      </c>
      <c r="B94" s="64">
        <v>13.66</v>
      </c>
      <c r="C94" s="64">
        <v>64.53</v>
      </c>
      <c r="D94" s="64">
        <v>44.67</v>
      </c>
      <c r="E94" s="64">
        <v>2.16</v>
      </c>
      <c r="F94" s="64">
        <v>6.85</v>
      </c>
      <c r="G94" s="64">
        <v>54.59</v>
      </c>
      <c r="H94" s="64">
        <v>14.9</v>
      </c>
      <c r="I94" s="64">
        <v>4.04</v>
      </c>
      <c r="J94" s="64">
        <v>1.88</v>
      </c>
      <c r="K94" s="64">
        <v>312.08999999999997</v>
      </c>
      <c r="L94" s="64">
        <v>18.73</v>
      </c>
      <c r="M94" s="64">
        <v>21.38</v>
      </c>
      <c r="N94" s="64">
        <v>65.3</v>
      </c>
      <c r="O94" s="64">
        <v>0</v>
      </c>
      <c r="P94" s="64">
        <v>0.81</v>
      </c>
      <c r="Q94" s="64">
        <v>9.76</v>
      </c>
      <c r="R94" s="198"/>
      <c r="S94" s="198"/>
      <c r="T94" s="198"/>
      <c r="U94" s="198"/>
    </row>
    <row r="95" spans="1:26" s="12" customFormat="1" x14ac:dyDescent="0.25">
      <c r="A95" s="247" t="s">
        <v>714</v>
      </c>
      <c r="B95" s="64">
        <v>12.4</v>
      </c>
      <c r="C95" s="64">
        <v>64.14</v>
      </c>
      <c r="D95" s="64">
        <v>43.46</v>
      </c>
      <c r="E95" s="64">
        <v>2.0299999999999998</v>
      </c>
      <c r="F95" s="64">
        <v>6.82</v>
      </c>
      <c r="G95" s="64">
        <v>54.59</v>
      </c>
      <c r="H95" s="64">
        <v>14.9</v>
      </c>
      <c r="I95" s="64">
        <v>3.94</v>
      </c>
      <c r="J95" s="64">
        <v>2.2999999999999998</v>
      </c>
      <c r="K95" s="64">
        <v>316.25</v>
      </c>
      <c r="L95" s="64">
        <v>18.559999999999999</v>
      </c>
      <c r="M95" s="64">
        <v>21.53</v>
      </c>
      <c r="N95" s="64">
        <v>65.099999999999994</v>
      </c>
      <c r="O95" s="64">
        <v>0</v>
      </c>
      <c r="P95" s="64">
        <v>0.79</v>
      </c>
      <c r="Q95" s="64">
        <v>9.73</v>
      </c>
      <c r="R95" s="198"/>
      <c r="S95" s="198"/>
      <c r="T95" s="198"/>
      <c r="U95" s="198"/>
    </row>
    <row r="96" spans="1:26" s="12" customFormat="1" x14ac:dyDescent="0.25">
      <c r="A96" s="247" t="s">
        <v>715</v>
      </c>
      <c r="B96" s="64">
        <v>10.9</v>
      </c>
      <c r="C96" s="64">
        <v>63.91</v>
      </c>
      <c r="D96" s="64">
        <v>42.14</v>
      </c>
      <c r="E96" s="64">
        <v>1.95</v>
      </c>
      <c r="F96" s="64">
        <v>7.13</v>
      </c>
      <c r="G96" s="64">
        <v>54.59</v>
      </c>
      <c r="H96" s="64">
        <v>14.9</v>
      </c>
      <c r="I96" s="64">
        <v>4.1399999999999997</v>
      </c>
      <c r="J96" s="64">
        <v>2.1</v>
      </c>
      <c r="K96" s="64">
        <v>322.88</v>
      </c>
      <c r="L96" s="64">
        <v>18.34</v>
      </c>
      <c r="M96" s="64">
        <v>22.03</v>
      </c>
      <c r="N96" s="64">
        <v>65.400000000000006</v>
      </c>
      <c r="O96" s="64">
        <v>0</v>
      </c>
      <c r="P96" s="64">
        <v>0.77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716</v>
      </c>
      <c r="B97" s="64">
        <v>10.47</v>
      </c>
      <c r="C97" s="64">
        <v>64.47</v>
      </c>
      <c r="D97" s="64">
        <v>42.08</v>
      </c>
      <c r="E97" s="64">
        <v>1.98</v>
      </c>
      <c r="F97" s="64">
        <v>6.68</v>
      </c>
      <c r="G97" s="64">
        <v>50.87</v>
      </c>
      <c r="H97" s="64">
        <v>2.72</v>
      </c>
      <c r="I97" s="64">
        <v>4.0599999999999996</v>
      </c>
      <c r="J97" s="64">
        <v>1.85</v>
      </c>
      <c r="K97" s="64">
        <v>332.96</v>
      </c>
      <c r="L97" s="64">
        <v>18.09</v>
      </c>
      <c r="M97" s="64">
        <v>22.69</v>
      </c>
      <c r="N97" s="64">
        <v>65.5</v>
      </c>
      <c r="O97" s="64">
        <v>0</v>
      </c>
      <c r="P97" s="64">
        <v>0.77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47" t="s">
        <v>717</v>
      </c>
      <c r="B98" s="64">
        <v>10.62</v>
      </c>
      <c r="C98" s="64">
        <v>65.63</v>
      </c>
      <c r="D98" s="64">
        <v>42.8</v>
      </c>
      <c r="E98" s="64">
        <v>1.99</v>
      </c>
      <c r="F98" s="64">
        <v>6.7</v>
      </c>
      <c r="G98" s="64">
        <v>50.87</v>
      </c>
      <c r="H98" s="64">
        <v>2.72</v>
      </c>
      <c r="I98" s="64">
        <v>3.87</v>
      </c>
      <c r="J98" s="64">
        <v>1.73</v>
      </c>
      <c r="K98" s="64">
        <v>328.1</v>
      </c>
      <c r="L98" s="64">
        <v>17.75</v>
      </c>
      <c r="M98" s="64">
        <v>23.85</v>
      </c>
      <c r="N98" s="64">
        <v>65.7</v>
      </c>
      <c r="O98" s="64">
        <v>0</v>
      </c>
      <c r="P98" s="64">
        <v>0.76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47" t="s">
        <v>718</v>
      </c>
      <c r="B99" s="64">
        <v>12.46</v>
      </c>
      <c r="C99" s="64">
        <v>67.06</v>
      </c>
      <c r="D99" s="64">
        <v>45.03</v>
      </c>
      <c r="E99" s="64">
        <v>1.85</v>
      </c>
      <c r="F99" s="64">
        <v>7.07</v>
      </c>
      <c r="G99" s="64">
        <v>50.87</v>
      </c>
      <c r="H99" s="64">
        <v>2.72</v>
      </c>
      <c r="I99" s="64">
        <v>3.95</v>
      </c>
      <c r="J99" s="64">
        <v>1.99</v>
      </c>
      <c r="K99" s="64">
        <v>325.29000000000002</v>
      </c>
      <c r="L99" s="64">
        <v>17.36</v>
      </c>
      <c r="M99" s="64">
        <v>24.8</v>
      </c>
      <c r="N99" s="64">
        <v>65.3</v>
      </c>
      <c r="O99" s="64">
        <v>0</v>
      </c>
      <c r="P99" s="64">
        <v>0.75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47" t="s">
        <v>719</v>
      </c>
      <c r="B100" s="64">
        <v>11.2</v>
      </c>
      <c r="C100" s="64">
        <v>66.73</v>
      </c>
      <c r="D100" s="64">
        <v>43.84</v>
      </c>
      <c r="E100" s="64">
        <v>1.86</v>
      </c>
      <c r="F100" s="64">
        <v>7.26</v>
      </c>
      <c r="G100" s="64">
        <v>50.87</v>
      </c>
      <c r="H100" s="64">
        <v>2.72</v>
      </c>
      <c r="I100" s="64">
        <v>4.1500000000000004</v>
      </c>
      <c r="J100" s="64">
        <v>1.87</v>
      </c>
      <c r="K100" s="64">
        <v>326.87</v>
      </c>
      <c r="L100" s="64">
        <v>16.97</v>
      </c>
      <c r="M100" s="64">
        <v>25.93</v>
      </c>
      <c r="N100" s="64">
        <v>65.5</v>
      </c>
      <c r="O100" s="64">
        <v>0</v>
      </c>
      <c r="P100" s="64">
        <v>0.73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720</v>
      </c>
      <c r="B101" s="64">
        <v>11.39</v>
      </c>
      <c r="C101" s="64">
        <v>68.8</v>
      </c>
      <c r="D101" s="64">
        <v>45.08</v>
      </c>
      <c r="E101" s="64">
        <v>1.99</v>
      </c>
      <c r="F101" s="64">
        <v>7.37</v>
      </c>
      <c r="G101" s="64">
        <v>50.54</v>
      </c>
      <c r="H101" s="64">
        <v>257.47000000000003</v>
      </c>
      <c r="I101" s="64">
        <v>3.97</v>
      </c>
      <c r="J101" s="64">
        <v>1.43</v>
      </c>
      <c r="K101" s="64">
        <v>334.03</v>
      </c>
      <c r="L101" s="64">
        <v>16.71</v>
      </c>
      <c r="M101" s="64">
        <v>25.98</v>
      </c>
      <c r="N101" s="64">
        <v>65.7</v>
      </c>
      <c r="O101" s="64">
        <v>0</v>
      </c>
      <c r="P101" s="64">
        <v>0.73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47" t="s">
        <v>721</v>
      </c>
      <c r="B102" s="64">
        <v>10.84</v>
      </c>
      <c r="C102" s="64">
        <v>66.790000000000006</v>
      </c>
      <c r="D102" s="64">
        <v>43.59</v>
      </c>
      <c r="E102" s="64">
        <v>1.61</v>
      </c>
      <c r="F102" s="64">
        <v>6.93</v>
      </c>
      <c r="G102" s="64">
        <v>50.54</v>
      </c>
      <c r="H102" s="64">
        <v>257.47000000000003</v>
      </c>
      <c r="I102" s="64">
        <v>3.98</v>
      </c>
      <c r="J102" s="64">
        <v>1.8</v>
      </c>
      <c r="K102" s="64">
        <v>341.47</v>
      </c>
      <c r="L102" s="64">
        <v>16.5</v>
      </c>
      <c r="M102" s="64">
        <v>26.04</v>
      </c>
      <c r="N102" s="64">
        <v>65.3</v>
      </c>
      <c r="O102" s="64">
        <v>0</v>
      </c>
      <c r="P102" s="64">
        <v>0.71</v>
      </c>
      <c r="Q102" s="64">
        <v>9.59</v>
      </c>
      <c r="R102" s="198"/>
      <c r="S102" s="198"/>
      <c r="T102" s="198"/>
      <c r="U102" s="198"/>
    </row>
    <row r="103" spans="1:33" s="12" customFormat="1" x14ac:dyDescent="0.25">
      <c r="A103" s="247" t="s">
        <v>722</v>
      </c>
      <c r="B103" s="64">
        <v>10.23</v>
      </c>
      <c r="C103" s="64">
        <v>65.12</v>
      </c>
      <c r="D103" s="64">
        <v>42.22</v>
      </c>
      <c r="E103" s="64">
        <v>1.72</v>
      </c>
      <c r="F103" s="64">
        <v>7.48</v>
      </c>
      <c r="G103" s="64">
        <v>50.54</v>
      </c>
      <c r="H103" s="64">
        <v>257.47000000000003</v>
      </c>
      <c r="I103" s="64">
        <v>4.01</v>
      </c>
      <c r="J103" s="64">
        <v>2.0099999999999998</v>
      </c>
      <c r="K103" s="64">
        <v>337.72</v>
      </c>
      <c r="L103" s="64">
        <v>16.48</v>
      </c>
      <c r="M103" s="64">
        <v>25.2</v>
      </c>
      <c r="N103" s="64">
        <v>65.3</v>
      </c>
      <c r="O103" s="64">
        <v>0</v>
      </c>
      <c r="P103" s="64">
        <v>0.7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47" t="s">
        <v>723</v>
      </c>
      <c r="B104" s="64">
        <v>8.9499999999999993</v>
      </c>
      <c r="C104" s="64">
        <v>64.319999999999993</v>
      </c>
      <c r="D104" s="64">
        <v>40.78</v>
      </c>
      <c r="E104" s="64">
        <v>3.18</v>
      </c>
      <c r="F104" s="64">
        <v>8.08</v>
      </c>
      <c r="G104" s="64">
        <v>50.54</v>
      </c>
      <c r="H104" s="64">
        <v>257.47000000000003</v>
      </c>
      <c r="I104" s="64">
        <v>4.0199999999999996</v>
      </c>
      <c r="J104" s="64">
        <v>2.2000000000000002</v>
      </c>
      <c r="K104" s="64">
        <v>335.85</v>
      </c>
      <c r="L104" s="64">
        <v>16.13</v>
      </c>
      <c r="M104" s="64">
        <v>26.17</v>
      </c>
      <c r="N104" s="64">
        <v>65.400000000000006</v>
      </c>
      <c r="O104" s="64">
        <v>0</v>
      </c>
      <c r="P104" s="64">
        <v>0.67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3.71</v>
      </c>
      <c r="C106" s="67">
        <f>MIN(C9:C104)</f>
        <v>49.42</v>
      </c>
      <c r="D106" s="67">
        <f t="shared" ref="D106:Q106" si="0">MIN(D9:D104)</f>
        <v>29.38</v>
      </c>
      <c r="E106" s="67">
        <f t="shared" si="0"/>
        <v>1.1100000000000001</v>
      </c>
      <c r="F106" s="67">
        <f t="shared" si="0"/>
        <v>6.68</v>
      </c>
      <c r="G106" s="67">
        <f t="shared" si="0"/>
        <v>49.41</v>
      </c>
      <c r="H106" s="67">
        <f t="shared" si="0"/>
        <v>2.72</v>
      </c>
      <c r="I106" s="67">
        <f t="shared" si="0"/>
        <v>3.8</v>
      </c>
      <c r="J106" s="67">
        <f t="shared" si="0"/>
        <v>0.31</v>
      </c>
      <c r="K106" s="67">
        <f t="shared" si="0"/>
        <v>0.85</v>
      </c>
      <c r="L106" s="67">
        <f t="shared" si="0"/>
        <v>16.13</v>
      </c>
      <c r="M106" s="67">
        <f t="shared" si="0"/>
        <v>11.15</v>
      </c>
      <c r="N106" s="67">
        <f t="shared" si="0"/>
        <v>61.6</v>
      </c>
      <c r="O106" s="67">
        <f t="shared" si="0"/>
        <v>0</v>
      </c>
      <c r="P106" s="67">
        <f t="shared" si="0"/>
        <v>0.5</v>
      </c>
      <c r="Q106" s="67">
        <f t="shared" si="0"/>
        <v>9.43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21.58</v>
      </c>
      <c r="C107" s="66">
        <f t="shared" ref="C107:Q107" si="1">MAX(C9:C104)</f>
        <v>70.180000000000007</v>
      </c>
      <c r="D107" s="66">
        <f t="shared" si="1"/>
        <v>51.18</v>
      </c>
      <c r="E107" s="66">
        <f t="shared" si="1"/>
        <v>5.84</v>
      </c>
      <c r="F107" s="66">
        <f t="shared" si="1"/>
        <v>16.22</v>
      </c>
      <c r="G107" s="66">
        <f t="shared" si="1"/>
        <v>100.52</v>
      </c>
      <c r="H107" s="66">
        <f t="shared" si="1"/>
        <v>257.47000000000003</v>
      </c>
      <c r="I107" s="66">
        <f t="shared" si="1"/>
        <v>4.18</v>
      </c>
      <c r="J107" s="66">
        <f t="shared" si="1"/>
        <v>2.89</v>
      </c>
      <c r="K107" s="66">
        <f t="shared" si="1"/>
        <v>359.87</v>
      </c>
      <c r="L107" s="66">
        <f t="shared" si="1"/>
        <v>30.89</v>
      </c>
      <c r="M107" s="66">
        <f t="shared" si="1"/>
        <v>49.97</v>
      </c>
      <c r="N107" s="66">
        <f t="shared" si="1"/>
        <v>933.7</v>
      </c>
      <c r="O107" s="66">
        <f t="shared" si="1"/>
        <v>0</v>
      </c>
      <c r="P107" s="66">
        <f t="shared" si="1"/>
        <v>1.01</v>
      </c>
      <c r="Q107" s="66">
        <f t="shared" si="1"/>
        <v>10.09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8.7570833333333322</v>
      </c>
      <c r="C108" s="67">
        <f t="shared" ref="C108:Q108" si="2">AVERAGE(C9:C104)</f>
        <v>61.341041666666676</v>
      </c>
      <c r="D108" s="67">
        <f t="shared" si="2"/>
        <v>39.070208333333341</v>
      </c>
      <c r="E108" s="67">
        <f t="shared" si="2"/>
        <v>2.6366666666666667</v>
      </c>
      <c r="F108" s="67">
        <f t="shared" si="2"/>
        <v>9.2986458333333353</v>
      </c>
      <c r="G108" s="67">
        <f t="shared" si="2"/>
        <v>65.969166666666638</v>
      </c>
      <c r="H108" s="67">
        <f t="shared" si="2"/>
        <v>36.220833333333353</v>
      </c>
      <c r="I108" s="67">
        <f t="shared" si="2"/>
        <v>4.0020833333333341</v>
      </c>
      <c r="J108" s="67">
        <f t="shared" si="2"/>
        <v>1.9536458333333331</v>
      </c>
      <c r="K108" s="67">
        <f t="shared" si="2"/>
        <v>307.89062499999994</v>
      </c>
      <c r="L108" s="67">
        <f t="shared" si="2"/>
        <v>22.919895833333332</v>
      </c>
      <c r="M108" s="67">
        <f t="shared" si="2"/>
        <v>26.130416666666676</v>
      </c>
      <c r="N108" s="67">
        <f t="shared" si="2"/>
        <v>284.2833333333333</v>
      </c>
      <c r="O108" s="67">
        <f t="shared" si="2"/>
        <v>0</v>
      </c>
      <c r="P108" s="67">
        <f t="shared" si="2"/>
        <v>0.65416666666666679</v>
      </c>
      <c r="Q108" s="67">
        <f t="shared" si="2"/>
        <v>9.7270833333333329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4.0183932155885049</v>
      </c>
      <c r="C109" s="67">
        <f t="shared" ref="C109:Q109" si="3">STDEV(C9:C104)</f>
        <v>5.6476861548344539</v>
      </c>
      <c r="D109" s="67">
        <f t="shared" si="3"/>
        <v>5.5340642681993222</v>
      </c>
      <c r="E109" s="67">
        <f t="shared" si="3"/>
        <v>0.77868805546207231</v>
      </c>
      <c r="F109" s="67">
        <f t="shared" si="3"/>
        <v>1.9169266080405836</v>
      </c>
      <c r="G109" s="67">
        <f t="shared" si="3"/>
        <v>14.936905172771027</v>
      </c>
      <c r="H109" s="67">
        <f t="shared" si="3"/>
        <v>58.65599644791866</v>
      </c>
      <c r="I109" s="67">
        <f t="shared" si="3"/>
        <v>8.8578441795265209E-2</v>
      </c>
      <c r="J109" s="67">
        <f t="shared" si="3"/>
        <v>0.44703260164089192</v>
      </c>
      <c r="K109" s="67">
        <f t="shared" si="3"/>
        <v>89.478517996015057</v>
      </c>
      <c r="L109" s="67">
        <f t="shared" si="3"/>
        <v>4.6383249006264995</v>
      </c>
      <c r="M109" s="67">
        <f t="shared" si="3"/>
        <v>12.764482624323863</v>
      </c>
      <c r="N109" s="67">
        <f t="shared" si="3"/>
        <v>316.53585534548563</v>
      </c>
      <c r="O109" s="67">
        <f t="shared" si="3"/>
        <v>0</v>
      </c>
      <c r="P109" s="67">
        <f t="shared" si="3"/>
        <v>0.11327346199786734</v>
      </c>
      <c r="Q109" s="67">
        <f t="shared" si="3"/>
        <v>0.1583461675315504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724</v>
      </c>
      <c r="B9" s="64">
        <v>7.98</v>
      </c>
      <c r="C9" s="64">
        <v>63.44</v>
      </c>
      <c r="D9" s="64">
        <v>39.549999999999997</v>
      </c>
      <c r="E9" s="64">
        <v>2.2200000000000002</v>
      </c>
      <c r="F9" s="64">
        <v>7.9</v>
      </c>
      <c r="G9" s="64">
        <v>47.96</v>
      </c>
      <c r="H9" s="64">
        <v>13.22</v>
      </c>
      <c r="I9" s="64">
        <v>4.07</v>
      </c>
      <c r="J9" s="64">
        <v>2.2000000000000002</v>
      </c>
      <c r="K9" s="64">
        <v>336.53</v>
      </c>
      <c r="L9" s="64">
        <v>15.99</v>
      </c>
      <c r="M9" s="64">
        <v>26.09</v>
      </c>
      <c r="N9" s="64">
        <v>65.5</v>
      </c>
      <c r="O9" s="64">
        <v>0</v>
      </c>
      <c r="P9" s="64">
        <v>0.65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47" t="s">
        <v>725</v>
      </c>
      <c r="B10" s="64">
        <v>7.13</v>
      </c>
      <c r="C10" s="64">
        <v>61.91</v>
      </c>
      <c r="D10" s="64">
        <v>38.06</v>
      </c>
      <c r="E10" s="64">
        <v>2.2599999999999998</v>
      </c>
      <c r="F10" s="64">
        <v>8.59</v>
      </c>
      <c r="G10" s="64">
        <v>47.96</v>
      </c>
      <c r="H10" s="64">
        <v>13.22</v>
      </c>
      <c r="I10" s="64">
        <v>4.13</v>
      </c>
      <c r="J10" s="64">
        <v>1.72</v>
      </c>
      <c r="K10" s="64">
        <v>341.66</v>
      </c>
      <c r="L10" s="64">
        <v>15.76</v>
      </c>
      <c r="M10" s="64">
        <v>26.53</v>
      </c>
      <c r="N10" s="64">
        <v>65.7</v>
      </c>
      <c r="O10" s="64">
        <v>0</v>
      </c>
      <c r="P10" s="64">
        <v>0.63</v>
      </c>
      <c r="Q10" s="64">
        <v>9.49</v>
      </c>
      <c r="R10" s="198"/>
      <c r="S10" s="198"/>
      <c r="T10" s="198"/>
      <c r="U10" s="198"/>
    </row>
    <row r="11" spans="1:21" s="12" customFormat="1" x14ac:dyDescent="0.25">
      <c r="A11" s="247" t="s">
        <v>726</v>
      </c>
      <c r="B11" s="64">
        <v>6.63</v>
      </c>
      <c r="C11" s="64">
        <v>61.32</v>
      </c>
      <c r="D11" s="64">
        <v>37.35</v>
      </c>
      <c r="E11" s="64">
        <v>2.25</v>
      </c>
      <c r="F11" s="64">
        <v>7.41</v>
      </c>
      <c r="G11" s="64">
        <v>47.96</v>
      </c>
      <c r="H11" s="64">
        <v>13.22</v>
      </c>
      <c r="I11" s="64">
        <v>3.96</v>
      </c>
      <c r="J11" s="64">
        <v>1.69</v>
      </c>
      <c r="K11" s="64">
        <v>328.5</v>
      </c>
      <c r="L11" s="64">
        <v>15.38</v>
      </c>
      <c r="M11" s="64">
        <v>26.76</v>
      </c>
      <c r="N11" s="64">
        <v>65.2</v>
      </c>
      <c r="O11" s="64">
        <v>0</v>
      </c>
      <c r="P11" s="64">
        <v>0.63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47" t="s">
        <v>727</v>
      </c>
      <c r="B12" s="64">
        <v>6.3</v>
      </c>
      <c r="C12" s="64">
        <v>60.57</v>
      </c>
      <c r="D12" s="64">
        <v>36.700000000000003</v>
      </c>
      <c r="E12" s="64">
        <v>3.82</v>
      </c>
      <c r="F12" s="64">
        <v>8.52</v>
      </c>
      <c r="G12" s="64">
        <v>47.96</v>
      </c>
      <c r="H12" s="64">
        <v>13.22</v>
      </c>
      <c r="I12" s="64">
        <v>3.96</v>
      </c>
      <c r="J12" s="64">
        <v>1.53</v>
      </c>
      <c r="K12" s="64">
        <v>336.71</v>
      </c>
      <c r="L12" s="64">
        <v>15.16</v>
      </c>
      <c r="M12" s="64">
        <v>26.95</v>
      </c>
      <c r="N12" s="64">
        <v>65.2</v>
      </c>
      <c r="O12" s="64">
        <v>0</v>
      </c>
      <c r="P12" s="64">
        <v>0.62</v>
      </c>
      <c r="Q12" s="64">
        <v>9.42</v>
      </c>
      <c r="R12" s="198"/>
      <c r="S12" s="198"/>
      <c r="T12" s="198"/>
      <c r="U12" s="198"/>
    </row>
    <row r="13" spans="1:21" s="12" customFormat="1" x14ac:dyDescent="0.25">
      <c r="A13" s="247" t="s">
        <v>728</v>
      </c>
      <c r="B13" s="64">
        <v>6.11</v>
      </c>
      <c r="C13" s="64">
        <v>60.43</v>
      </c>
      <c r="D13" s="64">
        <v>36.479999999999997</v>
      </c>
      <c r="E13" s="64">
        <v>4.3099999999999996</v>
      </c>
      <c r="F13" s="64">
        <v>7.2</v>
      </c>
      <c r="G13" s="64">
        <v>46.23</v>
      </c>
      <c r="H13" s="64">
        <v>20.9</v>
      </c>
      <c r="I13" s="64">
        <v>3.99</v>
      </c>
      <c r="J13" s="64">
        <v>1.94</v>
      </c>
      <c r="K13" s="64">
        <v>339.04</v>
      </c>
      <c r="L13" s="64">
        <v>15.18</v>
      </c>
      <c r="M13" s="64">
        <v>26.8</v>
      </c>
      <c r="N13" s="64">
        <v>65.099999999999994</v>
      </c>
      <c r="O13" s="64">
        <v>0</v>
      </c>
      <c r="P13" s="64">
        <v>0.54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47" t="s">
        <v>729</v>
      </c>
      <c r="B14" s="64">
        <v>5.97</v>
      </c>
      <c r="C14" s="64">
        <v>60.11</v>
      </c>
      <c r="D14" s="64">
        <v>36.200000000000003</v>
      </c>
      <c r="E14" s="64">
        <v>4.79</v>
      </c>
      <c r="F14" s="64">
        <v>7.42</v>
      </c>
      <c r="G14" s="64">
        <v>46.23</v>
      </c>
      <c r="H14" s="64">
        <v>20.9</v>
      </c>
      <c r="I14" s="64">
        <v>3.91</v>
      </c>
      <c r="J14" s="64">
        <v>1.95</v>
      </c>
      <c r="K14" s="64">
        <v>333.44</v>
      </c>
      <c r="L14" s="64">
        <v>15.27</v>
      </c>
      <c r="M14" s="64">
        <v>26.45</v>
      </c>
      <c r="N14" s="64">
        <v>65</v>
      </c>
      <c r="O14" s="64">
        <v>0</v>
      </c>
      <c r="P14" s="64">
        <v>0.56000000000000005</v>
      </c>
      <c r="Q14" s="64">
        <v>9.39</v>
      </c>
      <c r="R14" s="198"/>
      <c r="S14" s="198"/>
      <c r="T14" s="198"/>
      <c r="U14" s="198"/>
    </row>
    <row r="15" spans="1:21" s="12" customFormat="1" x14ac:dyDescent="0.25">
      <c r="A15" s="247" t="s">
        <v>730</v>
      </c>
      <c r="B15" s="64">
        <v>5.88</v>
      </c>
      <c r="C15" s="64">
        <v>59.72</v>
      </c>
      <c r="D15" s="64">
        <v>35.92</v>
      </c>
      <c r="E15" s="64">
        <v>4.8499999999999996</v>
      </c>
      <c r="F15" s="64">
        <v>7.31</v>
      </c>
      <c r="G15" s="64">
        <v>46.23</v>
      </c>
      <c r="H15" s="64">
        <v>20.9</v>
      </c>
      <c r="I15" s="64">
        <v>4.05</v>
      </c>
      <c r="J15" s="64">
        <v>1.88</v>
      </c>
      <c r="K15" s="64">
        <v>338.82</v>
      </c>
      <c r="L15" s="64">
        <v>15.14</v>
      </c>
      <c r="M15" s="64">
        <v>26.02</v>
      </c>
      <c r="N15" s="64">
        <v>65.2</v>
      </c>
      <c r="O15" s="64">
        <v>0</v>
      </c>
      <c r="P15" s="64">
        <v>0.56000000000000005</v>
      </c>
      <c r="Q15" s="64">
        <v>9.36</v>
      </c>
      <c r="R15" s="198"/>
      <c r="S15" s="198"/>
      <c r="T15" s="198"/>
      <c r="U15" s="198"/>
    </row>
    <row r="16" spans="1:21" s="12" customFormat="1" x14ac:dyDescent="0.25">
      <c r="A16" s="247" t="s">
        <v>731</v>
      </c>
      <c r="B16" s="64">
        <v>5.71</v>
      </c>
      <c r="C16" s="64">
        <v>58.85</v>
      </c>
      <c r="D16" s="64">
        <v>35.33</v>
      </c>
      <c r="E16" s="64">
        <v>6.22</v>
      </c>
      <c r="F16" s="64">
        <v>7.53</v>
      </c>
      <c r="G16" s="64">
        <v>46.23</v>
      </c>
      <c r="H16" s="64">
        <v>20.9</v>
      </c>
      <c r="I16" s="64">
        <v>4.0599999999999996</v>
      </c>
      <c r="J16" s="64">
        <v>2.29</v>
      </c>
      <c r="K16" s="64">
        <v>342.26</v>
      </c>
      <c r="L16" s="64">
        <v>15.19</v>
      </c>
      <c r="M16" s="64">
        <v>25.47</v>
      </c>
      <c r="N16" s="64">
        <v>65.3</v>
      </c>
      <c r="O16" s="64">
        <v>0</v>
      </c>
      <c r="P16" s="64">
        <v>0.56000000000000005</v>
      </c>
      <c r="Q16" s="64">
        <v>9.36</v>
      </c>
      <c r="R16" s="198"/>
      <c r="S16" s="198"/>
      <c r="T16" s="198"/>
      <c r="U16" s="198"/>
    </row>
    <row r="17" spans="1:21" s="12" customFormat="1" x14ac:dyDescent="0.25">
      <c r="A17" s="247" t="s">
        <v>732</v>
      </c>
      <c r="B17" s="64">
        <v>5.46</v>
      </c>
      <c r="C17" s="64">
        <v>58.58</v>
      </c>
      <c r="D17" s="64">
        <v>34.979999999999997</v>
      </c>
      <c r="E17" s="64">
        <v>5.92</v>
      </c>
      <c r="F17" s="64">
        <v>7.03</v>
      </c>
      <c r="G17" s="64">
        <v>56.81</v>
      </c>
      <c r="H17" s="64">
        <v>15.23</v>
      </c>
      <c r="I17" s="64">
        <v>4.0999999999999996</v>
      </c>
      <c r="J17" s="64">
        <v>1.53</v>
      </c>
      <c r="K17" s="64">
        <v>325.56</v>
      </c>
      <c r="L17" s="64">
        <v>14.76</v>
      </c>
      <c r="M17" s="64">
        <v>27.05</v>
      </c>
      <c r="N17" s="64">
        <v>65.900000000000006</v>
      </c>
      <c r="O17" s="64">
        <v>0</v>
      </c>
      <c r="P17" s="64">
        <v>0.56000000000000005</v>
      </c>
      <c r="Q17" s="64">
        <v>9.34</v>
      </c>
      <c r="R17" s="198"/>
      <c r="S17" s="198"/>
      <c r="T17" s="198"/>
      <c r="U17" s="198"/>
    </row>
    <row r="18" spans="1:21" s="12" customFormat="1" x14ac:dyDescent="0.25">
      <c r="A18" s="247" t="s">
        <v>733</v>
      </c>
      <c r="B18" s="64">
        <v>5.32</v>
      </c>
      <c r="C18" s="64">
        <v>58.19</v>
      </c>
      <c r="D18" s="64">
        <v>34.67</v>
      </c>
      <c r="E18" s="64">
        <v>6.07</v>
      </c>
      <c r="F18" s="64">
        <v>7.1</v>
      </c>
      <c r="G18" s="64">
        <v>56.81</v>
      </c>
      <c r="H18" s="64">
        <v>15.23</v>
      </c>
      <c r="I18" s="64">
        <v>4.0999999999999996</v>
      </c>
      <c r="J18" s="64">
        <v>0.92</v>
      </c>
      <c r="K18" s="64">
        <v>307.3</v>
      </c>
      <c r="L18" s="64">
        <v>14.16</v>
      </c>
      <c r="M18" s="64">
        <v>28.43</v>
      </c>
      <c r="N18" s="64">
        <v>66.3</v>
      </c>
      <c r="O18" s="64">
        <v>0</v>
      </c>
      <c r="P18" s="64">
        <v>0.57999999999999996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47" t="s">
        <v>734</v>
      </c>
      <c r="B19" s="64">
        <v>5.33</v>
      </c>
      <c r="C19" s="64">
        <v>58.14</v>
      </c>
      <c r="D19" s="64">
        <v>34.64</v>
      </c>
      <c r="E19" s="64">
        <v>6.07</v>
      </c>
      <c r="F19" s="64">
        <v>7.24</v>
      </c>
      <c r="G19" s="64">
        <v>56.81</v>
      </c>
      <c r="H19" s="64">
        <v>15.23</v>
      </c>
      <c r="I19" s="64">
        <v>3.86</v>
      </c>
      <c r="J19" s="64">
        <v>1.57</v>
      </c>
      <c r="K19" s="64">
        <v>336.77</v>
      </c>
      <c r="L19" s="64">
        <v>13.75</v>
      </c>
      <c r="M19" s="64">
        <v>30.33</v>
      </c>
      <c r="N19" s="64">
        <v>65.3</v>
      </c>
      <c r="O19" s="64">
        <v>0</v>
      </c>
      <c r="P19" s="64">
        <v>0.63</v>
      </c>
      <c r="Q19" s="64">
        <v>9.31</v>
      </c>
      <c r="R19" s="198"/>
      <c r="S19" s="198"/>
      <c r="T19" s="198"/>
      <c r="U19" s="198"/>
    </row>
    <row r="20" spans="1:21" s="12" customFormat="1" x14ac:dyDescent="0.25">
      <c r="A20" s="247" t="s">
        <v>735</v>
      </c>
      <c r="B20" s="64">
        <v>5.35</v>
      </c>
      <c r="C20" s="64">
        <v>57.86</v>
      </c>
      <c r="D20" s="64">
        <v>34.520000000000003</v>
      </c>
      <c r="E20" s="64">
        <v>4.74</v>
      </c>
      <c r="F20" s="64">
        <v>7.02</v>
      </c>
      <c r="G20" s="64">
        <v>56.81</v>
      </c>
      <c r="H20" s="64">
        <v>15.23</v>
      </c>
      <c r="I20" s="64">
        <v>3.92</v>
      </c>
      <c r="J20" s="64">
        <v>1.76</v>
      </c>
      <c r="K20" s="64">
        <v>344.48</v>
      </c>
      <c r="L20" s="64">
        <v>13.42</v>
      </c>
      <c r="M20" s="64">
        <v>31.46</v>
      </c>
      <c r="N20" s="64">
        <v>65.5</v>
      </c>
      <c r="O20" s="64">
        <v>0</v>
      </c>
      <c r="P20" s="64">
        <v>0.65</v>
      </c>
      <c r="Q20" s="64">
        <v>9.2799999999999994</v>
      </c>
      <c r="R20" s="198"/>
      <c r="S20" s="198"/>
      <c r="T20" s="198"/>
      <c r="U20" s="198"/>
    </row>
    <row r="21" spans="1:21" s="12" customFormat="1" x14ac:dyDescent="0.25">
      <c r="A21" s="247" t="s">
        <v>736</v>
      </c>
      <c r="B21" s="64">
        <v>5.31</v>
      </c>
      <c r="C21" s="64">
        <v>57.28</v>
      </c>
      <c r="D21" s="64">
        <v>34.19</v>
      </c>
      <c r="E21" s="64">
        <v>5.41</v>
      </c>
      <c r="F21" s="64">
        <v>7.37</v>
      </c>
      <c r="G21" s="64">
        <v>76.81</v>
      </c>
      <c r="H21" s="64">
        <v>30.84</v>
      </c>
      <c r="I21" s="64">
        <v>3.93</v>
      </c>
      <c r="J21" s="64">
        <v>1.47</v>
      </c>
      <c r="K21" s="64">
        <v>335.32</v>
      </c>
      <c r="L21" s="64">
        <v>13.67</v>
      </c>
      <c r="M21" s="64">
        <v>30.23</v>
      </c>
      <c r="N21" s="64">
        <v>65.400000000000006</v>
      </c>
      <c r="O21" s="64">
        <v>0</v>
      </c>
      <c r="P21" s="64">
        <v>0.67</v>
      </c>
      <c r="Q21" s="64">
        <v>9.27</v>
      </c>
      <c r="R21" s="198"/>
      <c r="S21" s="198"/>
      <c r="T21" s="198"/>
      <c r="U21" s="198"/>
    </row>
    <row r="22" spans="1:21" s="12" customFormat="1" x14ac:dyDescent="0.25">
      <c r="A22" s="247" t="s">
        <v>737</v>
      </c>
      <c r="B22" s="64">
        <v>5.26</v>
      </c>
      <c r="C22" s="64">
        <v>56.89</v>
      </c>
      <c r="D22" s="64">
        <v>33.94</v>
      </c>
      <c r="E22" s="64">
        <v>4.8899999999999997</v>
      </c>
      <c r="F22" s="64">
        <v>6.86</v>
      </c>
      <c r="G22" s="64">
        <v>76.81</v>
      </c>
      <c r="H22" s="64">
        <v>30.84</v>
      </c>
      <c r="I22" s="64">
        <v>4.05</v>
      </c>
      <c r="J22" s="64">
        <v>0.97</v>
      </c>
      <c r="K22" s="64">
        <v>306.26</v>
      </c>
      <c r="L22" s="64">
        <v>13.46</v>
      </c>
      <c r="M22" s="64">
        <v>29.75</v>
      </c>
      <c r="N22" s="64">
        <v>65.7</v>
      </c>
      <c r="O22" s="64">
        <v>0</v>
      </c>
      <c r="P22" s="64">
        <v>0.68</v>
      </c>
      <c r="Q22" s="64">
        <v>9.27</v>
      </c>
      <c r="R22" s="198"/>
      <c r="S22" s="198"/>
      <c r="T22" s="198"/>
      <c r="U22" s="198"/>
    </row>
    <row r="23" spans="1:21" s="12" customFormat="1" x14ac:dyDescent="0.25">
      <c r="A23" s="247" t="s">
        <v>738</v>
      </c>
      <c r="B23" s="64">
        <v>5.25</v>
      </c>
      <c r="C23" s="64">
        <v>56.56</v>
      </c>
      <c r="D23" s="64">
        <v>33.76</v>
      </c>
      <c r="E23" s="64">
        <v>4.9400000000000004</v>
      </c>
      <c r="F23" s="64">
        <v>6.83</v>
      </c>
      <c r="G23" s="64">
        <v>76.81</v>
      </c>
      <c r="H23" s="64">
        <v>30.84</v>
      </c>
      <c r="I23" s="64">
        <v>3.93</v>
      </c>
      <c r="J23" s="64">
        <v>1.53</v>
      </c>
      <c r="K23" s="64">
        <v>327.51</v>
      </c>
      <c r="L23" s="64">
        <v>13.2</v>
      </c>
      <c r="M23" s="64">
        <v>30.87</v>
      </c>
      <c r="N23" s="64">
        <v>65.2</v>
      </c>
      <c r="O23" s="64">
        <v>0</v>
      </c>
      <c r="P23" s="64">
        <v>0.68</v>
      </c>
      <c r="Q23" s="64">
        <v>9.26</v>
      </c>
      <c r="R23" s="198"/>
      <c r="S23" s="198"/>
      <c r="T23" s="198"/>
      <c r="U23" s="198"/>
    </row>
    <row r="24" spans="1:21" s="12" customFormat="1" x14ac:dyDescent="0.25">
      <c r="A24" s="247" t="s">
        <v>739</v>
      </c>
      <c r="B24" s="64">
        <v>5.31</v>
      </c>
      <c r="C24" s="64">
        <v>56.28</v>
      </c>
      <c r="D24" s="64">
        <v>33.659999999999997</v>
      </c>
      <c r="E24" s="64">
        <v>3.98</v>
      </c>
      <c r="F24" s="64">
        <v>7.25</v>
      </c>
      <c r="G24" s="64">
        <v>76.81</v>
      </c>
      <c r="H24" s="64">
        <v>30.84</v>
      </c>
      <c r="I24" s="64">
        <v>4.1900000000000004</v>
      </c>
      <c r="J24" s="64">
        <v>1.79</v>
      </c>
      <c r="K24" s="64">
        <v>342.36</v>
      </c>
      <c r="L24" s="64">
        <v>13</v>
      </c>
      <c r="M24" s="64">
        <v>30.94</v>
      </c>
      <c r="N24" s="64">
        <v>65.400000000000006</v>
      </c>
      <c r="O24" s="64">
        <v>0</v>
      </c>
      <c r="P24" s="64">
        <v>0.66</v>
      </c>
      <c r="Q24" s="64">
        <v>9.25</v>
      </c>
      <c r="R24" s="198"/>
      <c r="S24" s="198"/>
      <c r="T24" s="198"/>
      <c r="U24" s="198"/>
    </row>
    <row r="25" spans="1:21" s="12" customFormat="1" x14ac:dyDescent="0.25">
      <c r="A25" s="247" t="s">
        <v>740</v>
      </c>
      <c r="B25" s="64">
        <v>5.28</v>
      </c>
      <c r="C25" s="64">
        <v>55.13</v>
      </c>
      <c r="D25" s="64">
        <v>33.04</v>
      </c>
      <c r="E25" s="64">
        <v>2.95</v>
      </c>
      <c r="F25" s="64">
        <v>8.19</v>
      </c>
      <c r="G25" s="64">
        <v>75.44</v>
      </c>
      <c r="H25" s="64">
        <v>31.18</v>
      </c>
      <c r="I25" s="64">
        <v>4.05</v>
      </c>
      <c r="J25" s="64">
        <v>1.76</v>
      </c>
      <c r="K25" s="64">
        <v>339.56</v>
      </c>
      <c r="L25" s="64">
        <v>12.87</v>
      </c>
      <c r="M25" s="64">
        <v>31.11</v>
      </c>
      <c r="N25" s="64">
        <v>65.400000000000006</v>
      </c>
      <c r="O25" s="64">
        <v>0</v>
      </c>
      <c r="P25" s="64">
        <v>0.64</v>
      </c>
      <c r="Q25" s="64">
        <v>9.24</v>
      </c>
      <c r="R25" s="198"/>
      <c r="S25" s="198"/>
      <c r="T25" s="198"/>
      <c r="U25" s="198"/>
    </row>
    <row r="26" spans="1:21" s="12" customFormat="1" x14ac:dyDescent="0.25">
      <c r="A26" s="247" t="s">
        <v>741</v>
      </c>
      <c r="B26" s="64">
        <v>5.42</v>
      </c>
      <c r="C26" s="64">
        <v>54.88</v>
      </c>
      <c r="D26" s="64">
        <v>33.020000000000003</v>
      </c>
      <c r="E26" s="64">
        <v>2.3199999999999998</v>
      </c>
      <c r="F26" s="64">
        <v>8</v>
      </c>
      <c r="G26" s="64">
        <v>75.44</v>
      </c>
      <c r="H26" s="64">
        <v>31.18</v>
      </c>
      <c r="I26" s="64">
        <v>4.07</v>
      </c>
      <c r="J26" s="64">
        <v>1.38</v>
      </c>
      <c r="K26" s="64">
        <v>325.14</v>
      </c>
      <c r="L26" s="64">
        <v>12.58</v>
      </c>
      <c r="M26" s="64">
        <v>31.63</v>
      </c>
      <c r="N26" s="64">
        <v>65.400000000000006</v>
      </c>
      <c r="O26" s="64">
        <v>0</v>
      </c>
      <c r="P26" s="64">
        <v>0.63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47" t="s">
        <v>742</v>
      </c>
      <c r="B27" s="64">
        <v>5.88</v>
      </c>
      <c r="C27" s="64">
        <v>54.55</v>
      </c>
      <c r="D27" s="64">
        <v>33.22</v>
      </c>
      <c r="E27" s="64">
        <v>3.22</v>
      </c>
      <c r="F27" s="64">
        <v>7.87</v>
      </c>
      <c r="G27" s="64">
        <v>75.44</v>
      </c>
      <c r="H27" s="64">
        <v>31.18</v>
      </c>
      <c r="I27" s="64">
        <v>4.1399999999999997</v>
      </c>
      <c r="J27" s="64">
        <v>1.31</v>
      </c>
      <c r="K27" s="64">
        <v>335.92</v>
      </c>
      <c r="L27" s="64">
        <v>12.3</v>
      </c>
      <c r="M27" s="64">
        <v>32.82</v>
      </c>
      <c r="N27" s="64">
        <v>65.5</v>
      </c>
      <c r="O27" s="64">
        <v>0</v>
      </c>
      <c r="P27" s="64">
        <v>0.62</v>
      </c>
      <c r="Q27" s="64">
        <v>9.2200000000000006</v>
      </c>
      <c r="R27" s="198"/>
      <c r="S27" s="198"/>
      <c r="T27" s="198"/>
      <c r="U27" s="198"/>
    </row>
    <row r="28" spans="1:21" s="12" customFormat="1" x14ac:dyDescent="0.25">
      <c r="A28" s="247" t="s">
        <v>743</v>
      </c>
      <c r="B28" s="64">
        <v>6.88</v>
      </c>
      <c r="C28" s="64">
        <v>56.05</v>
      </c>
      <c r="D28" s="64">
        <v>34.799999999999997</v>
      </c>
      <c r="E28" s="64">
        <v>4.43</v>
      </c>
      <c r="F28" s="64">
        <v>7.89</v>
      </c>
      <c r="G28" s="64">
        <v>75.44</v>
      </c>
      <c r="H28" s="64">
        <v>31.18</v>
      </c>
      <c r="I28" s="64">
        <v>3.87</v>
      </c>
      <c r="J28" s="64">
        <v>1.57</v>
      </c>
      <c r="K28" s="64">
        <v>359.44</v>
      </c>
      <c r="L28" s="64">
        <v>12.63</v>
      </c>
      <c r="M28" s="64">
        <v>31.99</v>
      </c>
      <c r="N28" s="64">
        <v>65.3</v>
      </c>
      <c r="O28" s="64">
        <v>0</v>
      </c>
      <c r="P28" s="64">
        <v>0.62</v>
      </c>
      <c r="Q28" s="64">
        <v>9.2100000000000009</v>
      </c>
      <c r="R28" s="198"/>
      <c r="S28" s="198"/>
      <c r="T28" s="198"/>
      <c r="U28" s="198"/>
    </row>
    <row r="29" spans="1:21" s="12" customFormat="1" x14ac:dyDescent="0.25">
      <c r="A29" s="247" t="s">
        <v>744</v>
      </c>
      <c r="B29" s="64">
        <v>7.33</v>
      </c>
      <c r="C29" s="64">
        <v>55.81</v>
      </c>
      <c r="D29" s="64">
        <v>35.04</v>
      </c>
      <c r="E29" s="64">
        <v>4.24</v>
      </c>
      <c r="F29" s="64">
        <v>7.84</v>
      </c>
      <c r="G29" s="64">
        <v>64.53</v>
      </c>
      <c r="H29" s="64">
        <v>14.67</v>
      </c>
      <c r="I29" s="64">
        <v>4.05</v>
      </c>
      <c r="J29" s="64">
        <v>1.49</v>
      </c>
      <c r="K29" s="64">
        <v>353.67</v>
      </c>
      <c r="L29" s="64">
        <v>12.82</v>
      </c>
      <c r="M29" s="64">
        <v>32.51</v>
      </c>
      <c r="N29" s="64">
        <v>65.3</v>
      </c>
      <c r="O29" s="64">
        <v>0</v>
      </c>
      <c r="P29" s="64">
        <v>0.63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47" t="s">
        <v>745</v>
      </c>
      <c r="B30" s="64">
        <v>10.220000000000001</v>
      </c>
      <c r="C30" s="64">
        <v>55.96</v>
      </c>
      <c r="D30" s="64">
        <v>37.43</v>
      </c>
      <c r="E30" s="64">
        <v>4.53</v>
      </c>
      <c r="F30" s="64">
        <v>7.65</v>
      </c>
      <c r="G30" s="64">
        <v>64.53</v>
      </c>
      <c r="H30" s="64">
        <v>14.67</v>
      </c>
      <c r="I30" s="64">
        <v>4.05</v>
      </c>
      <c r="J30" s="64">
        <v>1.49</v>
      </c>
      <c r="K30" s="64">
        <v>4.0199999999999996</v>
      </c>
      <c r="L30" s="64">
        <v>13.1</v>
      </c>
      <c r="M30" s="64">
        <v>30.33</v>
      </c>
      <c r="N30" s="64">
        <v>65.3</v>
      </c>
      <c r="O30" s="64">
        <v>0</v>
      </c>
      <c r="P30" s="64">
        <v>0.64</v>
      </c>
      <c r="Q30" s="64">
        <v>9.24</v>
      </c>
      <c r="R30" s="198"/>
      <c r="S30" s="198"/>
      <c r="T30" s="198"/>
      <c r="U30" s="198"/>
    </row>
    <row r="31" spans="1:21" s="12" customFormat="1" x14ac:dyDescent="0.25">
      <c r="A31" s="247" t="s">
        <v>746</v>
      </c>
      <c r="B31" s="64">
        <v>8.83</v>
      </c>
      <c r="C31" s="64">
        <v>58.82</v>
      </c>
      <c r="D31" s="64">
        <v>37.81</v>
      </c>
      <c r="E31" s="64">
        <v>4.3</v>
      </c>
      <c r="F31" s="64">
        <v>7.62</v>
      </c>
      <c r="G31" s="64">
        <v>64.53</v>
      </c>
      <c r="H31" s="64">
        <v>14.67</v>
      </c>
      <c r="I31" s="64">
        <v>3.96</v>
      </c>
      <c r="J31" s="64">
        <v>1.54</v>
      </c>
      <c r="K31" s="64">
        <v>7.0000000000000007E-2</v>
      </c>
      <c r="L31" s="64">
        <v>13.13</v>
      </c>
      <c r="M31" s="64">
        <v>29.94</v>
      </c>
      <c r="N31" s="64">
        <v>65.5</v>
      </c>
      <c r="O31" s="64">
        <v>0</v>
      </c>
      <c r="P31" s="64">
        <v>0.64</v>
      </c>
      <c r="Q31" s="64">
        <v>9.26</v>
      </c>
      <c r="R31" s="198"/>
      <c r="S31" s="198"/>
      <c r="T31" s="198"/>
      <c r="U31" s="198"/>
    </row>
    <row r="32" spans="1:21" s="12" customFormat="1" x14ac:dyDescent="0.25">
      <c r="A32" s="247" t="s">
        <v>747</v>
      </c>
      <c r="B32" s="64">
        <v>8.5</v>
      </c>
      <c r="C32" s="64">
        <v>58.44</v>
      </c>
      <c r="D32" s="64">
        <v>37.35</v>
      </c>
      <c r="E32" s="64">
        <v>4.07</v>
      </c>
      <c r="F32" s="64">
        <v>7.1</v>
      </c>
      <c r="G32" s="64">
        <v>64.53</v>
      </c>
      <c r="H32" s="64">
        <v>14.67</v>
      </c>
      <c r="I32" s="64">
        <v>3.95</v>
      </c>
      <c r="J32" s="64">
        <v>1.31</v>
      </c>
      <c r="K32" s="64">
        <v>339.31</v>
      </c>
      <c r="L32" s="64">
        <v>12.61</v>
      </c>
      <c r="M32" s="64">
        <v>32.090000000000003</v>
      </c>
      <c r="N32" s="64">
        <v>65.7</v>
      </c>
      <c r="O32" s="64">
        <v>0</v>
      </c>
      <c r="P32" s="64">
        <v>0.65</v>
      </c>
      <c r="Q32" s="64">
        <v>9.2799999999999994</v>
      </c>
      <c r="R32" s="198"/>
      <c r="S32" s="198"/>
      <c r="T32" s="198"/>
      <c r="U32" s="198"/>
    </row>
    <row r="33" spans="1:21" s="12" customFormat="1" x14ac:dyDescent="0.25">
      <c r="A33" s="247" t="s">
        <v>748</v>
      </c>
      <c r="B33" s="64">
        <v>8.93</v>
      </c>
      <c r="C33" s="64">
        <v>58.21</v>
      </c>
      <c r="D33" s="64">
        <v>37.57</v>
      </c>
      <c r="E33" s="64">
        <v>4.09</v>
      </c>
      <c r="F33" s="64">
        <v>7.05</v>
      </c>
      <c r="G33" s="64">
        <v>87.27</v>
      </c>
      <c r="H33" s="64">
        <v>45.15</v>
      </c>
      <c r="I33" s="64">
        <v>4.04</v>
      </c>
      <c r="J33" s="64">
        <v>0.56000000000000005</v>
      </c>
      <c r="K33" s="64">
        <v>287.31</v>
      </c>
      <c r="L33" s="64">
        <v>12.37</v>
      </c>
      <c r="M33" s="64">
        <v>32.36</v>
      </c>
      <c r="N33" s="64">
        <v>68.5</v>
      </c>
      <c r="O33" s="64">
        <v>0</v>
      </c>
      <c r="P33" s="64">
        <v>0.65</v>
      </c>
      <c r="Q33" s="64">
        <v>9.2899999999999991</v>
      </c>
      <c r="R33" s="198"/>
      <c r="S33" s="198"/>
      <c r="T33" s="198"/>
      <c r="U33" s="198"/>
    </row>
    <row r="34" spans="1:21" s="12" customFormat="1" x14ac:dyDescent="0.25">
      <c r="A34" s="247" t="s">
        <v>749</v>
      </c>
      <c r="B34" s="64">
        <v>11.01</v>
      </c>
      <c r="C34" s="64">
        <v>59.2</v>
      </c>
      <c r="D34" s="64">
        <v>39.76</v>
      </c>
      <c r="E34" s="64">
        <v>4.49</v>
      </c>
      <c r="F34" s="64">
        <v>7.11</v>
      </c>
      <c r="G34" s="64">
        <v>87.27</v>
      </c>
      <c r="H34" s="64">
        <v>45.15</v>
      </c>
      <c r="I34" s="64">
        <v>3.92</v>
      </c>
      <c r="J34" s="64">
        <v>0.56999999999999995</v>
      </c>
      <c r="K34" s="64">
        <v>313.83</v>
      </c>
      <c r="L34" s="64">
        <v>11.99</v>
      </c>
      <c r="M34" s="64">
        <v>34.9</v>
      </c>
      <c r="N34" s="64">
        <v>76.7</v>
      </c>
      <c r="O34" s="64">
        <v>0</v>
      </c>
      <c r="P34" s="64">
        <v>0.68</v>
      </c>
      <c r="Q34" s="64">
        <v>9.31</v>
      </c>
      <c r="R34" s="198"/>
      <c r="S34" s="198"/>
      <c r="T34" s="198"/>
      <c r="U34" s="198"/>
    </row>
    <row r="35" spans="1:21" s="12" customFormat="1" x14ac:dyDescent="0.25">
      <c r="A35" s="247" t="s">
        <v>750</v>
      </c>
      <c r="B35" s="64">
        <v>14.14</v>
      </c>
      <c r="C35" s="64">
        <v>60.03</v>
      </c>
      <c r="D35" s="64">
        <v>42.7</v>
      </c>
      <c r="E35" s="64">
        <v>5.05</v>
      </c>
      <c r="F35" s="64">
        <v>6.78</v>
      </c>
      <c r="G35" s="64">
        <v>87.27</v>
      </c>
      <c r="H35" s="64">
        <v>45.15</v>
      </c>
      <c r="I35" s="64">
        <v>4.0599999999999996</v>
      </c>
      <c r="J35" s="64">
        <v>1</v>
      </c>
      <c r="K35" s="64">
        <v>344.22</v>
      </c>
      <c r="L35" s="64">
        <v>12.02</v>
      </c>
      <c r="M35" s="64">
        <v>37.69</v>
      </c>
      <c r="N35" s="64">
        <v>89.7</v>
      </c>
      <c r="O35" s="64">
        <v>0</v>
      </c>
      <c r="P35" s="64">
        <v>0.72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47" t="s">
        <v>751</v>
      </c>
      <c r="B36" s="64">
        <v>18.22</v>
      </c>
      <c r="C36" s="64">
        <v>61.37</v>
      </c>
      <c r="D36" s="64">
        <v>46.68</v>
      </c>
      <c r="E36" s="64">
        <v>6.2</v>
      </c>
      <c r="F36" s="64">
        <v>6.6</v>
      </c>
      <c r="G36" s="64">
        <v>87.27</v>
      </c>
      <c r="H36" s="64">
        <v>45.15</v>
      </c>
      <c r="I36" s="64">
        <v>4.01</v>
      </c>
      <c r="J36" s="64">
        <v>0.95</v>
      </c>
      <c r="K36" s="64">
        <v>353.67</v>
      </c>
      <c r="L36" s="64">
        <v>12.85</v>
      </c>
      <c r="M36" s="64">
        <v>35.369999999999997</v>
      </c>
      <c r="N36" s="64">
        <v>151</v>
      </c>
      <c r="O36" s="64">
        <v>0</v>
      </c>
      <c r="P36" s="64">
        <v>0.76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47" t="s">
        <v>752</v>
      </c>
      <c r="B37" s="64">
        <v>23.09</v>
      </c>
      <c r="C37" s="64">
        <v>62.74</v>
      </c>
      <c r="D37" s="64">
        <v>51.3</v>
      </c>
      <c r="E37" s="64">
        <v>6.2</v>
      </c>
      <c r="F37" s="64">
        <v>6.54</v>
      </c>
      <c r="G37" s="64">
        <v>99.55</v>
      </c>
      <c r="H37" s="64">
        <v>38.340000000000003</v>
      </c>
      <c r="I37" s="64">
        <v>3.94</v>
      </c>
      <c r="J37" s="64">
        <v>0.66</v>
      </c>
      <c r="K37" s="64">
        <v>321.58999999999997</v>
      </c>
      <c r="L37" s="64">
        <v>16.190000000000001</v>
      </c>
      <c r="M37" s="64">
        <v>30.34</v>
      </c>
      <c r="N37" s="64">
        <v>215.1</v>
      </c>
      <c r="O37" s="64">
        <v>0</v>
      </c>
      <c r="P37" s="64">
        <v>0.78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47" t="s">
        <v>753</v>
      </c>
      <c r="B38" s="64">
        <v>27.88</v>
      </c>
      <c r="C38" s="64">
        <v>64.31</v>
      </c>
      <c r="D38" s="64">
        <v>55.96</v>
      </c>
      <c r="E38" s="64">
        <v>6.87</v>
      </c>
      <c r="F38" s="64">
        <v>6.97</v>
      </c>
      <c r="G38" s="64">
        <v>99.55</v>
      </c>
      <c r="H38" s="64">
        <v>38.340000000000003</v>
      </c>
      <c r="I38" s="64">
        <v>3.98</v>
      </c>
      <c r="J38" s="64">
        <v>1.22</v>
      </c>
      <c r="K38" s="64">
        <v>338.35</v>
      </c>
      <c r="L38" s="64">
        <v>19.46</v>
      </c>
      <c r="M38" s="64">
        <v>25.25</v>
      </c>
      <c r="N38" s="64">
        <v>268</v>
      </c>
      <c r="O38" s="64">
        <v>0</v>
      </c>
      <c r="P38" s="64">
        <v>0.85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47" t="s">
        <v>754</v>
      </c>
      <c r="B39" s="64">
        <v>32.630000000000003</v>
      </c>
      <c r="C39" s="64">
        <v>66.209999999999994</v>
      </c>
      <c r="D39" s="64">
        <v>60.76</v>
      </c>
      <c r="E39" s="64">
        <v>7.87</v>
      </c>
      <c r="F39" s="64">
        <v>6.78</v>
      </c>
      <c r="G39" s="64">
        <v>99.55</v>
      </c>
      <c r="H39" s="64">
        <v>38.340000000000003</v>
      </c>
      <c r="I39" s="64">
        <v>4.01</v>
      </c>
      <c r="J39" s="64">
        <v>1.33</v>
      </c>
      <c r="K39" s="64">
        <v>355.39</v>
      </c>
      <c r="L39" s="64">
        <v>21.34</v>
      </c>
      <c r="M39" s="64">
        <v>21.48</v>
      </c>
      <c r="N39" s="64">
        <v>319.5</v>
      </c>
      <c r="O39" s="64">
        <v>0</v>
      </c>
      <c r="P39" s="64">
        <v>0.89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47" t="s">
        <v>755</v>
      </c>
      <c r="B40" s="64">
        <v>35.68</v>
      </c>
      <c r="C40" s="64">
        <v>68.319999999999993</v>
      </c>
      <c r="D40" s="64">
        <v>64.31</v>
      </c>
      <c r="E40" s="64">
        <v>9.64</v>
      </c>
      <c r="F40" s="64">
        <v>6.73</v>
      </c>
      <c r="G40" s="64">
        <v>99.55</v>
      </c>
      <c r="H40" s="64">
        <v>38.340000000000003</v>
      </c>
      <c r="I40" s="64">
        <v>4.07</v>
      </c>
      <c r="J40" s="64">
        <v>1.37</v>
      </c>
      <c r="K40" s="64">
        <v>343.78</v>
      </c>
      <c r="L40" s="64">
        <v>23.26</v>
      </c>
      <c r="M40" s="64">
        <v>19.059999999999999</v>
      </c>
      <c r="N40" s="64">
        <v>377.5</v>
      </c>
      <c r="O40" s="64">
        <v>0</v>
      </c>
      <c r="P40" s="64">
        <v>0.94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47" t="s">
        <v>756</v>
      </c>
      <c r="B41" s="64">
        <v>41.37</v>
      </c>
      <c r="C41" s="64">
        <v>72.95</v>
      </c>
      <c r="D41" s="64">
        <v>71.290000000000006</v>
      </c>
      <c r="E41" s="64">
        <v>12.86</v>
      </c>
      <c r="F41" s="64">
        <v>6.96</v>
      </c>
      <c r="G41" s="64">
        <v>189.81</v>
      </c>
      <c r="H41" s="64">
        <v>64.75</v>
      </c>
      <c r="I41" s="64">
        <v>3.93</v>
      </c>
      <c r="J41" s="64">
        <v>1.45</v>
      </c>
      <c r="K41" s="64">
        <v>349.36</v>
      </c>
      <c r="L41" s="64">
        <v>24.65</v>
      </c>
      <c r="M41" s="64">
        <v>17.46</v>
      </c>
      <c r="N41" s="64">
        <v>436.8</v>
      </c>
      <c r="O41" s="64">
        <v>0</v>
      </c>
      <c r="P41" s="64">
        <v>1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47" t="s">
        <v>757</v>
      </c>
      <c r="B42" s="64">
        <v>45.18</v>
      </c>
      <c r="C42" s="64">
        <v>78.42</v>
      </c>
      <c r="D42" s="64">
        <v>77.209999999999994</v>
      </c>
      <c r="E42" s="64">
        <v>23.8</v>
      </c>
      <c r="F42" s="64">
        <v>8.5</v>
      </c>
      <c r="G42" s="64">
        <v>189.81</v>
      </c>
      <c r="H42" s="64">
        <v>64.75</v>
      </c>
      <c r="I42" s="64">
        <v>4.03</v>
      </c>
      <c r="J42" s="64">
        <v>1.42</v>
      </c>
      <c r="K42" s="64">
        <v>357.48</v>
      </c>
      <c r="L42" s="64">
        <v>25.7</v>
      </c>
      <c r="M42" s="64">
        <v>15.74</v>
      </c>
      <c r="N42" s="64">
        <v>494.4</v>
      </c>
      <c r="O42" s="64">
        <v>0</v>
      </c>
      <c r="P42" s="64">
        <v>1.0900000000000001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47" t="s">
        <v>758</v>
      </c>
      <c r="B43" s="64">
        <v>46.4</v>
      </c>
      <c r="C43" s="64">
        <v>78.47</v>
      </c>
      <c r="D43" s="64">
        <v>78.209999999999994</v>
      </c>
      <c r="E43" s="64">
        <v>30.03</v>
      </c>
      <c r="F43" s="64">
        <v>8.7100000000000009</v>
      </c>
      <c r="G43" s="64">
        <v>189.81</v>
      </c>
      <c r="H43" s="64">
        <v>64.75</v>
      </c>
      <c r="I43" s="64">
        <v>4.0199999999999996</v>
      </c>
      <c r="J43" s="64">
        <v>2.02</v>
      </c>
      <c r="K43" s="64">
        <v>358.7</v>
      </c>
      <c r="L43" s="64">
        <v>25.59</v>
      </c>
      <c r="M43" s="64">
        <v>14</v>
      </c>
      <c r="N43" s="64">
        <v>552.5</v>
      </c>
      <c r="O43" s="64">
        <v>0</v>
      </c>
      <c r="P43" s="64">
        <v>1.0900000000000001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47" t="s">
        <v>759</v>
      </c>
      <c r="B44" s="64">
        <v>45.18</v>
      </c>
      <c r="C44" s="64">
        <v>86.05</v>
      </c>
      <c r="D44" s="64">
        <v>81.19</v>
      </c>
      <c r="E44" s="64">
        <v>34.85</v>
      </c>
      <c r="F44" s="64">
        <v>10.16</v>
      </c>
      <c r="G44" s="64">
        <v>189.81</v>
      </c>
      <c r="H44" s="64">
        <v>64.75</v>
      </c>
      <c r="I44" s="64">
        <v>4.0199999999999996</v>
      </c>
      <c r="J44" s="64">
        <v>1.6</v>
      </c>
      <c r="K44" s="64">
        <v>0.89</v>
      </c>
      <c r="L44" s="64">
        <v>26.39</v>
      </c>
      <c r="M44" s="64">
        <v>13.38</v>
      </c>
      <c r="N44" s="64">
        <v>618.6</v>
      </c>
      <c r="O44" s="64">
        <v>0</v>
      </c>
      <c r="P44" s="64">
        <v>1.07</v>
      </c>
      <c r="Q44" s="64">
        <v>9.7100000000000009</v>
      </c>
      <c r="R44" s="198"/>
      <c r="S44" s="198"/>
      <c r="T44" s="198"/>
      <c r="U44" s="198"/>
    </row>
    <row r="45" spans="1:21" s="12" customFormat="1" x14ac:dyDescent="0.25">
      <c r="A45" s="247" t="s">
        <v>760</v>
      </c>
      <c r="B45" s="64">
        <v>42.76</v>
      </c>
      <c r="C45" s="64">
        <v>82.49</v>
      </c>
      <c r="D45" s="64">
        <v>77.39</v>
      </c>
      <c r="E45" s="64">
        <v>23.37</v>
      </c>
      <c r="F45" s="64">
        <v>11</v>
      </c>
      <c r="G45" s="64">
        <v>177.86</v>
      </c>
      <c r="H45" s="64">
        <v>63.02</v>
      </c>
      <c r="I45" s="64">
        <v>4.03</v>
      </c>
      <c r="J45" s="64">
        <v>1.22</v>
      </c>
      <c r="K45" s="64">
        <v>358.51</v>
      </c>
      <c r="L45" s="64">
        <v>26.67</v>
      </c>
      <c r="M45" s="64">
        <v>13.22</v>
      </c>
      <c r="N45" s="64">
        <v>666</v>
      </c>
      <c r="O45" s="64">
        <v>0</v>
      </c>
      <c r="P45" s="64">
        <v>1.08</v>
      </c>
      <c r="Q45" s="64">
        <v>9.7100000000000009</v>
      </c>
      <c r="R45" s="198"/>
      <c r="S45" s="198"/>
      <c r="T45" s="198"/>
      <c r="U45" s="198"/>
    </row>
    <row r="46" spans="1:21" s="12" customFormat="1" x14ac:dyDescent="0.25">
      <c r="A46" s="247" t="s">
        <v>761</v>
      </c>
      <c r="B46" s="64">
        <v>39.51</v>
      </c>
      <c r="C46" s="64">
        <v>77.56</v>
      </c>
      <c r="D46" s="64">
        <v>72.2</v>
      </c>
      <c r="E46" s="64">
        <v>18.32</v>
      </c>
      <c r="F46" s="64">
        <v>10.99</v>
      </c>
      <c r="G46" s="64">
        <v>177.86</v>
      </c>
      <c r="H46" s="64">
        <v>63.02</v>
      </c>
      <c r="I46" s="64">
        <v>4.1100000000000003</v>
      </c>
      <c r="J46" s="64">
        <v>1.69</v>
      </c>
      <c r="K46" s="64">
        <v>357.58</v>
      </c>
      <c r="L46" s="64">
        <v>27.8</v>
      </c>
      <c r="M46" s="64">
        <v>11.52</v>
      </c>
      <c r="N46" s="64">
        <v>701.2</v>
      </c>
      <c r="O46" s="64">
        <v>0</v>
      </c>
      <c r="P46" s="64">
        <v>1.05</v>
      </c>
      <c r="Q46" s="64">
        <v>9.73</v>
      </c>
      <c r="R46" s="198"/>
      <c r="S46" s="198"/>
      <c r="T46" s="198"/>
      <c r="U46" s="198"/>
    </row>
    <row r="47" spans="1:21" s="12" customFormat="1" x14ac:dyDescent="0.25">
      <c r="A47" s="247" t="s">
        <v>762</v>
      </c>
      <c r="B47" s="64">
        <v>39.68</v>
      </c>
      <c r="C47" s="64">
        <v>78.64</v>
      </c>
      <c r="D47" s="64">
        <v>72.91</v>
      </c>
      <c r="E47" s="64">
        <v>18.41</v>
      </c>
      <c r="F47" s="64">
        <v>10</v>
      </c>
      <c r="G47" s="64">
        <v>177.86</v>
      </c>
      <c r="H47" s="64">
        <v>63.02</v>
      </c>
      <c r="I47" s="64">
        <v>4.07</v>
      </c>
      <c r="J47" s="64">
        <v>1.52</v>
      </c>
      <c r="K47" s="64">
        <v>351.34</v>
      </c>
      <c r="L47" s="64">
        <v>28.5</v>
      </c>
      <c r="M47" s="64">
        <v>11.12</v>
      </c>
      <c r="N47" s="64">
        <v>744.2</v>
      </c>
      <c r="O47" s="64">
        <v>0</v>
      </c>
      <c r="P47" s="64">
        <v>1.07</v>
      </c>
      <c r="Q47" s="64">
        <v>9.7200000000000006</v>
      </c>
      <c r="R47" s="198"/>
      <c r="S47" s="198"/>
      <c r="T47" s="198"/>
      <c r="U47" s="198"/>
    </row>
    <row r="48" spans="1:21" s="12" customFormat="1" x14ac:dyDescent="0.25">
      <c r="A48" s="247" t="s">
        <v>763</v>
      </c>
      <c r="B48" s="64">
        <v>40.159999999999997</v>
      </c>
      <c r="C48" s="64">
        <v>79.59</v>
      </c>
      <c r="D48" s="64">
        <v>73.790000000000006</v>
      </c>
      <c r="E48" s="64">
        <v>25.01</v>
      </c>
      <c r="F48" s="64">
        <v>11.26</v>
      </c>
      <c r="G48" s="64">
        <v>177.86</v>
      </c>
      <c r="H48" s="64">
        <v>63.02</v>
      </c>
      <c r="I48" s="64">
        <v>4.05</v>
      </c>
      <c r="J48" s="64">
        <v>1.39</v>
      </c>
      <c r="K48" s="64">
        <v>349.06</v>
      </c>
      <c r="L48" s="64">
        <v>28.79</v>
      </c>
      <c r="M48" s="64">
        <v>11.57</v>
      </c>
      <c r="N48" s="64">
        <v>744.1</v>
      </c>
      <c r="O48" s="64">
        <v>0</v>
      </c>
      <c r="P48" s="64">
        <v>1.06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47" t="s">
        <v>764</v>
      </c>
      <c r="B49" s="64">
        <v>37.57</v>
      </c>
      <c r="C49" s="64">
        <v>79.34</v>
      </c>
      <c r="D49" s="64">
        <v>71.58</v>
      </c>
      <c r="E49" s="64">
        <v>16.05</v>
      </c>
      <c r="F49" s="64">
        <v>9.64</v>
      </c>
      <c r="G49" s="64">
        <v>82.15</v>
      </c>
      <c r="H49" s="64">
        <v>38.69</v>
      </c>
      <c r="I49" s="64">
        <v>4.1399999999999997</v>
      </c>
      <c r="J49" s="64">
        <v>1.83</v>
      </c>
      <c r="K49" s="64">
        <v>341.05</v>
      </c>
      <c r="L49" s="64">
        <v>29.43</v>
      </c>
      <c r="M49" s="64">
        <v>11.21</v>
      </c>
      <c r="N49" s="64">
        <v>773</v>
      </c>
      <c r="O49" s="64">
        <v>0</v>
      </c>
      <c r="P49" s="64">
        <v>1.06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47" t="s">
        <v>765</v>
      </c>
      <c r="B50" s="64">
        <v>38.299999999999997</v>
      </c>
      <c r="C50" s="64">
        <v>79.53</v>
      </c>
      <c r="D50" s="64">
        <v>72.27</v>
      </c>
      <c r="E50" s="64">
        <v>12.94</v>
      </c>
      <c r="F50" s="64">
        <v>8.11</v>
      </c>
      <c r="G50" s="64">
        <v>82.15</v>
      </c>
      <c r="H50" s="64">
        <v>38.69</v>
      </c>
      <c r="I50" s="64">
        <v>4.01</v>
      </c>
      <c r="J50" s="64">
        <v>1.42</v>
      </c>
      <c r="K50" s="64">
        <v>358.13</v>
      </c>
      <c r="L50" s="64">
        <v>28.76</v>
      </c>
      <c r="M50" s="64">
        <v>11.68</v>
      </c>
      <c r="N50" s="64">
        <v>823.4</v>
      </c>
      <c r="O50" s="64">
        <v>0</v>
      </c>
      <c r="P50" s="64">
        <v>1.06</v>
      </c>
      <c r="Q50" s="64">
        <v>9.68</v>
      </c>
      <c r="R50" s="198"/>
      <c r="S50" s="198"/>
      <c r="T50" s="198"/>
      <c r="U50" s="198"/>
    </row>
    <row r="51" spans="1:21" s="12" customFormat="1" x14ac:dyDescent="0.25">
      <c r="A51" s="247" t="s">
        <v>766</v>
      </c>
      <c r="B51" s="64">
        <v>33.450000000000003</v>
      </c>
      <c r="C51" s="64">
        <v>74.66</v>
      </c>
      <c r="D51" s="64">
        <v>65.83</v>
      </c>
      <c r="E51" s="64">
        <v>38.75</v>
      </c>
      <c r="F51" s="64">
        <v>19.78</v>
      </c>
      <c r="G51" s="64">
        <v>82.15</v>
      </c>
      <c r="H51" s="64">
        <v>38.69</v>
      </c>
      <c r="I51" s="64">
        <v>4.1100000000000003</v>
      </c>
      <c r="J51" s="64">
        <v>1.73</v>
      </c>
      <c r="K51" s="64">
        <v>354.09</v>
      </c>
      <c r="L51" s="64">
        <v>28.75</v>
      </c>
      <c r="M51" s="64">
        <v>11.32</v>
      </c>
      <c r="N51" s="64">
        <v>881.9</v>
      </c>
      <c r="O51" s="64">
        <v>0</v>
      </c>
      <c r="P51" s="64">
        <v>0.93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47" t="s">
        <v>767</v>
      </c>
      <c r="B52" s="64">
        <v>25.06</v>
      </c>
      <c r="C52" s="64">
        <v>55.01</v>
      </c>
      <c r="D52" s="64">
        <v>48.84</v>
      </c>
      <c r="E52" s="64">
        <v>76.790000000000006</v>
      </c>
      <c r="F52" s="64">
        <v>43.24</v>
      </c>
      <c r="G52" s="209" t="s">
        <v>36</v>
      </c>
      <c r="H52" s="209" t="s">
        <v>36</v>
      </c>
      <c r="I52" s="64">
        <v>3.99</v>
      </c>
      <c r="J52" s="64">
        <v>1.51</v>
      </c>
      <c r="K52" s="64">
        <v>342.75</v>
      </c>
      <c r="L52" s="64">
        <v>29.82</v>
      </c>
      <c r="M52" s="64">
        <v>10.17</v>
      </c>
      <c r="N52" s="64">
        <v>897.4</v>
      </c>
      <c r="O52" s="64">
        <v>0</v>
      </c>
      <c r="P52" s="64">
        <v>0.62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47" t="s">
        <v>768</v>
      </c>
      <c r="B53" s="64">
        <v>13.18</v>
      </c>
      <c r="C53" s="64">
        <v>70.48</v>
      </c>
      <c r="D53" s="64">
        <v>47.4</v>
      </c>
      <c r="E53" s="64">
        <v>30.25</v>
      </c>
      <c r="F53" s="64">
        <v>28.44</v>
      </c>
      <c r="G53" s="209" t="s">
        <v>36</v>
      </c>
      <c r="H53" s="209" t="s">
        <v>36</v>
      </c>
      <c r="I53" s="64">
        <v>4.2</v>
      </c>
      <c r="J53" s="64">
        <v>1.86</v>
      </c>
      <c r="K53" s="64">
        <v>321.89</v>
      </c>
      <c r="L53" s="64">
        <v>30.6</v>
      </c>
      <c r="M53" s="64">
        <v>9.5299999999999994</v>
      </c>
      <c r="N53" s="64">
        <v>912.1</v>
      </c>
      <c r="O53" s="64">
        <v>0</v>
      </c>
      <c r="P53" s="64">
        <v>0.62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47" t="s">
        <v>769</v>
      </c>
      <c r="B54" s="64">
        <v>16.47</v>
      </c>
      <c r="C54" s="64">
        <v>55.35</v>
      </c>
      <c r="D54" s="64">
        <v>42.12</v>
      </c>
      <c r="E54" s="64">
        <v>22.49</v>
      </c>
      <c r="F54" s="64">
        <v>43.78</v>
      </c>
      <c r="G54" s="209" t="s">
        <v>36</v>
      </c>
      <c r="H54" s="209" t="s">
        <v>36</v>
      </c>
      <c r="I54" s="64">
        <v>4.07</v>
      </c>
      <c r="J54" s="64">
        <v>1.3</v>
      </c>
      <c r="K54" s="64">
        <v>332.87</v>
      </c>
      <c r="L54" s="64">
        <v>30.78</v>
      </c>
      <c r="M54" s="64">
        <v>8.98</v>
      </c>
      <c r="N54" s="64">
        <v>904.1</v>
      </c>
      <c r="O54" s="64">
        <v>0</v>
      </c>
      <c r="P54" s="64">
        <v>0.57999999999999996</v>
      </c>
      <c r="Q54" s="64">
        <v>9.34</v>
      </c>
      <c r="R54" s="198"/>
      <c r="S54" s="198"/>
      <c r="T54" s="198"/>
      <c r="U54" s="198"/>
    </row>
    <row r="55" spans="1:21" s="12" customFormat="1" x14ac:dyDescent="0.25">
      <c r="A55" s="247" t="s">
        <v>770</v>
      </c>
      <c r="B55" s="64">
        <v>5.7</v>
      </c>
      <c r="C55" s="64">
        <v>28.45</v>
      </c>
      <c r="D55" s="64">
        <v>19.43</v>
      </c>
      <c r="E55" s="64">
        <v>21.26</v>
      </c>
      <c r="F55" s="64">
        <v>52.03</v>
      </c>
      <c r="G55" s="209" t="s">
        <v>36</v>
      </c>
      <c r="H55" s="209" t="s">
        <v>36</v>
      </c>
      <c r="I55" s="64">
        <v>4.0999999999999996</v>
      </c>
      <c r="J55" s="64">
        <v>0.75</v>
      </c>
      <c r="K55" s="64">
        <v>101.37</v>
      </c>
      <c r="L55" s="64">
        <v>28.5</v>
      </c>
      <c r="M55" s="64">
        <v>8.93</v>
      </c>
      <c r="N55" s="64">
        <v>890.5</v>
      </c>
      <c r="O55" s="64">
        <v>0</v>
      </c>
      <c r="P55" s="64">
        <v>0.28000000000000003</v>
      </c>
      <c r="Q55" s="64">
        <v>9.15</v>
      </c>
      <c r="R55" s="198"/>
      <c r="S55" s="198"/>
      <c r="T55" s="198"/>
      <c r="U55" s="198"/>
    </row>
    <row r="56" spans="1:21" s="12" customFormat="1" x14ac:dyDescent="0.25">
      <c r="A56" s="247" t="s">
        <v>771</v>
      </c>
      <c r="B56" s="64">
        <v>10.15</v>
      </c>
      <c r="C56" s="64">
        <v>36.75</v>
      </c>
      <c r="D56" s="64">
        <v>27.34</v>
      </c>
      <c r="E56" s="64">
        <v>24.88</v>
      </c>
      <c r="F56" s="64">
        <v>57.99</v>
      </c>
      <c r="G56" s="64">
        <v>14.38</v>
      </c>
      <c r="H56" s="64">
        <v>3.89</v>
      </c>
      <c r="I56" s="64">
        <v>3.9</v>
      </c>
      <c r="J56" s="64">
        <v>0.61</v>
      </c>
      <c r="K56" s="64">
        <v>38.26</v>
      </c>
      <c r="L56" s="64">
        <v>26.48</v>
      </c>
      <c r="M56" s="64">
        <v>11.33</v>
      </c>
      <c r="N56" s="64">
        <v>854.7</v>
      </c>
      <c r="O56" s="64">
        <v>0</v>
      </c>
      <c r="P56" s="64">
        <v>0.3</v>
      </c>
      <c r="Q56" s="64">
        <v>8.98</v>
      </c>
      <c r="R56" s="198"/>
      <c r="S56" s="198"/>
      <c r="T56" s="198"/>
      <c r="U56" s="198"/>
    </row>
    <row r="57" spans="1:21" s="12" customFormat="1" x14ac:dyDescent="0.25">
      <c r="A57" s="247" t="s">
        <v>772</v>
      </c>
      <c r="B57" s="64">
        <v>13.11</v>
      </c>
      <c r="C57" s="64">
        <v>32.78</v>
      </c>
      <c r="D57" s="64">
        <v>27.64</v>
      </c>
      <c r="E57" s="64">
        <v>30.47</v>
      </c>
      <c r="F57" s="64">
        <v>59.8</v>
      </c>
      <c r="G57" s="64">
        <v>53.91</v>
      </c>
      <c r="H57" s="64">
        <v>14.6</v>
      </c>
      <c r="I57" s="64">
        <v>3.9</v>
      </c>
      <c r="J57" s="64">
        <v>0.56999999999999995</v>
      </c>
      <c r="K57" s="64">
        <v>93.56</v>
      </c>
      <c r="L57" s="64">
        <v>27.29</v>
      </c>
      <c r="M57" s="64">
        <v>11.11</v>
      </c>
      <c r="N57" s="64">
        <v>842.9</v>
      </c>
      <c r="O57" s="64">
        <v>0</v>
      </c>
      <c r="P57" s="64">
        <v>0.31</v>
      </c>
      <c r="Q57" s="64">
        <v>8.93</v>
      </c>
      <c r="R57" s="198"/>
      <c r="S57" s="198"/>
      <c r="T57" s="198"/>
      <c r="U57" s="198"/>
    </row>
    <row r="58" spans="1:21" s="12" customFormat="1" x14ac:dyDescent="0.25">
      <c r="A58" s="247" t="s">
        <v>773</v>
      </c>
      <c r="B58" s="64">
        <v>11.91</v>
      </c>
      <c r="C58" s="64">
        <v>36.93</v>
      </c>
      <c r="D58" s="64">
        <v>28.84</v>
      </c>
      <c r="E58" s="64">
        <v>24.64</v>
      </c>
      <c r="F58" s="64">
        <v>56.6</v>
      </c>
      <c r="G58" s="64">
        <v>53.91</v>
      </c>
      <c r="H58" s="64">
        <v>14.6</v>
      </c>
      <c r="I58" s="64">
        <v>3.87</v>
      </c>
      <c r="J58" s="64">
        <v>0.45</v>
      </c>
      <c r="K58" s="64">
        <v>355.84</v>
      </c>
      <c r="L58" s="64">
        <v>27.34</v>
      </c>
      <c r="M58" s="64">
        <v>11.08</v>
      </c>
      <c r="N58" s="64">
        <v>841.4</v>
      </c>
      <c r="O58" s="64">
        <v>0</v>
      </c>
      <c r="P58" s="64">
        <v>0.34</v>
      </c>
      <c r="Q58" s="64">
        <v>8.9</v>
      </c>
      <c r="R58" s="198"/>
      <c r="S58" s="198"/>
      <c r="T58" s="198"/>
      <c r="U58" s="198"/>
    </row>
    <row r="59" spans="1:21" s="12" customFormat="1" x14ac:dyDescent="0.25">
      <c r="A59" s="247" t="s">
        <v>774</v>
      </c>
      <c r="B59" s="64">
        <v>7.5</v>
      </c>
      <c r="C59" s="64">
        <v>30.98</v>
      </c>
      <c r="D59" s="64">
        <v>22.2</v>
      </c>
      <c r="E59" s="64">
        <v>17.88</v>
      </c>
      <c r="F59" s="64">
        <v>60.2</v>
      </c>
      <c r="G59" s="64">
        <v>53.91</v>
      </c>
      <c r="H59" s="64">
        <v>14.6</v>
      </c>
      <c r="I59" s="64">
        <v>3.97</v>
      </c>
      <c r="J59" s="64">
        <v>1.29</v>
      </c>
      <c r="K59" s="64">
        <v>96.24</v>
      </c>
      <c r="L59" s="64">
        <v>26.57</v>
      </c>
      <c r="M59" s="64">
        <v>11.08</v>
      </c>
      <c r="N59" s="64">
        <v>860.9</v>
      </c>
      <c r="O59" s="64">
        <v>0</v>
      </c>
      <c r="P59" s="64">
        <v>0.23</v>
      </c>
      <c r="Q59" s="64">
        <v>8.8699999999999992</v>
      </c>
      <c r="R59" s="198"/>
      <c r="S59" s="198"/>
      <c r="T59" s="198"/>
      <c r="U59" s="198"/>
    </row>
    <row r="60" spans="1:21" s="12" customFormat="1" x14ac:dyDescent="0.25">
      <c r="A60" s="247" t="s">
        <v>775</v>
      </c>
      <c r="B60" s="64">
        <v>7.07</v>
      </c>
      <c r="C60" s="64">
        <v>31.3</v>
      </c>
      <c r="D60" s="64">
        <v>22.02</v>
      </c>
      <c r="E60" s="64">
        <v>15.02</v>
      </c>
      <c r="F60" s="64">
        <v>55.5</v>
      </c>
      <c r="G60" s="64">
        <v>52.55</v>
      </c>
      <c r="H60" s="64">
        <v>14.11</v>
      </c>
      <c r="I60" s="64">
        <v>3.95</v>
      </c>
      <c r="J60" s="64">
        <v>0.52</v>
      </c>
      <c r="K60" s="64">
        <v>353.28</v>
      </c>
      <c r="L60" s="64">
        <v>27.15</v>
      </c>
      <c r="M60" s="64">
        <v>10.74</v>
      </c>
      <c r="N60" s="64">
        <v>854.9</v>
      </c>
      <c r="O60" s="64">
        <v>0</v>
      </c>
      <c r="P60" s="64">
        <v>0.28000000000000003</v>
      </c>
      <c r="Q60" s="64">
        <v>8.85</v>
      </c>
      <c r="R60" s="198"/>
      <c r="S60" s="198"/>
      <c r="T60" s="198"/>
      <c r="U60" s="198"/>
    </row>
    <row r="61" spans="1:21" s="12" customFormat="1" x14ac:dyDescent="0.25">
      <c r="A61" s="247" t="s">
        <v>776</v>
      </c>
      <c r="B61" s="64">
        <v>5.52</v>
      </c>
      <c r="C61" s="64">
        <v>44.93</v>
      </c>
      <c r="D61" s="64">
        <v>27.9</v>
      </c>
      <c r="E61" s="64">
        <v>6.95</v>
      </c>
      <c r="F61" s="64">
        <v>26.54</v>
      </c>
      <c r="G61" s="64">
        <v>48.79</v>
      </c>
      <c r="H61" s="64">
        <v>12.78</v>
      </c>
      <c r="I61" s="64">
        <v>3.88</v>
      </c>
      <c r="J61" s="64">
        <v>0.82</v>
      </c>
      <c r="K61" s="64">
        <v>290.64</v>
      </c>
      <c r="L61" s="64">
        <v>29</v>
      </c>
      <c r="M61" s="64">
        <v>8.98</v>
      </c>
      <c r="N61" s="64">
        <v>869.5</v>
      </c>
      <c r="O61" s="64">
        <v>0</v>
      </c>
      <c r="P61" s="64">
        <v>0.3</v>
      </c>
      <c r="Q61" s="64">
        <v>8.82</v>
      </c>
      <c r="R61" s="198"/>
      <c r="S61" s="198"/>
      <c r="T61" s="198"/>
      <c r="U61" s="198"/>
    </row>
    <row r="62" spans="1:21" s="12" customFormat="1" x14ac:dyDescent="0.25">
      <c r="A62" s="247" t="s">
        <v>777</v>
      </c>
      <c r="B62" s="64">
        <v>3.98</v>
      </c>
      <c r="C62" s="64">
        <v>42.2</v>
      </c>
      <c r="D62" s="64">
        <v>25.24</v>
      </c>
      <c r="E62" s="64">
        <v>5.2</v>
      </c>
      <c r="F62" s="64">
        <v>25.4</v>
      </c>
      <c r="G62" s="64">
        <v>48.79</v>
      </c>
      <c r="H62" s="64">
        <v>12.78</v>
      </c>
      <c r="I62" s="64">
        <v>4.01</v>
      </c>
      <c r="J62" s="64">
        <v>0.39</v>
      </c>
      <c r="K62" s="64">
        <v>275.91000000000003</v>
      </c>
      <c r="L62" s="64">
        <v>29.5</v>
      </c>
      <c r="M62" s="64">
        <v>8.98</v>
      </c>
      <c r="N62" s="64">
        <v>865.3</v>
      </c>
      <c r="O62" s="64">
        <v>0</v>
      </c>
      <c r="P62" s="64">
        <v>0.3</v>
      </c>
      <c r="Q62" s="64">
        <v>8.7899999999999991</v>
      </c>
      <c r="R62" s="198"/>
      <c r="S62" s="198"/>
      <c r="T62" s="198"/>
      <c r="U62" s="198"/>
    </row>
    <row r="63" spans="1:21" s="12" customFormat="1" x14ac:dyDescent="0.25">
      <c r="A63" s="247" t="s">
        <v>778</v>
      </c>
      <c r="B63" s="64">
        <v>5.31</v>
      </c>
      <c r="C63" s="64">
        <v>35.380000000000003</v>
      </c>
      <c r="D63" s="64">
        <v>22.75</v>
      </c>
      <c r="E63" s="64">
        <v>5.87</v>
      </c>
      <c r="F63" s="64">
        <v>28.63</v>
      </c>
      <c r="G63" s="64">
        <v>48.79</v>
      </c>
      <c r="H63" s="64">
        <v>12.78</v>
      </c>
      <c r="I63" s="64">
        <v>4.05</v>
      </c>
      <c r="J63" s="64">
        <v>0.92</v>
      </c>
      <c r="K63" s="64">
        <v>38.479999999999997</v>
      </c>
      <c r="L63" s="64">
        <v>28.03</v>
      </c>
      <c r="M63" s="64">
        <v>9.7100000000000009</v>
      </c>
      <c r="N63" s="64">
        <v>760.2</v>
      </c>
      <c r="O63" s="64">
        <v>0</v>
      </c>
      <c r="P63" s="64">
        <v>0.28000000000000003</v>
      </c>
      <c r="Q63" s="64">
        <v>8.7899999999999991</v>
      </c>
      <c r="R63" s="198"/>
      <c r="S63" s="198"/>
      <c r="T63" s="198"/>
      <c r="U63" s="198"/>
    </row>
    <row r="64" spans="1:21" s="12" customFormat="1" x14ac:dyDescent="0.25">
      <c r="A64" s="247" t="s">
        <v>779</v>
      </c>
      <c r="B64" s="64">
        <v>5.46</v>
      </c>
      <c r="C64" s="64">
        <v>45.73</v>
      </c>
      <c r="D64" s="64">
        <v>28.27</v>
      </c>
      <c r="E64" s="64">
        <v>4.91</v>
      </c>
      <c r="F64" s="64">
        <v>17.79</v>
      </c>
      <c r="G64" s="64">
        <v>48.34</v>
      </c>
      <c r="H64" s="64">
        <v>12.88</v>
      </c>
      <c r="I64" s="64">
        <v>3.94</v>
      </c>
      <c r="J64" s="64">
        <v>1.36</v>
      </c>
      <c r="K64" s="64">
        <v>341.53</v>
      </c>
      <c r="L64" s="64">
        <v>30.55</v>
      </c>
      <c r="M64" s="64">
        <v>8.6300000000000008</v>
      </c>
      <c r="N64" s="64">
        <v>778.2</v>
      </c>
      <c r="O64" s="64">
        <v>0</v>
      </c>
      <c r="P64" s="64">
        <v>0.32</v>
      </c>
      <c r="Q64" s="64">
        <v>8.81</v>
      </c>
      <c r="R64" s="198"/>
      <c r="S64" s="198"/>
      <c r="T64" s="198"/>
      <c r="U64" s="198"/>
    </row>
    <row r="65" spans="1:21" s="12" customFormat="1" x14ac:dyDescent="0.25">
      <c r="A65" s="247" t="s">
        <v>780</v>
      </c>
      <c r="B65" s="64">
        <v>8.43</v>
      </c>
      <c r="C65" s="64">
        <v>52.82</v>
      </c>
      <c r="D65" s="64">
        <v>34.36</v>
      </c>
      <c r="E65" s="64">
        <v>5.19</v>
      </c>
      <c r="F65" s="64">
        <v>18.93</v>
      </c>
      <c r="G65" s="64">
        <v>47.09</v>
      </c>
      <c r="H65" s="64">
        <v>13.15</v>
      </c>
      <c r="I65" s="64">
        <v>4.09</v>
      </c>
      <c r="J65" s="64">
        <v>0.24</v>
      </c>
      <c r="K65" s="64">
        <v>55.67</v>
      </c>
      <c r="L65" s="64">
        <v>29.85</v>
      </c>
      <c r="M65" s="64">
        <v>8.8800000000000008</v>
      </c>
      <c r="N65" s="64">
        <v>809</v>
      </c>
      <c r="O65" s="64">
        <v>0</v>
      </c>
      <c r="P65" s="64">
        <v>0.34</v>
      </c>
      <c r="Q65" s="64">
        <v>8.83</v>
      </c>
      <c r="R65" s="198"/>
      <c r="S65" s="198"/>
      <c r="T65" s="198"/>
      <c r="U65" s="198"/>
    </row>
    <row r="66" spans="1:21" s="12" customFormat="1" x14ac:dyDescent="0.25">
      <c r="A66" s="247" t="s">
        <v>781</v>
      </c>
      <c r="B66" s="64">
        <v>5.68</v>
      </c>
      <c r="C66" s="64">
        <v>47.33</v>
      </c>
      <c r="D66" s="64">
        <v>29.28</v>
      </c>
      <c r="E66" s="64">
        <v>5.38</v>
      </c>
      <c r="F66" s="64">
        <v>29.76</v>
      </c>
      <c r="G66" s="64">
        <v>47.09</v>
      </c>
      <c r="H66" s="64">
        <v>13.15</v>
      </c>
      <c r="I66" s="64">
        <v>3.96</v>
      </c>
      <c r="J66" s="64">
        <v>0.49</v>
      </c>
      <c r="K66" s="64">
        <v>333.34</v>
      </c>
      <c r="L66" s="64">
        <v>29.32</v>
      </c>
      <c r="M66" s="64">
        <v>8.81</v>
      </c>
      <c r="N66" s="64">
        <v>684.4</v>
      </c>
      <c r="O66" s="64">
        <v>0</v>
      </c>
      <c r="P66" s="64">
        <v>0.31</v>
      </c>
      <c r="Q66" s="64">
        <v>8.8699999999999992</v>
      </c>
      <c r="R66" s="198"/>
      <c r="S66" s="198"/>
      <c r="T66" s="198"/>
      <c r="U66" s="198"/>
    </row>
    <row r="67" spans="1:21" s="12" customFormat="1" x14ac:dyDescent="0.25">
      <c r="A67" s="247" t="s">
        <v>782</v>
      </c>
      <c r="B67" s="64">
        <v>5.94</v>
      </c>
      <c r="C67" s="64">
        <v>42.39</v>
      </c>
      <c r="D67" s="64">
        <v>26.91</v>
      </c>
      <c r="E67" s="64">
        <v>6.78</v>
      </c>
      <c r="F67" s="64">
        <v>38.450000000000003</v>
      </c>
      <c r="G67" s="64">
        <v>47.09</v>
      </c>
      <c r="H67" s="64">
        <v>13.15</v>
      </c>
      <c r="I67" s="64">
        <v>3.86</v>
      </c>
      <c r="J67" s="64">
        <v>1.44</v>
      </c>
      <c r="K67" s="64">
        <v>356.42</v>
      </c>
      <c r="L67" s="64">
        <v>29.85</v>
      </c>
      <c r="M67" s="64">
        <v>8.4700000000000006</v>
      </c>
      <c r="N67" s="64">
        <v>380.1</v>
      </c>
      <c r="O67" s="64">
        <v>0</v>
      </c>
      <c r="P67" s="64">
        <v>0.27</v>
      </c>
      <c r="Q67" s="64">
        <v>8.84</v>
      </c>
      <c r="R67" s="198"/>
      <c r="S67" s="198"/>
      <c r="T67" s="198"/>
      <c r="U67" s="198"/>
    </row>
    <row r="68" spans="1:21" s="12" customFormat="1" x14ac:dyDescent="0.25">
      <c r="A68" s="247" t="s">
        <v>783</v>
      </c>
      <c r="B68" s="64">
        <v>8.06</v>
      </c>
      <c r="C68" s="64">
        <v>39.65</v>
      </c>
      <c r="D68" s="64">
        <v>27.18</v>
      </c>
      <c r="E68" s="64">
        <v>7.89</v>
      </c>
      <c r="F68" s="64">
        <v>34.020000000000003</v>
      </c>
      <c r="G68" s="64">
        <v>42.89</v>
      </c>
      <c r="H68" s="64">
        <v>12.28</v>
      </c>
      <c r="I68" s="64">
        <v>4.1100000000000003</v>
      </c>
      <c r="J68" s="64">
        <v>0.62</v>
      </c>
      <c r="K68" s="64">
        <v>2.39</v>
      </c>
      <c r="L68" s="64">
        <v>28.69</v>
      </c>
      <c r="M68" s="64">
        <v>9.06</v>
      </c>
      <c r="N68" s="64">
        <v>390.6</v>
      </c>
      <c r="O68" s="64">
        <v>0</v>
      </c>
      <c r="P68" s="64">
        <v>0.26</v>
      </c>
      <c r="Q68" s="64">
        <v>8.84</v>
      </c>
      <c r="R68" s="198"/>
      <c r="S68" s="198"/>
      <c r="T68" s="198"/>
      <c r="U68" s="198"/>
    </row>
    <row r="69" spans="1:21" s="12" customFormat="1" x14ac:dyDescent="0.25">
      <c r="A69" s="247" t="s">
        <v>784</v>
      </c>
      <c r="B69" s="64">
        <v>4.5199999999999996</v>
      </c>
      <c r="C69" s="64">
        <v>49.63</v>
      </c>
      <c r="D69" s="64">
        <v>29.56</v>
      </c>
      <c r="E69" s="64">
        <v>7.21</v>
      </c>
      <c r="F69" s="64">
        <v>22.06</v>
      </c>
      <c r="G69" s="64">
        <v>30.66</v>
      </c>
      <c r="H69" s="64">
        <v>9.9</v>
      </c>
      <c r="I69" s="64">
        <v>3.87</v>
      </c>
      <c r="J69" s="64">
        <v>0.56000000000000005</v>
      </c>
      <c r="K69" s="64">
        <v>320.58999999999997</v>
      </c>
      <c r="L69" s="64">
        <v>29.09</v>
      </c>
      <c r="M69" s="64">
        <v>8.3800000000000008</v>
      </c>
      <c r="N69" s="64">
        <v>205.4</v>
      </c>
      <c r="O69" s="64">
        <v>0</v>
      </c>
      <c r="P69" s="64">
        <v>0.28000000000000003</v>
      </c>
      <c r="Q69" s="64">
        <v>8.8699999999999992</v>
      </c>
      <c r="R69" s="198"/>
      <c r="S69" s="198"/>
      <c r="T69" s="198"/>
      <c r="U69" s="198"/>
    </row>
    <row r="70" spans="1:21" s="12" customFormat="1" x14ac:dyDescent="0.25">
      <c r="A70" s="247" t="s">
        <v>785</v>
      </c>
      <c r="B70" s="64">
        <v>5.74</v>
      </c>
      <c r="C70" s="64">
        <v>39.770000000000003</v>
      </c>
      <c r="D70" s="64">
        <v>25.39</v>
      </c>
      <c r="E70" s="64">
        <v>8.1199999999999992</v>
      </c>
      <c r="F70" s="64">
        <v>26.5</v>
      </c>
      <c r="G70" s="64">
        <v>30.66</v>
      </c>
      <c r="H70" s="64">
        <v>9.9</v>
      </c>
      <c r="I70" s="64">
        <v>4.05</v>
      </c>
      <c r="J70" s="64">
        <v>1.25</v>
      </c>
      <c r="K70" s="64">
        <v>326.12</v>
      </c>
      <c r="L70" s="64">
        <v>28.94</v>
      </c>
      <c r="M70" s="64">
        <v>8.94</v>
      </c>
      <c r="N70" s="64">
        <v>196.8</v>
      </c>
      <c r="O70" s="64">
        <v>0</v>
      </c>
      <c r="P70" s="64">
        <v>0.27</v>
      </c>
      <c r="Q70" s="64">
        <v>8.8699999999999992</v>
      </c>
      <c r="R70" s="198"/>
      <c r="S70" s="198"/>
      <c r="T70" s="198"/>
      <c r="U70" s="198"/>
    </row>
    <row r="71" spans="1:21" s="12" customFormat="1" x14ac:dyDescent="0.25">
      <c r="A71" s="247" t="s">
        <v>786</v>
      </c>
      <c r="B71" s="64">
        <v>5.04</v>
      </c>
      <c r="C71" s="64">
        <v>39.08</v>
      </c>
      <c r="D71" s="64">
        <v>24.46</v>
      </c>
      <c r="E71" s="64">
        <v>9.77</v>
      </c>
      <c r="F71" s="64">
        <v>23.23</v>
      </c>
      <c r="G71" s="64">
        <v>30.66</v>
      </c>
      <c r="H71" s="64">
        <v>9.9</v>
      </c>
      <c r="I71" s="64">
        <v>3.92</v>
      </c>
      <c r="J71" s="64">
        <v>1.35</v>
      </c>
      <c r="K71" s="64">
        <v>326.76</v>
      </c>
      <c r="L71" s="64">
        <v>28.76</v>
      </c>
      <c r="M71" s="64">
        <v>8.2200000000000006</v>
      </c>
      <c r="N71" s="64">
        <v>235.4</v>
      </c>
      <c r="O71" s="64">
        <v>0</v>
      </c>
      <c r="P71" s="64">
        <v>0.26</v>
      </c>
      <c r="Q71" s="64">
        <v>8.85</v>
      </c>
      <c r="R71" s="198"/>
      <c r="S71" s="198"/>
      <c r="T71" s="198"/>
      <c r="U71" s="198"/>
    </row>
    <row r="72" spans="1:21" s="12" customFormat="1" x14ac:dyDescent="0.25">
      <c r="A72" s="247" t="s">
        <v>787</v>
      </c>
      <c r="B72" s="64">
        <v>6.96</v>
      </c>
      <c r="C72" s="64">
        <v>43.26</v>
      </c>
      <c r="D72" s="64">
        <v>28.18</v>
      </c>
      <c r="E72" s="64">
        <v>5.89</v>
      </c>
      <c r="F72" s="64">
        <v>18.77</v>
      </c>
      <c r="G72" s="64">
        <v>31.35</v>
      </c>
      <c r="H72" s="64">
        <v>9.1300000000000008</v>
      </c>
      <c r="I72" s="64">
        <v>3.98</v>
      </c>
      <c r="J72" s="64">
        <v>1.76</v>
      </c>
      <c r="K72" s="64">
        <v>336.04</v>
      </c>
      <c r="L72" s="64">
        <v>27.89</v>
      </c>
      <c r="M72" s="64">
        <v>9</v>
      </c>
      <c r="N72" s="64">
        <v>176.3</v>
      </c>
      <c r="O72" s="64">
        <v>0</v>
      </c>
      <c r="P72" s="64">
        <v>0.31</v>
      </c>
      <c r="Q72" s="64">
        <v>8.89</v>
      </c>
      <c r="R72" s="198"/>
      <c r="S72" s="198"/>
      <c r="T72" s="198"/>
      <c r="U72" s="198"/>
    </row>
    <row r="73" spans="1:21" s="12" customFormat="1" x14ac:dyDescent="0.25">
      <c r="A73" s="247" t="s">
        <v>788</v>
      </c>
      <c r="B73" s="64">
        <v>4.3099999999999996</v>
      </c>
      <c r="C73" s="64">
        <v>48.06</v>
      </c>
      <c r="D73" s="64">
        <v>28.57</v>
      </c>
      <c r="E73" s="64">
        <v>6.07</v>
      </c>
      <c r="F73" s="64">
        <v>11.96</v>
      </c>
      <c r="G73" s="64">
        <v>33.24</v>
      </c>
      <c r="H73" s="64">
        <v>7</v>
      </c>
      <c r="I73" s="64">
        <v>3.92</v>
      </c>
      <c r="J73" s="64">
        <v>1.66</v>
      </c>
      <c r="K73" s="64">
        <v>314.3</v>
      </c>
      <c r="L73" s="64">
        <v>27.13</v>
      </c>
      <c r="M73" s="64">
        <v>9.92</v>
      </c>
      <c r="N73" s="64">
        <v>191.2</v>
      </c>
      <c r="O73" s="64">
        <v>0</v>
      </c>
      <c r="P73" s="64">
        <v>0.31</v>
      </c>
      <c r="Q73" s="64">
        <v>8.94</v>
      </c>
      <c r="R73" s="198"/>
      <c r="S73" s="198"/>
      <c r="T73" s="198"/>
      <c r="U73" s="198"/>
    </row>
    <row r="74" spans="1:21" s="12" customFormat="1" x14ac:dyDescent="0.25">
      <c r="A74" s="247" t="s">
        <v>789</v>
      </c>
      <c r="B74" s="64">
        <v>4.8899999999999997</v>
      </c>
      <c r="C74" s="64">
        <v>52.76</v>
      </c>
      <c r="D74" s="64">
        <v>31.49</v>
      </c>
      <c r="E74" s="64">
        <v>5.59</v>
      </c>
      <c r="F74" s="64">
        <v>12.18</v>
      </c>
      <c r="G74" s="64">
        <v>33.24</v>
      </c>
      <c r="H74" s="64">
        <v>7</v>
      </c>
      <c r="I74" s="64">
        <v>3.98</v>
      </c>
      <c r="J74" s="64">
        <v>1.66</v>
      </c>
      <c r="K74" s="64">
        <v>323.87</v>
      </c>
      <c r="L74" s="64">
        <v>26.86</v>
      </c>
      <c r="M74" s="64">
        <v>10.55</v>
      </c>
      <c r="N74" s="64">
        <v>137.1</v>
      </c>
      <c r="O74" s="64">
        <v>0</v>
      </c>
      <c r="P74" s="64">
        <v>0.34</v>
      </c>
      <c r="Q74" s="64">
        <v>8.98</v>
      </c>
      <c r="R74" s="198"/>
      <c r="S74" s="198"/>
      <c r="T74" s="198"/>
      <c r="U74" s="198"/>
    </row>
    <row r="75" spans="1:21" s="12" customFormat="1" x14ac:dyDescent="0.25">
      <c r="A75" s="247" t="s">
        <v>790</v>
      </c>
      <c r="B75" s="64">
        <v>7.21</v>
      </c>
      <c r="C75" s="64">
        <v>53.1</v>
      </c>
      <c r="D75" s="64">
        <v>33.53</v>
      </c>
      <c r="E75" s="64">
        <v>5.68</v>
      </c>
      <c r="F75" s="64">
        <v>13.45</v>
      </c>
      <c r="G75" s="64">
        <v>33.24</v>
      </c>
      <c r="H75" s="64">
        <v>7</v>
      </c>
      <c r="I75" s="64">
        <v>4.04</v>
      </c>
      <c r="J75" s="64">
        <v>1.44</v>
      </c>
      <c r="K75" s="64">
        <v>336.25</v>
      </c>
      <c r="L75" s="64">
        <v>26.29</v>
      </c>
      <c r="M75" s="64">
        <v>10.79</v>
      </c>
      <c r="N75" s="64">
        <v>126.2</v>
      </c>
      <c r="O75" s="64">
        <v>0</v>
      </c>
      <c r="P75" s="64">
        <v>0.36</v>
      </c>
      <c r="Q75" s="64">
        <v>9.02</v>
      </c>
      <c r="R75" s="198"/>
      <c r="S75" s="198"/>
      <c r="T75" s="198"/>
      <c r="U75" s="198"/>
    </row>
    <row r="76" spans="1:21" s="12" customFormat="1" x14ac:dyDescent="0.25">
      <c r="A76" s="247" t="s">
        <v>791</v>
      </c>
      <c r="B76" s="64">
        <v>8.4499999999999993</v>
      </c>
      <c r="C76" s="64">
        <v>50.78</v>
      </c>
      <c r="D76" s="64">
        <v>33.31</v>
      </c>
      <c r="E76" s="64">
        <v>6.83</v>
      </c>
      <c r="F76" s="64">
        <v>16.420000000000002</v>
      </c>
      <c r="G76" s="64">
        <v>36.29</v>
      </c>
      <c r="H76" s="64">
        <v>7.46</v>
      </c>
      <c r="I76" s="64">
        <v>4.0999999999999996</v>
      </c>
      <c r="J76" s="64">
        <v>1.54</v>
      </c>
      <c r="K76" s="64">
        <v>354.15</v>
      </c>
      <c r="L76" s="64">
        <v>25.98</v>
      </c>
      <c r="M76" s="64">
        <v>10.63</v>
      </c>
      <c r="N76" s="64">
        <v>116.4</v>
      </c>
      <c r="O76" s="64">
        <v>0</v>
      </c>
      <c r="P76" s="64">
        <v>0.37</v>
      </c>
      <c r="Q76" s="64">
        <v>9.07</v>
      </c>
      <c r="R76" s="198"/>
      <c r="S76" s="198"/>
      <c r="T76" s="198"/>
      <c r="U76" s="198"/>
    </row>
    <row r="77" spans="1:21" s="12" customFormat="1" x14ac:dyDescent="0.25">
      <c r="A77" s="247" t="s">
        <v>792</v>
      </c>
      <c r="B77" s="64">
        <v>16.260000000000002</v>
      </c>
      <c r="C77" s="64">
        <v>60.43</v>
      </c>
      <c r="D77" s="64">
        <v>44.61</v>
      </c>
      <c r="E77" s="64">
        <v>7.12</v>
      </c>
      <c r="F77" s="64">
        <v>23.2</v>
      </c>
      <c r="G77" s="64">
        <v>44.67</v>
      </c>
      <c r="H77" s="64">
        <v>8.73</v>
      </c>
      <c r="I77" s="64">
        <v>3.98</v>
      </c>
      <c r="J77" s="64">
        <v>1.05</v>
      </c>
      <c r="K77" s="64">
        <v>12.05</v>
      </c>
      <c r="L77" s="64">
        <v>25.61</v>
      </c>
      <c r="M77" s="64">
        <v>10.47</v>
      </c>
      <c r="N77" s="64">
        <v>102.9</v>
      </c>
      <c r="O77" s="64">
        <v>0</v>
      </c>
      <c r="P77" s="64">
        <v>0.45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47" t="s">
        <v>793</v>
      </c>
      <c r="B78" s="64">
        <v>20.97</v>
      </c>
      <c r="C78" s="64">
        <v>64.73</v>
      </c>
      <c r="D78" s="64">
        <v>50.64</v>
      </c>
      <c r="E78" s="64">
        <v>8.4</v>
      </c>
      <c r="F78" s="64">
        <v>24.72</v>
      </c>
      <c r="G78" s="64">
        <v>44.67</v>
      </c>
      <c r="H78" s="64">
        <v>8.73</v>
      </c>
      <c r="I78" s="64">
        <v>4.0599999999999996</v>
      </c>
      <c r="J78" s="64">
        <v>0.91</v>
      </c>
      <c r="K78" s="64">
        <v>338.32</v>
      </c>
      <c r="L78" s="64">
        <v>24.96</v>
      </c>
      <c r="M78" s="64">
        <v>13.43</v>
      </c>
      <c r="N78" s="64">
        <v>93.3</v>
      </c>
      <c r="O78" s="64">
        <v>0</v>
      </c>
      <c r="P78" s="64">
        <v>0.64</v>
      </c>
      <c r="Q78" s="64">
        <v>9.1999999999999993</v>
      </c>
      <c r="R78" s="198"/>
      <c r="S78" s="198"/>
      <c r="T78" s="198"/>
      <c r="U78" s="198"/>
    </row>
    <row r="79" spans="1:21" s="12" customFormat="1" x14ac:dyDescent="0.25">
      <c r="A79" s="247" t="s">
        <v>794</v>
      </c>
      <c r="B79" s="64">
        <v>25.63</v>
      </c>
      <c r="C79" s="64">
        <v>75.61</v>
      </c>
      <c r="D79" s="64">
        <v>60.06</v>
      </c>
      <c r="E79" s="64">
        <v>8.7899999999999991</v>
      </c>
      <c r="F79" s="64">
        <v>24.47</v>
      </c>
      <c r="G79" s="64">
        <v>44.67</v>
      </c>
      <c r="H79" s="64">
        <v>8.73</v>
      </c>
      <c r="I79" s="64">
        <v>4.05</v>
      </c>
      <c r="J79" s="64">
        <v>0.57999999999999996</v>
      </c>
      <c r="K79" s="64">
        <v>4.8899999999999997</v>
      </c>
      <c r="L79" s="64">
        <v>24.19</v>
      </c>
      <c r="M79" s="64">
        <v>12.67</v>
      </c>
      <c r="N79" s="64">
        <v>83.9</v>
      </c>
      <c r="O79" s="64">
        <v>0</v>
      </c>
      <c r="P79" s="64">
        <v>0.78</v>
      </c>
      <c r="Q79" s="64">
        <v>9.2200000000000006</v>
      </c>
      <c r="R79" s="198"/>
      <c r="S79" s="198"/>
      <c r="T79" s="198"/>
      <c r="U79" s="198"/>
    </row>
    <row r="80" spans="1:21" s="12" customFormat="1" x14ac:dyDescent="0.25">
      <c r="A80" s="247" t="s">
        <v>795</v>
      </c>
      <c r="B80" s="64">
        <v>15.84</v>
      </c>
      <c r="C80" s="64">
        <v>81.760000000000005</v>
      </c>
      <c r="D80" s="64">
        <v>55.42</v>
      </c>
      <c r="E80" s="64">
        <v>9.98</v>
      </c>
      <c r="F80" s="64">
        <v>24.44</v>
      </c>
      <c r="G80" s="64">
        <v>44.44</v>
      </c>
      <c r="H80" s="64">
        <v>9.0399999999999991</v>
      </c>
      <c r="I80" s="64">
        <v>4.0999999999999996</v>
      </c>
      <c r="J80" s="64">
        <v>0.27</v>
      </c>
      <c r="K80" s="64">
        <v>169.43</v>
      </c>
      <c r="L80" s="64">
        <v>23.57</v>
      </c>
      <c r="M80" s="64">
        <v>13.04</v>
      </c>
      <c r="N80" s="64">
        <v>74.599999999999994</v>
      </c>
      <c r="O80" s="64">
        <v>0</v>
      </c>
      <c r="P80" s="64">
        <v>0.5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47" t="s">
        <v>796</v>
      </c>
      <c r="B81" s="64">
        <v>18.829999999999998</v>
      </c>
      <c r="C81" s="64">
        <v>75.27</v>
      </c>
      <c r="D81" s="64">
        <v>54.42</v>
      </c>
      <c r="E81" s="64">
        <v>9.1300000000000008</v>
      </c>
      <c r="F81" s="64">
        <v>20.98</v>
      </c>
      <c r="G81" s="64">
        <v>43.82</v>
      </c>
      <c r="H81" s="64">
        <v>9.8800000000000008</v>
      </c>
      <c r="I81" s="64">
        <v>4.12</v>
      </c>
      <c r="J81" s="64">
        <v>0.88</v>
      </c>
      <c r="K81" s="64">
        <v>87.93</v>
      </c>
      <c r="L81" s="64">
        <v>22.74</v>
      </c>
      <c r="M81" s="64">
        <v>17.36</v>
      </c>
      <c r="N81" s="64">
        <v>67.2</v>
      </c>
      <c r="O81" s="64">
        <v>0</v>
      </c>
      <c r="P81" s="64">
        <v>0.54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47" t="s">
        <v>797</v>
      </c>
      <c r="B82" s="64">
        <v>8.2200000000000006</v>
      </c>
      <c r="C82" s="64">
        <v>74.91</v>
      </c>
      <c r="D82" s="64">
        <v>45.73</v>
      </c>
      <c r="E82" s="64">
        <v>11.39</v>
      </c>
      <c r="F82" s="64">
        <v>21.22</v>
      </c>
      <c r="G82" s="64">
        <v>43.82</v>
      </c>
      <c r="H82" s="64">
        <v>9.8800000000000008</v>
      </c>
      <c r="I82" s="64">
        <v>4.04</v>
      </c>
      <c r="J82" s="64">
        <v>0.66</v>
      </c>
      <c r="K82" s="64">
        <v>77.59</v>
      </c>
      <c r="L82" s="64">
        <v>22.31</v>
      </c>
      <c r="M82" s="64">
        <v>17.64</v>
      </c>
      <c r="N82" s="64">
        <v>65.599999999999994</v>
      </c>
      <c r="O82" s="64">
        <v>0</v>
      </c>
      <c r="P82" s="64">
        <v>0.72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47" t="s">
        <v>798</v>
      </c>
      <c r="B83" s="64">
        <v>37.29</v>
      </c>
      <c r="C83" s="64">
        <v>90.14</v>
      </c>
      <c r="D83" s="64">
        <v>77</v>
      </c>
      <c r="E83" s="64">
        <v>10.18</v>
      </c>
      <c r="F83" s="64">
        <v>15.27</v>
      </c>
      <c r="G83" s="64">
        <v>43.82</v>
      </c>
      <c r="H83" s="64">
        <v>9.8800000000000008</v>
      </c>
      <c r="I83" s="64">
        <v>3.94</v>
      </c>
      <c r="J83" s="64">
        <v>0.61</v>
      </c>
      <c r="K83" s="64">
        <v>43.28</v>
      </c>
      <c r="L83" s="64">
        <v>21.76</v>
      </c>
      <c r="M83" s="64">
        <v>18.95</v>
      </c>
      <c r="N83" s="64">
        <v>65.400000000000006</v>
      </c>
      <c r="O83" s="64">
        <v>0</v>
      </c>
      <c r="P83" s="64">
        <v>1</v>
      </c>
      <c r="Q83" s="64">
        <v>9.2899999999999991</v>
      </c>
      <c r="R83" s="198"/>
      <c r="S83" s="198"/>
      <c r="T83" s="198"/>
      <c r="U83" s="198"/>
    </row>
    <row r="84" spans="1:26" s="12" customFormat="1" x14ac:dyDescent="0.25">
      <c r="A84" s="247" t="s">
        <v>799</v>
      </c>
      <c r="B84" s="64">
        <v>89.63</v>
      </c>
      <c r="C84" s="64">
        <v>107.19</v>
      </c>
      <c r="D84" s="64">
        <v>127.88</v>
      </c>
      <c r="E84" s="64">
        <v>9.33</v>
      </c>
      <c r="F84" s="64">
        <v>7.54</v>
      </c>
      <c r="G84" s="64">
        <v>46.04</v>
      </c>
      <c r="H84" s="64">
        <v>10.25</v>
      </c>
      <c r="I84" s="64">
        <v>3.88</v>
      </c>
      <c r="J84" s="64">
        <v>0.32</v>
      </c>
      <c r="K84" s="64">
        <v>159.76</v>
      </c>
      <c r="L84" s="64">
        <v>21.2</v>
      </c>
      <c r="M84" s="64">
        <v>22.62</v>
      </c>
      <c r="N84" s="64">
        <v>65.3</v>
      </c>
      <c r="O84" s="64">
        <v>0</v>
      </c>
      <c r="P84" s="64">
        <v>1.33</v>
      </c>
      <c r="Q84" s="64">
        <v>9.34</v>
      </c>
      <c r="R84" s="198"/>
      <c r="S84" s="198"/>
      <c r="T84" s="198"/>
      <c r="U84" s="198"/>
    </row>
    <row r="85" spans="1:26" s="12" customFormat="1" x14ac:dyDescent="0.25">
      <c r="A85" s="247" t="s">
        <v>800</v>
      </c>
      <c r="B85" s="64">
        <v>85.4</v>
      </c>
      <c r="C85" s="64">
        <v>83.53</v>
      </c>
      <c r="D85" s="64">
        <v>112.12</v>
      </c>
      <c r="E85" s="64">
        <v>8</v>
      </c>
      <c r="F85" s="64">
        <v>7.7</v>
      </c>
      <c r="G85" s="64">
        <v>52.14</v>
      </c>
      <c r="H85" s="64">
        <v>11.28</v>
      </c>
      <c r="I85" s="64">
        <v>3.93</v>
      </c>
      <c r="J85" s="64">
        <v>0.56999999999999995</v>
      </c>
      <c r="K85" s="64">
        <v>13.32</v>
      </c>
      <c r="L85" s="64">
        <v>20.67</v>
      </c>
      <c r="M85" s="64">
        <v>28.37</v>
      </c>
      <c r="N85" s="64">
        <v>66</v>
      </c>
      <c r="O85" s="64">
        <v>0</v>
      </c>
      <c r="P85" s="64">
        <v>1.34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47" t="s">
        <v>801</v>
      </c>
      <c r="B86" s="64">
        <v>74.47</v>
      </c>
      <c r="C86" s="64">
        <v>84.32</v>
      </c>
      <c r="D86" s="64">
        <v>103.77</v>
      </c>
      <c r="E86" s="64">
        <v>7.13</v>
      </c>
      <c r="F86" s="64">
        <v>7.45</v>
      </c>
      <c r="G86" s="64">
        <v>52.14</v>
      </c>
      <c r="H86" s="64">
        <v>11.28</v>
      </c>
      <c r="I86" s="64">
        <v>3.92</v>
      </c>
      <c r="J86" s="64">
        <v>0.59</v>
      </c>
      <c r="K86" s="64">
        <v>329.94</v>
      </c>
      <c r="L86" s="64">
        <v>19.8</v>
      </c>
      <c r="M86" s="64">
        <v>27.29</v>
      </c>
      <c r="N86" s="64">
        <v>66</v>
      </c>
      <c r="O86" s="64">
        <v>0</v>
      </c>
      <c r="P86" s="64">
        <v>1.43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47" t="s">
        <v>802</v>
      </c>
      <c r="B87" s="64">
        <v>73.260000000000005</v>
      </c>
      <c r="C87" s="64">
        <v>77.8</v>
      </c>
      <c r="D87" s="64">
        <v>99.4</v>
      </c>
      <c r="E87" s="64">
        <v>6.56</v>
      </c>
      <c r="F87" s="64">
        <v>6.96</v>
      </c>
      <c r="G87" s="64">
        <v>52.14</v>
      </c>
      <c r="H87" s="64">
        <v>11.28</v>
      </c>
      <c r="I87" s="64">
        <v>3.98</v>
      </c>
      <c r="J87" s="64">
        <v>0.61</v>
      </c>
      <c r="K87" s="64">
        <v>11.05</v>
      </c>
      <c r="L87" s="64">
        <v>19.13</v>
      </c>
      <c r="M87" s="64">
        <v>32.56</v>
      </c>
      <c r="N87" s="64">
        <v>66</v>
      </c>
      <c r="O87" s="64">
        <v>0</v>
      </c>
      <c r="P87" s="64">
        <v>1.33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47" t="s">
        <v>803</v>
      </c>
      <c r="B88" s="64">
        <v>88.39</v>
      </c>
      <c r="C88" s="64">
        <v>86.44</v>
      </c>
      <c r="D88" s="64">
        <v>116.04</v>
      </c>
      <c r="E88" s="64">
        <v>6.16</v>
      </c>
      <c r="F88" s="64">
        <v>6.54</v>
      </c>
      <c r="G88" s="64">
        <v>60.62</v>
      </c>
      <c r="H88" s="64">
        <v>13.3</v>
      </c>
      <c r="I88" s="64">
        <v>4</v>
      </c>
      <c r="J88" s="64">
        <v>0.47</v>
      </c>
      <c r="K88" s="64">
        <v>350.03</v>
      </c>
      <c r="L88" s="64">
        <v>18.7</v>
      </c>
      <c r="M88" s="64">
        <v>32.090000000000003</v>
      </c>
      <c r="N88" s="64">
        <v>65.8</v>
      </c>
      <c r="O88" s="64">
        <v>0</v>
      </c>
      <c r="P88" s="64">
        <v>1.52</v>
      </c>
      <c r="Q88" s="64">
        <v>9.57</v>
      </c>
      <c r="R88" s="198"/>
      <c r="S88" s="198"/>
      <c r="T88" s="198"/>
      <c r="U88" s="198"/>
    </row>
    <row r="89" spans="1:26" s="12" customFormat="1" x14ac:dyDescent="0.25">
      <c r="A89" s="247" t="s">
        <v>804</v>
      </c>
      <c r="B89" s="64">
        <v>81.67</v>
      </c>
      <c r="C89" s="64">
        <v>77.77</v>
      </c>
      <c r="D89" s="64">
        <v>106.12</v>
      </c>
      <c r="E89" s="64">
        <v>5.99</v>
      </c>
      <c r="F89" s="64">
        <v>7.16</v>
      </c>
      <c r="G89" s="64">
        <v>83.92</v>
      </c>
      <c r="H89" s="64">
        <v>18.86</v>
      </c>
      <c r="I89" s="64">
        <v>4.09</v>
      </c>
      <c r="J89" s="64">
        <v>0.68</v>
      </c>
      <c r="K89" s="64">
        <v>245.21</v>
      </c>
      <c r="L89" s="64">
        <v>18.55</v>
      </c>
      <c r="M89" s="64">
        <v>31.11</v>
      </c>
      <c r="N89" s="64">
        <v>64.900000000000006</v>
      </c>
      <c r="O89" s="64">
        <v>0</v>
      </c>
      <c r="P89" s="64">
        <v>1.56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47" t="s">
        <v>805</v>
      </c>
      <c r="B90" s="64">
        <v>66.489999999999995</v>
      </c>
      <c r="C90" s="64">
        <v>74.88</v>
      </c>
      <c r="D90" s="64">
        <v>92.45</v>
      </c>
      <c r="E90" s="64">
        <v>5.5</v>
      </c>
      <c r="F90" s="64">
        <v>7.07</v>
      </c>
      <c r="G90" s="64">
        <v>83.92</v>
      </c>
      <c r="H90" s="64">
        <v>18.86</v>
      </c>
      <c r="I90" s="64">
        <v>4.13</v>
      </c>
      <c r="J90" s="64">
        <v>1.03</v>
      </c>
      <c r="K90" s="64">
        <v>220.71</v>
      </c>
      <c r="L90" s="64">
        <v>19.46</v>
      </c>
      <c r="M90" s="64">
        <v>24.22</v>
      </c>
      <c r="N90" s="64">
        <v>64</v>
      </c>
      <c r="O90" s="64">
        <v>0</v>
      </c>
      <c r="P90" s="64">
        <v>1.31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47" t="s">
        <v>806</v>
      </c>
      <c r="B91" s="64">
        <v>67.680000000000007</v>
      </c>
      <c r="C91" s="64">
        <v>75.39</v>
      </c>
      <c r="D91" s="64">
        <v>93.66</v>
      </c>
      <c r="E91" s="64">
        <v>6.07</v>
      </c>
      <c r="F91" s="64">
        <v>6.94</v>
      </c>
      <c r="G91" s="64">
        <v>83.92</v>
      </c>
      <c r="H91" s="64">
        <v>18.86</v>
      </c>
      <c r="I91" s="64">
        <v>4.09</v>
      </c>
      <c r="J91" s="64">
        <v>0.5</v>
      </c>
      <c r="K91" s="64">
        <v>262.61</v>
      </c>
      <c r="L91" s="64">
        <v>19.05</v>
      </c>
      <c r="M91" s="64">
        <v>26.21</v>
      </c>
      <c r="N91" s="64">
        <v>65.599999999999994</v>
      </c>
      <c r="O91" s="64">
        <v>0</v>
      </c>
      <c r="P91" s="64">
        <v>1.33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47" t="s">
        <v>807</v>
      </c>
      <c r="B92" s="64">
        <v>88.84</v>
      </c>
      <c r="C92" s="64">
        <v>81.23</v>
      </c>
      <c r="D92" s="64">
        <v>113.69</v>
      </c>
      <c r="E92" s="64">
        <v>5.98</v>
      </c>
      <c r="F92" s="64">
        <v>7.12</v>
      </c>
      <c r="G92" s="64">
        <v>92.53</v>
      </c>
      <c r="H92" s="64">
        <v>20.5</v>
      </c>
      <c r="I92" s="64">
        <v>3.91</v>
      </c>
      <c r="J92" s="64">
        <v>0.48</v>
      </c>
      <c r="K92" s="64">
        <v>279.7</v>
      </c>
      <c r="L92" s="64">
        <v>18.34</v>
      </c>
      <c r="M92" s="64">
        <v>30.07</v>
      </c>
      <c r="N92" s="64">
        <v>66</v>
      </c>
      <c r="O92" s="64">
        <v>0</v>
      </c>
      <c r="P92" s="64">
        <v>1.5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47" t="s">
        <v>808</v>
      </c>
      <c r="B93" s="64">
        <v>82.75</v>
      </c>
      <c r="C93" s="64">
        <v>75.53</v>
      </c>
      <c r="D93" s="64">
        <v>105.82</v>
      </c>
      <c r="E93" s="64">
        <v>5.97</v>
      </c>
      <c r="F93" s="64">
        <v>6.96</v>
      </c>
      <c r="G93" s="64">
        <v>116.23</v>
      </c>
      <c r="H93" s="64">
        <v>25.03</v>
      </c>
      <c r="I93" s="64">
        <v>3.98</v>
      </c>
      <c r="J93" s="64">
        <v>0.6</v>
      </c>
      <c r="K93" s="64">
        <v>350.54</v>
      </c>
      <c r="L93" s="64">
        <v>17.54</v>
      </c>
      <c r="M93" s="64">
        <v>34.630000000000003</v>
      </c>
      <c r="N93" s="64">
        <v>66.2</v>
      </c>
      <c r="O93" s="64">
        <v>0</v>
      </c>
      <c r="P93" s="64">
        <v>1.46</v>
      </c>
      <c r="Q93" s="64">
        <v>9.7100000000000009</v>
      </c>
      <c r="R93" s="198"/>
      <c r="S93" s="198"/>
      <c r="T93" s="198"/>
      <c r="U93" s="198"/>
    </row>
    <row r="94" spans="1:26" s="12" customFormat="1" x14ac:dyDescent="0.25">
      <c r="A94" s="247" t="s">
        <v>809</v>
      </c>
      <c r="B94" s="64">
        <v>85.2</v>
      </c>
      <c r="C94" s="64">
        <v>77.87</v>
      </c>
      <c r="D94" s="64">
        <v>109</v>
      </c>
      <c r="E94" s="64">
        <v>5.4</v>
      </c>
      <c r="F94" s="64">
        <v>6.7</v>
      </c>
      <c r="G94" s="64">
        <v>116.23</v>
      </c>
      <c r="H94" s="64">
        <v>25.03</v>
      </c>
      <c r="I94" s="64">
        <v>3.98</v>
      </c>
      <c r="J94" s="64">
        <v>0.41</v>
      </c>
      <c r="K94" s="64">
        <v>278.64</v>
      </c>
      <c r="L94" s="64">
        <v>16.98</v>
      </c>
      <c r="M94" s="64">
        <v>34.630000000000003</v>
      </c>
      <c r="N94" s="64">
        <v>65.599999999999994</v>
      </c>
      <c r="O94" s="64">
        <v>0</v>
      </c>
      <c r="P94" s="64">
        <v>1.5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47" t="s">
        <v>810</v>
      </c>
      <c r="B95" s="64">
        <v>101.85</v>
      </c>
      <c r="C95" s="64">
        <v>83.86</v>
      </c>
      <c r="D95" s="64">
        <v>125.49</v>
      </c>
      <c r="E95" s="64">
        <v>6.28</v>
      </c>
      <c r="F95" s="64">
        <v>7.3</v>
      </c>
      <c r="G95" s="64">
        <v>116.23</v>
      </c>
      <c r="H95" s="64">
        <v>25.03</v>
      </c>
      <c r="I95" s="64">
        <v>4.05</v>
      </c>
      <c r="J95" s="64">
        <v>0.4</v>
      </c>
      <c r="K95" s="64">
        <v>308.18</v>
      </c>
      <c r="L95" s="64">
        <v>16.48</v>
      </c>
      <c r="M95" s="64">
        <v>37.75</v>
      </c>
      <c r="N95" s="64">
        <v>65.900000000000006</v>
      </c>
      <c r="O95" s="64">
        <v>0</v>
      </c>
      <c r="P95" s="64">
        <v>1.74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47" t="s">
        <v>811</v>
      </c>
      <c r="B96" s="64">
        <v>84.98</v>
      </c>
      <c r="C96" s="64">
        <v>84.58</v>
      </c>
      <c r="D96" s="64">
        <v>112.34</v>
      </c>
      <c r="E96" s="64">
        <v>7.19</v>
      </c>
      <c r="F96" s="64">
        <v>7.37</v>
      </c>
      <c r="G96" s="64">
        <v>119.74</v>
      </c>
      <c r="H96" s="64">
        <v>26.9</v>
      </c>
      <c r="I96" s="64">
        <v>3.96</v>
      </c>
      <c r="J96" s="64">
        <v>0.53</v>
      </c>
      <c r="K96" s="64">
        <v>303.14999999999998</v>
      </c>
      <c r="L96" s="64">
        <v>16.61</v>
      </c>
      <c r="M96" s="64">
        <v>34.92</v>
      </c>
      <c r="N96" s="64">
        <v>65.7</v>
      </c>
      <c r="O96" s="64">
        <v>0</v>
      </c>
      <c r="P96" s="64">
        <v>1.66</v>
      </c>
      <c r="Q96" s="64">
        <v>9.76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812</v>
      </c>
      <c r="B97" s="64">
        <v>106.42</v>
      </c>
      <c r="C97" s="64">
        <v>80.930000000000007</v>
      </c>
      <c r="D97" s="64">
        <v>127.63</v>
      </c>
      <c r="E97" s="64">
        <v>6.57</v>
      </c>
      <c r="F97" s="64">
        <v>6.73</v>
      </c>
      <c r="G97" s="64">
        <v>129.38999999999999</v>
      </c>
      <c r="H97" s="64">
        <v>32.06</v>
      </c>
      <c r="I97" s="64">
        <v>3.96</v>
      </c>
      <c r="J97" s="64">
        <v>0.69</v>
      </c>
      <c r="K97" s="64">
        <v>313.45</v>
      </c>
      <c r="L97" s="64">
        <v>16.239999999999998</v>
      </c>
      <c r="M97" s="64">
        <v>38.29</v>
      </c>
      <c r="N97" s="64">
        <v>65.7</v>
      </c>
      <c r="O97" s="64">
        <v>0</v>
      </c>
      <c r="P97" s="64">
        <v>1.77</v>
      </c>
      <c r="Q97" s="64">
        <v>9.8000000000000007</v>
      </c>
      <c r="R97" s="198"/>
      <c r="S97" s="198"/>
      <c r="T97" s="198"/>
      <c r="U97" s="198"/>
    </row>
    <row r="98" spans="1:33" s="12" customFormat="1" x14ac:dyDescent="0.25">
      <c r="A98" s="247" t="s">
        <v>813</v>
      </c>
      <c r="B98" s="64">
        <v>88.7</v>
      </c>
      <c r="C98" s="64">
        <v>86.56</v>
      </c>
      <c r="D98" s="64">
        <v>116.35</v>
      </c>
      <c r="E98" s="64">
        <v>6.57</v>
      </c>
      <c r="F98" s="64">
        <v>6.64</v>
      </c>
      <c r="G98" s="64">
        <v>129.38999999999999</v>
      </c>
      <c r="H98" s="64">
        <v>32.06</v>
      </c>
      <c r="I98" s="64">
        <v>4.03</v>
      </c>
      <c r="J98" s="64">
        <v>0.68</v>
      </c>
      <c r="K98" s="64">
        <v>295.61</v>
      </c>
      <c r="L98" s="64">
        <v>16.010000000000002</v>
      </c>
      <c r="M98" s="64">
        <v>37.94</v>
      </c>
      <c r="N98" s="64">
        <v>65.7</v>
      </c>
      <c r="O98" s="64">
        <v>0</v>
      </c>
      <c r="P98" s="64">
        <v>1.65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47" t="s">
        <v>814</v>
      </c>
      <c r="B99" s="64">
        <v>101.26</v>
      </c>
      <c r="C99" s="64">
        <v>85.04</v>
      </c>
      <c r="D99" s="64">
        <v>125.63</v>
      </c>
      <c r="E99" s="64">
        <v>6.59</v>
      </c>
      <c r="F99" s="64">
        <v>6.62</v>
      </c>
      <c r="G99" s="64">
        <v>129.38999999999999</v>
      </c>
      <c r="H99" s="64">
        <v>32.06</v>
      </c>
      <c r="I99" s="64">
        <v>3.94</v>
      </c>
      <c r="J99" s="64">
        <v>0.26</v>
      </c>
      <c r="K99" s="64">
        <v>318.16000000000003</v>
      </c>
      <c r="L99" s="64">
        <v>16.100000000000001</v>
      </c>
      <c r="M99" s="64">
        <v>37.81</v>
      </c>
      <c r="N99" s="64">
        <v>65.3</v>
      </c>
      <c r="O99" s="64">
        <v>0</v>
      </c>
      <c r="P99" s="64">
        <v>1.74</v>
      </c>
      <c r="Q99" s="64">
        <v>9.81</v>
      </c>
      <c r="R99" s="198"/>
      <c r="S99" s="198"/>
      <c r="T99" s="198"/>
      <c r="U99" s="198"/>
    </row>
    <row r="100" spans="1:33" s="12" customFormat="1" x14ac:dyDescent="0.25">
      <c r="A100" s="247" t="s">
        <v>815</v>
      </c>
      <c r="B100" s="64">
        <v>89.74</v>
      </c>
      <c r="C100" s="64">
        <v>86.92</v>
      </c>
      <c r="D100" s="64">
        <v>117.38</v>
      </c>
      <c r="E100" s="64">
        <v>6.49</v>
      </c>
      <c r="F100" s="64">
        <v>6.73</v>
      </c>
      <c r="G100" s="64">
        <v>128.44</v>
      </c>
      <c r="H100" s="64">
        <v>31.68</v>
      </c>
      <c r="I100" s="64">
        <v>4.07</v>
      </c>
      <c r="J100" s="64">
        <v>0.35</v>
      </c>
      <c r="K100" s="64">
        <v>292.88</v>
      </c>
      <c r="L100" s="64">
        <v>15.99</v>
      </c>
      <c r="M100" s="64">
        <v>39.65</v>
      </c>
      <c r="N100" s="64">
        <v>65.8</v>
      </c>
      <c r="O100" s="64">
        <v>0</v>
      </c>
      <c r="P100" s="64">
        <v>1.67</v>
      </c>
      <c r="Q100" s="64">
        <v>9.82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816</v>
      </c>
      <c r="B101" s="64">
        <v>77.78</v>
      </c>
      <c r="C101" s="64">
        <v>84.65</v>
      </c>
      <c r="D101" s="64">
        <v>106.6</v>
      </c>
      <c r="E101" s="64">
        <v>6.27</v>
      </c>
      <c r="F101" s="64">
        <v>7.43</v>
      </c>
      <c r="G101" s="64">
        <v>125.83</v>
      </c>
      <c r="H101" s="64">
        <v>30.64</v>
      </c>
      <c r="I101" s="64">
        <v>3.97</v>
      </c>
      <c r="J101" s="64">
        <v>0.28000000000000003</v>
      </c>
      <c r="K101" s="64">
        <v>317.35000000000002</v>
      </c>
      <c r="L101" s="64">
        <v>15.77</v>
      </c>
      <c r="M101" s="64">
        <v>38.9</v>
      </c>
      <c r="N101" s="64">
        <v>65.599999999999994</v>
      </c>
      <c r="O101" s="64">
        <v>0</v>
      </c>
      <c r="P101" s="64">
        <v>1.56</v>
      </c>
      <c r="Q101" s="64">
        <v>9.85</v>
      </c>
      <c r="R101" s="198"/>
      <c r="S101" s="198"/>
      <c r="T101" s="198"/>
      <c r="U101" s="198"/>
    </row>
    <row r="102" spans="1:33" s="12" customFormat="1" x14ac:dyDescent="0.25">
      <c r="A102" s="247" t="s">
        <v>817</v>
      </c>
      <c r="B102" s="64">
        <v>78.31</v>
      </c>
      <c r="C102" s="64">
        <v>76.67</v>
      </c>
      <c r="D102" s="64">
        <v>102.86</v>
      </c>
      <c r="E102" s="64">
        <v>6.68</v>
      </c>
      <c r="F102" s="64">
        <v>8.35</v>
      </c>
      <c r="G102" s="64">
        <v>125.83</v>
      </c>
      <c r="H102" s="64">
        <v>30.64</v>
      </c>
      <c r="I102" s="64">
        <v>4.1900000000000004</v>
      </c>
      <c r="J102" s="64">
        <v>0.38</v>
      </c>
      <c r="K102" s="64">
        <v>336.28</v>
      </c>
      <c r="L102" s="64">
        <v>16.09</v>
      </c>
      <c r="M102" s="64">
        <v>33.89</v>
      </c>
      <c r="N102" s="64">
        <v>65.5</v>
      </c>
      <c r="O102" s="64">
        <v>0</v>
      </c>
      <c r="P102" s="64">
        <v>1.47</v>
      </c>
      <c r="Q102" s="64">
        <v>9.86</v>
      </c>
      <c r="R102" s="198"/>
      <c r="S102" s="198"/>
      <c r="T102" s="198"/>
      <c r="U102" s="198"/>
    </row>
    <row r="103" spans="1:33" s="12" customFormat="1" x14ac:dyDescent="0.25">
      <c r="A103" s="247" t="s">
        <v>818</v>
      </c>
      <c r="B103" s="64">
        <v>87.9</v>
      </c>
      <c r="C103" s="64">
        <v>73.239999999999995</v>
      </c>
      <c r="D103" s="64">
        <v>108.76</v>
      </c>
      <c r="E103" s="64">
        <v>5.47</v>
      </c>
      <c r="F103" s="64">
        <v>6.49</v>
      </c>
      <c r="G103" s="64">
        <v>125.83</v>
      </c>
      <c r="H103" s="64">
        <v>30.64</v>
      </c>
      <c r="I103" s="64">
        <v>3.96</v>
      </c>
      <c r="J103" s="64">
        <v>0.67</v>
      </c>
      <c r="K103" s="64">
        <v>296.69</v>
      </c>
      <c r="L103" s="64">
        <v>16</v>
      </c>
      <c r="M103" s="64">
        <v>34.36</v>
      </c>
      <c r="N103" s="64">
        <v>65.5</v>
      </c>
      <c r="O103" s="64">
        <v>0</v>
      </c>
      <c r="P103" s="64">
        <v>1.58</v>
      </c>
      <c r="Q103" s="64">
        <v>9.86</v>
      </c>
      <c r="R103" s="198"/>
      <c r="S103" s="198"/>
      <c r="T103" s="198"/>
      <c r="U103" s="198"/>
    </row>
    <row r="104" spans="1:33" s="12" customFormat="1" x14ac:dyDescent="0.25">
      <c r="A104" s="247" t="s">
        <v>819</v>
      </c>
      <c r="B104" s="64">
        <v>80.56</v>
      </c>
      <c r="C104" s="64">
        <v>72.34</v>
      </c>
      <c r="D104" s="64">
        <v>102.4</v>
      </c>
      <c r="E104" s="64">
        <v>2.88</v>
      </c>
      <c r="F104" s="64">
        <v>6.95</v>
      </c>
      <c r="G104" s="64">
        <v>120.43</v>
      </c>
      <c r="H104" s="64">
        <v>28.89</v>
      </c>
      <c r="I104" s="64">
        <v>3.89</v>
      </c>
      <c r="J104" s="64">
        <v>0.5</v>
      </c>
      <c r="K104" s="64">
        <v>290.98</v>
      </c>
      <c r="L104" s="64">
        <v>15.9</v>
      </c>
      <c r="M104" s="64">
        <v>32.869999999999997</v>
      </c>
      <c r="N104" s="64">
        <v>65.5</v>
      </c>
      <c r="O104" s="64">
        <v>0</v>
      </c>
      <c r="P104" s="64">
        <v>1.5</v>
      </c>
      <c r="Q104" s="64">
        <v>9.81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3.98</v>
      </c>
      <c r="C106" s="67">
        <f>MIN(C9:C104)</f>
        <v>28.45</v>
      </c>
      <c r="D106" s="67">
        <f t="shared" ref="D106:Q106" si="0">MIN(D9:D104)</f>
        <v>19.43</v>
      </c>
      <c r="E106" s="67">
        <f t="shared" si="0"/>
        <v>2.2200000000000002</v>
      </c>
      <c r="F106" s="67">
        <f t="shared" si="0"/>
        <v>6.49</v>
      </c>
      <c r="G106" s="67">
        <f t="shared" si="0"/>
        <v>14.38</v>
      </c>
      <c r="H106" s="67">
        <f t="shared" si="0"/>
        <v>3.89</v>
      </c>
      <c r="I106" s="67">
        <f t="shared" si="0"/>
        <v>3.86</v>
      </c>
      <c r="J106" s="67">
        <f t="shared" si="0"/>
        <v>0.24</v>
      </c>
      <c r="K106" s="67">
        <f t="shared" si="0"/>
        <v>7.0000000000000007E-2</v>
      </c>
      <c r="L106" s="67">
        <f t="shared" si="0"/>
        <v>11.99</v>
      </c>
      <c r="M106" s="67">
        <f t="shared" si="0"/>
        <v>8.2200000000000006</v>
      </c>
      <c r="N106" s="67">
        <f t="shared" si="0"/>
        <v>64</v>
      </c>
      <c r="O106" s="67">
        <f t="shared" si="0"/>
        <v>0</v>
      </c>
      <c r="P106" s="67">
        <f t="shared" si="0"/>
        <v>0.23</v>
      </c>
      <c r="Q106" s="67">
        <f t="shared" si="0"/>
        <v>8.7899999999999991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106.42</v>
      </c>
      <c r="C107" s="66">
        <f t="shared" ref="C107:Q107" si="1">MAX(C9:C104)</f>
        <v>107.19</v>
      </c>
      <c r="D107" s="66">
        <f t="shared" si="1"/>
        <v>127.88</v>
      </c>
      <c r="E107" s="66">
        <f t="shared" si="1"/>
        <v>76.790000000000006</v>
      </c>
      <c r="F107" s="66">
        <f t="shared" si="1"/>
        <v>60.2</v>
      </c>
      <c r="G107" s="66">
        <f t="shared" si="1"/>
        <v>189.81</v>
      </c>
      <c r="H107" s="66">
        <f t="shared" si="1"/>
        <v>64.75</v>
      </c>
      <c r="I107" s="66">
        <f t="shared" si="1"/>
        <v>4.2</v>
      </c>
      <c r="J107" s="66">
        <f t="shared" si="1"/>
        <v>2.29</v>
      </c>
      <c r="K107" s="66">
        <f t="shared" si="1"/>
        <v>359.44</v>
      </c>
      <c r="L107" s="66">
        <f t="shared" si="1"/>
        <v>30.78</v>
      </c>
      <c r="M107" s="66">
        <f t="shared" si="1"/>
        <v>39.65</v>
      </c>
      <c r="N107" s="66">
        <f t="shared" si="1"/>
        <v>912.1</v>
      </c>
      <c r="O107" s="66">
        <f t="shared" si="1"/>
        <v>0</v>
      </c>
      <c r="P107" s="66">
        <f t="shared" si="1"/>
        <v>1.77</v>
      </c>
      <c r="Q107" s="66">
        <f t="shared" si="1"/>
        <v>9.86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30.247395833333339</v>
      </c>
      <c r="C108" s="67">
        <f t="shared" ref="C108:Q108" si="2">AVERAGE(C9:C104)</f>
        <v>63.628645833333337</v>
      </c>
      <c r="D108" s="67">
        <f t="shared" si="2"/>
        <v>57.500520833333326</v>
      </c>
      <c r="E108" s="67">
        <f t="shared" si="2"/>
        <v>10.132083333333336</v>
      </c>
      <c r="F108" s="67">
        <f t="shared" si="2"/>
        <v>15.365937500000003</v>
      </c>
      <c r="G108" s="67">
        <f t="shared" si="2"/>
        <v>78.289565217391299</v>
      </c>
      <c r="H108" s="67">
        <f t="shared" si="2"/>
        <v>24.427282608695652</v>
      </c>
      <c r="I108" s="67">
        <f t="shared" si="2"/>
        <v>4.0084375000000021</v>
      </c>
      <c r="J108" s="67">
        <f t="shared" si="2"/>
        <v>1.102708333333333</v>
      </c>
      <c r="K108" s="67">
        <f t="shared" si="2"/>
        <v>273.4398958333332</v>
      </c>
      <c r="L108" s="67">
        <f t="shared" si="2"/>
        <v>20.948437499999994</v>
      </c>
      <c r="M108" s="67">
        <f t="shared" si="2"/>
        <v>22.040208333333339</v>
      </c>
      <c r="N108" s="67">
        <f t="shared" si="2"/>
        <v>284.20729166666672</v>
      </c>
      <c r="O108" s="67">
        <f t="shared" si="2"/>
        <v>0</v>
      </c>
      <c r="P108" s="67">
        <f t="shared" si="2"/>
        <v>0.81020833333333353</v>
      </c>
      <c r="Q108" s="67">
        <f t="shared" si="2"/>
        <v>9.3622916666666693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31.615140052122978</v>
      </c>
      <c r="C109" s="67">
        <f t="shared" ref="C109:Q109" si="3">STDEV(C9:C104)</f>
        <v>16.146826875486394</v>
      </c>
      <c r="D109" s="67">
        <f t="shared" si="3"/>
        <v>32.28364279875268</v>
      </c>
      <c r="E109" s="67">
        <f t="shared" si="3"/>
        <v>10.377909222216266</v>
      </c>
      <c r="F109" s="67">
        <f t="shared" si="3"/>
        <v>13.861945073369213</v>
      </c>
      <c r="G109" s="67">
        <f t="shared" si="3"/>
        <v>43.200406309471113</v>
      </c>
      <c r="H109" s="67">
        <f t="shared" si="3"/>
        <v>16.263017987849025</v>
      </c>
      <c r="I109" s="67">
        <f t="shared" si="3"/>
        <v>8.151626411820817E-2</v>
      </c>
      <c r="J109" s="67">
        <f t="shared" si="3"/>
        <v>0.53996584524864921</v>
      </c>
      <c r="K109" s="67">
        <f t="shared" si="3"/>
        <v>115.06887106145399</v>
      </c>
      <c r="L109" s="67">
        <f t="shared" si="3"/>
        <v>6.3352680877308947</v>
      </c>
      <c r="M109" s="67">
        <f t="shared" si="3"/>
        <v>10.451366466102497</v>
      </c>
      <c r="N109" s="67">
        <f t="shared" si="3"/>
        <v>313.48860341739328</v>
      </c>
      <c r="O109" s="67">
        <f t="shared" si="3"/>
        <v>0</v>
      </c>
      <c r="P109" s="67">
        <f t="shared" si="3"/>
        <v>0.44608231283537902</v>
      </c>
      <c r="Q109" s="67">
        <f t="shared" si="3"/>
        <v>0.31845508372591141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820</v>
      </c>
      <c r="B9" s="64">
        <v>72.349999999999994</v>
      </c>
      <c r="C9" s="64">
        <v>70.87</v>
      </c>
      <c r="D9" s="64">
        <v>95.04</v>
      </c>
      <c r="E9" s="64">
        <v>3.11</v>
      </c>
      <c r="F9" s="64">
        <v>7.68</v>
      </c>
      <c r="G9" s="64">
        <v>105.56</v>
      </c>
      <c r="H9" s="64">
        <v>24.08</v>
      </c>
      <c r="I9" s="64">
        <v>3.94</v>
      </c>
      <c r="J9" s="64">
        <v>0.43</v>
      </c>
      <c r="K9" s="64">
        <v>276.92</v>
      </c>
      <c r="L9" s="64">
        <v>16.079999999999998</v>
      </c>
      <c r="M9" s="64">
        <v>30</v>
      </c>
      <c r="N9" s="64">
        <v>65.7</v>
      </c>
      <c r="O9" s="64">
        <v>0</v>
      </c>
      <c r="P9" s="64">
        <v>1.42</v>
      </c>
      <c r="Q9" s="64">
        <v>9.8000000000000007</v>
      </c>
      <c r="R9" s="198"/>
      <c r="S9" s="198"/>
      <c r="T9" s="198"/>
      <c r="U9" s="198"/>
    </row>
    <row r="10" spans="1:21" s="12" customFormat="1" x14ac:dyDescent="0.25">
      <c r="A10" s="247" t="s">
        <v>821</v>
      </c>
      <c r="B10" s="64">
        <v>69.92</v>
      </c>
      <c r="C10" s="64">
        <v>70.180000000000007</v>
      </c>
      <c r="D10" s="64">
        <v>92.74</v>
      </c>
      <c r="E10" s="64">
        <v>3.22</v>
      </c>
      <c r="F10" s="64">
        <v>6.9</v>
      </c>
      <c r="G10" s="64">
        <v>105.56</v>
      </c>
      <c r="H10" s="64">
        <v>24.08</v>
      </c>
      <c r="I10" s="64">
        <v>4.03</v>
      </c>
      <c r="J10" s="64">
        <v>1.03</v>
      </c>
      <c r="K10" s="64">
        <v>321.58999999999997</v>
      </c>
      <c r="L10" s="64">
        <v>15.92</v>
      </c>
      <c r="M10" s="64">
        <v>32.82</v>
      </c>
      <c r="N10" s="64">
        <v>64.3</v>
      </c>
      <c r="O10" s="64">
        <v>0</v>
      </c>
      <c r="P10" s="64">
        <v>1.39</v>
      </c>
      <c r="Q10" s="64">
        <v>9.77</v>
      </c>
      <c r="R10" s="198"/>
      <c r="S10" s="198"/>
      <c r="T10" s="198"/>
      <c r="U10" s="198"/>
    </row>
    <row r="11" spans="1:21" s="12" customFormat="1" x14ac:dyDescent="0.25">
      <c r="A11" s="247" t="s">
        <v>822</v>
      </c>
      <c r="B11" s="64">
        <v>65.08</v>
      </c>
      <c r="C11" s="64">
        <v>68.84</v>
      </c>
      <c r="D11" s="64">
        <v>88.16</v>
      </c>
      <c r="E11" s="64">
        <v>3.08</v>
      </c>
      <c r="F11" s="64">
        <v>6.71</v>
      </c>
      <c r="G11" s="64">
        <v>105.56</v>
      </c>
      <c r="H11" s="64">
        <v>24.08</v>
      </c>
      <c r="I11" s="64">
        <v>4</v>
      </c>
      <c r="J11" s="64">
        <v>1.29</v>
      </c>
      <c r="K11" s="64">
        <v>331.5</v>
      </c>
      <c r="L11" s="64">
        <v>15.77</v>
      </c>
      <c r="M11" s="64">
        <v>31.48</v>
      </c>
      <c r="N11" s="64">
        <v>64.5</v>
      </c>
      <c r="O11" s="64">
        <v>0</v>
      </c>
      <c r="P11" s="64">
        <v>1.33</v>
      </c>
      <c r="Q11" s="64">
        <v>9.75</v>
      </c>
      <c r="R11" s="198"/>
      <c r="S11" s="198"/>
      <c r="T11" s="198"/>
      <c r="U11" s="198"/>
    </row>
    <row r="12" spans="1:21" s="12" customFormat="1" x14ac:dyDescent="0.25">
      <c r="A12" s="247" t="s">
        <v>823</v>
      </c>
      <c r="B12" s="64">
        <v>61.15</v>
      </c>
      <c r="C12" s="64">
        <v>69.34</v>
      </c>
      <c r="D12" s="64">
        <v>85.27</v>
      </c>
      <c r="E12" s="64">
        <v>2.99</v>
      </c>
      <c r="F12" s="64">
        <v>6.91</v>
      </c>
      <c r="G12" s="64">
        <v>97.79</v>
      </c>
      <c r="H12" s="64">
        <v>23.41</v>
      </c>
      <c r="I12" s="64">
        <v>3.94</v>
      </c>
      <c r="J12" s="64">
        <v>0.91</v>
      </c>
      <c r="K12" s="64">
        <v>333.24</v>
      </c>
      <c r="L12" s="64">
        <v>15.63</v>
      </c>
      <c r="M12" s="64">
        <v>33</v>
      </c>
      <c r="N12" s="64">
        <v>65.8</v>
      </c>
      <c r="O12" s="64">
        <v>0</v>
      </c>
      <c r="P12" s="64">
        <v>1.28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47" t="s">
        <v>824</v>
      </c>
      <c r="B13" s="64">
        <v>56.74</v>
      </c>
      <c r="C13" s="64">
        <v>69.55</v>
      </c>
      <c r="D13" s="64">
        <v>81.83</v>
      </c>
      <c r="E13" s="64">
        <v>3.56</v>
      </c>
      <c r="F13" s="64">
        <v>5.95</v>
      </c>
      <c r="G13" s="64">
        <v>76.42</v>
      </c>
      <c r="H13" s="64">
        <v>21.55</v>
      </c>
      <c r="I13" s="64">
        <v>4.0199999999999996</v>
      </c>
      <c r="J13" s="64">
        <v>0.46</v>
      </c>
      <c r="K13" s="64">
        <v>322.24</v>
      </c>
      <c r="L13" s="64">
        <v>15.05</v>
      </c>
      <c r="M13" s="64">
        <v>34.17</v>
      </c>
      <c r="N13" s="64">
        <v>66.599999999999994</v>
      </c>
      <c r="O13" s="64">
        <v>0</v>
      </c>
      <c r="P13" s="64">
        <v>1.07</v>
      </c>
      <c r="Q13" s="64">
        <v>9.74</v>
      </c>
      <c r="R13" s="198"/>
      <c r="S13" s="198"/>
      <c r="T13" s="198"/>
      <c r="U13" s="198"/>
    </row>
    <row r="14" spans="1:21" s="12" customFormat="1" x14ac:dyDescent="0.25">
      <c r="A14" s="247" t="s">
        <v>825</v>
      </c>
      <c r="B14" s="64">
        <v>54.11</v>
      </c>
      <c r="C14" s="64">
        <v>68.349999999999994</v>
      </c>
      <c r="D14" s="64">
        <v>79.11</v>
      </c>
      <c r="E14" s="64">
        <v>3.8</v>
      </c>
      <c r="F14" s="64">
        <v>5.57</v>
      </c>
      <c r="G14" s="64">
        <v>76.42</v>
      </c>
      <c r="H14" s="64">
        <v>21.55</v>
      </c>
      <c r="I14" s="64">
        <v>3.93</v>
      </c>
      <c r="J14" s="64">
        <v>0.66</v>
      </c>
      <c r="K14" s="64">
        <v>240.32</v>
      </c>
      <c r="L14" s="64">
        <v>14.79</v>
      </c>
      <c r="M14" s="64">
        <v>35.81</v>
      </c>
      <c r="N14" s="64">
        <v>66.3</v>
      </c>
      <c r="O14" s="64">
        <v>0</v>
      </c>
      <c r="P14" s="64">
        <v>1.08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47" t="s">
        <v>826</v>
      </c>
      <c r="B15" s="64">
        <v>51.59</v>
      </c>
      <c r="C15" s="64">
        <v>67.62</v>
      </c>
      <c r="D15" s="64">
        <v>76.7</v>
      </c>
      <c r="E15" s="64">
        <v>3.5</v>
      </c>
      <c r="F15" s="64">
        <v>6.37</v>
      </c>
      <c r="G15" s="64">
        <v>76.42</v>
      </c>
      <c r="H15" s="64">
        <v>21.55</v>
      </c>
      <c r="I15" s="64">
        <v>3.98</v>
      </c>
      <c r="J15" s="64">
        <v>0.71</v>
      </c>
      <c r="K15" s="64">
        <v>243.91</v>
      </c>
      <c r="L15" s="64">
        <v>14.54</v>
      </c>
      <c r="M15" s="64">
        <v>37.51</v>
      </c>
      <c r="N15" s="64">
        <v>65.8</v>
      </c>
      <c r="O15" s="64">
        <v>0</v>
      </c>
      <c r="P15" s="64">
        <v>1.05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47" t="s">
        <v>827</v>
      </c>
      <c r="B16" s="64">
        <v>48.38</v>
      </c>
      <c r="C16" s="64">
        <v>66.84</v>
      </c>
      <c r="D16" s="64">
        <v>73.72</v>
      </c>
      <c r="E16" s="64">
        <v>3.39</v>
      </c>
      <c r="F16" s="64">
        <v>6.18</v>
      </c>
      <c r="G16" s="64">
        <v>77.260000000000005</v>
      </c>
      <c r="H16" s="64">
        <v>21.93</v>
      </c>
      <c r="I16" s="64">
        <v>3.97</v>
      </c>
      <c r="J16" s="64">
        <v>0.35</v>
      </c>
      <c r="K16" s="64">
        <v>265.88</v>
      </c>
      <c r="L16" s="64">
        <v>14.06</v>
      </c>
      <c r="M16" s="64">
        <v>42.45</v>
      </c>
      <c r="N16" s="64">
        <v>66.2</v>
      </c>
      <c r="O16" s="64">
        <v>0</v>
      </c>
      <c r="P16" s="64">
        <v>1.02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47" t="s">
        <v>828</v>
      </c>
      <c r="B17" s="64">
        <v>44.85</v>
      </c>
      <c r="C17" s="64">
        <v>66.13</v>
      </c>
      <c r="D17" s="64">
        <v>70.52</v>
      </c>
      <c r="E17" s="64">
        <v>2.73</v>
      </c>
      <c r="F17" s="64">
        <v>6.17</v>
      </c>
      <c r="G17" s="64">
        <v>79.7</v>
      </c>
      <c r="H17" s="64">
        <v>22.96</v>
      </c>
      <c r="I17" s="64">
        <v>4.0999999999999996</v>
      </c>
      <c r="J17" s="64">
        <v>0.52</v>
      </c>
      <c r="K17" s="64">
        <v>322.39</v>
      </c>
      <c r="L17" s="64">
        <v>13.32</v>
      </c>
      <c r="M17" s="64">
        <v>47.04</v>
      </c>
      <c r="N17" s="64">
        <v>66.2</v>
      </c>
      <c r="O17" s="64">
        <v>0</v>
      </c>
      <c r="P17" s="64">
        <v>0.97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47" t="s">
        <v>829</v>
      </c>
      <c r="B18" s="64">
        <v>46.1</v>
      </c>
      <c r="C18" s="64">
        <v>66.45</v>
      </c>
      <c r="D18" s="64">
        <v>71.680000000000007</v>
      </c>
      <c r="E18" s="64">
        <v>2.8</v>
      </c>
      <c r="F18" s="64">
        <v>6.29</v>
      </c>
      <c r="G18" s="64">
        <v>79.7</v>
      </c>
      <c r="H18" s="64">
        <v>22.96</v>
      </c>
      <c r="I18" s="64">
        <v>4.04</v>
      </c>
      <c r="J18" s="64">
        <v>0.69</v>
      </c>
      <c r="K18" s="64">
        <v>322.64</v>
      </c>
      <c r="L18" s="64">
        <v>12.98</v>
      </c>
      <c r="M18" s="64">
        <v>49.76</v>
      </c>
      <c r="N18" s="64">
        <v>66</v>
      </c>
      <c r="O18" s="64">
        <v>0</v>
      </c>
      <c r="P18" s="64">
        <v>0.97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47" t="s">
        <v>830</v>
      </c>
      <c r="B19" s="64">
        <v>46.69</v>
      </c>
      <c r="C19" s="64">
        <v>66.37</v>
      </c>
      <c r="D19" s="64">
        <v>72.12</v>
      </c>
      <c r="E19" s="64">
        <v>2.36</v>
      </c>
      <c r="F19" s="64">
        <v>6.5</v>
      </c>
      <c r="G19" s="64">
        <v>79.7</v>
      </c>
      <c r="H19" s="64">
        <v>22.96</v>
      </c>
      <c r="I19" s="64">
        <v>3.96</v>
      </c>
      <c r="J19" s="64">
        <v>0.56000000000000005</v>
      </c>
      <c r="K19" s="64">
        <v>309.02999999999997</v>
      </c>
      <c r="L19" s="64">
        <v>12.55</v>
      </c>
      <c r="M19" s="64">
        <v>53.02</v>
      </c>
      <c r="N19" s="64">
        <v>66.099999999999994</v>
      </c>
      <c r="O19" s="64">
        <v>0</v>
      </c>
      <c r="P19" s="64">
        <v>0.93</v>
      </c>
      <c r="Q19" s="64">
        <v>9.69</v>
      </c>
      <c r="R19" s="198"/>
      <c r="S19" s="198"/>
      <c r="T19" s="198"/>
      <c r="U19" s="198"/>
    </row>
    <row r="20" spans="1:21" s="12" customFormat="1" x14ac:dyDescent="0.25">
      <c r="A20" s="247" t="s">
        <v>831</v>
      </c>
      <c r="B20" s="64">
        <v>44.97</v>
      </c>
      <c r="C20" s="64">
        <v>65.86</v>
      </c>
      <c r="D20" s="64">
        <v>70.47</v>
      </c>
      <c r="E20" s="64">
        <v>2.71</v>
      </c>
      <c r="F20" s="64">
        <v>6.68</v>
      </c>
      <c r="G20" s="64">
        <v>83.53</v>
      </c>
      <c r="H20" s="64">
        <v>23.83</v>
      </c>
      <c r="I20" s="64">
        <v>3.86</v>
      </c>
      <c r="J20" s="64">
        <v>0.64</v>
      </c>
      <c r="K20" s="64">
        <v>302.68</v>
      </c>
      <c r="L20" s="64">
        <v>12.43</v>
      </c>
      <c r="M20" s="64">
        <v>50.11</v>
      </c>
      <c r="N20" s="64">
        <v>66</v>
      </c>
      <c r="O20" s="64">
        <v>0</v>
      </c>
      <c r="P20" s="64">
        <v>0.87</v>
      </c>
      <c r="Q20" s="64">
        <v>9.6999999999999993</v>
      </c>
      <c r="R20" s="198"/>
      <c r="S20" s="198"/>
      <c r="T20" s="198"/>
      <c r="U20" s="198"/>
    </row>
    <row r="21" spans="1:21" s="12" customFormat="1" x14ac:dyDescent="0.25">
      <c r="A21" s="247" t="s">
        <v>832</v>
      </c>
      <c r="B21" s="64">
        <v>44.46</v>
      </c>
      <c r="C21" s="64">
        <v>65.78</v>
      </c>
      <c r="D21" s="64">
        <v>70.02</v>
      </c>
      <c r="E21" s="64">
        <v>2.79</v>
      </c>
      <c r="F21" s="64">
        <v>6.08</v>
      </c>
      <c r="G21" s="64">
        <v>94.7</v>
      </c>
      <c r="H21" s="64">
        <v>26.22</v>
      </c>
      <c r="I21" s="64">
        <v>4.01</v>
      </c>
      <c r="J21" s="64">
        <v>0.52</v>
      </c>
      <c r="K21" s="64">
        <v>353.62</v>
      </c>
      <c r="L21" s="64">
        <v>12.27</v>
      </c>
      <c r="M21" s="64">
        <v>52.32</v>
      </c>
      <c r="N21" s="64">
        <v>66.099999999999994</v>
      </c>
      <c r="O21" s="64">
        <v>0</v>
      </c>
      <c r="P21" s="64">
        <v>0.89</v>
      </c>
      <c r="Q21" s="64">
        <v>9.69</v>
      </c>
      <c r="R21" s="198"/>
      <c r="S21" s="198"/>
      <c r="T21" s="198"/>
      <c r="U21" s="198"/>
    </row>
    <row r="22" spans="1:21" s="12" customFormat="1" x14ac:dyDescent="0.25">
      <c r="A22" s="247" t="s">
        <v>833</v>
      </c>
      <c r="B22" s="64">
        <v>42.19</v>
      </c>
      <c r="C22" s="64">
        <v>65.77</v>
      </c>
      <c r="D22" s="64">
        <v>68.19</v>
      </c>
      <c r="E22" s="64">
        <v>2.46</v>
      </c>
      <c r="F22" s="64">
        <v>6.2</v>
      </c>
      <c r="G22" s="64">
        <v>94.7</v>
      </c>
      <c r="H22" s="64">
        <v>26.22</v>
      </c>
      <c r="I22" s="64">
        <v>3.88</v>
      </c>
      <c r="J22" s="64">
        <v>0.7</v>
      </c>
      <c r="K22" s="64">
        <v>220.96</v>
      </c>
      <c r="L22" s="64">
        <v>12.31</v>
      </c>
      <c r="M22" s="64">
        <v>50.23</v>
      </c>
      <c r="N22" s="64">
        <v>65.5</v>
      </c>
      <c r="O22" s="64">
        <v>0</v>
      </c>
      <c r="P22" s="64">
        <v>0.87</v>
      </c>
      <c r="Q22" s="64">
        <v>9.69</v>
      </c>
      <c r="R22" s="198"/>
      <c r="S22" s="198"/>
      <c r="T22" s="198"/>
      <c r="U22" s="198"/>
    </row>
    <row r="23" spans="1:21" s="12" customFormat="1" x14ac:dyDescent="0.25">
      <c r="A23" s="247" t="s">
        <v>834</v>
      </c>
      <c r="B23" s="64">
        <v>41.36</v>
      </c>
      <c r="C23" s="64">
        <v>65.03</v>
      </c>
      <c r="D23" s="64">
        <v>67.150000000000006</v>
      </c>
      <c r="E23" s="64">
        <v>2.71</v>
      </c>
      <c r="F23" s="64">
        <v>6.41</v>
      </c>
      <c r="G23" s="64">
        <v>94.7</v>
      </c>
      <c r="H23" s="64">
        <v>26.22</v>
      </c>
      <c r="I23" s="64">
        <v>3.99</v>
      </c>
      <c r="J23" s="64">
        <v>0.61</v>
      </c>
      <c r="K23" s="64">
        <v>246.66</v>
      </c>
      <c r="L23" s="64">
        <v>12.8</v>
      </c>
      <c r="M23" s="64">
        <v>50.46</v>
      </c>
      <c r="N23" s="64">
        <v>65.5</v>
      </c>
      <c r="O23" s="64">
        <v>0</v>
      </c>
      <c r="P23" s="64">
        <v>0.85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47" t="s">
        <v>835</v>
      </c>
      <c r="B24" s="64">
        <v>42.28</v>
      </c>
      <c r="C24" s="64">
        <v>63.66</v>
      </c>
      <c r="D24" s="64">
        <v>67.17</v>
      </c>
      <c r="E24" s="64">
        <v>2.41</v>
      </c>
      <c r="F24" s="64">
        <v>6.24</v>
      </c>
      <c r="G24" s="64">
        <v>94.07</v>
      </c>
      <c r="H24" s="64">
        <v>26.94</v>
      </c>
      <c r="I24" s="64">
        <v>3.98</v>
      </c>
      <c r="J24" s="64">
        <v>0.4</v>
      </c>
      <c r="K24" s="64">
        <v>275.23</v>
      </c>
      <c r="L24" s="64">
        <v>12.88</v>
      </c>
      <c r="M24" s="64">
        <v>46.95</v>
      </c>
      <c r="N24" s="64">
        <v>65.7</v>
      </c>
      <c r="O24" s="64">
        <v>0</v>
      </c>
      <c r="P24" s="64">
        <v>0.85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47" t="s">
        <v>836</v>
      </c>
      <c r="B25" s="64">
        <v>43.74</v>
      </c>
      <c r="C25" s="64">
        <v>62.14</v>
      </c>
      <c r="D25" s="64">
        <v>67.540000000000006</v>
      </c>
      <c r="E25" s="64">
        <v>3.27</v>
      </c>
      <c r="F25" s="64">
        <v>6.69</v>
      </c>
      <c r="G25" s="64">
        <v>92.36</v>
      </c>
      <c r="H25" s="64">
        <v>28.92</v>
      </c>
      <c r="I25" s="64">
        <v>4.03</v>
      </c>
      <c r="J25" s="64">
        <v>0.41</v>
      </c>
      <c r="K25" s="64">
        <v>279.57</v>
      </c>
      <c r="L25" s="64">
        <v>12.92</v>
      </c>
      <c r="M25" s="64">
        <v>43.68</v>
      </c>
      <c r="N25" s="64">
        <v>65.7</v>
      </c>
      <c r="O25" s="64">
        <v>0</v>
      </c>
      <c r="P25" s="64">
        <v>0.86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47" t="s">
        <v>837</v>
      </c>
      <c r="B26" s="64">
        <v>43.71</v>
      </c>
      <c r="C26" s="64">
        <v>61.69</v>
      </c>
      <c r="D26" s="64">
        <v>67.28</v>
      </c>
      <c r="E26" s="64">
        <v>3.29</v>
      </c>
      <c r="F26" s="64">
        <v>6.33</v>
      </c>
      <c r="G26" s="64">
        <v>92.36</v>
      </c>
      <c r="H26" s="64">
        <v>28.92</v>
      </c>
      <c r="I26" s="64">
        <v>4</v>
      </c>
      <c r="J26" s="64">
        <v>0.67</v>
      </c>
      <c r="K26" s="64">
        <v>299.39999999999998</v>
      </c>
      <c r="L26" s="64">
        <v>12.78</v>
      </c>
      <c r="M26" s="64">
        <v>45.95</v>
      </c>
      <c r="N26" s="64">
        <v>66.099999999999994</v>
      </c>
      <c r="O26" s="64">
        <v>0</v>
      </c>
      <c r="P26" s="64">
        <v>0.87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47" t="s">
        <v>838</v>
      </c>
      <c r="B27" s="64">
        <v>45.09</v>
      </c>
      <c r="C27" s="64">
        <v>61.42</v>
      </c>
      <c r="D27" s="64">
        <v>68.25</v>
      </c>
      <c r="E27" s="64">
        <v>3.76</v>
      </c>
      <c r="F27" s="64">
        <v>6.56</v>
      </c>
      <c r="G27" s="64">
        <v>92.36</v>
      </c>
      <c r="H27" s="64">
        <v>28.92</v>
      </c>
      <c r="I27" s="64">
        <v>4.05</v>
      </c>
      <c r="J27" s="64">
        <v>0.12</v>
      </c>
      <c r="K27" s="64">
        <v>53.55</v>
      </c>
      <c r="L27" s="64">
        <v>12.37</v>
      </c>
      <c r="M27" s="64">
        <v>44.62</v>
      </c>
      <c r="N27" s="64">
        <v>66.099999999999994</v>
      </c>
      <c r="O27" s="64">
        <v>0</v>
      </c>
      <c r="P27" s="64">
        <v>0.88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47" t="s">
        <v>839</v>
      </c>
      <c r="B28" s="64">
        <v>46.16</v>
      </c>
      <c r="C28" s="64">
        <v>61.55</v>
      </c>
      <c r="D28" s="64">
        <v>69.17</v>
      </c>
      <c r="E28" s="64">
        <v>4.09</v>
      </c>
      <c r="F28" s="64">
        <v>6.65</v>
      </c>
      <c r="G28" s="64">
        <v>98</v>
      </c>
      <c r="H28" s="64">
        <v>28.53</v>
      </c>
      <c r="I28" s="64">
        <v>3.88</v>
      </c>
      <c r="J28" s="64">
        <v>0.63</v>
      </c>
      <c r="K28" s="64">
        <v>242.2</v>
      </c>
      <c r="L28" s="64">
        <v>12.98</v>
      </c>
      <c r="M28" s="64">
        <v>41.21</v>
      </c>
      <c r="N28" s="64">
        <v>65.5</v>
      </c>
      <c r="O28" s="64">
        <v>0</v>
      </c>
      <c r="P28" s="64">
        <v>0.9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47" t="s">
        <v>840</v>
      </c>
      <c r="B29" s="64">
        <v>46.69</v>
      </c>
      <c r="C29" s="64">
        <v>62.01</v>
      </c>
      <c r="D29" s="64">
        <v>69.84</v>
      </c>
      <c r="E29" s="64">
        <v>3.99</v>
      </c>
      <c r="F29" s="64">
        <v>6.75</v>
      </c>
      <c r="G29" s="64">
        <v>113.53</v>
      </c>
      <c r="H29" s="64">
        <v>27.44</v>
      </c>
      <c r="I29" s="64">
        <v>4.04</v>
      </c>
      <c r="J29" s="64">
        <v>0.88</v>
      </c>
      <c r="K29" s="64">
        <v>225.14</v>
      </c>
      <c r="L29" s="64">
        <v>13.29</v>
      </c>
      <c r="M29" s="64">
        <v>41.03</v>
      </c>
      <c r="N29" s="64">
        <v>65.099999999999994</v>
      </c>
      <c r="O29" s="64">
        <v>0</v>
      </c>
      <c r="P29" s="64">
        <v>0.91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47" t="s">
        <v>841</v>
      </c>
      <c r="B30" s="64">
        <v>47.33</v>
      </c>
      <c r="C30" s="64">
        <v>62.57</v>
      </c>
      <c r="D30" s="64">
        <v>70.64</v>
      </c>
      <c r="E30" s="64">
        <v>4.18</v>
      </c>
      <c r="F30" s="64">
        <v>6.41</v>
      </c>
      <c r="G30" s="64">
        <v>113.53</v>
      </c>
      <c r="H30" s="64">
        <v>27.44</v>
      </c>
      <c r="I30" s="64">
        <v>4.08</v>
      </c>
      <c r="J30" s="64">
        <v>0.62</v>
      </c>
      <c r="K30" s="64">
        <v>215.99</v>
      </c>
      <c r="L30" s="64">
        <v>13.09</v>
      </c>
      <c r="M30" s="64">
        <v>43.2</v>
      </c>
      <c r="N30" s="64">
        <v>65.7</v>
      </c>
      <c r="O30" s="64">
        <v>0</v>
      </c>
      <c r="P30" s="64">
        <v>0.94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47" t="s">
        <v>842</v>
      </c>
      <c r="B31" s="64">
        <v>48.32</v>
      </c>
      <c r="C31" s="64">
        <v>63.28</v>
      </c>
      <c r="D31" s="64">
        <v>71.81</v>
      </c>
      <c r="E31" s="64">
        <v>4.05</v>
      </c>
      <c r="F31" s="64">
        <v>6.43</v>
      </c>
      <c r="G31" s="64">
        <v>113.53</v>
      </c>
      <c r="H31" s="64">
        <v>27.44</v>
      </c>
      <c r="I31" s="64">
        <v>3.94</v>
      </c>
      <c r="J31" s="64">
        <v>0.7</v>
      </c>
      <c r="K31" s="64">
        <v>235.59</v>
      </c>
      <c r="L31" s="64">
        <v>12.8</v>
      </c>
      <c r="M31" s="64">
        <v>45.81</v>
      </c>
      <c r="N31" s="64">
        <v>66.099999999999994</v>
      </c>
      <c r="O31" s="64">
        <v>0</v>
      </c>
      <c r="P31" s="64">
        <v>0.96</v>
      </c>
      <c r="Q31" s="64">
        <v>9.66</v>
      </c>
      <c r="R31" s="198"/>
      <c r="S31" s="198"/>
      <c r="T31" s="198"/>
      <c r="U31" s="198"/>
    </row>
    <row r="32" spans="1:21" s="12" customFormat="1" x14ac:dyDescent="0.25">
      <c r="A32" s="247" t="s">
        <v>843</v>
      </c>
      <c r="B32" s="64">
        <v>50.49</v>
      </c>
      <c r="C32" s="64">
        <v>63.73</v>
      </c>
      <c r="D32" s="64">
        <v>73.790000000000006</v>
      </c>
      <c r="E32" s="64">
        <v>3.97</v>
      </c>
      <c r="F32" s="64">
        <v>6.95</v>
      </c>
      <c r="G32" s="64">
        <v>118.34</v>
      </c>
      <c r="H32" s="64">
        <v>32.89</v>
      </c>
      <c r="I32" s="64">
        <v>4.07</v>
      </c>
      <c r="J32" s="64">
        <v>0.41</v>
      </c>
      <c r="K32" s="64">
        <v>267.31</v>
      </c>
      <c r="L32" s="64">
        <v>12.48</v>
      </c>
      <c r="M32" s="64">
        <v>45.39</v>
      </c>
      <c r="N32" s="64">
        <v>66.5</v>
      </c>
      <c r="O32" s="64">
        <v>0</v>
      </c>
      <c r="P32" s="64">
        <v>0.98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47" t="s">
        <v>844</v>
      </c>
      <c r="B33" s="64">
        <v>52.47</v>
      </c>
      <c r="C33" s="64">
        <v>64.25</v>
      </c>
      <c r="D33" s="64">
        <v>75.64</v>
      </c>
      <c r="E33" s="64">
        <v>3.97</v>
      </c>
      <c r="F33" s="64">
        <v>6.86</v>
      </c>
      <c r="G33" s="64">
        <v>131.56</v>
      </c>
      <c r="H33" s="64">
        <v>48.78</v>
      </c>
      <c r="I33" s="64">
        <v>4</v>
      </c>
      <c r="J33" s="64">
        <v>0.3</v>
      </c>
      <c r="K33" s="64">
        <v>9.61</v>
      </c>
      <c r="L33" s="64">
        <v>12.19</v>
      </c>
      <c r="M33" s="64">
        <v>44.15</v>
      </c>
      <c r="N33" s="64">
        <v>68.3</v>
      </c>
      <c r="O33" s="64">
        <v>0</v>
      </c>
      <c r="P33" s="64">
        <v>1.02</v>
      </c>
      <c r="Q33" s="64">
        <v>9.69</v>
      </c>
      <c r="R33" s="198"/>
      <c r="S33" s="198"/>
      <c r="T33" s="198"/>
      <c r="U33" s="198"/>
    </row>
    <row r="34" spans="1:21" s="12" customFormat="1" x14ac:dyDescent="0.25">
      <c r="A34" s="247" t="s">
        <v>845</v>
      </c>
      <c r="B34" s="64">
        <v>52.82</v>
      </c>
      <c r="C34" s="64">
        <v>65.7</v>
      </c>
      <c r="D34" s="64">
        <v>76.680000000000007</v>
      </c>
      <c r="E34" s="64">
        <v>3.8</v>
      </c>
      <c r="F34" s="64">
        <v>7.06</v>
      </c>
      <c r="G34" s="64">
        <v>131.56</v>
      </c>
      <c r="H34" s="64">
        <v>48.78</v>
      </c>
      <c r="I34" s="64">
        <v>4.1100000000000003</v>
      </c>
      <c r="J34" s="64">
        <v>0.68</v>
      </c>
      <c r="K34" s="64">
        <v>61.15</v>
      </c>
      <c r="L34" s="64">
        <v>12.48</v>
      </c>
      <c r="M34" s="64">
        <v>42.21</v>
      </c>
      <c r="N34" s="64">
        <v>75.400000000000006</v>
      </c>
      <c r="O34" s="64">
        <v>0</v>
      </c>
      <c r="P34" s="64">
        <v>1.03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47" t="s">
        <v>846</v>
      </c>
      <c r="B35" s="64">
        <v>53.9</v>
      </c>
      <c r="C35" s="64">
        <v>65.540000000000006</v>
      </c>
      <c r="D35" s="64">
        <v>77.459999999999994</v>
      </c>
      <c r="E35" s="64">
        <v>2.77</v>
      </c>
      <c r="F35" s="64">
        <v>6.84</v>
      </c>
      <c r="G35" s="64">
        <v>131.56</v>
      </c>
      <c r="H35" s="64">
        <v>48.78</v>
      </c>
      <c r="I35" s="64">
        <v>3.8</v>
      </c>
      <c r="J35" s="64">
        <v>0.57999999999999996</v>
      </c>
      <c r="K35" s="64">
        <v>39.21</v>
      </c>
      <c r="L35" s="64">
        <v>13.12</v>
      </c>
      <c r="M35" s="64">
        <v>39.72</v>
      </c>
      <c r="N35" s="64">
        <v>89.1</v>
      </c>
      <c r="O35" s="64">
        <v>0</v>
      </c>
      <c r="P35" s="64">
        <v>1.04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47" t="s">
        <v>847</v>
      </c>
      <c r="B36" s="64">
        <v>54.93</v>
      </c>
      <c r="C36" s="64">
        <v>67.489999999999995</v>
      </c>
      <c r="D36" s="64">
        <v>79.31</v>
      </c>
      <c r="E36" s="64">
        <v>3.26</v>
      </c>
      <c r="F36" s="64">
        <v>6.56</v>
      </c>
      <c r="G36" s="64">
        <v>130.88999999999999</v>
      </c>
      <c r="H36" s="64">
        <v>49.04</v>
      </c>
      <c r="I36" s="64">
        <v>3.91</v>
      </c>
      <c r="J36" s="64">
        <v>0.63</v>
      </c>
      <c r="K36" s="64">
        <v>359.61</v>
      </c>
      <c r="L36" s="64">
        <v>13.63</v>
      </c>
      <c r="M36" s="64">
        <v>42.09</v>
      </c>
      <c r="N36" s="64">
        <v>164.4</v>
      </c>
      <c r="O36" s="64">
        <v>0</v>
      </c>
      <c r="P36" s="64">
        <v>1.08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47" t="s">
        <v>848</v>
      </c>
      <c r="B37" s="64">
        <v>54.28</v>
      </c>
      <c r="C37" s="64">
        <v>67.58</v>
      </c>
      <c r="D37" s="64">
        <v>78.84</v>
      </c>
      <c r="E37" s="64">
        <v>3.4</v>
      </c>
      <c r="F37" s="64">
        <v>6.92</v>
      </c>
      <c r="G37" s="64">
        <v>129.05000000000001</v>
      </c>
      <c r="H37" s="64">
        <v>49.79</v>
      </c>
      <c r="I37" s="64">
        <v>4.08</v>
      </c>
      <c r="J37" s="64">
        <v>7.0000000000000007E-2</v>
      </c>
      <c r="K37" s="64">
        <v>7.22</v>
      </c>
      <c r="L37" s="64">
        <v>16.97</v>
      </c>
      <c r="M37" s="64">
        <v>34.549999999999997</v>
      </c>
      <c r="N37" s="64">
        <v>234.7</v>
      </c>
      <c r="O37" s="64">
        <v>0</v>
      </c>
      <c r="P37" s="64">
        <v>1.05</v>
      </c>
      <c r="Q37" s="64">
        <v>9.7100000000000009</v>
      </c>
      <c r="R37" s="198"/>
      <c r="S37" s="198"/>
      <c r="T37" s="198"/>
      <c r="U37" s="198"/>
    </row>
    <row r="38" spans="1:21" s="12" customFormat="1" x14ac:dyDescent="0.25">
      <c r="A38" s="247" t="s">
        <v>849</v>
      </c>
      <c r="B38" s="64">
        <v>57.13</v>
      </c>
      <c r="C38" s="64">
        <v>69.349999999999994</v>
      </c>
      <c r="D38" s="64">
        <v>82.05</v>
      </c>
      <c r="E38" s="64">
        <v>4.24</v>
      </c>
      <c r="F38" s="64">
        <v>7.69</v>
      </c>
      <c r="G38" s="64">
        <v>129.05000000000001</v>
      </c>
      <c r="H38" s="64">
        <v>49.79</v>
      </c>
      <c r="I38" s="64">
        <v>4.1100000000000003</v>
      </c>
      <c r="J38" s="64">
        <v>0.87</v>
      </c>
      <c r="K38" s="64">
        <v>353.84</v>
      </c>
      <c r="L38" s="64">
        <v>20.37</v>
      </c>
      <c r="M38" s="64">
        <v>29.78</v>
      </c>
      <c r="N38" s="64">
        <v>299.8</v>
      </c>
      <c r="O38" s="64">
        <v>0</v>
      </c>
      <c r="P38" s="64">
        <v>1.1399999999999999</v>
      </c>
      <c r="Q38" s="64">
        <v>9.69</v>
      </c>
      <c r="R38" s="198"/>
      <c r="S38" s="198"/>
      <c r="T38" s="198"/>
      <c r="U38" s="198"/>
    </row>
    <row r="39" spans="1:21" s="12" customFormat="1" x14ac:dyDescent="0.25">
      <c r="A39" s="247" t="s">
        <v>850</v>
      </c>
      <c r="B39" s="64">
        <v>52.75</v>
      </c>
      <c r="C39" s="64">
        <v>67.3</v>
      </c>
      <c r="D39" s="64">
        <v>77.47</v>
      </c>
      <c r="E39" s="64">
        <v>5.24</v>
      </c>
      <c r="F39" s="64">
        <v>7.99</v>
      </c>
      <c r="G39" s="64">
        <v>129.05000000000001</v>
      </c>
      <c r="H39" s="64">
        <v>49.79</v>
      </c>
      <c r="I39" s="64">
        <v>3.87</v>
      </c>
      <c r="J39" s="64">
        <v>0.85</v>
      </c>
      <c r="K39" s="64">
        <v>18.98</v>
      </c>
      <c r="L39" s="64">
        <v>22.32</v>
      </c>
      <c r="M39" s="64">
        <v>25.27</v>
      </c>
      <c r="N39" s="64">
        <v>363.7</v>
      </c>
      <c r="O39" s="64">
        <v>0</v>
      </c>
      <c r="P39" s="64">
        <v>1.0900000000000001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47" t="s">
        <v>851</v>
      </c>
      <c r="B40" s="64">
        <v>53.12</v>
      </c>
      <c r="C40" s="64">
        <v>66.05</v>
      </c>
      <c r="D40" s="64">
        <v>77.11</v>
      </c>
      <c r="E40" s="64">
        <v>3.86</v>
      </c>
      <c r="F40" s="64">
        <v>7.46</v>
      </c>
      <c r="G40" s="64">
        <v>128.04</v>
      </c>
      <c r="H40" s="64">
        <v>47.8</v>
      </c>
      <c r="I40" s="64">
        <v>4.04</v>
      </c>
      <c r="J40" s="64">
        <v>0.95</v>
      </c>
      <c r="K40" s="64">
        <v>89.02</v>
      </c>
      <c r="L40" s="64">
        <v>20.86</v>
      </c>
      <c r="M40" s="64">
        <v>26.8</v>
      </c>
      <c r="N40" s="64">
        <v>427.2</v>
      </c>
      <c r="O40" s="64">
        <v>0</v>
      </c>
      <c r="P40" s="64">
        <v>1.07</v>
      </c>
      <c r="Q40" s="64">
        <v>9.6999999999999993</v>
      </c>
      <c r="R40" s="198"/>
      <c r="S40" s="198"/>
      <c r="T40" s="198"/>
      <c r="U40" s="198"/>
    </row>
    <row r="41" spans="1:21" s="12" customFormat="1" x14ac:dyDescent="0.25">
      <c r="A41" s="247" t="s">
        <v>852</v>
      </c>
      <c r="B41" s="64">
        <v>52.14</v>
      </c>
      <c r="C41" s="64">
        <v>64.680000000000007</v>
      </c>
      <c r="D41" s="64">
        <v>75.61</v>
      </c>
      <c r="E41" s="64">
        <v>5.3</v>
      </c>
      <c r="F41" s="64">
        <v>7.66</v>
      </c>
      <c r="G41" s="64">
        <v>125.28</v>
      </c>
      <c r="H41" s="64">
        <v>42.31</v>
      </c>
      <c r="I41" s="64">
        <v>4.04</v>
      </c>
      <c r="J41" s="64">
        <v>0.69</v>
      </c>
      <c r="K41" s="64">
        <v>62.84</v>
      </c>
      <c r="L41" s="64">
        <v>22.16</v>
      </c>
      <c r="M41" s="64">
        <v>23.91</v>
      </c>
      <c r="N41" s="64">
        <v>481.6</v>
      </c>
      <c r="O41" s="64">
        <v>0</v>
      </c>
      <c r="P41" s="64">
        <v>1.06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47" t="s">
        <v>853</v>
      </c>
      <c r="B42" s="64">
        <v>50.39</v>
      </c>
      <c r="C42" s="64">
        <v>66.81</v>
      </c>
      <c r="D42" s="64">
        <v>75.319999999999993</v>
      </c>
      <c r="E42" s="64">
        <v>4.45</v>
      </c>
      <c r="F42" s="64">
        <v>7.24</v>
      </c>
      <c r="G42" s="64">
        <v>125.28</v>
      </c>
      <c r="H42" s="64">
        <v>42.31</v>
      </c>
      <c r="I42" s="64">
        <v>4.0599999999999996</v>
      </c>
      <c r="J42" s="64">
        <v>1.0900000000000001</v>
      </c>
      <c r="K42" s="64">
        <v>80.040000000000006</v>
      </c>
      <c r="L42" s="64">
        <v>21.51</v>
      </c>
      <c r="M42" s="64">
        <v>23.34</v>
      </c>
      <c r="N42" s="64">
        <v>541.9</v>
      </c>
      <c r="O42" s="64">
        <v>0</v>
      </c>
      <c r="P42" s="64">
        <v>1.06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47" t="s">
        <v>854</v>
      </c>
      <c r="B43" s="64">
        <v>47.79</v>
      </c>
      <c r="C43" s="64">
        <v>66.72</v>
      </c>
      <c r="D43" s="64">
        <v>73.180000000000007</v>
      </c>
      <c r="E43" s="64">
        <v>4.38</v>
      </c>
      <c r="F43" s="64">
        <v>6.73</v>
      </c>
      <c r="G43" s="64">
        <v>125.28</v>
      </c>
      <c r="H43" s="64">
        <v>42.31</v>
      </c>
      <c r="I43" s="64">
        <v>4.03</v>
      </c>
      <c r="J43" s="64">
        <v>0.98</v>
      </c>
      <c r="K43" s="64">
        <v>16.309999999999999</v>
      </c>
      <c r="L43" s="64">
        <v>23.81</v>
      </c>
      <c r="M43" s="64">
        <v>19.28</v>
      </c>
      <c r="N43" s="64">
        <v>583.5</v>
      </c>
      <c r="O43" s="64">
        <v>0</v>
      </c>
      <c r="P43" s="64">
        <v>1.02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47" t="s">
        <v>855</v>
      </c>
      <c r="B44" s="64">
        <v>43.24</v>
      </c>
      <c r="C44" s="64">
        <v>67.22</v>
      </c>
      <c r="D44" s="64">
        <v>69.790000000000006</v>
      </c>
      <c r="E44" s="64">
        <v>4.79</v>
      </c>
      <c r="F44" s="64">
        <v>7.64</v>
      </c>
      <c r="G44" s="64">
        <v>120.04</v>
      </c>
      <c r="H44" s="64">
        <v>39.799999999999997</v>
      </c>
      <c r="I44" s="64">
        <v>4.1100000000000003</v>
      </c>
      <c r="J44" s="64">
        <v>1.3</v>
      </c>
      <c r="K44" s="64">
        <v>92.87</v>
      </c>
      <c r="L44" s="64">
        <v>23.61</v>
      </c>
      <c r="M44" s="64">
        <v>20.37</v>
      </c>
      <c r="N44" s="64">
        <v>638.70000000000005</v>
      </c>
      <c r="O44" s="64">
        <v>0</v>
      </c>
      <c r="P44" s="64">
        <v>0.99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47" t="s">
        <v>856</v>
      </c>
      <c r="B45" s="64">
        <v>40.07</v>
      </c>
      <c r="C45" s="64">
        <v>68.63</v>
      </c>
      <c r="D45" s="64">
        <v>67.989999999999995</v>
      </c>
      <c r="E45" s="64">
        <v>4.01</v>
      </c>
      <c r="F45" s="64">
        <v>7.81</v>
      </c>
      <c r="G45" s="64">
        <v>104.76</v>
      </c>
      <c r="H45" s="64">
        <v>32.89</v>
      </c>
      <c r="I45" s="64">
        <v>4.0599999999999996</v>
      </c>
      <c r="J45" s="64">
        <v>0.9</v>
      </c>
      <c r="K45" s="64">
        <v>75.72</v>
      </c>
      <c r="L45" s="64">
        <v>23.23</v>
      </c>
      <c r="M45" s="64">
        <v>20.54</v>
      </c>
      <c r="N45" s="64">
        <v>678.6</v>
      </c>
      <c r="O45" s="64">
        <v>0</v>
      </c>
      <c r="P45" s="64">
        <v>0.95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47" t="s">
        <v>857</v>
      </c>
      <c r="B46" s="64">
        <v>36.799999999999997</v>
      </c>
      <c r="C46" s="64">
        <v>69.8</v>
      </c>
      <c r="D46" s="64">
        <v>65.98</v>
      </c>
      <c r="E46" s="64">
        <v>3.64</v>
      </c>
      <c r="F46" s="64">
        <v>7.61</v>
      </c>
      <c r="G46" s="64">
        <v>104.76</v>
      </c>
      <c r="H46" s="64">
        <v>32.89</v>
      </c>
      <c r="I46" s="64">
        <v>3.96</v>
      </c>
      <c r="J46" s="64">
        <v>1.84</v>
      </c>
      <c r="K46" s="64">
        <v>104.15</v>
      </c>
      <c r="L46" s="64">
        <v>23.73</v>
      </c>
      <c r="M46" s="64">
        <v>19.059999999999999</v>
      </c>
      <c r="N46" s="64">
        <v>723.2</v>
      </c>
      <c r="O46" s="64">
        <v>0</v>
      </c>
      <c r="P46" s="64">
        <v>0.92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47" t="s">
        <v>858</v>
      </c>
      <c r="B47" s="64">
        <v>33.18</v>
      </c>
      <c r="C47" s="64">
        <v>70.25</v>
      </c>
      <c r="D47" s="64">
        <v>63.31</v>
      </c>
      <c r="E47" s="64">
        <v>3.44</v>
      </c>
      <c r="F47" s="64">
        <v>7.08</v>
      </c>
      <c r="G47" s="64">
        <v>104.76</v>
      </c>
      <c r="H47" s="64">
        <v>32.89</v>
      </c>
      <c r="I47" s="64">
        <v>4.0199999999999996</v>
      </c>
      <c r="J47" s="64">
        <v>1.45</v>
      </c>
      <c r="K47" s="64">
        <v>93.23</v>
      </c>
      <c r="L47" s="64">
        <v>23.61</v>
      </c>
      <c r="M47" s="64">
        <v>17.329999999999998</v>
      </c>
      <c r="N47" s="64">
        <v>766.5</v>
      </c>
      <c r="O47" s="64">
        <v>0</v>
      </c>
      <c r="P47" s="64">
        <v>0.87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47" t="s">
        <v>859</v>
      </c>
      <c r="B48" s="64">
        <v>28.51</v>
      </c>
      <c r="C48" s="64">
        <v>67.42</v>
      </c>
      <c r="D48" s="64">
        <v>58.09</v>
      </c>
      <c r="E48" s="64">
        <v>3.96</v>
      </c>
      <c r="F48" s="64">
        <v>8.2799999999999994</v>
      </c>
      <c r="G48" s="64">
        <v>100.19</v>
      </c>
      <c r="H48" s="64">
        <v>30.58</v>
      </c>
      <c r="I48" s="64">
        <v>3.96</v>
      </c>
      <c r="J48" s="64">
        <v>1.65</v>
      </c>
      <c r="K48" s="64">
        <v>89.6</v>
      </c>
      <c r="L48" s="64">
        <v>24.33</v>
      </c>
      <c r="M48" s="64">
        <v>15.52</v>
      </c>
      <c r="N48" s="64">
        <v>809.7</v>
      </c>
      <c r="O48" s="64">
        <v>0</v>
      </c>
      <c r="P48" s="64">
        <v>0.82</v>
      </c>
      <c r="Q48" s="64">
        <v>9.5399999999999991</v>
      </c>
      <c r="R48" s="198"/>
      <c r="S48" s="198"/>
      <c r="T48" s="198"/>
      <c r="U48" s="198"/>
    </row>
    <row r="49" spans="1:21" s="12" customFormat="1" x14ac:dyDescent="0.25">
      <c r="A49" s="247" t="s">
        <v>860</v>
      </c>
      <c r="B49" s="64">
        <v>26.24</v>
      </c>
      <c r="C49" s="64">
        <v>70.36</v>
      </c>
      <c r="D49" s="64">
        <v>57.8</v>
      </c>
      <c r="E49" s="64">
        <v>3.91</v>
      </c>
      <c r="F49" s="64">
        <v>8.59</v>
      </c>
      <c r="G49" s="64">
        <v>87.63</v>
      </c>
      <c r="H49" s="64">
        <v>24.24</v>
      </c>
      <c r="I49" s="64">
        <v>3.8</v>
      </c>
      <c r="J49" s="64">
        <v>1.59</v>
      </c>
      <c r="K49" s="64">
        <v>10.35</v>
      </c>
      <c r="L49" s="64">
        <v>27.03</v>
      </c>
      <c r="M49" s="64">
        <v>13.41</v>
      </c>
      <c r="N49" s="64">
        <v>839.8</v>
      </c>
      <c r="O49" s="64">
        <v>0</v>
      </c>
      <c r="P49" s="64">
        <v>0.78</v>
      </c>
      <c r="Q49" s="64">
        <v>9.49</v>
      </c>
      <c r="R49" s="198"/>
      <c r="S49" s="198"/>
      <c r="T49" s="198"/>
      <c r="U49" s="198"/>
    </row>
    <row r="50" spans="1:21" s="12" customFormat="1" x14ac:dyDescent="0.25">
      <c r="A50" s="247" t="s">
        <v>861</v>
      </c>
      <c r="B50" s="64">
        <v>23.36</v>
      </c>
      <c r="C50" s="64">
        <v>73.11</v>
      </c>
      <c r="D50" s="64">
        <v>56.93</v>
      </c>
      <c r="E50" s="64">
        <v>4.59</v>
      </c>
      <c r="F50" s="64">
        <v>11.16</v>
      </c>
      <c r="G50" s="64">
        <v>87.63</v>
      </c>
      <c r="H50" s="64">
        <v>24.24</v>
      </c>
      <c r="I50" s="64">
        <v>3.94</v>
      </c>
      <c r="J50" s="64">
        <v>1.57</v>
      </c>
      <c r="K50" s="64">
        <v>359.52</v>
      </c>
      <c r="L50" s="64">
        <v>29</v>
      </c>
      <c r="M50" s="64">
        <v>11.3</v>
      </c>
      <c r="N50" s="64">
        <v>882.1</v>
      </c>
      <c r="O50" s="64">
        <v>0</v>
      </c>
      <c r="P50" s="64">
        <v>0.74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47" t="s">
        <v>862</v>
      </c>
      <c r="B51" s="64">
        <v>19.579999999999998</v>
      </c>
      <c r="C51" s="64">
        <v>73.31</v>
      </c>
      <c r="D51" s="64">
        <v>54.01</v>
      </c>
      <c r="E51" s="64">
        <v>4.24</v>
      </c>
      <c r="F51" s="64">
        <v>10.19</v>
      </c>
      <c r="G51" s="64">
        <v>87.63</v>
      </c>
      <c r="H51" s="64">
        <v>24.24</v>
      </c>
      <c r="I51" s="64">
        <v>4.07</v>
      </c>
      <c r="J51" s="64">
        <v>0.87</v>
      </c>
      <c r="K51" s="64">
        <v>47.27</v>
      </c>
      <c r="L51" s="64">
        <v>28.58</v>
      </c>
      <c r="M51" s="64">
        <v>12.38</v>
      </c>
      <c r="N51" s="64">
        <v>906.3</v>
      </c>
      <c r="O51" s="64">
        <v>0</v>
      </c>
      <c r="P51" s="64">
        <v>0.69</v>
      </c>
      <c r="Q51" s="64">
        <v>9.52</v>
      </c>
      <c r="R51" s="198"/>
      <c r="S51" s="198"/>
      <c r="T51" s="198"/>
      <c r="U51" s="198"/>
    </row>
    <row r="52" spans="1:21" s="12" customFormat="1" x14ac:dyDescent="0.25">
      <c r="A52" s="247" t="s">
        <v>863</v>
      </c>
      <c r="B52" s="64">
        <v>14.55</v>
      </c>
      <c r="C52" s="64">
        <v>70.92</v>
      </c>
      <c r="D52" s="64">
        <v>48.73</v>
      </c>
      <c r="E52" s="64">
        <v>5.09</v>
      </c>
      <c r="F52" s="64">
        <v>13.8</v>
      </c>
      <c r="G52" s="64">
        <v>78.62</v>
      </c>
      <c r="H52" s="64">
        <v>21.13</v>
      </c>
      <c r="I52" s="64">
        <v>4.04</v>
      </c>
      <c r="J52" s="64">
        <v>0.95</v>
      </c>
      <c r="K52" s="64">
        <v>80.52</v>
      </c>
      <c r="L52" s="64">
        <v>27.14</v>
      </c>
      <c r="M52" s="64">
        <v>13.36</v>
      </c>
      <c r="N52" s="64">
        <v>914.4</v>
      </c>
      <c r="O52" s="64">
        <v>0</v>
      </c>
      <c r="P52" s="64">
        <v>0.6</v>
      </c>
      <c r="Q52" s="64">
        <v>9.4499999999999993</v>
      </c>
      <c r="R52" s="198"/>
      <c r="S52" s="198"/>
      <c r="T52" s="198"/>
      <c r="U52" s="198"/>
    </row>
    <row r="53" spans="1:21" s="12" customFormat="1" x14ac:dyDescent="0.25">
      <c r="A53" s="247" t="s">
        <v>864</v>
      </c>
      <c r="B53" s="64">
        <v>11.76</v>
      </c>
      <c r="C53" s="64">
        <v>67.97</v>
      </c>
      <c r="D53" s="64">
        <v>44.94</v>
      </c>
      <c r="E53" s="64">
        <v>5.47</v>
      </c>
      <c r="F53" s="64">
        <v>17.04</v>
      </c>
      <c r="G53" s="64">
        <v>53.86</v>
      </c>
      <c r="H53" s="64">
        <v>12.55</v>
      </c>
      <c r="I53" s="64">
        <v>3.91</v>
      </c>
      <c r="J53" s="64">
        <v>0.88</v>
      </c>
      <c r="K53" s="64">
        <v>46.92</v>
      </c>
      <c r="L53" s="64">
        <v>27.33</v>
      </c>
      <c r="M53" s="64">
        <v>13.5</v>
      </c>
      <c r="N53" s="64">
        <v>921.6</v>
      </c>
      <c r="O53" s="64">
        <v>0</v>
      </c>
      <c r="P53" s="64">
        <v>0.56000000000000005</v>
      </c>
      <c r="Q53" s="64">
        <v>9.41</v>
      </c>
      <c r="R53" s="198"/>
      <c r="S53" s="198"/>
      <c r="T53" s="198"/>
      <c r="U53" s="198"/>
    </row>
    <row r="54" spans="1:21" s="12" customFormat="1" x14ac:dyDescent="0.25">
      <c r="A54" s="247" t="s">
        <v>865</v>
      </c>
      <c r="B54" s="64">
        <v>11.47</v>
      </c>
      <c r="C54" s="64">
        <v>71.05</v>
      </c>
      <c r="D54" s="64">
        <v>46.32</v>
      </c>
      <c r="E54" s="64">
        <v>5.86</v>
      </c>
      <c r="F54" s="64">
        <v>14.89</v>
      </c>
      <c r="G54" s="64">
        <v>53.86</v>
      </c>
      <c r="H54" s="64">
        <v>12.55</v>
      </c>
      <c r="I54" s="64">
        <v>3.98</v>
      </c>
      <c r="J54" s="64">
        <v>0.96</v>
      </c>
      <c r="K54" s="64">
        <v>347.61</v>
      </c>
      <c r="L54" s="64">
        <v>29.9</v>
      </c>
      <c r="M54" s="64">
        <v>11.58</v>
      </c>
      <c r="N54" s="64">
        <v>905.4</v>
      </c>
      <c r="O54" s="64">
        <v>0</v>
      </c>
      <c r="P54" s="64">
        <v>0.56999999999999995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47" t="s">
        <v>866</v>
      </c>
      <c r="B55" s="64">
        <v>9.8000000000000007</v>
      </c>
      <c r="C55" s="64">
        <v>69.430000000000007</v>
      </c>
      <c r="D55" s="64">
        <v>44.14</v>
      </c>
      <c r="E55" s="64">
        <v>7.88</v>
      </c>
      <c r="F55" s="64">
        <v>13.03</v>
      </c>
      <c r="G55" s="64">
        <v>53.86</v>
      </c>
      <c r="H55" s="64">
        <v>12.55</v>
      </c>
      <c r="I55" s="64">
        <v>3.96</v>
      </c>
      <c r="J55" s="64">
        <v>1.1399999999999999</v>
      </c>
      <c r="K55" s="64">
        <v>339.17</v>
      </c>
      <c r="L55" s="64">
        <v>30.99</v>
      </c>
      <c r="M55" s="64">
        <v>10.37</v>
      </c>
      <c r="N55" s="64">
        <v>860.9</v>
      </c>
      <c r="O55" s="64">
        <v>0</v>
      </c>
      <c r="P55" s="64">
        <v>0.56999999999999995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47" t="s">
        <v>867</v>
      </c>
      <c r="B56" s="64">
        <v>7.77</v>
      </c>
      <c r="C56" s="64">
        <v>65.77</v>
      </c>
      <c r="D56" s="64">
        <v>40.6</v>
      </c>
      <c r="E56" s="64">
        <v>19.03</v>
      </c>
      <c r="F56" s="64">
        <v>26.35</v>
      </c>
      <c r="G56" s="64">
        <v>47.72</v>
      </c>
      <c r="H56" s="64">
        <v>11.07</v>
      </c>
      <c r="I56" s="64">
        <v>3.9</v>
      </c>
      <c r="J56" s="64">
        <v>0.96</v>
      </c>
      <c r="K56" s="64">
        <v>7.34</v>
      </c>
      <c r="L56" s="64">
        <v>30.86</v>
      </c>
      <c r="M56" s="64">
        <v>10.51</v>
      </c>
      <c r="N56" s="64">
        <v>800.3</v>
      </c>
      <c r="O56" s="64">
        <v>0</v>
      </c>
      <c r="P56" s="64">
        <v>0.53</v>
      </c>
      <c r="Q56" s="64">
        <v>9.49</v>
      </c>
      <c r="R56" s="198"/>
      <c r="S56" s="198"/>
      <c r="T56" s="198"/>
      <c r="U56" s="198"/>
    </row>
    <row r="57" spans="1:21" s="12" customFormat="1" x14ac:dyDescent="0.25">
      <c r="A57" s="247" t="s">
        <v>868</v>
      </c>
      <c r="B57" s="64">
        <v>6.29</v>
      </c>
      <c r="C57" s="64">
        <v>69.91</v>
      </c>
      <c r="D57" s="64">
        <v>41.57</v>
      </c>
      <c r="E57" s="64">
        <v>18.510000000000002</v>
      </c>
      <c r="F57" s="64">
        <v>21.15</v>
      </c>
      <c r="G57" s="64">
        <v>30.83</v>
      </c>
      <c r="H57" s="64">
        <v>6.99</v>
      </c>
      <c r="I57" s="64">
        <v>3.95</v>
      </c>
      <c r="J57" s="64">
        <v>1.08</v>
      </c>
      <c r="K57" s="64">
        <v>144.41</v>
      </c>
      <c r="L57" s="64">
        <v>27.76</v>
      </c>
      <c r="M57" s="64">
        <v>12.37</v>
      </c>
      <c r="N57" s="64">
        <v>796</v>
      </c>
      <c r="O57" s="64">
        <v>0</v>
      </c>
      <c r="P57" s="64">
        <v>0.51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47" t="s">
        <v>869</v>
      </c>
      <c r="B58" s="64">
        <v>8.2200000000000006</v>
      </c>
      <c r="C58" s="64">
        <v>67.069999999999993</v>
      </c>
      <c r="D58" s="64">
        <v>41.64</v>
      </c>
      <c r="E58" s="64">
        <v>22.55</v>
      </c>
      <c r="F58" s="64">
        <v>26.01</v>
      </c>
      <c r="G58" s="64">
        <v>30.83</v>
      </c>
      <c r="H58" s="64">
        <v>6.99</v>
      </c>
      <c r="I58" s="64">
        <v>4</v>
      </c>
      <c r="J58" s="64">
        <v>0.63</v>
      </c>
      <c r="K58" s="64">
        <v>349.71</v>
      </c>
      <c r="L58" s="64">
        <v>29.6</v>
      </c>
      <c r="M58" s="64">
        <v>10.83</v>
      </c>
      <c r="N58" s="64">
        <v>764.1</v>
      </c>
      <c r="O58" s="64">
        <v>0</v>
      </c>
      <c r="P58" s="64">
        <v>0.54</v>
      </c>
      <c r="Q58" s="64">
        <v>9.43</v>
      </c>
      <c r="R58" s="198"/>
      <c r="S58" s="198"/>
      <c r="T58" s="198"/>
      <c r="U58" s="198"/>
    </row>
    <row r="59" spans="1:21" s="12" customFormat="1" x14ac:dyDescent="0.25">
      <c r="A59" s="247" t="s">
        <v>870</v>
      </c>
      <c r="B59" s="64">
        <v>8.7200000000000006</v>
      </c>
      <c r="C59" s="64">
        <v>64.47</v>
      </c>
      <c r="D59" s="64">
        <v>40.68</v>
      </c>
      <c r="E59" s="64">
        <v>11.09</v>
      </c>
      <c r="F59" s="64">
        <v>20.6</v>
      </c>
      <c r="G59" s="64">
        <v>30.83</v>
      </c>
      <c r="H59" s="64">
        <v>6.99</v>
      </c>
      <c r="I59" s="64">
        <v>4.07</v>
      </c>
      <c r="J59" s="64">
        <v>1.36</v>
      </c>
      <c r="K59" s="64">
        <v>349.49</v>
      </c>
      <c r="L59" s="64">
        <v>30.73</v>
      </c>
      <c r="M59" s="64">
        <v>9.32</v>
      </c>
      <c r="N59" s="64">
        <v>818.9</v>
      </c>
      <c r="O59" s="64">
        <v>0</v>
      </c>
      <c r="P59" s="64">
        <v>0.48</v>
      </c>
      <c r="Q59" s="64">
        <v>9.41</v>
      </c>
      <c r="R59" s="198"/>
      <c r="S59" s="198"/>
      <c r="T59" s="198"/>
      <c r="U59" s="198"/>
    </row>
    <row r="60" spans="1:21" s="12" customFormat="1" x14ac:dyDescent="0.25">
      <c r="A60" s="247" t="s">
        <v>871</v>
      </c>
      <c r="B60" s="64">
        <v>5.93</v>
      </c>
      <c r="C60" s="64">
        <v>63.92</v>
      </c>
      <c r="D60" s="64">
        <v>38.15</v>
      </c>
      <c r="E60" s="64">
        <v>8.3000000000000007</v>
      </c>
      <c r="F60" s="64">
        <v>16.71</v>
      </c>
      <c r="G60" s="64">
        <v>37.119999999999997</v>
      </c>
      <c r="H60" s="64">
        <v>7.95</v>
      </c>
      <c r="I60" s="64">
        <v>4</v>
      </c>
      <c r="J60" s="64">
        <v>0.23</v>
      </c>
      <c r="K60" s="64">
        <v>272.04000000000002</v>
      </c>
      <c r="L60" s="64">
        <v>30.78</v>
      </c>
      <c r="M60" s="64">
        <v>8.59</v>
      </c>
      <c r="N60" s="64">
        <v>842.1</v>
      </c>
      <c r="O60" s="64">
        <v>0</v>
      </c>
      <c r="P60" s="64">
        <v>0.44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47" t="s">
        <v>872</v>
      </c>
      <c r="B61" s="64">
        <v>5.83</v>
      </c>
      <c r="C61" s="64">
        <v>65.72</v>
      </c>
      <c r="D61" s="64">
        <v>39.01</v>
      </c>
      <c r="E61" s="64">
        <v>6.82</v>
      </c>
      <c r="F61" s="64">
        <v>15.69</v>
      </c>
      <c r="G61" s="64">
        <v>54.41</v>
      </c>
      <c r="H61" s="64">
        <v>10.57</v>
      </c>
      <c r="I61" s="64">
        <v>4.03</v>
      </c>
      <c r="J61" s="64">
        <v>1.56</v>
      </c>
      <c r="K61" s="64">
        <v>338.76</v>
      </c>
      <c r="L61" s="64">
        <v>31.09</v>
      </c>
      <c r="M61" s="64">
        <v>9.44</v>
      </c>
      <c r="N61" s="64">
        <v>845.2</v>
      </c>
      <c r="O61" s="64">
        <v>0</v>
      </c>
      <c r="P61" s="64">
        <v>0.47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47" t="s">
        <v>873</v>
      </c>
      <c r="B62" s="64">
        <v>5.57</v>
      </c>
      <c r="C62" s="64">
        <v>57.12</v>
      </c>
      <c r="D62" s="64">
        <v>34.31</v>
      </c>
      <c r="E62" s="64">
        <v>5.74</v>
      </c>
      <c r="F62" s="64">
        <v>16.489999999999998</v>
      </c>
      <c r="G62" s="64">
        <v>54.41</v>
      </c>
      <c r="H62" s="64">
        <v>10.57</v>
      </c>
      <c r="I62" s="64">
        <v>4.04</v>
      </c>
      <c r="J62" s="64">
        <v>0.5</v>
      </c>
      <c r="K62" s="64">
        <v>278.68</v>
      </c>
      <c r="L62" s="64">
        <v>30.66</v>
      </c>
      <c r="M62" s="64">
        <v>8.6199999999999992</v>
      </c>
      <c r="N62" s="64">
        <v>857.4</v>
      </c>
      <c r="O62" s="64">
        <v>0</v>
      </c>
      <c r="P62" s="64">
        <v>0.45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47" t="s">
        <v>874</v>
      </c>
      <c r="B63" s="64">
        <v>6.66</v>
      </c>
      <c r="C63" s="64">
        <v>60.47</v>
      </c>
      <c r="D63" s="64">
        <v>36.93</v>
      </c>
      <c r="E63" s="64">
        <v>4.92</v>
      </c>
      <c r="F63" s="64">
        <v>17.95</v>
      </c>
      <c r="G63" s="64">
        <v>54.41</v>
      </c>
      <c r="H63" s="64">
        <v>10.57</v>
      </c>
      <c r="I63" s="64">
        <v>3.99</v>
      </c>
      <c r="J63" s="64">
        <v>1.05</v>
      </c>
      <c r="K63" s="64">
        <v>322.77</v>
      </c>
      <c r="L63" s="64">
        <v>31.56</v>
      </c>
      <c r="M63" s="64">
        <v>9</v>
      </c>
      <c r="N63" s="64">
        <v>722.9</v>
      </c>
      <c r="O63" s="64">
        <v>0</v>
      </c>
      <c r="P63" s="64">
        <v>0.47</v>
      </c>
      <c r="Q63" s="64">
        <v>9.19</v>
      </c>
      <c r="R63" s="198"/>
      <c r="S63" s="198"/>
      <c r="T63" s="198"/>
      <c r="U63" s="198"/>
    </row>
    <row r="64" spans="1:21" s="12" customFormat="1" x14ac:dyDescent="0.25">
      <c r="A64" s="247" t="s">
        <v>875</v>
      </c>
      <c r="B64" s="64">
        <v>5.83</v>
      </c>
      <c r="C64" s="64">
        <v>62.8</v>
      </c>
      <c r="D64" s="64">
        <v>37.479999999999997</v>
      </c>
      <c r="E64" s="64">
        <v>4.29</v>
      </c>
      <c r="F64" s="64">
        <v>16.14</v>
      </c>
      <c r="G64" s="64">
        <v>56.66</v>
      </c>
      <c r="H64" s="64">
        <v>11.62</v>
      </c>
      <c r="I64" s="64">
        <v>3.96</v>
      </c>
      <c r="J64" s="64">
        <v>1.38</v>
      </c>
      <c r="K64" s="64">
        <v>325.8</v>
      </c>
      <c r="L64" s="64">
        <v>32.700000000000003</v>
      </c>
      <c r="M64" s="64">
        <v>8.7899999999999991</v>
      </c>
      <c r="N64" s="64">
        <v>842.1</v>
      </c>
      <c r="O64" s="64">
        <v>0</v>
      </c>
      <c r="P64" s="64">
        <v>0.45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47" t="s">
        <v>876</v>
      </c>
      <c r="B65" s="64">
        <v>6.3</v>
      </c>
      <c r="C65" s="64">
        <v>52.71</v>
      </c>
      <c r="D65" s="64">
        <v>32.590000000000003</v>
      </c>
      <c r="E65" s="64">
        <v>5.84</v>
      </c>
      <c r="F65" s="64">
        <v>24.8</v>
      </c>
      <c r="G65" s="64">
        <v>63.2</v>
      </c>
      <c r="H65" s="64">
        <v>14.51</v>
      </c>
      <c r="I65" s="64">
        <v>4.01</v>
      </c>
      <c r="J65" s="64">
        <v>0.62</v>
      </c>
      <c r="K65" s="64">
        <v>352.37</v>
      </c>
      <c r="L65" s="64">
        <v>32.32</v>
      </c>
      <c r="M65" s="64">
        <v>8.3000000000000007</v>
      </c>
      <c r="N65" s="64">
        <v>800.3</v>
      </c>
      <c r="O65" s="64">
        <v>0</v>
      </c>
      <c r="P65" s="64">
        <v>0.39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47" t="s">
        <v>877</v>
      </c>
      <c r="B66" s="64">
        <v>6.61</v>
      </c>
      <c r="C66" s="64">
        <v>59.3</v>
      </c>
      <c r="D66" s="64">
        <v>36.29</v>
      </c>
      <c r="E66" s="64">
        <v>4.7699999999999996</v>
      </c>
      <c r="F66" s="64">
        <v>17.14</v>
      </c>
      <c r="G66" s="64">
        <v>63.2</v>
      </c>
      <c r="H66" s="64">
        <v>14.51</v>
      </c>
      <c r="I66" s="64">
        <v>4.03</v>
      </c>
      <c r="J66" s="64">
        <v>0.11</v>
      </c>
      <c r="K66" s="64">
        <v>346.48</v>
      </c>
      <c r="L66" s="64">
        <v>30.64</v>
      </c>
      <c r="M66" s="64">
        <v>9.32</v>
      </c>
      <c r="N66" s="64">
        <v>613.70000000000005</v>
      </c>
      <c r="O66" s="64">
        <v>0</v>
      </c>
      <c r="P66" s="64">
        <v>0.4</v>
      </c>
      <c r="Q66" s="64">
        <v>9.1</v>
      </c>
      <c r="R66" s="198"/>
      <c r="S66" s="198"/>
      <c r="T66" s="198"/>
      <c r="U66" s="198"/>
    </row>
    <row r="67" spans="1:21" s="12" customFormat="1" x14ac:dyDescent="0.25">
      <c r="A67" s="247" t="s">
        <v>878</v>
      </c>
      <c r="B67" s="64">
        <v>8.39</v>
      </c>
      <c r="C67" s="64">
        <v>53.24</v>
      </c>
      <c r="D67" s="64">
        <v>34.549999999999997</v>
      </c>
      <c r="E67" s="64">
        <v>5.65</v>
      </c>
      <c r="F67" s="64">
        <v>23.55</v>
      </c>
      <c r="G67" s="64">
        <v>63.2</v>
      </c>
      <c r="H67" s="64">
        <v>14.51</v>
      </c>
      <c r="I67" s="64">
        <v>3.92</v>
      </c>
      <c r="J67" s="64">
        <v>1.34</v>
      </c>
      <c r="K67" s="64">
        <v>343.55</v>
      </c>
      <c r="L67" s="64">
        <v>31.56</v>
      </c>
      <c r="M67" s="64">
        <v>9.18</v>
      </c>
      <c r="N67" s="64">
        <v>302.3</v>
      </c>
      <c r="O67" s="64">
        <v>0</v>
      </c>
      <c r="P67" s="64">
        <v>0.43</v>
      </c>
      <c r="Q67" s="64">
        <v>9.11</v>
      </c>
      <c r="R67" s="198"/>
      <c r="S67" s="198"/>
      <c r="T67" s="198"/>
      <c r="U67" s="198"/>
    </row>
    <row r="68" spans="1:21" s="12" customFormat="1" x14ac:dyDescent="0.25">
      <c r="A68" s="247" t="s">
        <v>879</v>
      </c>
      <c r="B68" s="64">
        <v>5.22</v>
      </c>
      <c r="C68" s="64">
        <v>47.68</v>
      </c>
      <c r="D68" s="64">
        <v>29.1</v>
      </c>
      <c r="E68" s="64">
        <v>5.47</v>
      </c>
      <c r="F68" s="64">
        <v>21.42</v>
      </c>
      <c r="G68" s="64">
        <v>59.64</v>
      </c>
      <c r="H68" s="64">
        <v>13.54</v>
      </c>
      <c r="I68" s="64">
        <v>4</v>
      </c>
      <c r="J68" s="64">
        <v>0.63</v>
      </c>
      <c r="K68" s="64">
        <v>305.54000000000002</v>
      </c>
      <c r="L68" s="64">
        <v>30.75</v>
      </c>
      <c r="M68" s="64">
        <v>9.18</v>
      </c>
      <c r="N68" s="64">
        <v>435.2</v>
      </c>
      <c r="O68" s="64">
        <v>0</v>
      </c>
      <c r="P68" s="64">
        <v>0.39</v>
      </c>
      <c r="Q68" s="64">
        <v>9.09</v>
      </c>
      <c r="R68" s="198"/>
      <c r="S68" s="198"/>
      <c r="T68" s="198"/>
      <c r="U68" s="198"/>
    </row>
    <row r="69" spans="1:21" s="12" customFormat="1" x14ac:dyDescent="0.25">
      <c r="A69" s="247" t="s">
        <v>880</v>
      </c>
      <c r="B69" s="64">
        <v>8.4499999999999993</v>
      </c>
      <c r="C69" s="64">
        <v>54.77</v>
      </c>
      <c r="D69" s="64">
        <v>35.4</v>
      </c>
      <c r="E69" s="64">
        <v>5.62</v>
      </c>
      <c r="F69" s="64">
        <v>25.41</v>
      </c>
      <c r="G69" s="64">
        <v>49.85</v>
      </c>
      <c r="H69" s="64">
        <v>10.87</v>
      </c>
      <c r="I69" s="64">
        <v>4.04</v>
      </c>
      <c r="J69" s="64">
        <v>0.89</v>
      </c>
      <c r="K69" s="64">
        <v>323.47000000000003</v>
      </c>
      <c r="L69" s="64">
        <v>30.18</v>
      </c>
      <c r="M69" s="64">
        <v>9.48</v>
      </c>
      <c r="N69" s="64">
        <v>255.5</v>
      </c>
      <c r="O69" s="64">
        <v>0</v>
      </c>
      <c r="P69" s="64">
        <v>0.38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47" t="s">
        <v>881</v>
      </c>
      <c r="B70" s="64">
        <v>6.55</v>
      </c>
      <c r="C70" s="64">
        <v>45.81</v>
      </c>
      <c r="D70" s="64">
        <v>29.18</v>
      </c>
      <c r="E70" s="64">
        <v>5.84</v>
      </c>
      <c r="F70" s="64">
        <v>35.68</v>
      </c>
      <c r="G70" s="64">
        <v>49.85</v>
      </c>
      <c r="H70" s="64">
        <v>10.87</v>
      </c>
      <c r="I70" s="64">
        <v>3.94</v>
      </c>
      <c r="J70" s="64">
        <v>0.52</v>
      </c>
      <c r="K70" s="64">
        <v>2.99</v>
      </c>
      <c r="L70" s="64">
        <v>29.6</v>
      </c>
      <c r="M70" s="64">
        <v>10.18</v>
      </c>
      <c r="N70" s="64">
        <v>183.2</v>
      </c>
      <c r="O70" s="64">
        <v>0</v>
      </c>
      <c r="P70" s="64">
        <v>0.33</v>
      </c>
      <c r="Q70" s="64">
        <v>9.0299999999999994</v>
      </c>
      <c r="R70" s="198"/>
      <c r="S70" s="198"/>
      <c r="T70" s="198"/>
      <c r="U70" s="198"/>
    </row>
    <row r="71" spans="1:21" s="12" customFormat="1" x14ac:dyDescent="0.25">
      <c r="A71" s="247" t="s">
        <v>882</v>
      </c>
      <c r="B71" s="64">
        <v>5.49</v>
      </c>
      <c r="C71" s="64">
        <v>51.57</v>
      </c>
      <c r="D71" s="64">
        <v>31.34</v>
      </c>
      <c r="E71" s="64">
        <v>5.76</v>
      </c>
      <c r="F71" s="64">
        <v>29.79</v>
      </c>
      <c r="G71" s="64">
        <v>49.85</v>
      </c>
      <c r="H71" s="64">
        <v>10.87</v>
      </c>
      <c r="I71" s="64">
        <v>3.93</v>
      </c>
      <c r="J71" s="64">
        <v>1.04</v>
      </c>
      <c r="K71" s="64">
        <v>124.17</v>
      </c>
      <c r="L71" s="64">
        <v>28.13</v>
      </c>
      <c r="M71" s="64">
        <v>11.09</v>
      </c>
      <c r="N71" s="64">
        <v>164.7</v>
      </c>
      <c r="O71" s="64">
        <v>0</v>
      </c>
      <c r="P71" s="64">
        <v>0.33</v>
      </c>
      <c r="Q71" s="64">
        <v>9.02</v>
      </c>
      <c r="R71" s="198"/>
      <c r="S71" s="198"/>
      <c r="T71" s="198"/>
      <c r="U71" s="198"/>
    </row>
    <row r="72" spans="1:21" s="12" customFormat="1" x14ac:dyDescent="0.25">
      <c r="A72" s="247" t="s">
        <v>883</v>
      </c>
      <c r="B72" s="64">
        <v>5.98</v>
      </c>
      <c r="C72" s="64">
        <v>51.29</v>
      </c>
      <c r="D72" s="64">
        <v>31.59</v>
      </c>
      <c r="E72" s="64">
        <v>4.25</v>
      </c>
      <c r="F72" s="64">
        <v>31.78</v>
      </c>
      <c r="G72" s="64">
        <v>42.56</v>
      </c>
      <c r="H72" s="64">
        <v>9.7200000000000006</v>
      </c>
      <c r="I72" s="64">
        <v>3.98</v>
      </c>
      <c r="J72" s="64">
        <v>0.42</v>
      </c>
      <c r="K72" s="64">
        <v>219.99</v>
      </c>
      <c r="L72" s="64">
        <v>27.57</v>
      </c>
      <c r="M72" s="64">
        <v>10.72</v>
      </c>
      <c r="N72" s="64">
        <v>194.9</v>
      </c>
      <c r="O72" s="64">
        <v>0</v>
      </c>
      <c r="P72" s="64">
        <v>0.32</v>
      </c>
      <c r="Q72" s="64">
        <v>9</v>
      </c>
      <c r="R72" s="198"/>
      <c r="S72" s="198"/>
      <c r="T72" s="198"/>
      <c r="U72" s="198"/>
    </row>
    <row r="73" spans="1:21" s="12" customFormat="1" x14ac:dyDescent="0.25">
      <c r="A73" s="247" t="s">
        <v>884</v>
      </c>
      <c r="B73" s="64">
        <v>19.75</v>
      </c>
      <c r="C73" s="64">
        <v>69.09</v>
      </c>
      <c r="D73" s="64">
        <v>51.93</v>
      </c>
      <c r="E73" s="64">
        <v>7.12</v>
      </c>
      <c r="F73" s="64">
        <v>37.6</v>
      </c>
      <c r="G73" s="64">
        <v>22.52</v>
      </c>
      <c r="H73" s="64">
        <v>6.57</v>
      </c>
      <c r="I73" s="64">
        <v>4.1500000000000004</v>
      </c>
      <c r="J73" s="64">
        <v>1.19</v>
      </c>
      <c r="K73" s="64">
        <v>344.01</v>
      </c>
      <c r="L73" s="64">
        <v>28.01</v>
      </c>
      <c r="M73" s="64">
        <v>11.14</v>
      </c>
      <c r="N73" s="64">
        <v>195.2</v>
      </c>
      <c r="O73" s="64">
        <v>0</v>
      </c>
      <c r="P73" s="64">
        <v>0.42</v>
      </c>
      <c r="Q73" s="64">
        <v>8.99</v>
      </c>
      <c r="R73" s="198"/>
      <c r="S73" s="198"/>
      <c r="T73" s="198"/>
      <c r="U73" s="198"/>
    </row>
    <row r="74" spans="1:21" s="12" customFormat="1" x14ac:dyDescent="0.25">
      <c r="A74" s="247" t="s">
        <v>885</v>
      </c>
      <c r="B74" s="64">
        <v>7.91</v>
      </c>
      <c r="C74" s="64">
        <v>79.31</v>
      </c>
      <c r="D74" s="64">
        <v>47.78</v>
      </c>
      <c r="E74" s="64">
        <v>5.88</v>
      </c>
      <c r="F74" s="64">
        <v>21</v>
      </c>
      <c r="G74" s="64">
        <v>22.52</v>
      </c>
      <c r="H74" s="64">
        <v>6.57</v>
      </c>
      <c r="I74" s="64">
        <v>4.07</v>
      </c>
      <c r="J74" s="64">
        <v>0.55000000000000004</v>
      </c>
      <c r="K74" s="64">
        <v>283.33</v>
      </c>
      <c r="L74" s="64">
        <v>27.99</v>
      </c>
      <c r="M74" s="64">
        <v>11.3</v>
      </c>
      <c r="N74" s="64">
        <v>152.30000000000001</v>
      </c>
      <c r="O74" s="64">
        <v>0</v>
      </c>
      <c r="P74" s="64">
        <v>0.39</v>
      </c>
      <c r="Q74" s="64">
        <v>9.0500000000000007</v>
      </c>
      <c r="R74" s="198"/>
      <c r="S74" s="198"/>
      <c r="T74" s="198"/>
      <c r="U74" s="198"/>
    </row>
    <row r="75" spans="1:21" s="12" customFormat="1" x14ac:dyDescent="0.25">
      <c r="A75" s="247" t="s">
        <v>886</v>
      </c>
      <c r="B75" s="64">
        <v>5</v>
      </c>
      <c r="C75" s="64">
        <v>65.38</v>
      </c>
      <c r="D75" s="64">
        <v>38.17</v>
      </c>
      <c r="E75" s="64">
        <v>4.72</v>
      </c>
      <c r="F75" s="64">
        <v>28.44</v>
      </c>
      <c r="G75" s="64">
        <v>22.52</v>
      </c>
      <c r="H75" s="64">
        <v>6.57</v>
      </c>
      <c r="I75" s="64">
        <v>4</v>
      </c>
      <c r="J75" s="64">
        <v>0.54</v>
      </c>
      <c r="K75" s="64">
        <v>311.94</v>
      </c>
      <c r="L75" s="64">
        <v>27.19</v>
      </c>
      <c r="M75" s="64">
        <v>11.49</v>
      </c>
      <c r="N75" s="64">
        <v>131.80000000000001</v>
      </c>
      <c r="O75" s="64">
        <v>0</v>
      </c>
      <c r="P75" s="64">
        <v>0.34</v>
      </c>
      <c r="Q75" s="64">
        <v>9.07</v>
      </c>
      <c r="R75" s="198"/>
      <c r="S75" s="198"/>
      <c r="T75" s="198"/>
      <c r="U75" s="198"/>
    </row>
    <row r="76" spans="1:21" s="12" customFormat="1" x14ac:dyDescent="0.25">
      <c r="A76" s="247" t="s">
        <v>887</v>
      </c>
      <c r="B76" s="64">
        <v>7.2</v>
      </c>
      <c r="C76" s="64">
        <v>66.34</v>
      </c>
      <c r="D76" s="64">
        <v>40.43</v>
      </c>
      <c r="E76" s="64">
        <v>3.21</v>
      </c>
      <c r="F76" s="64">
        <v>19.12</v>
      </c>
      <c r="G76" s="64">
        <v>27.76</v>
      </c>
      <c r="H76" s="64">
        <v>7.56</v>
      </c>
      <c r="I76" s="64">
        <v>4.0599999999999996</v>
      </c>
      <c r="J76" s="64">
        <v>1.05</v>
      </c>
      <c r="K76" s="64">
        <v>300.20999999999998</v>
      </c>
      <c r="L76" s="64">
        <v>27</v>
      </c>
      <c r="M76" s="64">
        <v>11.03</v>
      </c>
      <c r="N76" s="64">
        <v>124.4</v>
      </c>
      <c r="O76" s="64">
        <v>0</v>
      </c>
      <c r="P76" s="64">
        <v>0.37</v>
      </c>
      <c r="Q76" s="64">
        <v>9.06</v>
      </c>
      <c r="R76" s="198"/>
      <c r="S76" s="198"/>
      <c r="T76" s="198"/>
      <c r="U76" s="198"/>
    </row>
    <row r="77" spans="1:21" s="12" customFormat="1" x14ac:dyDescent="0.25">
      <c r="A77" s="247" t="s">
        <v>888</v>
      </c>
      <c r="B77" s="64">
        <v>8.51</v>
      </c>
      <c r="C77" s="64">
        <v>63.75</v>
      </c>
      <c r="D77" s="64">
        <v>40.130000000000003</v>
      </c>
      <c r="E77" s="64">
        <v>3.63</v>
      </c>
      <c r="F77" s="64">
        <v>21.4</v>
      </c>
      <c r="G77" s="64">
        <v>42.17</v>
      </c>
      <c r="H77" s="64">
        <v>10.31</v>
      </c>
      <c r="I77" s="64">
        <v>3.97</v>
      </c>
      <c r="J77" s="64">
        <v>1.1100000000000001</v>
      </c>
      <c r="K77" s="64">
        <v>315.87</v>
      </c>
      <c r="L77" s="64">
        <v>26.69</v>
      </c>
      <c r="M77" s="64">
        <v>12.13</v>
      </c>
      <c r="N77" s="64">
        <v>105.8</v>
      </c>
      <c r="O77" s="64">
        <v>0</v>
      </c>
      <c r="P77" s="64">
        <v>0.39</v>
      </c>
      <c r="Q77" s="64">
        <v>8.98</v>
      </c>
      <c r="R77" s="198"/>
      <c r="S77" s="198"/>
      <c r="T77" s="198"/>
      <c r="U77" s="198"/>
    </row>
    <row r="78" spans="1:21" s="12" customFormat="1" x14ac:dyDescent="0.25">
      <c r="A78" s="247" t="s">
        <v>889</v>
      </c>
      <c r="B78" s="64">
        <v>9.1300000000000008</v>
      </c>
      <c r="C78" s="64">
        <v>68.25</v>
      </c>
      <c r="D78" s="64">
        <v>42.98</v>
      </c>
      <c r="E78" s="64">
        <v>3.47</v>
      </c>
      <c r="F78" s="64">
        <v>19.82</v>
      </c>
      <c r="G78" s="64">
        <v>42.17</v>
      </c>
      <c r="H78" s="64">
        <v>10.31</v>
      </c>
      <c r="I78" s="64">
        <v>3.96</v>
      </c>
      <c r="J78" s="64">
        <v>1.31</v>
      </c>
      <c r="K78" s="64">
        <v>219.11</v>
      </c>
      <c r="L78" s="64">
        <v>26.32</v>
      </c>
      <c r="M78" s="64">
        <v>11.3</v>
      </c>
      <c r="N78" s="64">
        <v>99.9</v>
      </c>
      <c r="O78" s="64">
        <v>0</v>
      </c>
      <c r="P78" s="64">
        <v>0.49</v>
      </c>
      <c r="Q78" s="64">
        <v>8.98</v>
      </c>
      <c r="R78" s="198"/>
      <c r="S78" s="198"/>
      <c r="T78" s="198"/>
      <c r="U78" s="198"/>
    </row>
    <row r="79" spans="1:21" s="12" customFormat="1" x14ac:dyDescent="0.25">
      <c r="A79" s="247" t="s">
        <v>890</v>
      </c>
      <c r="B79" s="64">
        <v>16.899999999999999</v>
      </c>
      <c r="C79" s="64">
        <v>73.09</v>
      </c>
      <c r="D79" s="64">
        <v>51.74</v>
      </c>
      <c r="E79" s="64">
        <v>4.4000000000000004</v>
      </c>
      <c r="F79" s="64">
        <v>21.55</v>
      </c>
      <c r="G79" s="64">
        <v>42.17</v>
      </c>
      <c r="H79" s="64">
        <v>10.31</v>
      </c>
      <c r="I79" s="64">
        <v>3.98</v>
      </c>
      <c r="J79" s="64">
        <v>0.59</v>
      </c>
      <c r="K79" s="64">
        <v>242.23</v>
      </c>
      <c r="L79" s="64">
        <v>25.99</v>
      </c>
      <c r="M79" s="64">
        <v>12.57</v>
      </c>
      <c r="N79" s="64">
        <v>89.5</v>
      </c>
      <c r="O79" s="64">
        <v>0</v>
      </c>
      <c r="P79" s="64">
        <v>0.62</v>
      </c>
      <c r="Q79" s="64">
        <v>9</v>
      </c>
      <c r="R79" s="198"/>
      <c r="S79" s="198"/>
      <c r="T79" s="198"/>
      <c r="U79" s="198"/>
    </row>
    <row r="80" spans="1:21" s="12" customFormat="1" x14ac:dyDescent="0.25">
      <c r="A80" s="247" t="s">
        <v>891</v>
      </c>
      <c r="B80" s="64">
        <v>28.09</v>
      </c>
      <c r="C80" s="64">
        <v>95.21</v>
      </c>
      <c r="D80" s="64">
        <v>72.27</v>
      </c>
      <c r="E80" s="64">
        <v>4.55</v>
      </c>
      <c r="F80" s="64">
        <v>11.22</v>
      </c>
      <c r="G80" s="64">
        <v>41.41</v>
      </c>
      <c r="H80" s="64">
        <v>9.32</v>
      </c>
      <c r="I80" s="64">
        <v>3.87</v>
      </c>
      <c r="J80" s="64">
        <v>0.38</v>
      </c>
      <c r="K80" s="64">
        <v>344.42</v>
      </c>
      <c r="L80" s="64">
        <v>24.63</v>
      </c>
      <c r="M80" s="64">
        <v>16.760000000000002</v>
      </c>
      <c r="N80" s="64">
        <v>80.5</v>
      </c>
      <c r="O80" s="64">
        <v>0</v>
      </c>
      <c r="P80" s="64">
        <v>1.1100000000000001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47" t="s">
        <v>892</v>
      </c>
      <c r="B81" s="64">
        <v>27.45</v>
      </c>
      <c r="C81" s="64">
        <v>93.78</v>
      </c>
      <c r="D81" s="64">
        <v>71.010000000000005</v>
      </c>
      <c r="E81" s="64">
        <v>3.93</v>
      </c>
      <c r="F81" s="64">
        <v>10.06</v>
      </c>
      <c r="G81" s="64">
        <v>39.32</v>
      </c>
      <c r="H81" s="64">
        <v>6.6</v>
      </c>
      <c r="I81" s="64">
        <v>3.95</v>
      </c>
      <c r="J81" s="64">
        <v>0.75</v>
      </c>
      <c r="K81" s="64">
        <v>230.68</v>
      </c>
      <c r="L81" s="64">
        <v>23.62</v>
      </c>
      <c r="M81" s="64">
        <v>16.829999999999998</v>
      </c>
      <c r="N81" s="64">
        <v>73.7</v>
      </c>
      <c r="O81" s="64">
        <v>0</v>
      </c>
      <c r="P81" s="64">
        <v>0.74</v>
      </c>
      <c r="Q81" s="64">
        <v>9.09</v>
      </c>
      <c r="R81" s="198"/>
      <c r="S81" s="198"/>
      <c r="T81" s="198"/>
      <c r="U81" s="198"/>
    </row>
    <row r="82" spans="1:26" s="12" customFormat="1" x14ac:dyDescent="0.25">
      <c r="A82" s="247" t="s">
        <v>893</v>
      </c>
      <c r="B82" s="64">
        <v>74.459999999999994</v>
      </c>
      <c r="C82" s="64">
        <v>112.21</v>
      </c>
      <c r="D82" s="64">
        <v>118.33</v>
      </c>
      <c r="E82" s="64">
        <v>4.4800000000000004</v>
      </c>
      <c r="F82" s="64">
        <v>7.87</v>
      </c>
      <c r="G82" s="64">
        <v>39.32</v>
      </c>
      <c r="H82" s="64">
        <v>6.6</v>
      </c>
      <c r="I82" s="64">
        <v>4.0999999999999996</v>
      </c>
      <c r="J82" s="64">
        <v>0.6</v>
      </c>
      <c r="K82" s="64">
        <v>338.95</v>
      </c>
      <c r="L82" s="64">
        <v>22.89</v>
      </c>
      <c r="M82" s="64">
        <v>22.34</v>
      </c>
      <c r="N82" s="64">
        <v>72.400000000000006</v>
      </c>
      <c r="O82" s="64">
        <v>0</v>
      </c>
      <c r="P82" s="64">
        <v>1.5</v>
      </c>
      <c r="Q82" s="64">
        <v>9.18</v>
      </c>
      <c r="R82" s="198"/>
      <c r="S82" s="198"/>
      <c r="T82" s="198"/>
      <c r="U82" s="198"/>
    </row>
    <row r="83" spans="1:26" s="12" customFormat="1" x14ac:dyDescent="0.25">
      <c r="A83" s="247" t="s">
        <v>894</v>
      </c>
      <c r="B83" s="64">
        <v>68.39</v>
      </c>
      <c r="C83" s="64">
        <v>110.33</v>
      </c>
      <c r="D83" s="64">
        <v>112.48</v>
      </c>
      <c r="E83" s="64">
        <v>4.82</v>
      </c>
      <c r="F83" s="64">
        <v>7.37</v>
      </c>
      <c r="G83" s="64">
        <v>39.32</v>
      </c>
      <c r="H83" s="64">
        <v>6.6</v>
      </c>
      <c r="I83" s="64">
        <v>3.98</v>
      </c>
      <c r="J83" s="64">
        <v>0.53</v>
      </c>
      <c r="K83" s="64">
        <v>263.44</v>
      </c>
      <c r="L83" s="64">
        <v>21.84</v>
      </c>
      <c r="M83" s="64">
        <v>23.34</v>
      </c>
      <c r="N83" s="64">
        <v>72.400000000000006</v>
      </c>
      <c r="O83" s="64">
        <v>0</v>
      </c>
      <c r="P83" s="64">
        <v>1.1599999999999999</v>
      </c>
      <c r="Q83" s="64">
        <v>9.39</v>
      </c>
      <c r="R83" s="198"/>
      <c r="S83" s="198"/>
      <c r="T83" s="198"/>
      <c r="U83" s="198"/>
    </row>
    <row r="84" spans="1:26" s="12" customFormat="1" x14ac:dyDescent="0.25">
      <c r="A84" s="247" t="s">
        <v>895</v>
      </c>
      <c r="B84" s="64">
        <v>42.25</v>
      </c>
      <c r="C84" s="64">
        <v>113.24</v>
      </c>
      <c r="D84" s="64">
        <v>93.05</v>
      </c>
      <c r="E84" s="64">
        <v>4.47</v>
      </c>
      <c r="F84" s="64">
        <v>8.65</v>
      </c>
      <c r="G84" s="64">
        <v>49.11</v>
      </c>
      <c r="H84" s="64">
        <v>8.6999999999999993</v>
      </c>
      <c r="I84" s="64">
        <v>3.95</v>
      </c>
      <c r="J84" s="64">
        <v>0.82</v>
      </c>
      <c r="K84" s="64">
        <v>227.24</v>
      </c>
      <c r="L84" s="64">
        <v>22.06</v>
      </c>
      <c r="M84" s="64">
        <v>21.31</v>
      </c>
      <c r="N84" s="64">
        <v>71.099999999999994</v>
      </c>
      <c r="O84" s="64">
        <v>0</v>
      </c>
      <c r="P84" s="64">
        <v>0.95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47" t="s">
        <v>896</v>
      </c>
      <c r="B85" s="64">
        <v>49.39</v>
      </c>
      <c r="C85" s="64">
        <v>101.82</v>
      </c>
      <c r="D85" s="64">
        <v>92.81</v>
      </c>
      <c r="E85" s="64">
        <v>6.03</v>
      </c>
      <c r="F85" s="64">
        <v>8.19</v>
      </c>
      <c r="G85" s="64">
        <v>76.03</v>
      </c>
      <c r="H85" s="64">
        <v>14.48</v>
      </c>
      <c r="I85" s="64">
        <v>3.95</v>
      </c>
      <c r="J85" s="64">
        <v>0.74</v>
      </c>
      <c r="K85" s="64">
        <v>252.99</v>
      </c>
      <c r="L85" s="64">
        <v>21.92</v>
      </c>
      <c r="M85" s="64">
        <v>21.78</v>
      </c>
      <c r="N85" s="64">
        <v>71.8</v>
      </c>
      <c r="O85" s="64">
        <v>0</v>
      </c>
      <c r="P85" s="64">
        <v>1.04</v>
      </c>
      <c r="Q85" s="64">
        <v>9.4700000000000006</v>
      </c>
      <c r="R85" s="198"/>
      <c r="S85" s="198"/>
      <c r="T85" s="198"/>
      <c r="U85" s="198"/>
    </row>
    <row r="86" spans="1:26" s="12" customFormat="1" x14ac:dyDescent="0.25">
      <c r="A86" s="247" t="s">
        <v>897</v>
      </c>
      <c r="B86" s="64">
        <v>47.44</v>
      </c>
      <c r="C86" s="64">
        <v>110.32</v>
      </c>
      <c r="D86" s="64">
        <v>95.68</v>
      </c>
      <c r="E86" s="64">
        <v>6.38</v>
      </c>
      <c r="F86" s="64">
        <v>7.11</v>
      </c>
      <c r="G86" s="64">
        <v>76.03</v>
      </c>
      <c r="H86" s="64">
        <v>14.48</v>
      </c>
      <c r="I86" s="64">
        <v>3.98</v>
      </c>
      <c r="J86" s="64">
        <v>0.72</v>
      </c>
      <c r="K86" s="64">
        <v>236.41</v>
      </c>
      <c r="L86" s="64">
        <v>21.77</v>
      </c>
      <c r="M86" s="64">
        <v>23.67</v>
      </c>
      <c r="N86" s="64">
        <v>71.8</v>
      </c>
      <c r="O86" s="64">
        <v>0</v>
      </c>
      <c r="P86" s="64">
        <v>1.04</v>
      </c>
      <c r="Q86" s="64">
        <v>9.49</v>
      </c>
      <c r="R86" s="198"/>
      <c r="S86" s="198"/>
      <c r="T86" s="198"/>
      <c r="U86" s="198"/>
    </row>
    <row r="87" spans="1:26" s="12" customFormat="1" x14ac:dyDescent="0.25">
      <c r="A87" s="247" t="s">
        <v>898</v>
      </c>
      <c r="B87" s="64">
        <v>62.8</v>
      </c>
      <c r="C87" s="64">
        <v>136.01</v>
      </c>
      <c r="D87" s="64">
        <v>121.42</v>
      </c>
      <c r="E87" s="64">
        <v>8.59</v>
      </c>
      <c r="F87" s="64">
        <v>7.4</v>
      </c>
      <c r="G87" s="64">
        <v>76.03</v>
      </c>
      <c r="H87" s="64">
        <v>14.48</v>
      </c>
      <c r="I87" s="64">
        <v>4.04</v>
      </c>
      <c r="J87" s="64">
        <v>0.36</v>
      </c>
      <c r="K87" s="64">
        <v>273.95999999999998</v>
      </c>
      <c r="L87" s="64">
        <v>21.18</v>
      </c>
      <c r="M87" s="64">
        <v>26.36</v>
      </c>
      <c r="N87" s="64">
        <v>71.900000000000006</v>
      </c>
      <c r="O87" s="64">
        <v>0</v>
      </c>
      <c r="P87" s="64">
        <v>1.31</v>
      </c>
      <c r="Q87" s="64">
        <v>9.52</v>
      </c>
      <c r="R87" s="198"/>
      <c r="S87" s="198"/>
      <c r="T87" s="198"/>
      <c r="U87" s="198"/>
    </row>
    <row r="88" spans="1:26" s="12" customFormat="1" x14ac:dyDescent="0.25">
      <c r="A88" s="247" t="s">
        <v>899</v>
      </c>
      <c r="B88" s="64">
        <v>49.29</v>
      </c>
      <c r="C88" s="64">
        <v>120.2</v>
      </c>
      <c r="D88" s="64">
        <v>102.33</v>
      </c>
      <c r="E88" s="64">
        <v>10.08</v>
      </c>
      <c r="F88" s="64">
        <v>9.66</v>
      </c>
      <c r="G88" s="64">
        <v>81.650000000000006</v>
      </c>
      <c r="H88" s="64">
        <v>16.489999999999998</v>
      </c>
      <c r="I88" s="64">
        <v>4.05</v>
      </c>
      <c r="J88" s="64">
        <v>0.48</v>
      </c>
      <c r="K88" s="64">
        <v>266.33</v>
      </c>
      <c r="L88" s="64">
        <v>21.31</v>
      </c>
      <c r="M88" s="64">
        <v>23.31</v>
      </c>
      <c r="N88" s="64">
        <v>71.3</v>
      </c>
      <c r="O88" s="64">
        <v>0</v>
      </c>
      <c r="P88" s="64">
        <v>1.21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47" t="s">
        <v>900</v>
      </c>
      <c r="B89" s="64">
        <v>80.06</v>
      </c>
      <c r="C89" s="64">
        <v>127.94</v>
      </c>
      <c r="D89" s="64">
        <v>131.05000000000001</v>
      </c>
      <c r="E89" s="64">
        <v>10.87</v>
      </c>
      <c r="F89" s="64">
        <v>8.74</v>
      </c>
      <c r="G89" s="64">
        <v>97.08</v>
      </c>
      <c r="H89" s="64">
        <v>22.02</v>
      </c>
      <c r="I89" s="64">
        <v>4.1399999999999997</v>
      </c>
      <c r="J89" s="64">
        <v>0.73</v>
      </c>
      <c r="K89" s="64">
        <v>297.66000000000003</v>
      </c>
      <c r="L89" s="64">
        <v>20.76</v>
      </c>
      <c r="M89" s="64">
        <v>24.19</v>
      </c>
      <c r="N89" s="64">
        <v>72.099999999999994</v>
      </c>
      <c r="O89" s="64">
        <v>0</v>
      </c>
      <c r="P89" s="64">
        <v>1.72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47" t="s">
        <v>901</v>
      </c>
      <c r="B90" s="64">
        <v>99.98</v>
      </c>
      <c r="C90" s="64">
        <v>119.4</v>
      </c>
      <c r="D90" s="64">
        <v>142.56</v>
      </c>
      <c r="E90" s="64">
        <v>8.07</v>
      </c>
      <c r="F90" s="64">
        <v>7.9</v>
      </c>
      <c r="G90" s="64">
        <v>97.08</v>
      </c>
      <c r="H90" s="64">
        <v>22.02</v>
      </c>
      <c r="I90" s="64">
        <v>3.93</v>
      </c>
      <c r="J90" s="64">
        <v>0.6</v>
      </c>
      <c r="K90" s="64">
        <v>325.82</v>
      </c>
      <c r="L90" s="64">
        <v>20.21</v>
      </c>
      <c r="M90" s="64">
        <v>31.2</v>
      </c>
      <c r="N90" s="64">
        <v>72.3</v>
      </c>
      <c r="O90" s="64">
        <v>0</v>
      </c>
      <c r="P90" s="64">
        <v>2.2999999999999998</v>
      </c>
      <c r="Q90" s="64">
        <v>9.58</v>
      </c>
      <c r="R90" s="198"/>
      <c r="S90" s="198"/>
      <c r="T90" s="198"/>
      <c r="U90" s="198"/>
    </row>
    <row r="91" spans="1:26" s="12" customFormat="1" x14ac:dyDescent="0.25">
      <c r="A91" s="247" t="s">
        <v>902</v>
      </c>
      <c r="B91" s="64">
        <v>64.06</v>
      </c>
      <c r="C91" s="64">
        <v>106.11</v>
      </c>
      <c r="D91" s="64">
        <v>106.81</v>
      </c>
      <c r="E91" s="64">
        <v>6.45</v>
      </c>
      <c r="F91" s="64">
        <v>7.45</v>
      </c>
      <c r="G91" s="64">
        <v>97.08</v>
      </c>
      <c r="H91" s="64">
        <v>22.02</v>
      </c>
      <c r="I91" s="64">
        <v>3.99</v>
      </c>
      <c r="J91" s="64">
        <v>0.59</v>
      </c>
      <c r="K91" s="64">
        <v>352.05</v>
      </c>
      <c r="L91" s="64">
        <v>19.38</v>
      </c>
      <c r="M91" s="64">
        <v>35.729999999999997</v>
      </c>
      <c r="N91" s="64">
        <v>72.8</v>
      </c>
      <c r="O91" s="64">
        <v>0</v>
      </c>
      <c r="P91" s="64">
        <v>1.64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47" t="s">
        <v>903</v>
      </c>
      <c r="B92" s="64">
        <v>106.24</v>
      </c>
      <c r="C92" s="64">
        <v>124.23</v>
      </c>
      <c r="D92" s="64">
        <v>150.1</v>
      </c>
      <c r="E92" s="64">
        <v>6.82</v>
      </c>
      <c r="F92" s="64">
        <v>7.27</v>
      </c>
      <c r="G92" s="64">
        <v>104.43</v>
      </c>
      <c r="H92" s="64">
        <v>23.2</v>
      </c>
      <c r="I92" s="64">
        <v>3.82</v>
      </c>
      <c r="J92" s="64">
        <v>0.05</v>
      </c>
      <c r="K92" s="64">
        <v>155.19999999999999</v>
      </c>
      <c r="L92" s="64">
        <v>18.760000000000002</v>
      </c>
      <c r="M92" s="64">
        <v>32.74</v>
      </c>
      <c r="N92" s="64">
        <v>72.099999999999994</v>
      </c>
      <c r="O92" s="64">
        <v>0</v>
      </c>
      <c r="P92" s="64">
        <v>1.94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47" t="s">
        <v>904</v>
      </c>
      <c r="B93" s="64">
        <v>126.07</v>
      </c>
      <c r="C93" s="64">
        <v>116.45</v>
      </c>
      <c r="D93" s="64">
        <v>161.94</v>
      </c>
      <c r="E93" s="64">
        <v>6.38</v>
      </c>
      <c r="F93" s="64">
        <v>7.11</v>
      </c>
      <c r="G93" s="64">
        <v>124.65</v>
      </c>
      <c r="H93" s="64">
        <v>26.43</v>
      </c>
      <c r="I93" s="64">
        <v>4.04</v>
      </c>
      <c r="J93" s="64">
        <v>0.5</v>
      </c>
      <c r="K93" s="64">
        <v>332.88</v>
      </c>
      <c r="L93" s="64">
        <v>18.600000000000001</v>
      </c>
      <c r="M93" s="64">
        <v>37.799999999999997</v>
      </c>
      <c r="N93" s="64">
        <v>72.099999999999994</v>
      </c>
      <c r="O93" s="64">
        <v>0</v>
      </c>
      <c r="P93" s="64">
        <v>1.92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47" t="s">
        <v>905</v>
      </c>
      <c r="B94" s="64">
        <v>79.180000000000007</v>
      </c>
      <c r="C94" s="64">
        <v>101.65</v>
      </c>
      <c r="D94" s="64">
        <v>116.6</v>
      </c>
      <c r="E94" s="64">
        <v>5.62</v>
      </c>
      <c r="F94" s="64">
        <v>7.34</v>
      </c>
      <c r="G94" s="64">
        <v>124.65</v>
      </c>
      <c r="H94" s="64">
        <v>26.43</v>
      </c>
      <c r="I94" s="64">
        <v>4.1500000000000004</v>
      </c>
      <c r="J94" s="64">
        <v>0.61</v>
      </c>
      <c r="K94" s="64">
        <v>296.95</v>
      </c>
      <c r="L94" s="64">
        <v>18.14</v>
      </c>
      <c r="M94" s="64">
        <v>36.49</v>
      </c>
      <c r="N94" s="64">
        <v>71.900000000000006</v>
      </c>
      <c r="O94" s="64">
        <v>0</v>
      </c>
      <c r="P94" s="64">
        <v>1.68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47" t="s">
        <v>906</v>
      </c>
      <c r="B95" s="64">
        <v>74.37</v>
      </c>
      <c r="C95" s="64">
        <v>84.04</v>
      </c>
      <c r="D95" s="64">
        <v>103.55</v>
      </c>
      <c r="E95" s="64">
        <v>3.53</v>
      </c>
      <c r="F95" s="64">
        <v>7.03</v>
      </c>
      <c r="G95" s="64">
        <v>124.65</v>
      </c>
      <c r="H95" s="64">
        <v>26.43</v>
      </c>
      <c r="I95" s="64">
        <v>3.97</v>
      </c>
      <c r="J95" s="64">
        <v>0.6</v>
      </c>
      <c r="K95" s="64">
        <v>339.33</v>
      </c>
      <c r="L95" s="64">
        <v>17.809999999999999</v>
      </c>
      <c r="M95" s="64">
        <v>36.22</v>
      </c>
      <c r="N95" s="64">
        <v>72.400000000000006</v>
      </c>
      <c r="O95" s="64">
        <v>0</v>
      </c>
      <c r="P95" s="64">
        <v>1.47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47" t="s">
        <v>907</v>
      </c>
      <c r="B96" s="64">
        <v>66.349999999999994</v>
      </c>
      <c r="C96" s="64">
        <v>86.06</v>
      </c>
      <c r="D96" s="64">
        <v>98.17</v>
      </c>
      <c r="E96" s="64">
        <v>3.68</v>
      </c>
      <c r="F96" s="64">
        <v>7.44</v>
      </c>
      <c r="G96" s="64">
        <v>130.82</v>
      </c>
      <c r="H96" s="64">
        <v>28.06</v>
      </c>
      <c r="I96" s="64">
        <v>3.93</v>
      </c>
      <c r="J96" s="64">
        <v>0.61</v>
      </c>
      <c r="K96" s="64">
        <v>256.52</v>
      </c>
      <c r="L96" s="64">
        <v>18.16</v>
      </c>
      <c r="M96" s="64">
        <v>33.93</v>
      </c>
      <c r="N96" s="64">
        <v>71.900000000000006</v>
      </c>
      <c r="O96" s="64">
        <v>0</v>
      </c>
      <c r="P96" s="64">
        <v>1.51</v>
      </c>
      <c r="Q96" s="64">
        <v>9.66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908</v>
      </c>
      <c r="B97" s="64">
        <v>60.75</v>
      </c>
      <c r="C97" s="64">
        <v>82.9</v>
      </c>
      <c r="D97" s="64">
        <v>92.03</v>
      </c>
      <c r="E97" s="64">
        <v>3.56</v>
      </c>
      <c r="F97" s="64">
        <v>8.82</v>
      </c>
      <c r="G97" s="64">
        <v>147.79</v>
      </c>
      <c r="H97" s="64">
        <v>32.549999999999997</v>
      </c>
      <c r="I97" s="64">
        <v>3.98</v>
      </c>
      <c r="J97" s="64">
        <v>0.74</v>
      </c>
      <c r="K97" s="64">
        <v>231.51</v>
      </c>
      <c r="L97" s="64">
        <v>18.579999999999998</v>
      </c>
      <c r="M97" s="64">
        <v>32.07</v>
      </c>
      <c r="N97" s="64">
        <v>71.2</v>
      </c>
      <c r="O97" s="64">
        <v>0</v>
      </c>
      <c r="P97" s="64">
        <v>1.46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47" t="s">
        <v>909</v>
      </c>
      <c r="B98" s="64">
        <v>58.88</v>
      </c>
      <c r="C98" s="64">
        <v>80.099999999999994</v>
      </c>
      <c r="D98" s="64">
        <v>89.07</v>
      </c>
      <c r="E98" s="64">
        <v>3.74</v>
      </c>
      <c r="F98" s="64">
        <v>8.44</v>
      </c>
      <c r="G98" s="64">
        <v>147.79</v>
      </c>
      <c r="H98" s="64">
        <v>32.549999999999997</v>
      </c>
      <c r="I98" s="64">
        <v>3.91</v>
      </c>
      <c r="J98" s="64">
        <v>0.72</v>
      </c>
      <c r="K98" s="64">
        <v>255.24</v>
      </c>
      <c r="L98" s="64">
        <v>18.53</v>
      </c>
      <c r="M98" s="64">
        <v>31.7</v>
      </c>
      <c r="N98" s="64">
        <v>71.8</v>
      </c>
      <c r="O98" s="64">
        <v>0</v>
      </c>
      <c r="P98" s="64">
        <v>1.45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47" t="s">
        <v>910</v>
      </c>
      <c r="B99" s="64">
        <v>55.06</v>
      </c>
      <c r="C99" s="64">
        <v>78.11</v>
      </c>
      <c r="D99" s="64">
        <v>84.96</v>
      </c>
      <c r="E99" s="64">
        <v>3.31</v>
      </c>
      <c r="F99" s="64">
        <v>8.6</v>
      </c>
      <c r="G99" s="64">
        <v>147.79</v>
      </c>
      <c r="H99" s="64">
        <v>32.549999999999997</v>
      </c>
      <c r="I99" s="64">
        <v>3.93</v>
      </c>
      <c r="J99" s="64">
        <v>0.82</v>
      </c>
      <c r="K99" s="64">
        <v>230.1</v>
      </c>
      <c r="L99" s="64">
        <v>18.27</v>
      </c>
      <c r="M99" s="64">
        <v>33.94</v>
      </c>
      <c r="N99" s="64">
        <v>72</v>
      </c>
      <c r="O99" s="64">
        <v>0</v>
      </c>
      <c r="P99" s="64">
        <v>1.41</v>
      </c>
      <c r="Q99" s="64">
        <v>9.7200000000000006</v>
      </c>
      <c r="R99" s="198"/>
      <c r="S99" s="198"/>
      <c r="T99" s="198"/>
      <c r="U99" s="198"/>
    </row>
    <row r="100" spans="1:33" s="12" customFormat="1" x14ac:dyDescent="0.25">
      <c r="A100" s="247" t="s">
        <v>911</v>
      </c>
      <c r="B100" s="64">
        <v>48.18</v>
      </c>
      <c r="C100" s="64">
        <v>79.09</v>
      </c>
      <c r="D100" s="64">
        <v>79.959999999999994</v>
      </c>
      <c r="E100" s="64">
        <v>3.7</v>
      </c>
      <c r="F100" s="64">
        <v>7.7</v>
      </c>
      <c r="G100" s="64">
        <v>131.74</v>
      </c>
      <c r="H100" s="64">
        <v>31.68</v>
      </c>
      <c r="I100" s="64">
        <v>4.07</v>
      </c>
      <c r="J100" s="64">
        <v>0.6</v>
      </c>
      <c r="K100" s="64">
        <v>259.04000000000002</v>
      </c>
      <c r="L100" s="64">
        <v>17.899999999999999</v>
      </c>
      <c r="M100" s="64">
        <v>36.57</v>
      </c>
      <c r="N100" s="64">
        <v>72.400000000000006</v>
      </c>
      <c r="O100" s="64">
        <v>0</v>
      </c>
      <c r="P100" s="64">
        <v>1.34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912</v>
      </c>
      <c r="B101" s="64">
        <v>51.83</v>
      </c>
      <c r="C101" s="64">
        <v>81.09</v>
      </c>
      <c r="D101" s="64">
        <v>83.93</v>
      </c>
      <c r="E101" s="64">
        <v>3.14</v>
      </c>
      <c r="F101" s="64">
        <v>7.51</v>
      </c>
      <c r="G101" s="64">
        <v>87.61</v>
      </c>
      <c r="H101" s="64">
        <v>29.29</v>
      </c>
      <c r="I101" s="64">
        <v>3.99</v>
      </c>
      <c r="J101" s="64">
        <v>0.65</v>
      </c>
      <c r="K101" s="64">
        <v>307.27999999999997</v>
      </c>
      <c r="L101" s="64">
        <v>17.41</v>
      </c>
      <c r="M101" s="64">
        <v>39.229999999999997</v>
      </c>
      <c r="N101" s="64">
        <v>72.3</v>
      </c>
      <c r="O101" s="64">
        <v>0</v>
      </c>
      <c r="P101" s="64">
        <v>1.39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47" t="s">
        <v>913</v>
      </c>
      <c r="B102" s="64">
        <v>47.17</v>
      </c>
      <c r="C102" s="64">
        <v>79.739999999999995</v>
      </c>
      <c r="D102" s="64">
        <v>79.48</v>
      </c>
      <c r="E102" s="64">
        <v>3.61</v>
      </c>
      <c r="F102" s="64">
        <v>8.26</v>
      </c>
      <c r="G102" s="64">
        <v>87.61</v>
      </c>
      <c r="H102" s="64">
        <v>29.29</v>
      </c>
      <c r="I102" s="64">
        <v>3.89</v>
      </c>
      <c r="J102" s="64">
        <v>0.77</v>
      </c>
      <c r="K102" s="64">
        <v>337.18</v>
      </c>
      <c r="L102" s="64">
        <v>16.89</v>
      </c>
      <c r="M102" s="64">
        <v>41.83</v>
      </c>
      <c r="N102" s="64">
        <v>72.599999999999994</v>
      </c>
      <c r="O102" s="64">
        <v>0</v>
      </c>
      <c r="P102" s="64">
        <v>1.36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47" t="s">
        <v>914</v>
      </c>
      <c r="B103" s="64">
        <v>45.35</v>
      </c>
      <c r="C103" s="64">
        <v>75.8</v>
      </c>
      <c r="D103" s="64">
        <v>75.97</v>
      </c>
      <c r="E103" s="64">
        <v>3.32</v>
      </c>
      <c r="F103" s="64">
        <v>7.9</v>
      </c>
      <c r="G103" s="64">
        <v>87.61</v>
      </c>
      <c r="H103" s="64">
        <v>29.29</v>
      </c>
      <c r="I103" s="64">
        <v>4.2300000000000004</v>
      </c>
      <c r="J103" s="64">
        <v>0.57999999999999996</v>
      </c>
      <c r="K103" s="64">
        <v>241.98</v>
      </c>
      <c r="L103" s="64">
        <v>17.059999999999999</v>
      </c>
      <c r="M103" s="64">
        <v>38.659999999999997</v>
      </c>
      <c r="N103" s="64">
        <v>72.099999999999994</v>
      </c>
      <c r="O103" s="64">
        <v>0</v>
      </c>
      <c r="P103" s="64">
        <v>1.35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47" t="s">
        <v>915</v>
      </c>
      <c r="B104" s="64">
        <v>37.29</v>
      </c>
      <c r="C104" s="64">
        <v>71.17</v>
      </c>
      <c r="D104" s="64">
        <v>67.09</v>
      </c>
      <c r="E104" s="64">
        <v>3.97</v>
      </c>
      <c r="F104" s="64">
        <v>11.36</v>
      </c>
      <c r="G104" s="64">
        <v>85.97</v>
      </c>
      <c r="H104" s="64">
        <v>28.7</v>
      </c>
      <c r="I104" s="64">
        <v>3.83</v>
      </c>
      <c r="J104" s="64">
        <v>0.46</v>
      </c>
      <c r="K104" s="64">
        <v>250.5</v>
      </c>
      <c r="L104" s="64">
        <v>17.100000000000001</v>
      </c>
      <c r="M104" s="64">
        <v>38.380000000000003</v>
      </c>
      <c r="N104" s="64">
        <v>72.2</v>
      </c>
      <c r="O104" s="64">
        <v>0</v>
      </c>
      <c r="P104" s="64">
        <v>1.25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</v>
      </c>
      <c r="C106" s="67">
        <f>MIN(C9:C104)</f>
        <v>45.81</v>
      </c>
      <c r="D106" s="67">
        <f t="shared" ref="D106:Q106" si="0">MIN(D9:D104)</f>
        <v>29.1</v>
      </c>
      <c r="E106" s="67">
        <f t="shared" si="0"/>
        <v>2.36</v>
      </c>
      <c r="F106" s="67">
        <f t="shared" si="0"/>
        <v>5.57</v>
      </c>
      <c r="G106" s="67">
        <f t="shared" si="0"/>
        <v>22.52</v>
      </c>
      <c r="H106" s="67">
        <f t="shared" si="0"/>
        <v>6.57</v>
      </c>
      <c r="I106" s="67">
        <f t="shared" si="0"/>
        <v>3.8</v>
      </c>
      <c r="J106" s="67">
        <f t="shared" si="0"/>
        <v>0.05</v>
      </c>
      <c r="K106" s="67">
        <f t="shared" si="0"/>
        <v>2.99</v>
      </c>
      <c r="L106" s="67">
        <f t="shared" si="0"/>
        <v>12.19</v>
      </c>
      <c r="M106" s="67">
        <f t="shared" si="0"/>
        <v>8.3000000000000007</v>
      </c>
      <c r="N106" s="67">
        <f t="shared" si="0"/>
        <v>64.3</v>
      </c>
      <c r="O106" s="67">
        <f t="shared" si="0"/>
        <v>0</v>
      </c>
      <c r="P106" s="67">
        <f t="shared" si="0"/>
        <v>0.32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126.07</v>
      </c>
      <c r="C107" s="66">
        <f t="shared" ref="C107:Q107" si="1">MAX(C9:C104)</f>
        <v>136.01</v>
      </c>
      <c r="D107" s="66">
        <f t="shared" si="1"/>
        <v>161.94</v>
      </c>
      <c r="E107" s="66">
        <f t="shared" si="1"/>
        <v>22.55</v>
      </c>
      <c r="F107" s="66">
        <f t="shared" si="1"/>
        <v>37.6</v>
      </c>
      <c r="G107" s="66">
        <f t="shared" si="1"/>
        <v>147.79</v>
      </c>
      <c r="H107" s="66">
        <f t="shared" si="1"/>
        <v>49.79</v>
      </c>
      <c r="I107" s="66">
        <f t="shared" si="1"/>
        <v>4.2300000000000004</v>
      </c>
      <c r="J107" s="66">
        <f t="shared" si="1"/>
        <v>1.84</v>
      </c>
      <c r="K107" s="66">
        <f t="shared" si="1"/>
        <v>359.61</v>
      </c>
      <c r="L107" s="66">
        <f t="shared" si="1"/>
        <v>32.700000000000003</v>
      </c>
      <c r="M107" s="66">
        <f t="shared" si="1"/>
        <v>53.02</v>
      </c>
      <c r="N107" s="66">
        <f t="shared" si="1"/>
        <v>921.6</v>
      </c>
      <c r="O107" s="66">
        <f t="shared" si="1"/>
        <v>0</v>
      </c>
      <c r="P107" s="66">
        <f t="shared" si="1"/>
        <v>2.2999999999999998</v>
      </c>
      <c r="Q107" s="66">
        <f t="shared" si="1"/>
        <v>9.8000000000000007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39.81895833333332</v>
      </c>
      <c r="C108" s="67">
        <f t="shared" ref="C108:Q108" si="2">AVERAGE(C9:C104)</f>
        <v>74.081249999999969</v>
      </c>
      <c r="D108" s="67">
        <f t="shared" si="2"/>
        <v>70.636770833333372</v>
      </c>
      <c r="E108" s="67">
        <f t="shared" si="2"/>
        <v>5.1015624999999991</v>
      </c>
      <c r="F108" s="67">
        <f t="shared" si="2"/>
        <v>11.705520833333329</v>
      </c>
      <c r="G108" s="67">
        <f t="shared" si="2"/>
        <v>84.510104166666636</v>
      </c>
      <c r="H108" s="67">
        <f t="shared" si="2"/>
        <v>23.044270833333318</v>
      </c>
      <c r="I108" s="67">
        <f t="shared" si="2"/>
        <v>3.9919791666666682</v>
      </c>
      <c r="J108" s="67">
        <f t="shared" si="2"/>
        <v>0.76437499999999969</v>
      </c>
      <c r="K108" s="67">
        <f t="shared" si="2"/>
        <v>235.62750000000005</v>
      </c>
      <c r="L108" s="67">
        <f t="shared" si="2"/>
        <v>21.296354166666671</v>
      </c>
      <c r="M108" s="67">
        <f t="shared" si="2"/>
        <v>26.667708333333319</v>
      </c>
      <c r="N108" s="67">
        <f t="shared" si="2"/>
        <v>288.59062499999999</v>
      </c>
      <c r="O108" s="67">
        <f t="shared" si="2"/>
        <v>0</v>
      </c>
      <c r="P108" s="67">
        <f t="shared" si="2"/>
        <v>0.94208333333333349</v>
      </c>
      <c r="Q108" s="67">
        <f t="shared" si="2"/>
        <v>9.4969791666666676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25.299992905310724</v>
      </c>
      <c r="C109" s="67">
        <f t="shared" ref="C109:Q109" si="3">STDEV(C9:C104)</f>
        <v>18.602377734268952</v>
      </c>
      <c r="D109" s="67">
        <f t="shared" si="3"/>
        <v>27.294664390674537</v>
      </c>
      <c r="E109" s="67">
        <f t="shared" si="3"/>
        <v>3.2210813248528503</v>
      </c>
      <c r="F109" s="67">
        <f t="shared" si="3"/>
        <v>7.4994492246594762</v>
      </c>
      <c r="G109" s="67">
        <f t="shared" si="3"/>
        <v>33.764711522528536</v>
      </c>
      <c r="H109" s="67">
        <f t="shared" si="3"/>
        <v>12.177081211486657</v>
      </c>
      <c r="I109" s="67">
        <f t="shared" si="3"/>
        <v>7.8493979543410905E-2</v>
      </c>
      <c r="J109" s="67">
        <f t="shared" si="3"/>
        <v>0.35963669533513937</v>
      </c>
      <c r="K109" s="67">
        <f t="shared" si="3"/>
        <v>109.65335614418821</v>
      </c>
      <c r="L109" s="67">
        <f t="shared" si="3"/>
        <v>6.5212107561308734</v>
      </c>
      <c r="M109" s="67">
        <f t="shared" si="3"/>
        <v>13.952890323413051</v>
      </c>
      <c r="N109" s="67">
        <f t="shared" si="3"/>
        <v>312.89415128951231</v>
      </c>
      <c r="O109" s="67">
        <f t="shared" si="3"/>
        <v>0</v>
      </c>
      <c r="P109" s="67">
        <f t="shared" si="3"/>
        <v>0.41419272571483895</v>
      </c>
      <c r="Q109" s="67">
        <f t="shared" si="3"/>
        <v>0.25277874574070824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916</v>
      </c>
      <c r="B9" s="64">
        <v>33.71</v>
      </c>
      <c r="C9" s="64">
        <v>72.98</v>
      </c>
      <c r="D9" s="64">
        <v>65.16</v>
      </c>
      <c r="E9" s="64">
        <v>4.46</v>
      </c>
      <c r="F9" s="64">
        <v>12.26</v>
      </c>
      <c r="G9" s="64">
        <v>81.47</v>
      </c>
      <c r="H9" s="64">
        <v>27.07</v>
      </c>
      <c r="I9" s="64">
        <v>4.03</v>
      </c>
      <c r="J9" s="64">
        <v>0.65</v>
      </c>
      <c r="K9" s="64">
        <v>311.75</v>
      </c>
      <c r="L9" s="64">
        <v>16.72</v>
      </c>
      <c r="M9" s="64">
        <v>37.39</v>
      </c>
      <c r="N9" s="64">
        <v>72.400000000000006</v>
      </c>
      <c r="O9" s="64">
        <v>0</v>
      </c>
      <c r="P9" s="64">
        <v>1.21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47" t="s">
        <v>917</v>
      </c>
      <c r="B10" s="64">
        <v>32.869999999999997</v>
      </c>
      <c r="C10" s="64">
        <v>70.5</v>
      </c>
      <c r="D10" s="64">
        <v>63.2</v>
      </c>
      <c r="E10" s="64">
        <v>4.33</v>
      </c>
      <c r="F10" s="64">
        <v>13.16</v>
      </c>
      <c r="G10" s="64">
        <v>81.47</v>
      </c>
      <c r="H10" s="64">
        <v>27.07</v>
      </c>
      <c r="I10" s="64">
        <v>4</v>
      </c>
      <c r="J10" s="64">
        <v>0.56000000000000005</v>
      </c>
      <c r="K10" s="64">
        <v>290.68</v>
      </c>
      <c r="L10" s="64">
        <v>16.78</v>
      </c>
      <c r="M10" s="64">
        <v>34.909999999999997</v>
      </c>
      <c r="N10" s="64">
        <v>72.5</v>
      </c>
      <c r="O10" s="64">
        <v>0</v>
      </c>
      <c r="P10" s="64">
        <v>1.1499999999999999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47" t="s">
        <v>918</v>
      </c>
      <c r="B11" s="64">
        <v>39.82</v>
      </c>
      <c r="C11" s="64">
        <v>80.89</v>
      </c>
      <c r="D11" s="64">
        <v>74.19</v>
      </c>
      <c r="E11" s="64">
        <v>4.1100000000000003</v>
      </c>
      <c r="F11" s="64">
        <v>7.97</v>
      </c>
      <c r="G11" s="64">
        <v>81.47</v>
      </c>
      <c r="H11" s="64">
        <v>27.07</v>
      </c>
      <c r="I11" s="64">
        <v>3.91</v>
      </c>
      <c r="J11" s="64">
        <v>0.39</v>
      </c>
      <c r="K11" s="64">
        <v>294.99</v>
      </c>
      <c r="L11" s="64">
        <v>16.23</v>
      </c>
      <c r="M11" s="64">
        <v>37.82</v>
      </c>
      <c r="N11" s="64">
        <v>72.900000000000006</v>
      </c>
      <c r="O11" s="64">
        <v>0</v>
      </c>
      <c r="P11" s="64">
        <v>1.23</v>
      </c>
      <c r="Q11" s="64">
        <v>9.7100000000000009</v>
      </c>
      <c r="R11" s="198"/>
      <c r="S11" s="198"/>
      <c r="T11" s="198"/>
      <c r="U11" s="198"/>
    </row>
    <row r="12" spans="1:21" s="12" customFormat="1" x14ac:dyDescent="0.25">
      <c r="A12" s="247" t="s">
        <v>919</v>
      </c>
      <c r="B12" s="64">
        <v>36.72</v>
      </c>
      <c r="C12" s="64">
        <v>75.540000000000006</v>
      </c>
      <c r="D12" s="64">
        <v>68.91</v>
      </c>
      <c r="E12" s="64">
        <v>3.82</v>
      </c>
      <c r="F12" s="64">
        <v>10.47</v>
      </c>
      <c r="G12" s="64">
        <v>78.56</v>
      </c>
      <c r="H12" s="64">
        <v>26.92</v>
      </c>
      <c r="I12" s="64">
        <v>4.0999999999999996</v>
      </c>
      <c r="J12" s="64">
        <v>0.41</v>
      </c>
      <c r="K12" s="64">
        <v>286.99</v>
      </c>
      <c r="L12" s="64">
        <v>15.8</v>
      </c>
      <c r="M12" s="64">
        <v>37.83</v>
      </c>
      <c r="N12" s="64">
        <v>72.900000000000006</v>
      </c>
      <c r="O12" s="64">
        <v>0</v>
      </c>
      <c r="P12" s="64">
        <v>1.21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47" t="s">
        <v>920</v>
      </c>
      <c r="B13" s="64">
        <v>32.090000000000003</v>
      </c>
      <c r="C13" s="64">
        <v>68.959999999999994</v>
      </c>
      <c r="D13" s="64">
        <v>61.76</v>
      </c>
      <c r="E13" s="64">
        <v>4.32</v>
      </c>
      <c r="F13" s="64">
        <v>11.68</v>
      </c>
      <c r="G13" s="64">
        <v>70.569999999999993</v>
      </c>
      <c r="H13" s="64">
        <v>26.5</v>
      </c>
      <c r="I13" s="64">
        <v>3.93</v>
      </c>
      <c r="J13" s="64">
        <v>0.59</v>
      </c>
      <c r="K13" s="64">
        <v>210.88</v>
      </c>
      <c r="L13" s="64">
        <v>15.85</v>
      </c>
      <c r="M13" s="64">
        <v>35.36</v>
      </c>
      <c r="N13" s="64">
        <v>72.5</v>
      </c>
      <c r="O13" s="64">
        <v>0</v>
      </c>
      <c r="P13" s="64">
        <v>1.01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47" t="s">
        <v>921</v>
      </c>
      <c r="B14" s="64">
        <v>27.73</v>
      </c>
      <c r="C14" s="64">
        <v>66.22</v>
      </c>
      <c r="D14" s="64">
        <v>56.84</v>
      </c>
      <c r="E14" s="64">
        <v>4.22</v>
      </c>
      <c r="F14" s="64">
        <v>13.11</v>
      </c>
      <c r="G14" s="64">
        <v>70.569999999999993</v>
      </c>
      <c r="H14" s="64">
        <v>26.5</v>
      </c>
      <c r="I14" s="64">
        <v>3.97</v>
      </c>
      <c r="J14" s="64">
        <v>0.42</v>
      </c>
      <c r="K14" s="64">
        <v>307.99</v>
      </c>
      <c r="L14" s="64">
        <v>15.94</v>
      </c>
      <c r="M14" s="64">
        <v>34.44</v>
      </c>
      <c r="N14" s="64">
        <v>72.7</v>
      </c>
      <c r="O14" s="64">
        <v>0</v>
      </c>
      <c r="P14" s="64">
        <v>0.99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47" t="s">
        <v>922</v>
      </c>
      <c r="B15" s="64">
        <v>27.87</v>
      </c>
      <c r="C15" s="64">
        <v>69.239999999999995</v>
      </c>
      <c r="D15" s="64">
        <v>58.52</v>
      </c>
      <c r="E15" s="64">
        <v>3.83</v>
      </c>
      <c r="F15" s="64">
        <v>10.72</v>
      </c>
      <c r="G15" s="64">
        <v>70.569999999999993</v>
      </c>
      <c r="H15" s="64">
        <v>26.5</v>
      </c>
      <c r="I15" s="64">
        <v>4.04</v>
      </c>
      <c r="J15" s="64">
        <v>0.64</v>
      </c>
      <c r="K15" s="64">
        <v>314.5</v>
      </c>
      <c r="L15" s="64">
        <v>15.7</v>
      </c>
      <c r="M15" s="64">
        <v>37.42</v>
      </c>
      <c r="N15" s="64">
        <v>72.900000000000006</v>
      </c>
      <c r="O15" s="64">
        <v>0</v>
      </c>
      <c r="P15" s="64">
        <v>1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47" t="s">
        <v>923</v>
      </c>
      <c r="B16" s="64">
        <v>31.96</v>
      </c>
      <c r="C16" s="64">
        <v>69.099999999999994</v>
      </c>
      <c r="D16" s="64">
        <v>61.73</v>
      </c>
      <c r="E16" s="64">
        <v>3.68</v>
      </c>
      <c r="F16" s="64">
        <v>7.49</v>
      </c>
      <c r="G16" s="64">
        <v>69.75</v>
      </c>
      <c r="H16" s="64">
        <v>25.62</v>
      </c>
      <c r="I16" s="64">
        <v>4.09</v>
      </c>
      <c r="J16" s="64">
        <v>0.53</v>
      </c>
      <c r="K16" s="64">
        <v>285.01</v>
      </c>
      <c r="L16" s="64">
        <v>15.53</v>
      </c>
      <c r="M16" s="64">
        <v>38.119999999999997</v>
      </c>
      <c r="N16" s="64">
        <v>73.099999999999994</v>
      </c>
      <c r="O16" s="64">
        <v>0</v>
      </c>
      <c r="P16" s="64">
        <v>1.07</v>
      </c>
      <c r="Q16" s="64">
        <v>9.69</v>
      </c>
      <c r="R16" s="198"/>
      <c r="S16" s="198"/>
      <c r="T16" s="198"/>
      <c r="U16" s="198"/>
    </row>
    <row r="17" spans="1:21" s="12" customFormat="1" x14ac:dyDescent="0.25">
      <c r="A17" s="247" t="s">
        <v>924</v>
      </c>
      <c r="B17" s="64">
        <v>32.51</v>
      </c>
      <c r="C17" s="64">
        <v>68.91</v>
      </c>
      <c r="D17" s="64">
        <v>62.07</v>
      </c>
      <c r="E17" s="64">
        <v>3.26</v>
      </c>
      <c r="F17" s="64">
        <v>6.61</v>
      </c>
      <c r="G17" s="64">
        <v>67.37</v>
      </c>
      <c r="H17" s="64">
        <v>23.17</v>
      </c>
      <c r="I17" s="64">
        <v>4</v>
      </c>
      <c r="J17" s="64">
        <v>0.5</v>
      </c>
      <c r="K17" s="64">
        <v>244.92</v>
      </c>
      <c r="L17" s="64">
        <v>15.43</v>
      </c>
      <c r="M17" s="64">
        <v>36.520000000000003</v>
      </c>
      <c r="N17" s="64">
        <v>73</v>
      </c>
      <c r="O17" s="64">
        <v>0</v>
      </c>
      <c r="P17" s="64">
        <v>1.06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47" t="s">
        <v>925</v>
      </c>
      <c r="B18" s="64">
        <v>30.91</v>
      </c>
      <c r="C18" s="64">
        <v>69.31</v>
      </c>
      <c r="D18" s="64">
        <v>61</v>
      </c>
      <c r="E18" s="64">
        <v>4.18</v>
      </c>
      <c r="F18" s="64">
        <v>7.24</v>
      </c>
      <c r="G18" s="64">
        <v>67.37</v>
      </c>
      <c r="H18" s="64">
        <v>23.17</v>
      </c>
      <c r="I18" s="64">
        <v>4.04</v>
      </c>
      <c r="J18" s="64">
        <v>0.63</v>
      </c>
      <c r="K18" s="64">
        <v>316.37</v>
      </c>
      <c r="L18" s="64">
        <v>15.31</v>
      </c>
      <c r="M18" s="64">
        <v>37.64</v>
      </c>
      <c r="N18" s="64">
        <v>73.099999999999994</v>
      </c>
      <c r="O18" s="64">
        <v>0</v>
      </c>
      <c r="P18" s="64">
        <v>1.03</v>
      </c>
      <c r="Q18" s="64">
        <v>9.56</v>
      </c>
      <c r="R18" s="198"/>
      <c r="S18" s="198"/>
      <c r="T18" s="198"/>
      <c r="U18" s="198"/>
    </row>
    <row r="19" spans="1:21" s="12" customFormat="1" x14ac:dyDescent="0.25">
      <c r="A19" s="247" t="s">
        <v>926</v>
      </c>
      <c r="B19" s="64">
        <v>28.49</v>
      </c>
      <c r="C19" s="64">
        <v>70.45</v>
      </c>
      <c r="D19" s="64">
        <v>59.66</v>
      </c>
      <c r="E19" s="64">
        <v>4.17</v>
      </c>
      <c r="F19" s="64">
        <v>7.15</v>
      </c>
      <c r="G19" s="64">
        <v>67.37</v>
      </c>
      <c r="H19" s="64">
        <v>23.17</v>
      </c>
      <c r="I19" s="64">
        <v>3.97</v>
      </c>
      <c r="J19" s="64">
        <v>0.56999999999999995</v>
      </c>
      <c r="K19" s="64">
        <v>317.82</v>
      </c>
      <c r="L19" s="64">
        <v>15.36</v>
      </c>
      <c r="M19" s="64">
        <v>37.869999999999997</v>
      </c>
      <c r="N19" s="64">
        <v>72.7</v>
      </c>
      <c r="O19" s="64">
        <v>0</v>
      </c>
      <c r="P19" s="64">
        <v>0.99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47" t="s">
        <v>927</v>
      </c>
      <c r="B20" s="64">
        <v>26.79</v>
      </c>
      <c r="C20" s="64">
        <v>68.59</v>
      </c>
      <c r="D20" s="64">
        <v>57.32</v>
      </c>
      <c r="E20" s="64">
        <v>3.93</v>
      </c>
      <c r="F20" s="64">
        <v>7.91</v>
      </c>
      <c r="G20" s="64">
        <v>66.92</v>
      </c>
      <c r="H20" s="64">
        <v>23.42</v>
      </c>
      <c r="I20" s="64">
        <v>4.0599999999999996</v>
      </c>
      <c r="J20" s="64">
        <v>0.59</v>
      </c>
      <c r="K20" s="64">
        <v>322.74</v>
      </c>
      <c r="L20" s="64">
        <v>15.21</v>
      </c>
      <c r="M20" s="64">
        <v>39.07</v>
      </c>
      <c r="N20" s="64">
        <v>72.8</v>
      </c>
      <c r="O20" s="64">
        <v>0</v>
      </c>
      <c r="P20" s="64">
        <v>0.98</v>
      </c>
      <c r="Q20" s="64">
        <v>9.59</v>
      </c>
      <c r="R20" s="198"/>
      <c r="S20" s="198"/>
      <c r="T20" s="198"/>
      <c r="U20" s="198"/>
    </row>
    <row r="21" spans="1:21" s="12" customFormat="1" x14ac:dyDescent="0.25">
      <c r="A21" s="247" t="s">
        <v>928</v>
      </c>
      <c r="B21" s="64">
        <v>27</v>
      </c>
      <c r="C21" s="64">
        <v>67.77</v>
      </c>
      <c r="D21" s="64">
        <v>57.06</v>
      </c>
      <c r="E21" s="64">
        <v>3.28</v>
      </c>
      <c r="F21" s="64">
        <v>6.49</v>
      </c>
      <c r="G21" s="64">
        <v>65.59</v>
      </c>
      <c r="H21" s="64">
        <v>24.09</v>
      </c>
      <c r="I21" s="64">
        <v>3.98</v>
      </c>
      <c r="J21" s="64">
        <v>0.13</v>
      </c>
      <c r="K21" s="64">
        <v>37.03</v>
      </c>
      <c r="L21" s="64">
        <v>15.18</v>
      </c>
      <c r="M21" s="64">
        <v>38.29</v>
      </c>
      <c r="N21" s="64">
        <v>72.900000000000006</v>
      </c>
      <c r="O21" s="64">
        <v>0</v>
      </c>
      <c r="P21" s="64">
        <v>0.97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47" t="s">
        <v>929</v>
      </c>
      <c r="B22" s="64">
        <v>26.07</v>
      </c>
      <c r="C22" s="64">
        <v>67.22</v>
      </c>
      <c r="D22" s="64">
        <v>56.03</v>
      </c>
      <c r="E22" s="64">
        <v>3.4</v>
      </c>
      <c r="F22" s="64">
        <v>7.02</v>
      </c>
      <c r="G22" s="64">
        <v>65.59</v>
      </c>
      <c r="H22" s="64">
        <v>24.09</v>
      </c>
      <c r="I22" s="64">
        <v>4</v>
      </c>
      <c r="J22" s="64">
        <v>0.59</v>
      </c>
      <c r="K22" s="64">
        <v>33.4</v>
      </c>
      <c r="L22" s="64">
        <v>15.17</v>
      </c>
      <c r="M22" s="64">
        <v>37.71</v>
      </c>
      <c r="N22" s="64">
        <v>73.2</v>
      </c>
      <c r="O22" s="64">
        <v>0</v>
      </c>
      <c r="P22" s="64">
        <v>0.93</v>
      </c>
      <c r="Q22" s="64">
        <v>9.56</v>
      </c>
      <c r="R22" s="198"/>
      <c r="S22" s="198"/>
      <c r="T22" s="198"/>
      <c r="U22" s="198"/>
    </row>
    <row r="23" spans="1:21" s="12" customFormat="1" x14ac:dyDescent="0.25">
      <c r="A23" s="247" t="s">
        <v>930</v>
      </c>
      <c r="B23" s="64">
        <v>28.74</v>
      </c>
      <c r="C23" s="64">
        <v>69.2</v>
      </c>
      <c r="D23" s="64">
        <v>59.2</v>
      </c>
      <c r="E23" s="64">
        <v>3.25</v>
      </c>
      <c r="F23" s="64">
        <v>7.18</v>
      </c>
      <c r="G23" s="64">
        <v>65.59</v>
      </c>
      <c r="H23" s="64">
        <v>24.09</v>
      </c>
      <c r="I23" s="64">
        <v>3.92</v>
      </c>
      <c r="J23" s="64">
        <v>0.77</v>
      </c>
      <c r="K23" s="64">
        <v>6.22</v>
      </c>
      <c r="L23" s="64">
        <v>14.92</v>
      </c>
      <c r="M23" s="64">
        <v>39.31</v>
      </c>
      <c r="N23" s="64">
        <v>72.8</v>
      </c>
      <c r="O23" s="64">
        <v>0</v>
      </c>
      <c r="P23" s="64">
        <v>0.92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47" t="s">
        <v>931</v>
      </c>
      <c r="B24" s="64">
        <v>24.76</v>
      </c>
      <c r="C24" s="64">
        <v>67.19</v>
      </c>
      <c r="D24" s="64">
        <v>54.96</v>
      </c>
      <c r="E24" s="64">
        <v>3.98</v>
      </c>
      <c r="F24" s="64">
        <v>7.08</v>
      </c>
      <c r="G24" s="64">
        <v>64.58</v>
      </c>
      <c r="H24" s="64">
        <v>21.95</v>
      </c>
      <c r="I24" s="64">
        <v>3.98</v>
      </c>
      <c r="J24" s="64">
        <v>0.57999999999999996</v>
      </c>
      <c r="K24" s="64">
        <v>29.14</v>
      </c>
      <c r="L24" s="64">
        <v>14.97</v>
      </c>
      <c r="M24" s="64">
        <v>37.53</v>
      </c>
      <c r="N24" s="64">
        <v>73.099999999999994</v>
      </c>
      <c r="O24" s="64">
        <v>0</v>
      </c>
      <c r="P24" s="64">
        <v>0.89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47" t="s">
        <v>932</v>
      </c>
      <c r="B25" s="64">
        <v>26.24</v>
      </c>
      <c r="C25" s="64">
        <v>67.73</v>
      </c>
      <c r="D25" s="64">
        <v>56.43</v>
      </c>
      <c r="E25" s="64">
        <v>3.53</v>
      </c>
      <c r="F25" s="64">
        <v>6.87</v>
      </c>
      <c r="G25" s="64">
        <v>61.64</v>
      </c>
      <c r="H25" s="64">
        <v>16.05</v>
      </c>
      <c r="I25" s="64">
        <v>3.93</v>
      </c>
      <c r="J25" s="64">
        <v>0.82</v>
      </c>
      <c r="K25" s="64">
        <v>359.08</v>
      </c>
      <c r="L25" s="64">
        <v>14.68</v>
      </c>
      <c r="M25" s="64">
        <v>41.66</v>
      </c>
      <c r="N25" s="64">
        <v>72.900000000000006</v>
      </c>
      <c r="O25" s="64">
        <v>0</v>
      </c>
      <c r="P25" s="64">
        <v>0.87</v>
      </c>
      <c r="Q25" s="64">
        <v>9.57</v>
      </c>
      <c r="R25" s="198"/>
      <c r="S25" s="198"/>
      <c r="T25" s="198"/>
      <c r="U25" s="198"/>
    </row>
    <row r="26" spans="1:21" s="12" customFormat="1" x14ac:dyDescent="0.25">
      <c r="A26" s="247" t="s">
        <v>933</v>
      </c>
      <c r="B26" s="64">
        <v>26.68</v>
      </c>
      <c r="C26" s="64">
        <v>65.33</v>
      </c>
      <c r="D26" s="64">
        <v>55.53</v>
      </c>
      <c r="E26" s="64">
        <v>4.26</v>
      </c>
      <c r="F26" s="64">
        <v>10.1</v>
      </c>
      <c r="G26" s="64">
        <v>61.64</v>
      </c>
      <c r="H26" s="64">
        <v>16.05</v>
      </c>
      <c r="I26" s="64">
        <v>3.88</v>
      </c>
      <c r="J26" s="64">
        <v>1.1499999999999999</v>
      </c>
      <c r="K26" s="64">
        <v>358.46</v>
      </c>
      <c r="L26" s="64">
        <v>14.37</v>
      </c>
      <c r="M26" s="64">
        <v>40.99</v>
      </c>
      <c r="N26" s="64">
        <v>72</v>
      </c>
      <c r="O26" s="64">
        <v>0</v>
      </c>
      <c r="P26" s="64">
        <v>0.8</v>
      </c>
      <c r="Q26" s="64">
        <v>9.57</v>
      </c>
      <c r="R26" s="198"/>
      <c r="S26" s="198"/>
      <c r="T26" s="198"/>
      <c r="U26" s="198"/>
    </row>
    <row r="27" spans="1:21" s="12" customFormat="1" x14ac:dyDescent="0.25">
      <c r="A27" s="247" t="s">
        <v>934</v>
      </c>
      <c r="B27" s="64">
        <v>23.34</v>
      </c>
      <c r="C27" s="64">
        <v>62.47</v>
      </c>
      <c r="D27" s="64">
        <v>51.35</v>
      </c>
      <c r="E27" s="64">
        <v>4.51</v>
      </c>
      <c r="F27" s="64">
        <v>10.130000000000001</v>
      </c>
      <c r="G27" s="64">
        <v>61.64</v>
      </c>
      <c r="H27" s="64">
        <v>16.05</v>
      </c>
      <c r="I27" s="64">
        <v>3.95</v>
      </c>
      <c r="J27" s="64">
        <v>1.18</v>
      </c>
      <c r="K27" s="64">
        <v>352.23</v>
      </c>
      <c r="L27" s="64">
        <v>14.64</v>
      </c>
      <c r="M27" s="64">
        <v>38.909999999999997</v>
      </c>
      <c r="N27" s="64">
        <v>72.3</v>
      </c>
      <c r="O27" s="64">
        <v>0</v>
      </c>
      <c r="P27" s="64">
        <v>0.77</v>
      </c>
      <c r="Q27" s="64">
        <v>9.58</v>
      </c>
      <c r="R27" s="198"/>
      <c r="S27" s="198"/>
      <c r="T27" s="198"/>
      <c r="U27" s="198"/>
    </row>
    <row r="28" spans="1:21" s="12" customFormat="1" x14ac:dyDescent="0.25">
      <c r="A28" s="247" t="s">
        <v>935</v>
      </c>
      <c r="B28" s="64">
        <v>30.48</v>
      </c>
      <c r="C28" s="64">
        <v>70.39</v>
      </c>
      <c r="D28" s="64">
        <v>61.21</v>
      </c>
      <c r="E28" s="64">
        <v>4.13</v>
      </c>
      <c r="F28" s="64">
        <v>7.6</v>
      </c>
      <c r="G28" s="64">
        <v>61.55</v>
      </c>
      <c r="H28" s="64">
        <v>16.09</v>
      </c>
      <c r="I28" s="64">
        <v>3.88</v>
      </c>
      <c r="J28" s="64">
        <v>0.71</v>
      </c>
      <c r="K28" s="64">
        <v>330.21</v>
      </c>
      <c r="L28" s="64">
        <v>14.58</v>
      </c>
      <c r="M28" s="64">
        <v>38.68</v>
      </c>
      <c r="N28" s="64">
        <v>73.5</v>
      </c>
      <c r="O28" s="64">
        <v>0</v>
      </c>
      <c r="P28" s="64">
        <v>0.82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47" t="s">
        <v>936</v>
      </c>
      <c r="B29" s="64">
        <v>28.75</v>
      </c>
      <c r="C29" s="64">
        <v>69.930000000000007</v>
      </c>
      <c r="D29" s="64">
        <v>59.59</v>
      </c>
      <c r="E29" s="64">
        <v>6.6</v>
      </c>
      <c r="F29" s="64">
        <v>7.92</v>
      </c>
      <c r="G29" s="64">
        <v>61.32</v>
      </c>
      <c r="H29" s="64">
        <v>16.2</v>
      </c>
      <c r="I29" s="64">
        <v>4.08</v>
      </c>
      <c r="J29" s="64">
        <v>0.37</v>
      </c>
      <c r="K29" s="64">
        <v>327.68</v>
      </c>
      <c r="L29" s="64">
        <v>14.47</v>
      </c>
      <c r="M29" s="64">
        <v>39.369999999999997</v>
      </c>
      <c r="N29" s="64">
        <v>73.599999999999994</v>
      </c>
      <c r="O29" s="64">
        <v>0</v>
      </c>
      <c r="P29" s="64">
        <v>0.81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47" t="s">
        <v>937</v>
      </c>
      <c r="B30" s="64">
        <v>32.299999999999997</v>
      </c>
      <c r="C30" s="64">
        <v>70.489999999999995</v>
      </c>
      <c r="D30" s="64">
        <v>62.73</v>
      </c>
      <c r="E30" s="64">
        <v>9.7799999999999994</v>
      </c>
      <c r="F30" s="64">
        <v>8.24</v>
      </c>
      <c r="G30" s="64">
        <v>61.32</v>
      </c>
      <c r="H30" s="64">
        <v>16.2</v>
      </c>
      <c r="I30" s="64">
        <v>3.9</v>
      </c>
      <c r="J30" s="64">
        <v>0.64</v>
      </c>
      <c r="K30" s="64">
        <v>4.8099999999999996</v>
      </c>
      <c r="L30" s="64">
        <v>14.47</v>
      </c>
      <c r="M30" s="64">
        <v>38.86</v>
      </c>
      <c r="N30" s="64">
        <v>73.3</v>
      </c>
      <c r="O30" s="64">
        <v>0</v>
      </c>
      <c r="P30" s="64">
        <v>0.84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47" t="s">
        <v>938</v>
      </c>
      <c r="B31" s="64">
        <v>30.16</v>
      </c>
      <c r="C31" s="64">
        <v>71.77</v>
      </c>
      <c r="D31" s="64">
        <v>61.68</v>
      </c>
      <c r="E31" s="64">
        <v>7.52</v>
      </c>
      <c r="F31" s="64">
        <v>7.04</v>
      </c>
      <c r="G31" s="64">
        <v>61.32</v>
      </c>
      <c r="H31" s="64">
        <v>16.2</v>
      </c>
      <c r="I31" s="64">
        <v>3.91</v>
      </c>
      <c r="J31" s="64">
        <v>0.47</v>
      </c>
      <c r="K31" s="64">
        <v>283.82</v>
      </c>
      <c r="L31" s="64">
        <v>14.31</v>
      </c>
      <c r="M31" s="64">
        <v>40.5</v>
      </c>
      <c r="N31" s="64">
        <v>73.3</v>
      </c>
      <c r="O31" s="64">
        <v>0</v>
      </c>
      <c r="P31" s="64">
        <v>0.84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47" t="s">
        <v>939</v>
      </c>
      <c r="B32" s="64">
        <v>42.45</v>
      </c>
      <c r="C32" s="64">
        <v>74.47</v>
      </c>
      <c r="D32" s="64">
        <v>72.95</v>
      </c>
      <c r="E32" s="64">
        <v>7.33</v>
      </c>
      <c r="F32" s="64">
        <v>7.24</v>
      </c>
      <c r="G32" s="64">
        <v>72.89</v>
      </c>
      <c r="H32" s="64">
        <v>20.11</v>
      </c>
      <c r="I32" s="64">
        <v>3.95</v>
      </c>
      <c r="J32" s="64">
        <v>0.73</v>
      </c>
      <c r="K32" s="64">
        <v>235.37</v>
      </c>
      <c r="L32" s="64">
        <v>14.72</v>
      </c>
      <c r="M32" s="64">
        <v>39.36</v>
      </c>
      <c r="N32" s="64">
        <v>73.2</v>
      </c>
      <c r="O32" s="64">
        <v>0</v>
      </c>
      <c r="P32" s="64">
        <v>0.9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47" t="s">
        <v>940</v>
      </c>
      <c r="B33" s="64">
        <v>54.65</v>
      </c>
      <c r="C33" s="64">
        <v>75.67</v>
      </c>
      <c r="D33" s="64">
        <v>83.36</v>
      </c>
      <c r="E33" s="64">
        <v>6.21</v>
      </c>
      <c r="F33" s="64">
        <v>7.21</v>
      </c>
      <c r="G33" s="64">
        <v>106.61</v>
      </c>
      <c r="H33" s="64">
        <v>30.88</v>
      </c>
      <c r="I33" s="64">
        <v>3.94</v>
      </c>
      <c r="J33" s="64">
        <v>0.1</v>
      </c>
      <c r="K33" s="64">
        <v>357.06</v>
      </c>
      <c r="L33" s="64">
        <v>14.06</v>
      </c>
      <c r="M33" s="64">
        <v>41.98</v>
      </c>
      <c r="N33" s="64">
        <v>76</v>
      </c>
      <c r="O33" s="64">
        <v>0</v>
      </c>
      <c r="P33" s="64">
        <v>0.93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47" t="s">
        <v>941</v>
      </c>
      <c r="B34" s="64">
        <v>43.54</v>
      </c>
      <c r="C34" s="64">
        <v>68.48</v>
      </c>
      <c r="D34" s="64">
        <v>70.69</v>
      </c>
      <c r="E34" s="64">
        <v>4.29</v>
      </c>
      <c r="F34" s="64">
        <v>6.66</v>
      </c>
      <c r="G34" s="64">
        <v>106.61</v>
      </c>
      <c r="H34" s="64">
        <v>30.88</v>
      </c>
      <c r="I34" s="64">
        <v>4.01</v>
      </c>
      <c r="J34" s="64">
        <v>0.63</v>
      </c>
      <c r="K34" s="64">
        <v>25.62</v>
      </c>
      <c r="L34" s="64">
        <v>14.36</v>
      </c>
      <c r="M34" s="64">
        <v>38.89</v>
      </c>
      <c r="N34" s="64">
        <v>83.6</v>
      </c>
      <c r="O34" s="64">
        <v>0</v>
      </c>
      <c r="P34" s="64">
        <v>0.9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47" t="s">
        <v>942</v>
      </c>
      <c r="B35" s="64">
        <v>48.23</v>
      </c>
      <c r="C35" s="64">
        <v>71.12</v>
      </c>
      <c r="D35" s="64">
        <v>75.84</v>
      </c>
      <c r="E35" s="64">
        <v>5.67</v>
      </c>
      <c r="F35" s="64">
        <v>6.52</v>
      </c>
      <c r="G35" s="64">
        <v>106.61</v>
      </c>
      <c r="H35" s="64">
        <v>30.88</v>
      </c>
      <c r="I35" s="64">
        <v>4.05</v>
      </c>
      <c r="J35" s="64">
        <v>0.42</v>
      </c>
      <c r="K35" s="64">
        <v>334.03</v>
      </c>
      <c r="L35" s="64">
        <v>15.05</v>
      </c>
      <c r="M35" s="64">
        <v>37.26</v>
      </c>
      <c r="N35" s="64">
        <v>99</v>
      </c>
      <c r="O35" s="64">
        <v>0</v>
      </c>
      <c r="P35" s="64">
        <v>0.94</v>
      </c>
      <c r="Q35" s="64">
        <v>9.56</v>
      </c>
      <c r="R35" s="198"/>
      <c r="S35" s="198"/>
      <c r="T35" s="198"/>
      <c r="U35" s="198"/>
    </row>
    <row r="36" spans="1:21" s="12" customFormat="1" x14ac:dyDescent="0.25">
      <c r="A36" s="247" t="s">
        <v>943</v>
      </c>
      <c r="B36" s="64">
        <v>54.12</v>
      </c>
      <c r="C36" s="64">
        <v>76.14</v>
      </c>
      <c r="D36" s="64">
        <v>83.18</v>
      </c>
      <c r="E36" s="64">
        <v>9.89</v>
      </c>
      <c r="F36" s="64">
        <v>6.31</v>
      </c>
      <c r="G36" s="64">
        <v>123.81</v>
      </c>
      <c r="H36" s="64">
        <v>36.159999999999997</v>
      </c>
      <c r="I36" s="64">
        <v>3.98</v>
      </c>
      <c r="J36" s="64">
        <v>0.26</v>
      </c>
      <c r="K36" s="64">
        <v>63.54</v>
      </c>
      <c r="L36" s="64">
        <v>16.190000000000001</v>
      </c>
      <c r="M36" s="64">
        <v>34.96</v>
      </c>
      <c r="N36" s="64">
        <v>157.4</v>
      </c>
      <c r="O36" s="64">
        <v>0</v>
      </c>
      <c r="P36" s="64">
        <v>1.03</v>
      </c>
      <c r="Q36" s="64">
        <v>9.56</v>
      </c>
      <c r="R36" s="198"/>
      <c r="S36" s="198"/>
      <c r="T36" s="198"/>
      <c r="U36" s="198"/>
    </row>
    <row r="37" spans="1:21" s="12" customFormat="1" x14ac:dyDescent="0.25">
      <c r="A37" s="247" t="s">
        <v>944</v>
      </c>
      <c r="B37" s="64">
        <v>55.72</v>
      </c>
      <c r="C37" s="64">
        <v>71.78</v>
      </c>
      <c r="D37" s="64">
        <v>82.18</v>
      </c>
      <c r="E37" s="64">
        <v>8.6199999999999992</v>
      </c>
      <c r="F37" s="64">
        <v>6.8</v>
      </c>
      <c r="G37" s="64">
        <v>173.94</v>
      </c>
      <c r="H37" s="64">
        <v>50.66</v>
      </c>
      <c r="I37" s="64">
        <v>3.94</v>
      </c>
      <c r="J37" s="64">
        <v>1.35</v>
      </c>
      <c r="K37" s="64">
        <v>204.82</v>
      </c>
      <c r="L37" s="64">
        <v>16.87</v>
      </c>
      <c r="M37" s="64">
        <v>40.99</v>
      </c>
      <c r="N37" s="64">
        <v>213.7</v>
      </c>
      <c r="O37" s="64">
        <v>0</v>
      </c>
      <c r="P37" s="64">
        <v>1.01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47" t="s">
        <v>945</v>
      </c>
      <c r="B38" s="64">
        <v>55.15</v>
      </c>
      <c r="C38" s="64">
        <v>69.540000000000006</v>
      </c>
      <c r="D38" s="64">
        <v>80.56</v>
      </c>
      <c r="E38" s="64">
        <v>5.76</v>
      </c>
      <c r="F38" s="64">
        <v>6.48</v>
      </c>
      <c r="G38" s="64">
        <v>173.94</v>
      </c>
      <c r="H38" s="64">
        <v>50.66</v>
      </c>
      <c r="I38" s="64">
        <v>3.78</v>
      </c>
      <c r="J38" s="64">
        <v>1.49</v>
      </c>
      <c r="K38" s="64">
        <v>167.6</v>
      </c>
      <c r="L38" s="64">
        <v>16.170000000000002</v>
      </c>
      <c r="M38" s="64">
        <v>50.15</v>
      </c>
      <c r="N38" s="64">
        <v>274.60000000000002</v>
      </c>
      <c r="O38" s="64">
        <v>0</v>
      </c>
      <c r="P38" s="64">
        <v>1.07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47" t="s">
        <v>946</v>
      </c>
      <c r="B39" s="64">
        <v>53.36</v>
      </c>
      <c r="C39" s="64">
        <v>68.44</v>
      </c>
      <c r="D39" s="64">
        <v>78.55</v>
      </c>
      <c r="E39" s="64">
        <v>4.5999999999999996</v>
      </c>
      <c r="F39" s="64">
        <v>6.62</v>
      </c>
      <c r="G39" s="64">
        <v>173.94</v>
      </c>
      <c r="H39" s="64">
        <v>50.66</v>
      </c>
      <c r="I39" s="64">
        <v>4.12</v>
      </c>
      <c r="J39" s="64">
        <v>1.17</v>
      </c>
      <c r="K39" s="64">
        <v>183.78</v>
      </c>
      <c r="L39" s="64">
        <v>16.989999999999998</v>
      </c>
      <c r="M39" s="64">
        <v>45.55</v>
      </c>
      <c r="N39" s="64">
        <v>334.6</v>
      </c>
      <c r="O39" s="64">
        <v>0</v>
      </c>
      <c r="P39" s="64">
        <v>1.07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47" t="s">
        <v>947</v>
      </c>
      <c r="B40" s="64">
        <v>50.77</v>
      </c>
      <c r="C40" s="64">
        <v>68.25</v>
      </c>
      <c r="D40" s="64">
        <v>76.37</v>
      </c>
      <c r="E40" s="64">
        <v>4.04</v>
      </c>
      <c r="F40" s="64">
        <v>6.8</v>
      </c>
      <c r="G40" s="64">
        <v>163.59</v>
      </c>
      <c r="H40" s="64">
        <v>54.2</v>
      </c>
      <c r="I40" s="64">
        <v>3.99</v>
      </c>
      <c r="J40" s="64">
        <v>1.1000000000000001</v>
      </c>
      <c r="K40" s="64">
        <v>187.23</v>
      </c>
      <c r="L40" s="64">
        <v>18.21</v>
      </c>
      <c r="M40" s="64">
        <v>42.34</v>
      </c>
      <c r="N40" s="64">
        <v>387.7</v>
      </c>
      <c r="O40" s="64">
        <v>0</v>
      </c>
      <c r="P40" s="64">
        <v>1.08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47" t="s">
        <v>948</v>
      </c>
      <c r="B41" s="64">
        <v>47.81</v>
      </c>
      <c r="C41" s="64">
        <v>68.66</v>
      </c>
      <c r="D41" s="64">
        <v>74.209999999999994</v>
      </c>
      <c r="E41" s="64">
        <v>4.53</v>
      </c>
      <c r="F41" s="64">
        <v>6.62</v>
      </c>
      <c r="G41" s="64">
        <v>133.44999999999999</v>
      </c>
      <c r="H41" s="64">
        <v>63.93</v>
      </c>
      <c r="I41" s="64">
        <v>3.93</v>
      </c>
      <c r="J41" s="64">
        <v>1.18</v>
      </c>
      <c r="K41" s="64">
        <v>197.3</v>
      </c>
      <c r="L41" s="64">
        <v>19.02</v>
      </c>
      <c r="M41" s="64">
        <v>39.94</v>
      </c>
      <c r="N41" s="64">
        <v>451.2</v>
      </c>
      <c r="O41" s="64">
        <v>0</v>
      </c>
      <c r="P41" s="64">
        <v>1.07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47" t="s">
        <v>949</v>
      </c>
      <c r="B42" s="64">
        <v>44.03</v>
      </c>
      <c r="C42" s="64">
        <v>69.540000000000006</v>
      </c>
      <c r="D42" s="64">
        <v>71.64</v>
      </c>
      <c r="E42" s="64">
        <v>4.28</v>
      </c>
      <c r="F42" s="64">
        <v>6.63</v>
      </c>
      <c r="G42" s="64">
        <v>133.44999999999999</v>
      </c>
      <c r="H42" s="64">
        <v>63.93</v>
      </c>
      <c r="I42" s="64">
        <v>4.0199999999999996</v>
      </c>
      <c r="J42" s="64">
        <v>1.06</v>
      </c>
      <c r="K42" s="64">
        <v>196.99</v>
      </c>
      <c r="L42" s="64">
        <v>20</v>
      </c>
      <c r="M42" s="64">
        <v>37.31</v>
      </c>
      <c r="N42" s="64">
        <v>505.3</v>
      </c>
      <c r="O42" s="64">
        <v>0</v>
      </c>
      <c r="P42" s="64">
        <v>1.07</v>
      </c>
      <c r="Q42" s="64">
        <v>9.67</v>
      </c>
      <c r="R42" s="198"/>
      <c r="S42" s="198"/>
      <c r="T42" s="198"/>
      <c r="U42" s="198"/>
    </row>
    <row r="43" spans="1:21" s="12" customFormat="1" x14ac:dyDescent="0.25">
      <c r="A43" s="247" t="s">
        <v>950</v>
      </c>
      <c r="B43" s="64">
        <v>40</v>
      </c>
      <c r="C43" s="64">
        <v>70.790000000000006</v>
      </c>
      <c r="D43" s="64">
        <v>69.06</v>
      </c>
      <c r="E43" s="64">
        <v>4.53</v>
      </c>
      <c r="F43" s="64">
        <v>6.79</v>
      </c>
      <c r="G43" s="64">
        <v>133.44999999999999</v>
      </c>
      <c r="H43" s="64">
        <v>63.93</v>
      </c>
      <c r="I43" s="64">
        <v>4</v>
      </c>
      <c r="J43" s="64">
        <v>0.6</v>
      </c>
      <c r="K43" s="64">
        <v>172.82</v>
      </c>
      <c r="L43" s="64">
        <v>22.84</v>
      </c>
      <c r="M43" s="64">
        <v>31.34</v>
      </c>
      <c r="N43" s="64">
        <v>546.20000000000005</v>
      </c>
      <c r="O43" s="64">
        <v>0</v>
      </c>
      <c r="P43" s="64">
        <v>1.08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47" t="s">
        <v>951</v>
      </c>
      <c r="B44" s="64">
        <v>32.69</v>
      </c>
      <c r="C44" s="64">
        <v>73.95</v>
      </c>
      <c r="D44" s="64">
        <v>64.849999999999994</v>
      </c>
      <c r="E44" s="64">
        <v>4.51</v>
      </c>
      <c r="F44" s="64">
        <v>9.42</v>
      </c>
      <c r="G44" s="64">
        <v>128.31</v>
      </c>
      <c r="H44" s="64">
        <v>61.72</v>
      </c>
      <c r="I44" s="64">
        <v>3.95</v>
      </c>
      <c r="J44" s="64">
        <v>1.27</v>
      </c>
      <c r="K44" s="64">
        <v>144.53</v>
      </c>
      <c r="L44" s="64">
        <v>23.94</v>
      </c>
      <c r="M44" s="64">
        <v>28.83</v>
      </c>
      <c r="N44" s="64">
        <v>598.20000000000005</v>
      </c>
      <c r="O44" s="64">
        <v>0</v>
      </c>
      <c r="P44" s="64">
        <v>1.07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47" t="s">
        <v>952</v>
      </c>
      <c r="B45" s="64">
        <v>28.69</v>
      </c>
      <c r="C45" s="64">
        <v>75.2</v>
      </c>
      <c r="D45" s="64">
        <v>62.3</v>
      </c>
      <c r="E45" s="64">
        <v>11.73</v>
      </c>
      <c r="F45" s="64">
        <v>12.97</v>
      </c>
      <c r="G45" s="64">
        <v>113.35</v>
      </c>
      <c r="H45" s="64">
        <v>55.65</v>
      </c>
      <c r="I45" s="64">
        <v>4.04</v>
      </c>
      <c r="J45" s="64">
        <v>0.81</v>
      </c>
      <c r="K45" s="64">
        <v>123.24</v>
      </c>
      <c r="L45" s="64">
        <v>25.23</v>
      </c>
      <c r="M45" s="64">
        <v>26.65</v>
      </c>
      <c r="N45" s="64">
        <v>633.79999999999995</v>
      </c>
      <c r="O45" s="64">
        <v>0</v>
      </c>
      <c r="P45" s="64">
        <v>1.08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47" t="s">
        <v>953</v>
      </c>
      <c r="B46" s="64">
        <v>26.77</v>
      </c>
      <c r="C46" s="64">
        <v>76.73</v>
      </c>
      <c r="D46" s="64">
        <v>61.55</v>
      </c>
      <c r="E46" s="64">
        <v>9.23</v>
      </c>
      <c r="F46" s="64">
        <v>12.54</v>
      </c>
      <c r="G46" s="64">
        <v>113.35</v>
      </c>
      <c r="H46" s="64">
        <v>55.65</v>
      </c>
      <c r="I46" s="64">
        <v>4</v>
      </c>
      <c r="J46" s="64">
        <v>0.89</v>
      </c>
      <c r="K46" s="64">
        <v>150.80000000000001</v>
      </c>
      <c r="L46" s="64">
        <v>26.33</v>
      </c>
      <c r="M46" s="64">
        <v>24.88</v>
      </c>
      <c r="N46" s="64">
        <v>669.4</v>
      </c>
      <c r="O46" s="64">
        <v>0</v>
      </c>
      <c r="P46" s="64">
        <v>1.0900000000000001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47" t="s">
        <v>954</v>
      </c>
      <c r="B47" s="64">
        <v>24.02</v>
      </c>
      <c r="C47" s="64">
        <v>77.48</v>
      </c>
      <c r="D47" s="64">
        <v>59.74</v>
      </c>
      <c r="E47" s="64">
        <v>10.61</v>
      </c>
      <c r="F47" s="64">
        <v>13.05</v>
      </c>
      <c r="G47" s="64">
        <v>113.35</v>
      </c>
      <c r="H47" s="64">
        <v>55.65</v>
      </c>
      <c r="I47" s="64">
        <v>4.01</v>
      </c>
      <c r="J47" s="64">
        <v>1.0900000000000001</v>
      </c>
      <c r="K47" s="64">
        <v>133.66999999999999</v>
      </c>
      <c r="L47" s="64">
        <v>26.91</v>
      </c>
      <c r="M47" s="64">
        <v>24.04</v>
      </c>
      <c r="N47" s="64">
        <v>710.9</v>
      </c>
      <c r="O47" s="64">
        <v>0</v>
      </c>
      <c r="P47" s="64">
        <v>1.07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47" t="s">
        <v>955</v>
      </c>
      <c r="B48" s="64">
        <v>20.46</v>
      </c>
      <c r="C48" s="64">
        <v>78.760000000000005</v>
      </c>
      <c r="D48" s="64">
        <v>57.56</v>
      </c>
      <c r="E48" s="64">
        <v>12.52</v>
      </c>
      <c r="F48" s="64">
        <v>16.190000000000001</v>
      </c>
      <c r="G48" s="64">
        <v>114.18</v>
      </c>
      <c r="H48" s="64">
        <v>53.61</v>
      </c>
      <c r="I48" s="64">
        <v>3.98</v>
      </c>
      <c r="J48" s="64">
        <v>0.47</v>
      </c>
      <c r="K48" s="64">
        <v>189.11</v>
      </c>
      <c r="L48" s="64">
        <v>27.51</v>
      </c>
      <c r="M48" s="64">
        <v>21.68</v>
      </c>
      <c r="N48" s="64">
        <v>743.4</v>
      </c>
      <c r="O48" s="64">
        <v>0</v>
      </c>
      <c r="P48" s="64">
        <v>1.06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47" t="s">
        <v>956</v>
      </c>
      <c r="B49" s="64">
        <v>17.71</v>
      </c>
      <c r="C49" s="64">
        <v>82.82</v>
      </c>
      <c r="D49" s="64">
        <v>57.48</v>
      </c>
      <c r="E49" s="64">
        <v>14.97</v>
      </c>
      <c r="F49" s="64">
        <v>22.43</v>
      </c>
      <c r="G49" s="64">
        <v>116.46</v>
      </c>
      <c r="H49" s="64">
        <v>48.02</v>
      </c>
      <c r="I49" s="64">
        <v>3.95</v>
      </c>
      <c r="J49" s="64">
        <v>0.9</v>
      </c>
      <c r="K49" s="64">
        <v>138.59</v>
      </c>
      <c r="L49" s="64">
        <v>28.67</v>
      </c>
      <c r="M49" s="64">
        <v>19.8</v>
      </c>
      <c r="N49" s="64">
        <v>784.4</v>
      </c>
      <c r="O49" s="64">
        <v>0</v>
      </c>
      <c r="P49" s="64">
        <v>1.02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47" t="s">
        <v>957</v>
      </c>
      <c r="B50" s="64">
        <v>14.02</v>
      </c>
      <c r="C50" s="64">
        <v>76.89</v>
      </c>
      <c r="D50" s="64">
        <v>51.42</v>
      </c>
      <c r="E50" s="64">
        <v>11.09</v>
      </c>
      <c r="F50" s="64">
        <v>18.57</v>
      </c>
      <c r="G50" s="64">
        <v>116.46</v>
      </c>
      <c r="H50" s="64">
        <v>48.02</v>
      </c>
      <c r="I50" s="64">
        <v>4.09</v>
      </c>
      <c r="J50" s="64">
        <v>0.81</v>
      </c>
      <c r="K50" s="64">
        <v>157.47999999999999</v>
      </c>
      <c r="L50" s="64">
        <v>29.37</v>
      </c>
      <c r="M50" s="64">
        <v>17.690000000000001</v>
      </c>
      <c r="N50" s="64">
        <v>812.8</v>
      </c>
      <c r="O50" s="64">
        <v>0</v>
      </c>
      <c r="P50" s="64">
        <v>0.97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47" t="s">
        <v>958</v>
      </c>
      <c r="B51" s="64">
        <v>12.2</v>
      </c>
      <c r="C51" s="64">
        <v>74.900000000000006</v>
      </c>
      <c r="D51" s="64">
        <v>48.91</v>
      </c>
      <c r="E51" s="64">
        <v>6.67</v>
      </c>
      <c r="F51" s="64">
        <v>11.31</v>
      </c>
      <c r="G51" s="64">
        <v>116.46</v>
      </c>
      <c r="H51" s="64">
        <v>48.02</v>
      </c>
      <c r="I51" s="64">
        <v>3.9</v>
      </c>
      <c r="J51" s="64">
        <v>0.93</v>
      </c>
      <c r="K51" s="64">
        <v>165.28</v>
      </c>
      <c r="L51" s="64">
        <v>28.95</v>
      </c>
      <c r="M51" s="64">
        <v>15.8</v>
      </c>
      <c r="N51" s="64">
        <v>830.1</v>
      </c>
      <c r="O51" s="64">
        <v>0</v>
      </c>
      <c r="P51" s="64">
        <v>1.01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47" t="s">
        <v>959</v>
      </c>
      <c r="B52" s="64">
        <v>9.73</v>
      </c>
      <c r="C52" s="64">
        <v>74.33</v>
      </c>
      <c r="D52" s="64">
        <v>46.64</v>
      </c>
      <c r="E52" s="64">
        <v>6.46</v>
      </c>
      <c r="F52" s="64">
        <v>14.36</v>
      </c>
      <c r="G52" s="64">
        <v>104.2</v>
      </c>
      <c r="H52" s="64">
        <v>44.94</v>
      </c>
      <c r="I52" s="64">
        <v>4.0999999999999996</v>
      </c>
      <c r="J52" s="64">
        <v>0.28999999999999998</v>
      </c>
      <c r="K52" s="64">
        <v>188.15</v>
      </c>
      <c r="L52" s="64">
        <v>30</v>
      </c>
      <c r="M52" s="64">
        <v>14.66</v>
      </c>
      <c r="N52" s="64">
        <v>850.3</v>
      </c>
      <c r="O52" s="64">
        <v>0</v>
      </c>
      <c r="P52" s="64">
        <v>0.95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47" t="s">
        <v>960</v>
      </c>
      <c r="B53" s="64">
        <v>7.6</v>
      </c>
      <c r="C53" s="64">
        <v>76.28</v>
      </c>
      <c r="D53" s="64">
        <v>45.95</v>
      </c>
      <c r="E53" s="64">
        <v>5.83</v>
      </c>
      <c r="F53" s="64">
        <v>14.24</v>
      </c>
      <c r="G53" s="64">
        <v>68.47</v>
      </c>
      <c r="H53" s="64">
        <v>35.96</v>
      </c>
      <c r="I53" s="64">
        <v>4.09</v>
      </c>
      <c r="J53" s="64">
        <v>0.3</v>
      </c>
      <c r="K53" s="64">
        <v>283.18</v>
      </c>
      <c r="L53" s="64">
        <v>30.75</v>
      </c>
      <c r="M53" s="64">
        <v>14.82</v>
      </c>
      <c r="N53" s="64">
        <v>843</v>
      </c>
      <c r="O53" s="64">
        <v>0</v>
      </c>
      <c r="P53" s="64">
        <v>0.92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47" t="s">
        <v>961</v>
      </c>
      <c r="B54" s="64">
        <v>5.87</v>
      </c>
      <c r="C54" s="64">
        <v>72.31</v>
      </c>
      <c r="D54" s="64">
        <v>42.49</v>
      </c>
      <c r="E54" s="64">
        <v>6.4</v>
      </c>
      <c r="F54" s="64">
        <v>13.84</v>
      </c>
      <c r="G54" s="64">
        <v>68.47</v>
      </c>
      <c r="H54" s="64">
        <v>35.96</v>
      </c>
      <c r="I54" s="64">
        <v>4.05</v>
      </c>
      <c r="J54" s="64">
        <v>0.57999999999999996</v>
      </c>
      <c r="K54" s="64">
        <v>153.72999999999999</v>
      </c>
      <c r="L54" s="64">
        <v>30.55</v>
      </c>
      <c r="M54" s="64">
        <v>15.95</v>
      </c>
      <c r="N54" s="64">
        <v>809.4</v>
      </c>
      <c r="O54" s="64">
        <v>0</v>
      </c>
      <c r="P54" s="64">
        <v>0.87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47" t="s">
        <v>962</v>
      </c>
      <c r="B55" s="64">
        <v>5.98</v>
      </c>
      <c r="C55" s="64">
        <v>73.599999999999994</v>
      </c>
      <c r="D55" s="64">
        <v>43.25</v>
      </c>
      <c r="E55" s="64">
        <v>5.52</v>
      </c>
      <c r="F55" s="64">
        <v>12.64</v>
      </c>
      <c r="G55" s="64">
        <v>68.47</v>
      </c>
      <c r="H55" s="64">
        <v>35.96</v>
      </c>
      <c r="I55" s="64">
        <v>3.97</v>
      </c>
      <c r="J55" s="64">
        <v>0.38</v>
      </c>
      <c r="K55" s="64">
        <v>328.59</v>
      </c>
      <c r="L55" s="64">
        <v>31.65</v>
      </c>
      <c r="M55" s="64">
        <v>14.08</v>
      </c>
      <c r="N55" s="64">
        <v>795.5</v>
      </c>
      <c r="O55" s="64">
        <v>0</v>
      </c>
      <c r="P55" s="64">
        <v>0.85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47" t="s">
        <v>963</v>
      </c>
      <c r="B56" s="64">
        <v>6.4</v>
      </c>
      <c r="C56" s="64">
        <v>70.819999999999993</v>
      </c>
      <c r="D56" s="64">
        <v>42.14</v>
      </c>
      <c r="E56" s="64">
        <v>7.13</v>
      </c>
      <c r="F56" s="64">
        <v>16.98</v>
      </c>
      <c r="G56" s="64">
        <v>63.55</v>
      </c>
      <c r="H56" s="64">
        <v>32.75</v>
      </c>
      <c r="I56" s="64">
        <v>3.96</v>
      </c>
      <c r="J56" s="64">
        <v>0.74</v>
      </c>
      <c r="K56" s="64">
        <v>324.79000000000002</v>
      </c>
      <c r="L56" s="64">
        <v>32.19</v>
      </c>
      <c r="M56" s="64">
        <v>13.62</v>
      </c>
      <c r="N56" s="64">
        <v>786.7</v>
      </c>
      <c r="O56" s="64">
        <v>0</v>
      </c>
      <c r="P56" s="64">
        <v>0.78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47" t="s">
        <v>964</v>
      </c>
      <c r="B57" s="64">
        <v>4.68</v>
      </c>
      <c r="C57" s="64">
        <v>62.55</v>
      </c>
      <c r="D57" s="64">
        <v>36.44</v>
      </c>
      <c r="E57" s="64">
        <v>6.12</v>
      </c>
      <c r="F57" s="64">
        <v>16.52</v>
      </c>
      <c r="G57" s="64">
        <v>49.25</v>
      </c>
      <c r="H57" s="64">
        <v>23.91</v>
      </c>
      <c r="I57" s="64">
        <v>3.85</v>
      </c>
      <c r="J57" s="64">
        <v>1.1599999999999999</v>
      </c>
      <c r="K57" s="64">
        <v>326.88</v>
      </c>
      <c r="L57" s="64">
        <v>32.950000000000003</v>
      </c>
      <c r="M57" s="64">
        <v>12.84</v>
      </c>
      <c r="N57" s="64">
        <v>776.1</v>
      </c>
      <c r="O57" s="64">
        <v>0</v>
      </c>
      <c r="P57" s="64">
        <v>0.75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47" t="s">
        <v>965</v>
      </c>
      <c r="B58" s="64">
        <v>5.35</v>
      </c>
      <c r="C58" s="64">
        <v>62.1</v>
      </c>
      <c r="D58" s="64">
        <v>36.74</v>
      </c>
      <c r="E58" s="64">
        <v>7.09</v>
      </c>
      <c r="F58" s="64">
        <v>18.75</v>
      </c>
      <c r="G58" s="64">
        <v>49.25</v>
      </c>
      <c r="H58" s="64">
        <v>23.91</v>
      </c>
      <c r="I58" s="64">
        <v>3.93</v>
      </c>
      <c r="J58" s="64">
        <v>0.28999999999999998</v>
      </c>
      <c r="K58" s="64">
        <v>173.65</v>
      </c>
      <c r="L58" s="64">
        <v>32.04</v>
      </c>
      <c r="M58" s="64">
        <v>12.78</v>
      </c>
      <c r="N58" s="64">
        <v>763.1</v>
      </c>
      <c r="O58" s="64">
        <v>0</v>
      </c>
      <c r="P58" s="64">
        <v>0.71</v>
      </c>
      <c r="Q58" s="64">
        <v>9.36</v>
      </c>
      <c r="R58" s="198"/>
      <c r="S58" s="198"/>
      <c r="T58" s="198"/>
      <c r="U58" s="198"/>
    </row>
    <row r="59" spans="1:21" s="12" customFormat="1" x14ac:dyDescent="0.25">
      <c r="A59" s="247" t="s">
        <v>966</v>
      </c>
      <c r="B59" s="64">
        <v>4.07</v>
      </c>
      <c r="C59" s="64">
        <v>64.44</v>
      </c>
      <c r="D59" s="64">
        <v>36.93</v>
      </c>
      <c r="E59" s="64">
        <v>4.99</v>
      </c>
      <c r="F59" s="64">
        <v>12.69</v>
      </c>
      <c r="G59" s="64">
        <v>49.25</v>
      </c>
      <c r="H59" s="64">
        <v>23.91</v>
      </c>
      <c r="I59" s="64">
        <v>3.99</v>
      </c>
      <c r="J59" s="64">
        <v>0.84</v>
      </c>
      <c r="K59" s="64">
        <v>189.33</v>
      </c>
      <c r="L59" s="64">
        <v>30.09</v>
      </c>
      <c r="M59" s="64">
        <v>13.96</v>
      </c>
      <c r="N59" s="64">
        <v>769.1</v>
      </c>
      <c r="O59" s="64">
        <v>0</v>
      </c>
      <c r="P59" s="64">
        <v>0.72</v>
      </c>
      <c r="Q59" s="64">
        <v>9.31</v>
      </c>
      <c r="R59" s="198"/>
      <c r="S59" s="198"/>
      <c r="T59" s="198"/>
      <c r="U59" s="198"/>
    </row>
    <row r="60" spans="1:21" s="12" customFormat="1" x14ac:dyDescent="0.25">
      <c r="A60" s="247" t="s">
        <v>967</v>
      </c>
      <c r="B60" s="64">
        <v>5.09</v>
      </c>
      <c r="C60" s="64">
        <v>62.47</v>
      </c>
      <c r="D60" s="64">
        <v>36.72</v>
      </c>
      <c r="E60" s="64">
        <v>6.79</v>
      </c>
      <c r="F60" s="64">
        <v>22.1</v>
      </c>
      <c r="G60" s="64">
        <v>48.01</v>
      </c>
      <c r="H60" s="64">
        <v>23.01</v>
      </c>
      <c r="I60" s="64">
        <v>3.95</v>
      </c>
      <c r="J60" s="64">
        <v>0.38</v>
      </c>
      <c r="K60" s="64">
        <v>28.41</v>
      </c>
      <c r="L60" s="64">
        <v>31.27</v>
      </c>
      <c r="M60" s="64">
        <v>13.45</v>
      </c>
      <c r="N60" s="64">
        <v>746.5</v>
      </c>
      <c r="O60" s="64">
        <v>0</v>
      </c>
      <c r="P60" s="64">
        <v>0.64</v>
      </c>
      <c r="Q60" s="64">
        <v>9.3000000000000007</v>
      </c>
      <c r="R60" s="198"/>
      <c r="S60" s="198"/>
      <c r="T60" s="198"/>
      <c r="U60" s="198"/>
    </row>
    <row r="61" spans="1:21" s="12" customFormat="1" x14ac:dyDescent="0.25">
      <c r="A61" s="247" t="s">
        <v>968</v>
      </c>
      <c r="B61" s="64">
        <v>5.78</v>
      </c>
      <c r="C61" s="64">
        <v>53.12</v>
      </c>
      <c r="D61" s="64">
        <v>32.39</v>
      </c>
      <c r="E61" s="64">
        <v>8.6199999999999992</v>
      </c>
      <c r="F61" s="64">
        <v>28.58</v>
      </c>
      <c r="G61" s="64">
        <v>44.4</v>
      </c>
      <c r="H61" s="64">
        <v>20.38</v>
      </c>
      <c r="I61" s="64">
        <v>4.12</v>
      </c>
      <c r="J61" s="64">
        <v>0.56999999999999995</v>
      </c>
      <c r="K61" s="64">
        <v>25.55</v>
      </c>
      <c r="L61" s="64">
        <v>32.619999999999997</v>
      </c>
      <c r="M61" s="64">
        <v>12.2</v>
      </c>
      <c r="N61" s="64">
        <v>758.9</v>
      </c>
      <c r="O61" s="64">
        <v>0</v>
      </c>
      <c r="P61" s="64">
        <v>0.62</v>
      </c>
      <c r="Q61" s="64">
        <v>9.2899999999999991</v>
      </c>
      <c r="R61" s="198"/>
      <c r="S61" s="198"/>
      <c r="T61" s="198"/>
      <c r="U61" s="198"/>
    </row>
    <row r="62" spans="1:21" s="12" customFormat="1" x14ac:dyDescent="0.25">
      <c r="A62" s="247" t="s">
        <v>969</v>
      </c>
      <c r="B62" s="64">
        <v>4.6900000000000004</v>
      </c>
      <c r="C62" s="64">
        <v>52.32</v>
      </c>
      <c r="D62" s="64">
        <v>31.1</v>
      </c>
      <c r="E62" s="64">
        <v>4.79</v>
      </c>
      <c r="F62" s="64">
        <v>18.21</v>
      </c>
      <c r="G62" s="64">
        <v>44.4</v>
      </c>
      <c r="H62" s="64">
        <v>20.38</v>
      </c>
      <c r="I62" s="64">
        <v>4</v>
      </c>
      <c r="J62" s="64">
        <v>0.66</v>
      </c>
      <c r="K62" s="64">
        <v>282.14999999999998</v>
      </c>
      <c r="L62" s="64">
        <v>32.020000000000003</v>
      </c>
      <c r="M62" s="64">
        <v>11.97</v>
      </c>
      <c r="N62" s="64">
        <v>767</v>
      </c>
      <c r="O62" s="64">
        <v>0</v>
      </c>
      <c r="P62" s="64">
        <v>0.67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47" t="s">
        <v>970</v>
      </c>
      <c r="B63" s="64">
        <v>6.63</v>
      </c>
      <c r="C63" s="64">
        <v>60.53</v>
      </c>
      <c r="D63" s="64">
        <v>36.94</v>
      </c>
      <c r="E63" s="64">
        <v>3.69</v>
      </c>
      <c r="F63" s="64">
        <v>15.05</v>
      </c>
      <c r="G63" s="64">
        <v>44.4</v>
      </c>
      <c r="H63" s="64">
        <v>20.38</v>
      </c>
      <c r="I63" s="64">
        <v>3.85</v>
      </c>
      <c r="J63" s="64">
        <v>1</v>
      </c>
      <c r="K63" s="64">
        <v>297.48</v>
      </c>
      <c r="L63" s="64">
        <v>33.049999999999997</v>
      </c>
      <c r="M63" s="64">
        <v>10.81</v>
      </c>
      <c r="N63" s="64">
        <v>649.70000000000005</v>
      </c>
      <c r="O63" s="64">
        <v>0</v>
      </c>
      <c r="P63" s="64">
        <v>0.68</v>
      </c>
      <c r="Q63" s="64">
        <v>9.25</v>
      </c>
      <c r="R63" s="198"/>
      <c r="S63" s="198"/>
      <c r="T63" s="198"/>
      <c r="U63" s="198"/>
    </row>
    <row r="64" spans="1:21" s="12" customFormat="1" x14ac:dyDescent="0.25">
      <c r="A64" s="247" t="s">
        <v>971</v>
      </c>
      <c r="B64" s="64">
        <v>6.55</v>
      </c>
      <c r="C64" s="64">
        <v>58.36</v>
      </c>
      <c r="D64" s="64">
        <v>35.74</v>
      </c>
      <c r="E64" s="64">
        <v>4.3099999999999996</v>
      </c>
      <c r="F64" s="64">
        <v>16.7</v>
      </c>
      <c r="G64" s="64">
        <v>42.76</v>
      </c>
      <c r="H64" s="64">
        <v>18.12</v>
      </c>
      <c r="I64" s="64">
        <v>3.9</v>
      </c>
      <c r="J64" s="64">
        <v>1.97</v>
      </c>
      <c r="K64" s="64">
        <v>343.62</v>
      </c>
      <c r="L64" s="64">
        <v>33.770000000000003</v>
      </c>
      <c r="M64" s="64">
        <v>11.2</v>
      </c>
      <c r="N64" s="64">
        <v>754.7</v>
      </c>
      <c r="O64" s="64">
        <v>0</v>
      </c>
      <c r="P64" s="64">
        <v>0.63</v>
      </c>
      <c r="Q64" s="64">
        <v>9.23</v>
      </c>
      <c r="R64" s="198"/>
      <c r="S64" s="198"/>
      <c r="T64" s="198"/>
      <c r="U64" s="198"/>
    </row>
    <row r="65" spans="1:21" s="12" customFormat="1" x14ac:dyDescent="0.25">
      <c r="A65" s="247" t="s">
        <v>972</v>
      </c>
      <c r="B65" s="64">
        <v>6.49</v>
      </c>
      <c r="C65" s="64">
        <v>45.57</v>
      </c>
      <c r="D65" s="64">
        <v>29.01</v>
      </c>
      <c r="E65" s="64">
        <v>5.13</v>
      </c>
      <c r="F65" s="64">
        <v>27.54</v>
      </c>
      <c r="G65" s="64">
        <v>38.26</v>
      </c>
      <c r="H65" s="64">
        <v>11.89</v>
      </c>
      <c r="I65" s="64">
        <v>4.0999999999999996</v>
      </c>
      <c r="J65" s="64">
        <v>0.49</v>
      </c>
      <c r="K65" s="64">
        <v>177.33</v>
      </c>
      <c r="L65" s="64">
        <v>32.42</v>
      </c>
      <c r="M65" s="64">
        <v>10.54</v>
      </c>
      <c r="N65" s="64">
        <v>729.6</v>
      </c>
      <c r="O65" s="64">
        <v>0</v>
      </c>
      <c r="P65" s="64">
        <v>0.55000000000000004</v>
      </c>
      <c r="Q65" s="64">
        <v>9.1999999999999993</v>
      </c>
      <c r="R65" s="198"/>
      <c r="S65" s="198"/>
      <c r="T65" s="198"/>
      <c r="U65" s="198"/>
    </row>
    <row r="66" spans="1:21" s="12" customFormat="1" x14ac:dyDescent="0.25">
      <c r="A66" s="247" t="s">
        <v>973</v>
      </c>
      <c r="B66" s="64">
        <v>11.03</v>
      </c>
      <c r="C66" s="64">
        <v>57.82</v>
      </c>
      <c r="D66" s="64">
        <v>39.049999999999997</v>
      </c>
      <c r="E66" s="64">
        <v>5.4</v>
      </c>
      <c r="F66" s="64">
        <v>21.18</v>
      </c>
      <c r="G66" s="64">
        <v>38.26</v>
      </c>
      <c r="H66" s="64">
        <v>11.89</v>
      </c>
      <c r="I66" s="64">
        <v>4.01</v>
      </c>
      <c r="J66" s="64">
        <v>1.44</v>
      </c>
      <c r="K66" s="64">
        <v>332.59</v>
      </c>
      <c r="L66" s="64">
        <v>33.21</v>
      </c>
      <c r="M66" s="64">
        <v>10.83</v>
      </c>
      <c r="N66" s="64">
        <v>628.6</v>
      </c>
      <c r="O66" s="64">
        <v>0</v>
      </c>
      <c r="P66" s="64">
        <v>0.56000000000000005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47" t="s">
        <v>974</v>
      </c>
      <c r="B67" s="64">
        <v>8.42</v>
      </c>
      <c r="C67" s="64">
        <v>58.04</v>
      </c>
      <c r="D67" s="64">
        <v>37.08</v>
      </c>
      <c r="E67" s="64">
        <v>4.92</v>
      </c>
      <c r="F67" s="64">
        <v>21.85</v>
      </c>
      <c r="G67" s="64">
        <v>38.26</v>
      </c>
      <c r="H67" s="64">
        <v>11.89</v>
      </c>
      <c r="I67" s="64">
        <v>4.04</v>
      </c>
      <c r="J67" s="64">
        <v>1.55</v>
      </c>
      <c r="K67" s="64">
        <v>339.13</v>
      </c>
      <c r="L67" s="64">
        <v>34.22</v>
      </c>
      <c r="M67" s="64">
        <v>10.09</v>
      </c>
      <c r="N67" s="64">
        <v>323.8</v>
      </c>
      <c r="O67" s="64">
        <v>0</v>
      </c>
      <c r="P67" s="64">
        <v>0.53</v>
      </c>
      <c r="Q67" s="64">
        <v>9.19</v>
      </c>
      <c r="R67" s="198"/>
      <c r="S67" s="198"/>
      <c r="T67" s="198"/>
      <c r="U67" s="198"/>
    </row>
    <row r="68" spans="1:21" s="12" customFormat="1" x14ac:dyDescent="0.25">
      <c r="A68" s="247" t="s">
        <v>975</v>
      </c>
      <c r="B68" s="64">
        <v>8.01</v>
      </c>
      <c r="C68" s="64">
        <v>52.58</v>
      </c>
      <c r="D68" s="64">
        <v>33.9</v>
      </c>
      <c r="E68" s="64">
        <v>5.48</v>
      </c>
      <c r="F68" s="64">
        <v>25.11</v>
      </c>
      <c r="G68" s="64">
        <v>37.07</v>
      </c>
      <c r="H68" s="64">
        <v>10.18</v>
      </c>
      <c r="I68" s="64">
        <v>4.0199999999999996</v>
      </c>
      <c r="J68" s="64">
        <v>0.83</v>
      </c>
      <c r="K68" s="64">
        <v>324.92</v>
      </c>
      <c r="L68" s="64">
        <v>33.39</v>
      </c>
      <c r="M68" s="64">
        <v>9.7799999999999994</v>
      </c>
      <c r="N68" s="64">
        <v>480.4</v>
      </c>
      <c r="O68" s="64">
        <v>0</v>
      </c>
      <c r="P68" s="64">
        <v>0.52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47" t="s">
        <v>976</v>
      </c>
      <c r="B69" s="64">
        <v>6.87</v>
      </c>
      <c r="C69" s="64">
        <v>49.41</v>
      </c>
      <c r="D69" s="64">
        <v>31.32</v>
      </c>
      <c r="E69" s="64">
        <v>4.97</v>
      </c>
      <c r="F69" s="64">
        <v>22.61</v>
      </c>
      <c r="G69" s="64">
        <v>33.78</v>
      </c>
      <c r="H69" s="64">
        <v>5.47</v>
      </c>
      <c r="I69" s="64">
        <v>4.09</v>
      </c>
      <c r="J69" s="64">
        <v>1.27</v>
      </c>
      <c r="K69" s="64">
        <v>333.71</v>
      </c>
      <c r="L69" s="64">
        <v>32.75</v>
      </c>
      <c r="M69" s="64">
        <v>11.45</v>
      </c>
      <c r="N69" s="64">
        <v>260.10000000000002</v>
      </c>
      <c r="O69" s="64">
        <v>0</v>
      </c>
      <c r="P69" s="64">
        <v>0.51</v>
      </c>
      <c r="Q69" s="64">
        <v>9.18</v>
      </c>
      <c r="R69" s="198"/>
      <c r="S69" s="198"/>
      <c r="T69" s="198"/>
      <c r="U69" s="198"/>
    </row>
    <row r="70" spans="1:21" s="12" customFormat="1" x14ac:dyDescent="0.25">
      <c r="A70" s="247" t="s">
        <v>977</v>
      </c>
      <c r="B70" s="64">
        <v>9.66</v>
      </c>
      <c r="C70" s="64">
        <v>55.07</v>
      </c>
      <c r="D70" s="64">
        <v>36.520000000000003</v>
      </c>
      <c r="E70" s="64">
        <v>4.43</v>
      </c>
      <c r="F70" s="64">
        <v>16.63</v>
      </c>
      <c r="G70" s="64">
        <v>33.78</v>
      </c>
      <c r="H70" s="64">
        <v>5.47</v>
      </c>
      <c r="I70" s="64">
        <v>3.81</v>
      </c>
      <c r="J70" s="64">
        <v>2.13</v>
      </c>
      <c r="K70" s="64">
        <v>357.93</v>
      </c>
      <c r="L70" s="64">
        <v>32.25</v>
      </c>
      <c r="M70" s="64">
        <v>12.3</v>
      </c>
      <c r="N70" s="64">
        <v>168.2</v>
      </c>
      <c r="O70" s="64">
        <v>0</v>
      </c>
      <c r="P70" s="64">
        <v>0.56999999999999995</v>
      </c>
      <c r="Q70" s="64">
        <v>9.18</v>
      </c>
      <c r="R70" s="198"/>
      <c r="S70" s="198"/>
      <c r="T70" s="198"/>
      <c r="U70" s="198"/>
    </row>
    <row r="71" spans="1:21" s="12" customFormat="1" x14ac:dyDescent="0.25">
      <c r="A71" s="247" t="s">
        <v>978</v>
      </c>
      <c r="B71" s="64">
        <v>7.74</v>
      </c>
      <c r="C71" s="64">
        <v>55.69</v>
      </c>
      <c r="D71" s="64">
        <v>35.31</v>
      </c>
      <c r="E71" s="64">
        <v>4.24</v>
      </c>
      <c r="F71" s="64">
        <v>14.18</v>
      </c>
      <c r="G71" s="64">
        <v>33.78</v>
      </c>
      <c r="H71" s="64">
        <v>5.47</v>
      </c>
      <c r="I71" s="64">
        <v>4.1399999999999997</v>
      </c>
      <c r="J71" s="64">
        <v>1</v>
      </c>
      <c r="K71" s="64">
        <v>312.17</v>
      </c>
      <c r="L71" s="64">
        <v>31.62</v>
      </c>
      <c r="M71" s="64">
        <v>12.58</v>
      </c>
      <c r="N71" s="64">
        <v>143.4</v>
      </c>
      <c r="O71" s="64">
        <v>0</v>
      </c>
      <c r="P71" s="64">
        <v>0.53</v>
      </c>
      <c r="Q71" s="64">
        <v>9.19</v>
      </c>
      <c r="R71" s="198"/>
      <c r="S71" s="198"/>
      <c r="T71" s="198"/>
      <c r="U71" s="198"/>
    </row>
    <row r="72" spans="1:21" s="12" customFormat="1" x14ac:dyDescent="0.25">
      <c r="A72" s="247" t="s">
        <v>979</v>
      </c>
      <c r="B72" s="64">
        <v>6.42</v>
      </c>
      <c r="C72" s="64">
        <v>50.42</v>
      </c>
      <c r="D72" s="64">
        <v>31.49</v>
      </c>
      <c r="E72" s="64">
        <v>4.09</v>
      </c>
      <c r="F72" s="64">
        <v>25.44</v>
      </c>
      <c r="G72" s="64">
        <v>33.93</v>
      </c>
      <c r="H72" s="64">
        <v>45.84</v>
      </c>
      <c r="I72" s="64">
        <v>3.92</v>
      </c>
      <c r="J72" s="64">
        <v>0.56999999999999995</v>
      </c>
      <c r="K72" s="64">
        <v>298.89</v>
      </c>
      <c r="L72" s="64">
        <v>30.31</v>
      </c>
      <c r="M72" s="64">
        <v>13.14</v>
      </c>
      <c r="N72" s="64">
        <v>156.30000000000001</v>
      </c>
      <c r="O72" s="64">
        <v>0</v>
      </c>
      <c r="P72" s="64">
        <v>0.47</v>
      </c>
      <c r="Q72" s="64">
        <v>9.17</v>
      </c>
      <c r="R72" s="198"/>
      <c r="S72" s="198"/>
      <c r="T72" s="198"/>
      <c r="U72" s="198"/>
    </row>
    <row r="73" spans="1:21" s="12" customFormat="1" x14ac:dyDescent="0.25">
      <c r="A73" s="247" t="s">
        <v>980</v>
      </c>
      <c r="B73" s="64">
        <v>11.91</v>
      </c>
      <c r="C73" s="64">
        <v>58.34</v>
      </c>
      <c r="D73" s="64">
        <v>40.04</v>
      </c>
      <c r="E73" s="64">
        <v>4.88</v>
      </c>
      <c r="F73" s="64">
        <v>24.97</v>
      </c>
      <c r="G73" s="64">
        <v>34.36</v>
      </c>
      <c r="H73" s="64">
        <v>156.86000000000001</v>
      </c>
      <c r="I73" s="64">
        <v>4.03</v>
      </c>
      <c r="J73" s="64">
        <v>1.35</v>
      </c>
      <c r="K73" s="64">
        <v>354.23</v>
      </c>
      <c r="L73" s="64">
        <v>30.55</v>
      </c>
      <c r="M73" s="64">
        <v>13.44</v>
      </c>
      <c r="N73" s="64">
        <v>215.3</v>
      </c>
      <c r="O73" s="64">
        <v>0</v>
      </c>
      <c r="P73" s="64">
        <v>0.51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47" t="s">
        <v>981</v>
      </c>
      <c r="B74" s="64">
        <v>19.79</v>
      </c>
      <c r="C74" s="64">
        <v>66.48</v>
      </c>
      <c r="D74" s="64">
        <v>50.61</v>
      </c>
      <c r="E74" s="64">
        <v>5.13</v>
      </c>
      <c r="F74" s="64">
        <v>28.31</v>
      </c>
      <c r="G74" s="64">
        <v>34.36</v>
      </c>
      <c r="H74" s="64">
        <v>156.86000000000001</v>
      </c>
      <c r="I74" s="64">
        <v>4.01</v>
      </c>
      <c r="J74" s="64">
        <v>1.1399999999999999</v>
      </c>
      <c r="K74" s="64">
        <v>356.11</v>
      </c>
      <c r="L74" s="64">
        <v>30.35</v>
      </c>
      <c r="M74" s="64">
        <v>13.68</v>
      </c>
      <c r="N74" s="64">
        <v>153.69999999999999</v>
      </c>
      <c r="O74" s="64">
        <v>0</v>
      </c>
      <c r="P74" s="64">
        <v>0.57999999999999996</v>
      </c>
      <c r="Q74" s="64">
        <v>9.17</v>
      </c>
      <c r="R74" s="198"/>
      <c r="S74" s="198"/>
      <c r="T74" s="198"/>
      <c r="U74" s="198"/>
    </row>
    <row r="75" spans="1:21" s="12" customFormat="1" x14ac:dyDescent="0.25">
      <c r="A75" s="247" t="s">
        <v>982</v>
      </c>
      <c r="B75" s="64">
        <v>12.65</v>
      </c>
      <c r="C75" s="64">
        <v>55.75</v>
      </c>
      <c r="D75" s="64">
        <v>39.270000000000003</v>
      </c>
      <c r="E75" s="64">
        <v>5.32</v>
      </c>
      <c r="F75" s="64">
        <v>27.16</v>
      </c>
      <c r="G75" s="64">
        <v>34.36</v>
      </c>
      <c r="H75" s="64">
        <v>156.86000000000001</v>
      </c>
      <c r="I75" s="64">
        <v>3.96</v>
      </c>
      <c r="J75" s="64">
        <v>1.33</v>
      </c>
      <c r="K75" s="64">
        <v>2.65</v>
      </c>
      <c r="L75" s="64">
        <v>29.71</v>
      </c>
      <c r="M75" s="64">
        <v>14.27</v>
      </c>
      <c r="N75" s="64">
        <v>120.6</v>
      </c>
      <c r="O75" s="64">
        <v>0</v>
      </c>
      <c r="P75" s="64">
        <v>0.52</v>
      </c>
      <c r="Q75" s="64">
        <v>9.1999999999999993</v>
      </c>
      <c r="R75" s="198"/>
      <c r="S75" s="198"/>
      <c r="T75" s="198"/>
      <c r="U75" s="198"/>
    </row>
    <row r="76" spans="1:21" s="12" customFormat="1" x14ac:dyDescent="0.25">
      <c r="A76" s="247" t="s">
        <v>983</v>
      </c>
      <c r="B76" s="64">
        <v>7.4</v>
      </c>
      <c r="C76" s="64">
        <v>52.59</v>
      </c>
      <c r="D76" s="64">
        <v>33.409999999999997</v>
      </c>
      <c r="E76" s="64">
        <v>6.9</v>
      </c>
      <c r="F76" s="64">
        <v>36.43</v>
      </c>
      <c r="G76" s="64">
        <v>34.590000000000003</v>
      </c>
      <c r="H76" s="64">
        <v>118.24</v>
      </c>
      <c r="I76" s="64">
        <v>4.18</v>
      </c>
      <c r="J76" s="64">
        <v>1.08</v>
      </c>
      <c r="K76" s="64">
        <v>95.18</v>
      </c>
      <c r="L76" s="64">
        <v>28.76</v>
      </c>
      <c r="M76" s="64">
        <v>14.56</v>
      </c>
      <c r="N76" s="64">
        <v>114.9</v>
      </c>
      <c r="O76" s="64">
        <v>0</v>
      </c>
      <c r="P76" s="64">
        <v>0.45</v>
      </c>
      <c r="Q76" s="64">
        <v>9.23</v>
      </c>
      <c r="R76" s="198"/>
      <c r="S76" s="198"/>
      <c r="T76" s="198"/>
      <c r="U76" s="198"/>
    </row>
    <row r="77" spans="1:21" s="12" customFormat="1" x14ac:dyDescent="0.25">
      <c r="A77" s="247" t="s">
        <v>984</v>
      </c>
      <c r="B77" s="64">
        <v>11.67</v>
      </c>
      <c r="C77" s="64">
        <v>66.62</v>
      </c>
      <c r="D77" s="64">
        <v>44.16</v>
      </c>
      <c r="E77" s="64">
        <v>6.26</v>
      </c>
      <c r="F77" s="64">
        <v>24.29</v>
      </c>
      <c r="G77" s="64">
        <v>35.21</v>
      </c>
      <c r="H77" s="64">
        <v>12.05</v>
      </c>
      <c r="I77" s="64">
        <v>3.98</v>
      </c>
      <c r="J77" s="64">
        <v>0.68</v>
      </c>
      <c r="K77" s="64">
        <v>61.03</v>
      </c>
      <c r="L77" s="64">
        <v>28.35</v>
      </c>
      <c r="M77" s="64">
        <v>15.74</v>
      </c>
      <c r="N77" s="64">
        <v>98.9</v>
      </c>
      <c r="O77" s="64">
        <v>0</v>
      </c>
      <c r="P77" s="64">
        <v>0.57999999999999996</v>
      </c>
      <c r="Q77" s="64">
        <v>9.23</v>
      </c>
      <c r="R77" s="198"/>
      <c r="S77" s="198"/>
      <c r="T77" s="198"/>
      <c r="U77" s="198"/>
    </row>
    <row r="78" spans="1:21" s="12" customFormat="1" x14ac:dyDescent="0.25">
      <c r="A78" s="247" t="s">
        <v>985</v>
      </c>
      <c r="B78" s="64">
        <v>6.61</v>
      </c>
      <c r="C78" s="64">
        <v>60.1</v>
      </c>
      <c r="D78" s="64">
        <v>36.700000000000003</v>
      </c>
      <c r="E78" s="64">
        <v>6.54</v>
      </c>
      <c r="F78" s="64">
        <v>32.729999999999997</v>
      </c>
      <c r="G78" s="64">
        <v>35.21</v>
      </c>
      <c r="H78" s="64">
        <v>12.05</v>
      </c>
      <c r="I78" s="64">
        <v>4.05</v>
      </c>
      <c r="J78" s="64">
        <v>0.51</v>
      </c>
      <c r="K78" s="64">
        <v>143.75</v>
      </c>
      <c r="L78" s="64">
        <v>27.88</v>
      </c>
      <c r="M78" s="64">
        <v>17.14</v>
      </c>
      <c r="N78" s="64">
        <v>91</v>
      </c>
      <c r="O78" s="64">
        <v>0</v>
      </c>
      <c r="P78" s="64">
        <v>0.48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47" t="s">
        <v>986</v>
      </c>
      <c r="B79" s="64">
        <v>4.1100000000000003</v>
      </c>
      <c r="C79" s="64">
        <v>42.93</v>
      </c>
      <c r="D79" s="64">
        <v>25.72</v>
      </c>
      <c r="E79" s="64">
        <v>8.07</v>
      </c>
      <c r="F79" s="64">
        <v>47.77</v>
      </c>
      <c r="G79" s="64">
        <v>35.21</v>
      </c>
      <c r="H79" s="64">
        <v>12.05</v>
      </c>
      <c r="I79" s="64">
        <v>3.95</v>
      </c>
      <c r="J79" s="64">
        <v>0.55000000000000004</v>
      </c>
      <c r="K79" s="64">
        <v>190.76</v>
      </c>
      <c r="L79" s="64">
        <v>27.69</v>
      </c>
      <c r="M79" s="64">
        <v>16.11</v>
      </c>
      <c r="N79" s="64">
        <v>79.7</v>
      </c>
      <c r="O79" s="64">
        <v>0</v>
      </c>
      <c r="P79" s="64">
        <v>0.39</v>
      </c>
      <c r="Q79" s="64">
        <v>9.1999999999999993</v>
      </c>
      <c r="R79" s="198"/>
      <c r="S79" s="198"/>
      <c r="T79" s="198"/>
      <c r="U79" s="198"/>
    </row>
    <row r="80" spans="1:21" s="12" customFormat="1" x14ac:dyDescent="0.25">
      <c r="A80" s="247" t="s">
        <v>987</v>
      </c>
      <c r="B80" s="64">
        <v>10.47</v>
      </c>
      <c r="C80" s="64">
        <v>94.36</v>
      </c>
      <c r="D80" s="64">
        <v>57.69</v>
      </c>
      <c r="E80" s="64">
        <v>7.91</v>
      </c>
      <c r="F80" s="64">
        <v>22.94</v>
      </c>
      <c r="G80" s="64">
        <v>37.68</v>
      </c>
      <c r="H80" s="64">
        <v>12.14</v>
      </c>
      <c r="I80" s="64">
        <v>3.82</v>
      </c>
      <c r="J80" s="64">
        <v>0.11</v>
      </c>
      <c r="K80" s="64">
        <v>274.47000000000003</v>
      </c>
      <c r="L80" s="64">
        <v>26.71</v>
      </c>
      <c r="M80" s="64">
        <v>20.57</v>
      </c>
      <c r="N80" s="64">
        <v>70.099999999999994</v>
      </c>
      <c r="O80" s="64">
        <v>0</v>
      </c>
      <c r="P80" s="64">
        <v>0.63</v>
      </c>
      <c r="Q80" s="64">
        <v>9.1999999999999993</v>
      </c>
      <c r="R80" s="198"/>
      <c r="S80" s="198"/>
      <c r="T80" s="198"/>
      <c r="U80" s="198"/>
    </row>
    <row r="81" spans="1:26" s="12" customFormat="1" x14ac:dyDescent="0.25">
      <c r="A81" s="247" t="s">
        <v>988</v>
      </c>
      <c r="B81" s="64">
        <v>105.73</v>
      </c>
      <c r="C81" s="64">
        <v>132.44999999999999</v>
      </c>
      <c r="D81" s="64">
        <v>153.99</v>
      </c>
      <c r="E81" s="64">
        <v>7.79</v>
      </c>
      <c r="F81" s="64">
        <v>9.3699999999999992</v>
      </c>
      <c r="G81" s="64">
        <v>44.5</v>
      </c>
      <c r="H81" s="64">
        <v>12.38</v>
      </c>
      <c r="I81" s="64">
        <v>3.88</v>
      </c>
      <c r="J81" s="64">
        <v>0.57999999999999996</v>
      </c>
      <c r="K81" s="64">
        <v>337.04</v>
      </c>
      <c r="L81" s="64">
        <v>25.43</v>
      </c>
      <c r="M81" s="64">
        <v>28.38</v>
      </c>
      <c r="N81" s="64">
        <v>63.3</v>
      </c>
      <c r="O81" s="64">
        <v>0</v>
      </c>
      <c r="P81" s="64">
        <v>1.68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47" t="s">
        <v>989</v>
      </c>
      <c r="B82" s="64">
        <v>45.88</v>
      </c>
      <c r="C82" s="64">
        <v>120.46</v>
      </c>
      <c r="D82" s="64">
        <v>99.73</v>
      </c>
      <c r="E82" s="64">
        <v>8.0299999999999994</v>
      </c>
      <c r="F82" s="64">
        <v>15.71</v>
      </c>
      <c r="G82" s="64">
        <v>44.5</v>
      </c>
      <c r="H82" s="64">
        <v>12.38</v>
      </c>
      <c r="I82" s="64">
        <v>3.77</v>
      </c>
      <c r="J82" s="64">
        <v>0.48</v>
      </c>
      <c r="K82" s="64">
        <v>35.729999999999997</v>
      </c>
      <c r="L82" s="64">
        <v>24.57</v>
      </c>
      <c r="M82" s="64">
        <v>26.5</v>
      </c>
      <c r="N82" s="64">
        <v>61.1</v>
      </c>
      <c r="O82" s="64">
        <v>0</v>
      </c>
      <c r="P82" s="64">
        <v>1.41</v>
      </c>
      <c r="Q82" s="64">
        <v>9.35</v>
      </c>
      <c r="R82" s="198"/>
      <c r="S82" s="198"/>
      <c r="T82" s="198"/>
      <c r="U82" s="198"/>
    </row>
    <row r="83" spans="1:26" s="12" customFormat="1" x14ac:dyDescent="0.25">
      <c r="A83" s="247" t="s">
        <v>990</v>
      </c>
      <c r="B83" s="64">
        <v>18.75</v>
      </c>
      <c r="C83" s="64">
        <v>119.53</v>
      </c>
      <c r="D83" s="64">
        <v>77.48</v>
      </c>
      <c r="E83" s="64">
        <v>7.8</v>
      </c>
      <c r="F83" s="64">
        <v>13.86</v>
      </c>
      <c r="G83" s="64">
        <v>44.5</v>
      </c>
      <c r="H83" s="64">
        <v>12.38</v>
      </c>
      <c r="I83" s="64">
        <v>4.0999999999999996</v>
      </c>
      <c r="J83" s="64">
        <v>0.46</v>
      </c>
      <c r="K83" s="64">
        <v>114.94</v>
      </c>
      <c r="L83" s="64">
        <v>24.41</v>
      </c>
      <c r="M83" s="64">
        <v>24.07</v>
      </c>
      <c r="N83" s="64">
        <v>60.7</v>
      </c>
      <c r="O83" s="64">
        <v>0</v>
      </c>
      <c r="P83" s="64">
        <v>1.04</v>
      </c>
      <c r="Q83" s="64">
        <v>9.48</v>
      </c>
      <c r="R83" s="198"/>
      <c r="S83" s="198"/>
      <c r="T83" s="198"/>
      <c r="U83" s="198"/>
    </row>
    <row r="84" spans="1:26" s="12" customFormat="1" x14ac:dyDescent="0.25">
      <c r="A84" s="247" t="s">
        <v>991</v>
      </c>
      <c r="B84" s="64">
        <v>30.75</v>
      </c>
      <c r="C84" s="64">
        <v>124.54</v>
      </c>
      <c r="D84" s="64">
        <v>89.73</v>
      </c>
      <c r="E84" s="64">
        <v>8.77</v>
      </c>
      <c r="F84" s="64">
        <v>12.09</v>
      </c>
      <c r="G84" s="64">
        <v>57.02</v>
      </c>
      <c r="H84" s="64">
        <v>17.600000000000001</v>
      </c>
      <c r="I84" s="64">
        <v>4</v>
      </c>
      <c r="J84" s="64">
        <v>0.49</v>
      </c>
      <c r="K84" s="64">
        <v>133.66999999999999</v>
      </c>
      <c r="L84" s="64">
        <v>24.7</v>
      </c>
      <c r="M84" s="64">
        <v>22.21</v>
      </c>
      <c r="N84" s="64">
        <v>59.7</v>
      </c>
      <c r="O84" s="64">
        <v>0</v>
      </c>
      <c r="P84" s="64">
        <v>0.99</v>
      </c>
      <c r="Q84" s="64">
        <v>9.5399999999999991</v>
      </c>
      <c r="R84" s="198"/>
      <c r="S84" s="198"/>
      <c r="T84" s="198"/>
      <c r="U84" s="198"/>
    </row>
    <row r="85" spans="1:26" s="12" customFormat="1" x14ac:dyDescent="0.25">
      <c r="A85" s="247" t="s">
        <v>992</v>
      </c>
      <c r="B85" s="64">
        <v>13.5</v>
      </c>
      <c r="C85" s="64">
        <v>104.09</v>
      </c>
      <c r="D85" s="64">
        <v>65.209999999999994</v>
      </c>
      <c r="E85" s="64">
        <v>10.07</v>
      </c>
      <c r="F85" s="64">
        <v>21.17</v>
      </c>
      <c r="G85" s="64">
        <v>91.47</v>
      </c>
      <c r="H85" s="64">
        <v>31.96</v>
      </c>
      <c r="I85" s="64">
        <v>4.08</v>
      </c>
      <c r="J85" s="64">
        <v>0.56000000000000005</v>
      </c>
      <c r="K85" s="64">
        <v>182.31</v>
      </c>
      <c r="L85" s="64">
        <v>24.85</v>
      </c>
      <c r="M85" s="64">
        <v>20.38</v>
      </c>
      <c r="N85" s="64">
        <v>59.8</v>
      </c>
      <c r="O85" s="64">
        <v>0</v>
      </c>
      <c r="P85" s="64">
        <v>0.82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47" t="s">
        <v>993</v>
      </c>
      <c r="B86" s="64">
        <v>14.43</v>
      </c>
      <c r="C86" s="64">
        <v>103.84</v>
      </c>
      <c r="D86" s="64">
        <v>65.819999999999993</v>
      </c>
      <c r="E86" s="64">
        <v>9.32</v>
      </c>
      <c r="F86" s="64">
        <v>16.43</v>
      </c>
      <c r="G86" s="64">
        <v>91.47</v>
      </c>
      <c r="H86" s="64">
        <v>31.96</v>
      </c>
      <c r="I86" s="64">
        <v>4.12</v>
      </c>
      <c r="J86" s="64">
        <v>0.12</v>
      </c>
      <c r="K86" s="64">
        <v>130.32</v>
      </c>
      <c r="L86" s="64">
        <v>24.33</v>
      </c>
      <c r="M86" s="64">
        <v>22.18</v>
      </c>
      <c r="N86" s="64">
        <v>60.9</v>
      </c>
      <c r="O86" s="64">
        <v>0</v>
      </c>
      <c r="P86" s="64">
        <v>0.85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47" t="s">
        <v>994</v>
      </c>
      <c r="B87" s="64">
        <v>14.25</v>
      </c>
      <c r="C87" s="64">
        <v>91.35</v>
      </c>
      <c r="D87" s="64">
        <v>59.15</v>
      </c>
      <c r="E87" s="64">
        <v>6.69</v>
      </c>
      <c r="F87" s="64">
        <v>14.74</v>
      </c>
      <c r="G87" s="64">
        <v>91.47</v>
      </c>
      <c r="H87" s="64">
        <v>31.96</v>
      </c>
      <c r="I87" s="64">
        <v>4.16</v>
      </c>
      <c r="J87" s="64">
        <v>0.3</v>
      </c>
      <c r="K87" s="64">
        <v>67.69</v>
      </c>
      <c r="L87" s="64">
        <v>23.92</v>
      </c>
      <c r="M87" s="64">
        <v>23.17</v>
      </c>
      <c r="N87" s="64">
        <v>60.7</v>
      </c>
      <c r="O87" s="64">
        <v>0</v>
      </c>
      <c r="P87" s="64">
        <v>0.83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47" t="s">
        <v>995</v>
      </c>
      <c r="B88" s="64">
        <v>13.94</v>
      </c>
      <c r="C88" s="64">
        <v>99.07</v>
      </c>
      <c r="D88" s="64">
        <v>62.95</v>
      </c>
      <c r="E88" s="64">
        <v>8.36</v>
      </c>
      <c r="F88" s="64">
        <v>15.17</v>
      </c>
      <c r="G88" s="64">
        <v>86.58</v>
      </c>
      <c r="H88" s="64">
        <v>23.95</v>
      </c>
      <c r="I88" s="64">
        <v>4</v>
      </c>
      <c r="J88" s="64">
        <v>0.55000000000000004</v>
      </c>
      <c r="K88" s="64">
        <v>226.89</v>
      </c>
      <c r="L88" s="64">
        <v>23.68</v>
      </c>
      <c r="M88" s="64">
        <v>23.48</v>
      </c>
      <c r="N88" s="64">
        <v>60.4</v>
      </c>
      <c r="O88" s="64">
        <v>0</v>
      </c>
      <c r="P88" s="64">
        <v>0.95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47" t="s">
        <v>996</v>
      </c>
      <c r="B89" s="64">
        <v>17.399999999999999</v>
      </c>
      <c r="C89" s="64">
        <v>99.96</v>
      </c>
      <c r="D89" s="64">
        <v>66.180000000000007</v>
      </c>
      <c r="E89" s="64">
        <v>7.24</v>
      </c>
      <c r="F89" s="64">
        <v>11.82</v>
      </c>
      <c r="G89" s="64">
        <v>73.12</v>
      </c>
      <c r="H89" s="64">
        <v>1.92</v>
      </c>
      <c r="I89" s="64">
        <v>4.0999999999999996</v>
      </c>
      <c r="J89" s="64">
        <v>0.65</v>
      </c>
      <c r="K89" s="64">
        <v>238.59</v>
      </c>
      <c r="L89" s="64">
        <v>23.37</v>
      </c>
      <c r="M89" s="64">
        <v>24.65</v>
      </c>
      <c r="N89" s="64">
        <v>60.9</v>
      </c>
      <c r="O89" s="64">
        <v>0</v>
      </c>
      <c r="P89" s="64">
        <v>0.96</v>
      </c>
      <c r="Q89" s="64">
        <v>9.5299999999999994</v>
      </c>
      <c r="R89" s="198"/>
      <c r="S89" s="198"/>
      <c r="T89" s="198"/>
      <c r="U89" s="198"/>
    </row>
    <row r="90" spans="1:26" s="12" customFormat="1" x14ac:dyDescent="0.25">
      <c r="A90" s="247" t="s">
        <v>997</v>
      </c>
      <c r="B90" s="64">
        <v>32.619999999999997</v>
      </c>
      <c r="C90" s="64">
        <v>114.34</v>
      </c>
      <c r="D90" s="64">
        <v>85.9</v>
      </c>
      <c r="E90" s="64">
        <v>6.85</v>
      </c>
      <c r="F90" s="64">
        <v>8.3000000000000007</v>
      </c>
      <c r="G90" s="64">
        <v>73.12</v>
      </c>
      <c r="H90" s="64">
        <v>1.92</v>
      </c>
      <c r="I90" s="64">
        <v>4.05</v>
      </c>
      <c r="J90" s="64">
        <v>0.75</v>
      </c>
      <c r="K90" s="64">
        <v>229.37</v>
      </c>
      <c r="L90" s="64">
        <v>22.85</v>
      </c>
      <c r="M90" s="64">
        <v>27.35</v>
      </c>
      <c r="N90" s="64">
        <v>61</v>
      </c>
      <c r="O90" s="64">
        <v>0</v>
      </c>
      <c r="P90" s="64">
        <v>1.1599999999999999</v>
      </c>
      <c r="Q90" s="64">
        <v>9.52</v>
      </c>
      <c r="R90" s="198"/>
      <c r="S90" s="198"/>
      <c r="T90" s="198"/>
      <c r="U90" s="198"/>
    </row>
    <row r="91" spans="1:26" s="12" customFormat="1" x14ac:dyDescent="0.25">
      <c r="A91" s="247" t="s">
        <v>998</v>
      </c>
      <c r="B91" s="64">
        <v>43.88</v>
      </c>
      <c r="C91" s="64">
        <v>108.82</v>
      </c>
      <c r="D91" s="64">
        <v>92.04</v>
      </c>
      <c r="E91" s="64">
        <v>6.3</v>
      </c>
      <c r="F91" s="64">
        <v>7.74</v>
      </c>
      <c r="G91" s="64">
        <v>73.12</v>
      </c>
      <c r="H91" s="64">
        <v>1.92</v>
      </c>
      <c r="I91" s="64">
        <v>3.88</v>
      </c>
      <c r="J91" s="64">
        <v>0.6</v>
      </c>
      <c r="K91" s="64">
        <v>240.25</v>
      </c>
      <c r="L91" s="64">
        <v>22.51</v>
      </c>
      <c r="M91" s="64">
        <v>28.13</v>
      </c>
      <c r="N91" s="64">
        <v>60.7</v>
      </c>
      <c r="O91" s="64">
        <v>0</v>
      </c>
      <c r="P91" s="64">
        <v>1.25</v>
      </c>
      <c r="Q91" s="64">
        <v>9.5</v>
      </c>
      <c r="R91" s="198"/>
      <c r="S91" s="198"/>
      <c r="T91" s="198"/>
      <c r="U91" s="198"/>
    </row>
    <row r="92" spans="1:26" s="12" customFormat="1" x14ac:dyDescent="0.25">
      <c r="A92" s="247" t="s">
        <v>999</v>
      </c>
      <c r="B92" s="64">
        <v>82.8</v>
      </c>
      <c r="C92" s="64">
        <v>111.33</v>
      </c>
      <c r="D92" s="64">
        <v>124.57</v>
      </c>
      <c r="E92" s="64">
        <v>7.13</v>
      </c>
      <c r="F92" s="64">
        <v>7.86</v>
      </c>
      <c r="G92" s="64">
        <v>79.010000000000005</v>
      </c>
      <c r="H92" s="64">
        <v>16.670000000000002</v>
      </c>
      <c r="I92" s="64">
        <v>3.9</v>
      </c>
      <c r="J92" s="64">
        <v>0.71</v>
      </c>
      <c r="K92" s="64">
        <v>345.83</v>
      </c>
      <c r="L92" s="64">
        <v>21.99</v>
      </c>
      <c r="M92" s="64">
        <v>32.630000000000003</v>
      </c>
      <c r="N92" s="64">
        <v>61.4</v>
      </c>
      <c r="O92" s="64">
        <v>0</v>
      </c>
      <c r="P92" s="64">
        <v>1.76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47" t="s">
        <v>1000</v>
      </c>
      <c r="B93" s="64">
        <v>70.09</v>
      </c>
      <c r="C93" s="64">
        <v>108.05</v>
      </c>
      <c r="D93" s="64">
        <v>112.66</v>
      </c>
      <c r="E93" s="64">
        <v>5.56</v>
      </c>
      <c r="F93" s="64">
        <v>7.23</v>
      </c>
      <c r="G93" s="64">
        <v>95.2</v>
      </c>
      <c r="H93" s="64">
        <v>57.24</v>
      </c>
      <c r="I93" s="64">
        <v>4.05</v>
      </c>
      <c r="J93" s="64">
        <v>0.63</v>
      </c>
      <c r="K93" s="64">
        <v>2.98</v>
      </c>
      <c r="L93" s="64">
        <v>20.85</v>
      </c>
      <c r="M93" s="64">
        <v>38.590000000000003</v>
      </c>
      <c r="N93" s="64">
        <v>61.5</v>
      </c>
      <c r="O93" s="64">
        <v>0</v>
      </c>
      <c r="P93" s="64">
        <v>2.0099999999999998</v>
      </c>
      <c r="Q93" s="64">
        <v>9.49</v>
      </c>
      <c r="R93" s="198"/>
      <c r="S93" s="198"/>
      <c r="T93" s="198"/>
      <c r="U93" s="198"/>
    </row>
    <row r="94" spans="1:26" s="12" customFormat="1" x14ac:dyDescent="0.25">
      <c r="A94" s="247" t="s">
        <v>1001</v>
      </c>
      <c r="B94" s="64">
        <v>124.43</v>
      </c>
      <c r="C94" s="64">
        <v>119.69</v>
      </c>
      <c r="D94" s="64">
        <v>162.32</v>
      </c>
      <c r="E94" s="64">
        <v>6.25</v>
      </c>
      <c r="F94" s="64">
        <v>7.27</v>
      </c>
      <c r="G94" s="64">
        <v>95.2</v>
      </c>
      <c r="H94" s="64">
        <v>57.24</v>
      </c>
      <c r="I94" s="64">
        <v>4.03</v>
      </c>
      <c r="J94" s="64">
        <v>0.27</v>
      </c>
      <c r="K94" s="64">
        <v>344.73</v>
      </c>
      <c r="L94" s="64">
        <v>20.309999999999999</v>
      </c>
      <c r="M94" s="64">
        <v>37.94</v>
      </c>
      <c r="N94" s="64">
        <v>61.3</v>
      </c>
      <c r="O94" s="64">
        <v>0</v>
      </c>
      <c r="P94" s="64">
        <v>2.23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47" t="s">
        <v>1002</v>
      </c>
      <c r="B95" s="64">
        <v>74.22</v>
      </c>
      <c r="C95" s="64">
        <v>105.03</v>
      </c>
      <c r="D95" s="64">
        <v>114.39</v>
      </c>
      <c r="E95" s="64">
        <v>6.15</v>
      </c>
      <c r="F95" s="64">
        <v>6.84</v>
      </c>
      <c r="G95" s="64">
        <v>95.2</v>
      </c>
      <c r="H95" s="64">
        <v>57.24</v>
      </c>
      <c r="I95" s="64">
        <v>4.1500000000000004</v>
      </c>
      <c r="J95" s="64">
        <v>0.7</v>
      </c>
      <c r="K95" s="64">
        <v>257.7</v>
      </c>
      <c r="L95" s="64">
        <v>20.32</v>
      </c>
      <c r="M95" s="64">
        <v>34.630000000000003</v>
      </c>
      <c r="N95" s="64">
        <v>60.9</v>
      </c>
      <c r="O95" s="64">
        <v>0</v>
      </c>
      <c r="P95" s="64">
        <v>1.64</v>
      </c>
      <c r="Q95" s="64">
        <v>9.52</v>
      </c>
      <c r="R95" s="198"/>
      <c r="S95" s="198"/>
      <c r="T95" s="198"/>
      <c r="U95" s="198"/>
    </row>
    <row r="96" spans="1:26" s="12" customFormat="1" x14ac:dyDescent="0.25">
      <c r="A96" s="247" t="s">
        <v>1003</v>
      </c>
      <c r="B96" s="64">
        <v>119.84</v>
      </c>
      <c r="C96" s="64">
        <v>113.67</v>
      </c>
      <c r="D96" s="64">
        <v>155.5</v>
      </c>
      <c r="E96" s="64">
        <v>5.94</v>
      </c>
      <c r="F96" s="64">
        <v>7.6</v>
      </c>
      <c r="G96" s="64">
        <v>113.24</v>
      </c>
      <c r="H96" s="64">
        <v>52.84</v>
      </c>
      <c r="I96" s="64">
        <v>4.0599999999999996</v>
      </c>
      <c r="J96" s="64">
        <v>0.63</v>
      </c>
      <c r="K96" s="64">
        <v>331.49</v>
      </c>
      <c r="L96" s="64">
        <v>20.079999999999998</v>
      </c>
      <c r="M96" s="64">
        <v>41.67</v>
      </c>
      <c r="N96" s="64">
        <v>61.3</v>
      </c>
      <c r="O96" s="64">
        <v>0</v>
      </c>
      <c r="P96" s="64">
        <v>2.36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1004</v>
      </c>
      <c r="B97" s="64">
        <v>155.87</v>
      </c>
      <c r="C97" s="64">
        <v>124.95</v>
      </c>
      <c r="D97" s="64">
        <v>190.28</v>
      </c>
      <c r="E97" s="64">
        <v>6.91</v>
      </c>
      <c r="F97" s="64">
        <v>7.29</v>
      </c>
      <c r="G97" s="64">
        <v>162.84</v>
      </c>
      <c r="H97" s="64">
        <v>40.76</v>
      </c>
      <c r="I97" s="64">
        <v>3.89</v>
      </c>
      <c r="J97" s="64">
        <v>0.62</v>
      </c>
      <c r="K97" s="64">
        <v>318.88</v>
      </c>
      <c r="L97" s="64">
        <v>19.440000000000001</v>
      </c>
      <c r="M97" s="64">
        <v>40.94</v>
      </c>
      <c r="N97" s="64">
        <v>61.4</v>
      </c>
      <c r="O97" s="64">
        <v>0</v>
      </c>
      <c r="P97" s="64">
        <v>2.34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47" t="s">
        <v>1005</v>
      </c>
      <c r="B98" s="64">
        <v>231.82</v>
      </c>
      <c r="C98" s="64">
        <v>137.35</v>
      </c>
      <c r="D98" s="64">
        <v>257.66000000000003</v>
      </c>
      <c r="E98" s="64">
        <v>7.44</v>
      </c>
      <c r="F98" s="64">
        <v>7.69</v>
      </c>
      <c r="G98" s="64">
        <v>162.84</v>
      </c>
      <c r="H98" s="64">
        <v>40.76</v>
      </c>
      <c r="I98" s="64">
        <v>4.1900000000000004</v>
      </c>
      <c r="J98" s="64">
        <v>0.23</v>
      </c>
      <c r="K98" s="64">
        <v>302.07</v>
      </c>
      <c r="L98" s="64">
        <v>19.28</v>
      </c>
      <c r="M98" s="64">
        <v>41.57</v>
      </c>
      <c r="N98" s="64">
        <v>61.2</v>
      </c>
      <c r="O98" s="64">
        <v>0</v>
      </c>
      <c r="P98" s="64">
        <v>2.58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47" t="s">
        <v>1006</v>
      </c>
      <c r="B99" s="64">
        <v>143.22</v>
      </c>
      <c r="C99" s="64">
        <v>118.11</v>
      </c>
      <c r="D99" s="64">
        <v>176.56</v>
      </c>
      <c r="E99" s="64">
        <v>6.9</v>
      </c>
      <c r="F99" s="64">
        <v>6.72</v>
      </c>
      <c r="G99" s="64">
        <v>162.84</v>
      </c>
      <c r="H99" s="64">
        <v>40.76</v>
      </c>
      <c r="I99" s="64">
        <v>4.0599999999999996</v>
      </c>
      <c r="J99" s="64">
        <v>0.73</v>
      </c>
      <c r="K99" s="64">
        <v>232.33</v>
      </c>
      <c r="L99" s="64">
        <v>19.600000000000001</v>
      </c>
      <c r="M99" s="64">
        <v>39.78</v>
      </c>
      <c r="N99" s="64">
        <v>60.3</v>
      </c>
      <c r="O99" s="64">
        <v>0</v>
      </c>
      <c r="P99" s="64">
        <v>2.0499999999999998</v>
      </c>
      <c r="Q99" s="64">
        <v>9.66</v>
      </c>
      <c r="R99" s="198"/>
      <c r="S99" s="198"/>
      <c r="T99" s="198"/>
      <c r="U99" s="198"/>
    </row>
    <row r="100" spans="1:33" s="12" customFormat="1" x14ac:dyDescent="0.25">
      <c r="A100" s="247" t="s">
        <v>1007</v>
      </c>
      <c r="B100" s="64">
        <v>138.6</v>
      </c>
      <c r="C100" s="64">
        <v>120.86</v>
      </c>
      <c r="D100" s="64">
        <v>174.29</v>
      </c>
      <c r="E100" s="64">
        <v>6.83</v>
      </c>
      <c r="F100" s="64">
        <v>7.23</v>
      </c>
      <c r="G100" s="64">
        <v>165.73</v>
      </c>
      <c r="H100" s="64">
        <v>40.049999999999997</v>
      </c>
      <c r="I100" s="64">
        <v>4.01</v>
      </c>
      <c r="J100" s="64">
        <v>0.2</v>
      </c>
      <c r="K100" s="64">
        <v>145.74</v>
      </c>
      <c r="L100" s="64">
        <v>19.72</v>
      </c>
      <c r="M100" s="64">
        <v>40.51</v>
      </c>
      <c r="N100" s="64">
        <v>61</v>
      </c>
      <c r="O100" s="64">
        <v>0</v>
      </c>
      <c r="P100" s="64">
        <v>1.96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1008</v>
      </c>
      <c r="B101" s="64">
        <v>143.38999999999999</v>
      </c>
      <c r="C101" s="64">
        <v>116.2</v>
      </c>
      <c r="D101" s="64">
        <v>175.7</v>
      </c>
      <c r="E101" s="64">
        <v>6.91</v>
      </c>
      <c r="F101" s="64">
        <v>6.56</v>
      </c>
      <c r="G101" s="64">
        <v>173.69</v>
      </c>
      <c r="H101" s="64">
        <v>38.11</v>
      </c>
      <c r="I101" s="64">
        <v>3.9</v>
      </c>
      <c r="J101" s="64">
        <v>0.49</v>
      </c>
      <c r="K101" s="64">
        <v>322</v>
      </c>
      <c r="L101" s="64">
        <v>19.03</v>
      </c>
      <c r="M101" s="64">
        <v>42.32</v>
      </c>
      <c r="N101" s="64">
        <v>61.3</v>
      </c>
      <c r="O101" s="64">
        <v>0</v>
      </c>
      <c r="P101" s="64">
        <v>2.0499999999999998</v>
      </c>
      <c r="Q101" s="64">
        <v>9.76</v>
      </c>
      <c r="R101" s="198"/>
      <c r="S101" s="198"/>
      <c r="T101" s="198"/>
      <c r="U101" s="198"/>
    </row>
    <row r="102" spans="1:33" s="12" customFormat="1" x14ac:dyDescent="0.25">
      <c r="A102" s="247" t="s">
        <v>1009</v>
      </c>
      <c r="B102" s="64">
        <v>154.05000000000001</v>
      </c>
      <c r="C102" s="64">
        <v>119.36</v>
      </c>
      <c r="D102" s="64">
        <v>185.9</v>
      </c>
      <c r="E102" s="64">
        <v>6.42</v>
      </c>
      <c r="F102" s="64">
        <v>8.01</v>
      </c>
      <c r="G102" s="64">
        <v>173.69</v>
      </c>
      <c r="H102" s="64">
        <v>38.11</v>
      </c>
      <c r="I102" s="64">
        <v>3.98</v>
      </c>
      <c r="J102" s="64">
        <v>0.68</v>
      </c>
      <c r="K102" s="64">
        <v>0.76</v>
      </c>
      <c r="L102" s="64">
        <v>18.32</v>
      </c>
      <c r="M102" s="64">
        <v>47.17</v>
      </c>
      <c r="N102" s="64">
        <v>61.6</v>
      </c>
      <c r="O102" s="64">
        <v>0</v>
      </c>
      <c r="P102" s="64">
        <v>2.16</v>
      </c>
      <c r="Q102" s="64">
        <v>9.77</v>
      </c>
      <c r="R102" s="198"/>
      <c r="S102" s="198"/>
      <c r="T102" s="198"/>
      <c r="U102" s="198"/>
    </row>
    <row r="103" spans="1:33" s="12" customFormat="1" x14ac:dyDescent="0.25">
      <c r="A103" s="247" t="s">
        <v>1010</v>
      </c>
      <c r="B103" s="64">
        <v>155.32</v>
      </c>
      <c r="C103" s="64">
        <v>123.07</v>
      </c>
      <c r="D103" s="64">
        <v>188.86</v>
      </c>
      <c r="E103" s="64">
        <v>6.94</v>
      </c>
      <c r="F103" s="64">
        <v>7.85</v>
      </c>
      <c r="G103" s="64">
        <v>173.69</v>
      </c>
      <c r="H103" s="64">
        <v>38.11</v>
      </c>
      <c r="I103" s="64">
        <v>3.91</v>
      </c>
      <c r="J103" s="64">
        <v>0.28999999999999998</v>
      </c>
      <c r="K103" s="64">
        <v>177.95</v>
      </c>
      <c r="L103" s="64">
        <v>18.12</v>
      </c>
      <c r="M103" s="64">
        <v>43.77</v>
      </c>
      <c r="N103" s="64">
        <v>61.3</v>
      </c>
      <c r="O103" s="64">
        <v>0</v>
      </c>
      <c r="P103" s="64">
        <v>2</v>
      </c>
      <c r="Q103" s="64">
        <v>9.8000000000000007</v>
      </c>
      <c r="R103" s="198"/>
      <c r="S103" s="198"/>
      <c r="T103" s="198"/>
      <c r="U103" s="198"/>
    </row>
    <row r="104" spans="1:33" s="12" customFormat="1" x14ac:dyDescent="0.25">
      <c r="A104" s="247" t="s">
        <v>1011</v>
      </c>
      <c r="B104" s="64">
        <v>132.66999999999999</v>
      </c>
      <c r="C104" s="64">
        <v>96.49</v>
      </c>
      <c r="D104" s="64">
        <v>156.80000000000001</v>
      </c>
      <c r="E104" s="64">
        <v>4.68</v>
      </c>
      <c r="F104" s="64">
        <v>6.31</v>
      </c>
      <c r="G104" s="64">
        <v>170.6</v>
      </c>
      <c r="H104" s="64">
        <v>34.229999999999997</v>
      </c>
      <c r="I104" s="64">
        <v>4.0599999999999996</v>
      </c>
      <c r="J104" s="64">
        <v>0.45</v>
      </c>
      <c r="K104" s="64">
        <v>320.33</v>
      </c>
      <c r="L104" s="64">
        <v>17.940000000000001</v>
      </c>
      <c r="M104" s="64">
        <v>47.16</v>
      </c>
      <c r="N104" s="64">
        <v>61.4</v>
      </c>
      <c r="O104" s="64">
        <v>0</v>
      </c>
      <c r="P104" s="64">
        <v>1.92</v>
      </c>
      <c r="Q104" s="64">
        <v>9.82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4.07</v>
      </c>
      <c r="C106" s="67">
        <f>MIN(C9:C104)</f>
        <v>42.93</v>
      </c>
      <c r="D106" s="67">
        <f t="shared" ref="D106:Q106" si="0">MIN(D9:D104)</f>
        <v>25.72</v>
      </c>
      <c r="E106" s="67">
        <f t="shared" si="0"/>
        <v>3.25</v>
      </c>
      <c r="F106" s="67">
        <f t="shared" si="0"/>
        <v>6.31</v>
      </c>
      <c r="G106" s="67">
        <f t="shared" si="0"/>
        <v>33.78</v>
      </c>
      <c r="H106" s="67">
        <f t="shared" si="0"/>
        <v>1.92</v>
      </c>
      <c r="I106" s="67">
        <f t="shared" si="0"/>
        <v>3.77</v>
      </c>
      <c r="J106" s="67">
        <f t="shared" si="0"/>
        <v>0.1</v>
      </c>
      <c r="K106" s="67">
        <f t="shared" si="0"/>
        <v>0.76</v>
      </c>
      <c r="L106" s="67">
        <f t="shared" si="0"/>
        <v>14.06</v>
      </c>
      <c r="M106" s="67">
        <f t="shared" si="0"/>
        <v>9.7799999999999994</v>
      </c>
      <c r="N106" s="67">
        <f t="shared" si="0"/>
        <v>59.7</v>
      </c>
      <c r="O106" s="67">
        <f t="shared" si="0"/>
        <v>0</v>
      </c>
      <c r="P106" s="67">
        <f t="shared" si="0"/>
        <v>0.39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231.82</v>
      </c>
      <c r="C107" s="66">
        <f t="shared" ref="C107:Q107" si="1">MAX(C9:C104)</f>
        <v>137.35</v>
      </c>
      <c r="D107" s="66">
        <f t="shared" si="1"/>
        <v>257.66000000000003</v>
      </c>
      <c r="E107" s="66">
        <f t="shared" si="1"/>
        <v>14.97</v>
      </c>
      <c r="F107" s="66">
        <f t="shared" si="1"/>
        <v>47.77</v>
      </c>
      <c r="G107" s="66">
        <f t="shared" si="1"/>
        <v>173.94</v>
      </c>
      <c r="H107" s="66">
        <f t="shared" si="1"/>
        <v>156.86000000000001</v>
      </c>
      <c r="I107" s="66">
        <f t="shared" si="1"/>
        <v>4.1900000000000004</v>
      </c>
      <c r="J107" s="66">
        <f t="shared" si="1"/>
        <v>2.13</v>
      </c>
      <c r="K107" s="66">
        <f t="shared" si="1"/>
        <v>359.08</v>
      </c>
      <c r="L107" s="66">
        <f t="shared" si="1"/>
        <v>34.22</v>
      </c>
      <c r="M107" s="66">
        <f t="shared" si="1"/>
        <v>50.15</v>
      </c>
      <c r="N107" s="66">
        <f t="shared" si="1"/>
        <v>850.3</v>
      </c>
      <c r="O107" s="66">
        <f t="shared" si="1"/>
        <v>0</v>
      </c>
      <c r="P107" s="66">
        <f t="shared" si="1"/>
        <v>2.58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39.140625000000007</v>
      </c>
      <c r="C108" s="67">
        <f t="shared" ref="C108:Q108" si="2">AVERAGE(C9:C104)</f>
        <v>78.82708333333332</v>
      </c>
      <c r="D108" s="67">
        <f t="shared" si="2"/>
        <v>72.572395833333275</v>
      </c>
      <c r="E108" s="67">
        <f t="shared" si="2"/>
        <v>6.169999999999999</v>
      </c>
      <c r="F108" s="67">
        <f t="shared" si="2"/>
        <v>13.325624999999995</v>
      </c>
      <c r="G108" s="67">
        <f t="shared" si="2"/>
        <v>83.406979166666645</v>
      </c>
      <c r="H108" s="67">
        <f t="shared" si="2"/>
        <v>34.621770833333365</v>
      </c>
      <c r="I108" s="67">
        <f t="shared" si="2"/>
        <v>3.9935416666666659</v>
      </c>
      <c r="J108" s="67">
        <f t="shared" si="2"/>
        <v>0.71364583333333342</v>
      </c>
      <c r="K108" s="67">
        <f t="shared" si="2"/>
        <v>219.74510416666666</v>
      </c>
      <c r="L108" s="67">
        <f t="shared" si="2"/>
        <v>22.872395833333332</v>
      </c>
      <c r="M108" s="67">
        <f t="shared" si="2"/>
        <v>28.368541666666683</v>
      </c>
      <c r="N108" s="67">
        <f t="shared" si="2"/>
        <v>271.16250000000008</v>
      </c>
      <c r="O108" s="67">
        <f t="shared" si="2"/>
        <v>0</v>
      </c>
      <c r="P108" s="67">
        <f t="shared" si="2"/>
        <v>1.0425</v>
      </c>
      <c r="Q108" s="67">
        <f t="shared" si="2"/>
        <v>9.5046875000000028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43.403863854500315</v>
      </c>
      <c r="C109" s="67">
        <f t="shared" ref="C109:Q109" si="3">STDEV(C9:C104)</f>
        <v>22.512884727904829</v>
      </c>
      <c r="D109" s="67">
        <f t="shared" si="3"/>
        <v>44.143041526974585</v>
      </c>
      <c r="E109" s="67">
        <f t="shared" si="3"/>
        <v>2.2204499306980221</v>
      </c>
      <c r="F109" s="67">
        <f t="shared" si="3"/>
        <v>7.8611024822757694</v>
      </c>
      <c r="G109" s="67">
        <f t="shared" si="3"/>
        <v>42.466107727402509</v>
      </c>
      <c r="H109" s="67">
        <f t="shared" si="3"/>
        <v>28.745794017094806</v>
      </c>
      <c r="I109" s="67">
        <f t="shared" si="3"/>
        <v>8.7647369632572344E-2</v>
      </c>
      <c r="J109" s="67">
        <f t="shared" si="3"/>
        <v>0.38630263508963136</v>
      </c>
      <c r="K109" s="67">
        <f t="shared" si="3"/>
        <v>110.08592838032222</v>
      </c>
      <c r="L109" s="67">
        <f t="shared" si="3"/>
        <v>6.6901295314014666</v>
      </c>
      <c r="M109" s="67">
        <f t="shared" si="3"/>
        <v>11.969936286086961</v>
      </c>
      <c r="N109" s="67">
        <f t="shared" si="3"/>
        <v>289.05830489985749</v>
      </c>
      <c r="O109" s="67">
        <f t="shared" si="3"/>
        <v>0</v>
      </c>
      <c r="P109" s="67">
        <f t="shared" si="3"/>
        <v>0.47856364038102317</v>
      </c>
      <c r="Q109" s="67">
        <f t="shared" si="3"/>
        <v>0.18239894462413989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1012</v>
      </c>
      <c r="B9" s="64">
        <v>124.6</v>
      </c>
      <c r="C9" s="64">
        <v>92.82</v>
      </c>
      <c r="D9" s="64">
        <v>148.41</v>
      </c>
      <c r="E9" s="64">
        <v>4.75</v>
      </c>
      <c r="F9" s="64">
        <v>6.69</v>
      </c>
      <c r="G9" s="64">
        <v>162.09</v>
      </c>
      <c r="H9" s="64">
        <v>23.56</v>
      </c>
      <c r="I9" s="64">
        <v>3.91</v>
      </c>
      <c r="J9" s="64">
        <v>0.31</v>
      </c>
      <c r="K9" s="64">
        <v>290.20999999999998</v>
      </c>
      <c r="L9" s="64">
        <v>17.489999999999998</v>
      </c>
      <c r="M9" s="64">
        <v>48.99</v>
      </c>
      <c r="N9" s="64">
        <v>61.5</v>
      </c>
      <c r="O9" s="64">
        <v>0</v>
      </c>
      <c r="P9" s="64">
        <v>1.9</v>
      </c>
      <c r="Q9" s="64">
        <v>9.84</v>
      </c>
      <c r="R9" s="198"/>
      <c r="S9" s="198"/>
      <c r="T9" s="198"/>
      <c r="U9" s="198"/>
    </row>
    <row r="10" spans="1:21" s="12" customFormat="1" x14ac:dyDescent="0.25">
      <c r="A10" s="247" t="s">
        <v>1013</v>
      </c>
      <c r="B10" s="64">
        <v>118.84</v>
      </c>
      <c r="C10" s="64">
        <v>98.76</v>
      </c>
      <c r="D10" s="64">
        <v>146.9</v>
      </c>
      <c r="E10" s="64">
        <v>5.26</v>
      </c>
      <c r="F10" s="64">
        <v>6.98</v>
      </c>
      <c r="G10" s="64">
        <v>162.09</v>
      </c>
      <c r="H10" s="64">
        <v>23.56</v>
      </c>
      <c r="I10" s="64">
        <v>4.0199999999999996</v>
      </c>
      <c r="J10" s="64">
        <v>0.42</v>
      </c>
      <c r="K10" s="64">
        <v>295.41000000000003</v>
      </c>
      <c r="L10" s="64">
        <v>17.5</v>
      </c>
      <c r="M10" s="64">
        <v>47.9</v>
      </c>
      <c r="N10" s="64">
        <v>61.4</v>
      </c>
      <c r="O10" s="64">
        <v>0</v>
      </c>
      <c r="P10" s="64">
        <v>1.84</v>
      </c>
      <c r="Q10" s="64">
        <v>9.83</v>
      </c>
      <c r="R10" s="198"/>
      <c r="S10" s="198"/>
      <c r="T10" s="198"/>
      <c r="U10" s="198"/>
    </row>
    <row r="11" spans="1:21" s="12" customFormat="1" x14ac:dyDescent="0.25">
      <c r="A11" s="247" t="s">
        <v>1014</v>
      </c>
      <c r="B11" s="64">
        <v>121.81</v>
      </c>
      <c r="C11" s="64">
        <v>94.79</v>
      </c>
      <c r="D11" s="64">
        <v>147.21</v>
      </c>
      <c r="E11" s="64">
        <v>4.9400000000000004</v>
      </c>
      <c r="F11" s="64">
        <v>6.41</v>
      </c>
      <c r="G11" s="64">
        <v>162.09</v>
      </c>
      <c r="H11" s="64">
        <v>23.56</v>
      </c>
      <c r="I11" s="64">
        <v>4.04</v>
      </c>
      <c r="J11" s="64">
        <v>0.57999999999999996</v>
      </c>
      <c r="K11" s="64">
        <v>343.59</v>
      </c>
      <c r="L11" s="64">
        <v>17.190000000000001</v>
      </c>
      <c r="M11" s="64">
        <v>52.57</v>
      </c>
      <c r="N11" s="64">
        <v>61.5</v>
      </c>
      <c r="O11" s="64">
        <v>0</v>
      </c>
      <c r="P11" s="64">
        <v>1.9</v>
      </c>
      <c r="Q11" s="64">
        <v>9.85</v>
      </c>
      <c r="R11" s="198"/>
      <c r="S11" s="198"/>
      <c r="T11" s="198"/>
      <c r="U11" s="198"/>
    </row>
    <row r="12" spans="1:21" s="12" customFormat="1" x14ac:dyDescent="0.25">
      <c r="A12" s="247" t="s">
        <v>1015</v>
      </c>
      <c r="B12" s="64">
        <v>121.85</v>
      </c>
      <c r="C12" s="64">
        <v>98.34</v>
      </c>
      <c r="D12" s="64">
        <v>149.09</v>
      </c>
      <c r="E12" s="64">
        <v>4.8600000000000003</v>
      </c>
      <c r="F12" s="64">
        <v>5.36</v>
      </c>
      <c r="G12" s="64">
        <v>161.02000000000001</v>
      </c>
      <c r="H12" s="64">
        <v>30.71</v>
      </c>
      <c r="I12" s="64">
        <v>3.9</v>
      </c>
      <c r="J12" s="64">
        <v>0.57999999999999996</v>
      </c>
      <c r="K12" s="64">
        <v>323.62</v>
      </c>
      <c r="L12" s="64">
        <v>16.96</v>
      </c>
      <c r="M12" s="64">
        <v>49.93</v>
      </c>
      <c r="N12" s="64">
        <v>61.3</v>
      </c>
      <c r="O12" s="64">
        <v>0</v>
      </c>
      <c r="P12" s="64">
        <v>1.81</v>
      </c>
      <c r="Q12" s="64">
        <v>9.85</v>
      </c>
      <c r="R12" s="198"/>
      <c r="S12" s="198"/>
      <c r="T12" s="198"/>
      <c r="U12" s="198"/>
    </row>
    <row r="13" spans="1:21" s="12" customFormat="1" x14ac:dyDescent="0.25">
      <c r="A13" s="247" t="s">
        <v>1016</v>
      </c>
      <c r="B13" s="64">
        <v>110.15</v>
      </c>
      <c r="C13" s="64">
        <v>85.73</v>
      </c>
      <c r="D13" s="64">
        <v>133.12</v>
      </c>
      <c r="E13" s="64">
        <v>4.63</v>
      </c>
      <c r="F13" s="64">
        <v>7.87</v>
      </c>
      <c r="G13" s="64">
        <v>158.07</v>
      </c>
      <c r="H13" s="64">
        <v>50.38</v>
      </c>
      <c r="I13" s="64">
        <v>3.86</v>
      </c>
      <c r="J13" s="64">
        <v>0.56999999999999995</v>
      </c>
      <c r="K13" s="64">
        <v>313.10000000000002</v>
      </c>
      <c r="L13" s="64">
        <v>17.7</v>
      </c>
      <c r="M13" s="64">
        <v>43.17</v>
      </c>
      <c r="N13" s="64">
        <v>60.9</v>
      </c>
      <c r="O13" s="64">
        <v>0</v>
      </c>
      <c r="P13" s="64">
        <v>1.52</v>
      </c>
      <c r="Q13" s="64">
        <v>9.89</v>
      </c>
      <c r="R13" s="198"/>
      <c r="S13" s="198"/>
      <c r="T13" s="198"/>
      <c r="U13" s="198"/>
    </row>
    <row r="14" spans="1:21" s="12" customFormat="1" x14ac:dyDescent="0.25">
      <c r="A14" s="247" t="s">
        <v>1017</v>
      </c>
      <c r="B14" s="64">
        <v>109.92</v>
      </c>
      <c r="C14" s="64">
        <v>84.88</v>
      </c>
      <c r="D14" s="64">
        <v>132.49</v>
      </c>
      <c r="E14" s="64">
        <v>4.51</v>
      </c>
      <c r="F14" s="64">
        <v>7.13</v>
      </c>
      <c r="G14" s="64">
        <v>158.07</v>
      </c>
      <c r="H14" s="64">
        <v>50.38</v>
      </c>
      <c r="I14" s="64">
        <v>3.86</v>
      </c>
      <c r="J14" s="64">
        <v>0.14000000000000001</v>
      </c>
      <c r="K14" s="64">
        <v>339.95</v>
      </c>
      <c r="L14" s="64">
        <v>17.329999999999998</v>
      </c>
      <c r="M14" s="64">
        <v>46.56</v>
      </c>
      <c r="N14" s="64">
        <v>60.4</v>
      </c>
      <c r="O14" s="64">
        <v>0</v>
      </c>
      <c r="P14" s="64">
        <v>1.61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47" t="s">
        <v>1018</v>
      </c>
      <c r="B15" s="64">
        <v>101</v>
      </c>
      <c r="C15" s="64">
        <v>84.61</v>
      </c>
      <c r="D15" s="64">
        <v>125.2</v>
      </c>
      <c r="E15" s="64">
        <v>4.3499999999999996</v>
      </c>
      <c r="F15" s="64">
        <v>7.16</v>
      </c>
      <c r="G15" s="64">
        <v>158.07</v>
      </c>
      <c r="H15" s="64">
        <v>50.38</v>
      </c>
      <c r="I15" s="64">
        <v>4.12</v>
      </c>
      <c r="J15" s="64">
        <v>1.02</v>
      </c>
      <c r="K15" s="64">
        <v>15.94</v>
      </c>
      <c r="L15" s="64">
        <v>18.02</v>
      </c>
      <c r="M15" s="64">
        <v>40.369999999999997</v>
      </c>
      <c r="N15" s="64">
        <v>59.9</v>
      </c>
      <c r="O15" s="64">
        <v>0</v>
      </c>
      <c r="P15" s="64">
        <v>1.55</v>
      </c>
      <c r="Q15" s="64">
        <v>9.9</v>
      </c>
      <c r="R15" s="198"/>
      <c r="S15" s="198"/>
      <c r="T15" s="198"/>
      <c r="U15" s="198"/>
    </row>
    <row r="16" spans="1:21" s="12" customFormat="1" x14ac:dyDescent="0.25">
      <c r="A16" s="247" t="s">
        <v>1019</v>
      </c>
      <c r="B16" s="64">
        <v>86.12</v>
      </c>
      <c r="C16" s="64">
        <v>78.87</v>
      </c>
      <c r="D16" s="64">
        <v>110.27</v>
      </c>
      <c r="E16" s="64">
        <v>5.04</v>
      </c>
      <c r="F16" s="64">
        <v>10.029999999999999</v>
      </c>
      <c r="G16" s="64">
        <v>136.29</v>
      </c>
      <c r="H16" s="64">
        <v>44.81</v>
      </c>
      <c r="I16" s="64">
        <v>4.01</v>
      </c>
      <c r="J16" s="64">
        <v>0.39</v>
      </c>
      <c r="K16" s="64">
        <v>1.77</v>
      </c>
      <c r="L16" s="64">
        <v>18.59</v>
      </c>
      <c r="M16" s="64">
        <v>34.51</v>
      </c>
      <c r="N16" s="64">
        <v>61.3</v>
      </c>
      <c r="O16" s="64">
        <v>0</v>
      </c>
      <c r="P16" s="64">
        <v>1.42</v>
      </c>
      <c r="Q16" s="64">
        <v>9.8800000000000008</v>
      </c>
      <c r="R16" s="198"/>
      <c r="S16" s="198"/>
      <c r="T16" s="198"/>
      <c r="U16" s="198"/>
    </row>
    <row r="17" spans="1:21" s="12" customFormat="1" x14ac:dyDescent="0.25">
      <c r="A17" s="247" t="s">
        <v>1020</v>
      </c>
      <c r="B17" s="64">
        <v>74.48</v>
      </c>
      <c r="C17" s="64">
        <v>77.88</v>
      </c>
      <c r="D17" s="64">
        <v>100.42</v>
      </c>
      <c r="E17" s="64">
        <v>4.93</v>
      </c>
      <c r="F17" s="64">
        <v>10.74</v>
      </c>
      <c r="G17" s="64">
        <v>76.400000000000006</v>
      </c>
      <c r="H17" s="64">
        <v>29.48</v>
      </c>
      <c r="I17" s="64">
        <v>3.98</v>
      </c>
      <c r="J17" s="64">
        <v>0.19</v>
      </c>
      <c r="K17" s="64">
        <v>54.96</v>
      </c>
      <c r="L17" s="64">
        <v>18.48</v>
      </c>
      <c r="M17" s="64">
        <v>34.479999999999997</v>
      </c>
      <c r="N17" s="64">
        <v>61.4</v>
      </c>
      <c r="O17" s="64">
        <v>0</v>
      </c>
      <c r="P17" s="64">
        <v>1.33</v>
      </c>
      <c r="Q17" s="64">
        <v>9.8800000000000008</v>
      </c>
      <c r="R17" s="198"/>
      <c r="S17" s="198"/>
      <c r="T17" s="198"/>
      <c r="U17" s="198"/>
    </row>
    <row r="18" spans="1:21" s="12" customFormat="1" x14ac:dyDescent="0.25">
      <c r="A18" s="247" t="s">
        <v>1021</v>
      </c>
      <c r="B18" s="64">
        <v>58.18</v>
      </c>
      <c r="C18" s="64">
        <v>71.62</v>
      </c>
      <c r="D18" s="64">
        <v>84.08</v>
      </c>
      <c r="E18" s="64">
        <v>6.07</v>
      </c>
      <c r="F18" s="64">
        <v>14.23</v>
      </c>
      <c r="G18" s="64">
        <v>76.400000000000006</v>
      </c>
      <c r="H18" s="64">
        <v>29.48</v>
      </c>
      <c r="I18" s="64">
        <v>3.83</v>
      </c>
      <c r="J18" s="64">
        <v>0.25</v>
      </c>
      <c r="K18" s="64">
        <v>224.17</v>
      </c>
      <c r="L18" s="64">
        <v>17.989999999999998</v>
      </c>
      <c r="M18" s="64">
        <v>37.159999999999997</v>
      </c>
      <c r="N18" s="64">
        <v>61.6</v>
      </c>
      <c r="O18" s="64">
        <v>0</v>
      </c>
      <c r="P18" s="64">
        <v>1.18</v>
      </c>
      <c r="Q18" s="64">
        <v>9.86</v>
      </c>
      <c r="R18" s="198"/>
      <c r="S18" s="198"/>
      <c r="T18" s="198"/>
      <c r="U18" s="198"/>
    </row>
    <row r="19" spans="1:21" s="12" customFormat="1" x14ac:dyDescent="0.25">
      <c r="A19" s="247" t="s">
        <v>1022</v>
      </c>
      <c r="B19" s="64">
        <v>59.17</v>
      </c>
      <c r="C19" s="64">
        <v>73.489999999999995</v>
      </c>
      <c r="D19" s="64">
        <v>85.84</v>
      </c>
      <c r="E19" s="64">
        <v>6.54</v>
      </c>
      <c r="F19" s="64">
        <v>12.16</v>
      </c>
      <c r="G19" s="64">
        <v>76.400000000000006</v>
      </c>
      <c r="H19" s="64">
        <v>29.48</v>
      </c>
      <c r="I19" s="64">
        <v>4.09</v>
      </c>
      <c r="J19" s="64">
        <v>0.69</v>
      </c>
      <c r="K19" s="64">
        <v>242.06</v>
      </c>
      <c r="L19" s="64">
        <v>17.79</v>
      </c>
      <c r="M19" s="64">
        <v>39.130000000000003</v>
      </c>
      <c r="N19" s="64">
        <v>61.4</v>
      </c>
      <c r="O19" s="64">
        <v>0</v>
      </c>
      <c r="P19" s="64">
        <v>1.19</v>
      </c>
      <c r="Q19" s="64">
        <v>9.86</v>
      </c>
      <c r="R19" s="198"/>
      <c r="S19" s="198"/>
      <c r="T19" s="198"/>
      <c r="U19" s="198"/>
    </row>
    <row r="20" spans="1:21" s="12" customFormat="1" x14ac:dyDescent="0.25">
      <c r="A20" s="247" t="s">
        <v>1023</v>
      </c>
      <c r="B20" s="64">
        <v>55.07</v>
      </c>
      <c r="C20" s="64">
        <v>70.95</v>
      </c>
      <c r="D20" s="64">
        <v>81.23</v>
      </c>
      <c r="E20" s="64">
        <v>6.84</v>
      </c>
      <c r="F20" s="64">
        <v>11.46</v>
      </c>
      <c r="G20" s="64">
        <v>77.87</v>
      </c>
      <c r="H20" s="64">
        <v>29.53</v>
      </c>
      <c r="I20" s="64">
        <v>3.99</v>
      </c>
      <c r="J20" s="64">
        <v>0.46</v>
      </c>
      <c r="K20" s="64">
        <v>249.29</v>
      </c>
      <c r="L20" s="64">
        <v>17.559999999999999</v>
      </c>
      <c r="M20" s="64">
        <v>40.1</v>
      </c>
      <c r="N20" s="64">
        <v>61.5</v>
      </c>
      <c r="O20" s="64">
        <v>0</v>
      </c>
      <c r="P20" s="64">
        <v>1.1399999999999999</v>
      </c>
      <c r="Q20" s="64">
        <v>9.84</v>
      </c>
      <c r="R20" s="198"/>
      <c r="S20" s="198"/>
      <c r="T20" s="198"/>
      <c r="U20" s="198"/>
    </row>
    <row r="21" spans="1:21" s="12" customFormat="1" x14ac:dyDescent="0.25">
      <c r="A21" s="247" t="s">
        <v>1024</v>
      </c>
      <c r="B21" s="64">
        <v>58.33</v>
      </c>
      <c r="C21" s="64">
        <v>71.73</v>
      </c>
      <c r="D21" s="64">
        <v>84.26</v>
      </c>
      <c r="E21" s="64">
        <v>5.84</v>
      </c>
      <c r="F21" s="64">
        <v>9.18</v>
      </c>
      <c r="G21" s="64">
        <v>81.900000000000006</v>
      </c>
      <c r="H21" s="64">
        <v>29.66</v>
      </c>
      <c r="I21" s="64">
        <v>4.07</v>
      </c>
      <c r="J21" s="64">
        <v>0.47</v>
      </c>
      <c r="K21" s="64">
        <v>254.67</v>
      </c>
      <c r="L21" s="64">
        <v>17.02</v>
      </c>
      <c r="M21" s="64">
        <v>44.37</v>
      </c>
      <c r="N21" s="64">
        <v>61.7</v>
      </c>
      <c r="O21" s="64">
        <v>0</v>
      </c>
      <c r="P21" s="64">
        <v>1.19</v>
      </c>
      <c r="Q21" s="64">
        <v>9.84</v>
      </c>
      <c r="R21" s="198"/>
      <c r="S21" s="198"/>
      <c r="T21" s="198"/>
      <c r="U21" s="198"/>
    </row>
    <row r="22" spans="1:21" s="12" customFormat="1" x14ac:dyDescent="0.25">
      <c r="A22" s="247" t="s">
        <v>1025</v>
      </c>
      <c r="B22" s="64">
        <v>62.59</v>
      </c>
      <c r="C22" s="64">
        <v>72.36</v>
      </c>
      <c r="D22" s="64">
        <v>88</v>
      </c>
      <c r="E22" s="64">
        <v>4.96</v>
      </c>
      <c r="F22" s="64">
        <v>8.84</v>
      </c>
      <c r="G22" s="64">
        <v>81.900000000000006</v>
      </c>
      <c r="H22" s="64">
        <v>29.66</v>
      </c>
      <c r="I22" s="64">
        <v>4</v>
      </c>
      <c r="J22" s="64">
        <v>0.05</v>
      </c>
      <c r="K22" s="64">
        <v>342.7</v>
      </c>
      <c r="L22" s="64">
        <v>16.55</v>
      </c>
      <c r="M22" s="64">
        <v>47.51</v>
      </c>
      <c r="N22" s="64">
        <v>61.7</v>
      </c>
      <c r="O22" s="64">
        <v>0</v>
      </c>
      <c r="P22" s="64">
        <v>1.22</v>
      </c>
      <c r="Q22" s="64">
        <v>9.81</v>
      </c>
      <c r="R22" s="198"/>
      <c r="S22" s="198"/>
      <c r="T22" s="198"/>
      <c r="U22" s="198"/>
    </row>
    <row r="23" spans="1:21" s="12" customFormat="1" x14ac:dyDescent="0.25">
      <c r="A23" s="247" t="s">
        <v>1026</v>
      </c>
      <c r="B23" s="64">
        <v>61.37</v>
      </c>
      <c r="C23" s="64">
        <v>74.760000000000005</v>
      </c>
      <c r="D23" s="64">
        <v>88.27</v>
      </c>
      <c r="E23" s="64">
        <v>4.8099999999999996</v>
      </c>
      <c r="F23" s="64">
        <v>7.42</v>
      </c>
      <c r="G23" s="64">
        <v>81.900000000000006</v>
      </c>
      <c r="H23" s="64">
        <v>29.66</v>
      </c>
      <c r="I23" s="64">
        <v>3.93</v>
      </c>
      <c r="J23" s="64">
        <v>0.7</v>
      </c>
      <c r="K23" s="64">
        <v>341.19</v>
      </c>
      <c r="L23" s="64">
        <v>16.04</v>
      </c>
      <c r="M23" s="64">
        <v>50.72</v>
      </c>
      <c r="N23" s="64">
        <v>61.7</v>
      </c>
      <c r="O23" s="64">
        <v>0</v>
      </c>
      <c r="P23" s="64">
        <v>1.1499999999999999</v>
      </c>
      <c r="Q23" s="64">
        <v>9.81</v>
      </c>
      <c r="R23" s="198"/>
      <c r="S23" s="198"/>
      <c r="T23" s="198"/>
      <c r="U23" s="198"/>
    </row>
    <row r="24" spans="1:21" s="12" customFormat="1" x14ac:dyDescent="0.25">
      <c r="A24" s="247" t="s">
        <v>1027</v>
      </c>
      <c r="B24" s="64">
        <v>60.51</v>
      </c>
      <c r="C24" s="64">
        <v>79.3</v>
      </c>
      <c r="D24" s="64">
        <v>89.96</v>
      </c>
      <c r="E24" s="64">
        <v>4.99</v>
      </c>
      <c r="F24" s="64">
        <v>7.72</v>
      </c>
      <c r="G24" s="64">
        <v>98.92</v>
      </c>
      <c r="H24" s="64">
        <v>31.18</v>
      </c>
      <c r="I24" s="64">
        <v>4.17</v>
      </c>
      <c r="J24" s="64">
        <v>0.19</v>
      </c>
      <c r="K24" s="64">
        <v>40.33</v>
      </c>
      <c r="L24" s="64">
        <v>15.73</v>
      </c>
      <c r="M24" s="64">
        <v>54.28</v>
      </c>
      <c r="N24" s="64">
        <v>61.6</v>
      </c>
      <c r="O24" s="64">
        <v>0</v>
      </c>
      <c r="P24" s="64">
        <v>1.1200000000000001</v>
      </c>
      <c r="Q24" s="64">
        <v>9.77</v>
      </c>
      <c r="R24" s="198"/>
      <c r="S24" s="198"/>
      <c r="T24" s="198"/>
      <c r="U24" s="198"/>
    </row>
    <row r="25" spans="1:21" s="12" customFormat="1" x14ac:dyDescent="0.25">
      <c r="A25" s="247" t="s">
        <v>1028</v>
      </c>
      <c r="B25" s="64">
        <v>57.28</v>
      </c>
      <c r="C25" s="64">
        <v>71.81</v>
      </c>
      <c r="D25" s="64">
        <v>83.45</v>
      </c>
      <c r="E25" s="64">
        <v>5.55</v>
      </c>
      <c r="F25" s="64">
        <v>8.81</v>
      </c>
      <c r="G25" s="64">
        <v>145.71</v>
      </c>
      <c r="H25" s="64">
        <v>35.380000000000003</v>
      </c>
      <c r="I25" s="64">
        <v>4.0999999999999996</v>
      </c>
      <c r="J25" s="64">
        <v>0.25</v>
      </c>
      <c r="K25" s="64">
        <v>290.44</v>
      </c>
      <c r="L25" s="64">
        <v>16.170000000000002</v>
      </c>
      <c r="M25" s="64">
        <v>47.58</v>
      </c>
      <c r="N25" s="64">
        <v>61.2</v>
      </c>
      <c r="O25" s="64">
        <v>0</v>
      </c>
      <c r="P25" s="64">
        <v>1.1299999999999999</v>
      </c>
      <c r="Q25" s="64">
        <v>9.75</v>
      </c>
      <c r="R25" s="198"/>
      <c r="S25" s="198"/>
      <c r="T25" s="198"/>
      <c r="U25" s="198"/>
    </row>
    <row r="26" spans="1:21" s="12" customFormat="1" x14ac:dyDescent="0.25">
      <c r="A26" s="247" t="s">
        <v>1029</v>
      </c>
      <c r="B26" s="64">
        <v>68.239999999999995</v>
      </c>
      <c r="C26" s="64">
        <v>70.739999999999995</v>
      </c>
      <c r="D26" s="64">
        <v>91.68</v>
      </c>
      <c r="E26" s="64">
        <v>4.03</v>
      </c>
      <c r="F26" s="64">
        <v>6.71</v>
      </c>
      <c r="G26" s="64">
        <v>145.71</v>
      </c>
      <c r="H26" s="64">
        <v>35.380000000000003</v>
      </c>
      <c r="I26" s="64">
        <v>4.0199999999999996</v>
      </c>
      <c r="J26" s="64">
        <v>0.46</v>
      </c>
      <c r="K26" s="64">
        <v>328.51</v>
      </c>
      <c r="L26" s="64">
        <v>16.809999999999999</v>
      </c>
      <c r="M26" s="64">
        <v>46.04</v>
      </c>
      <c r="N26" s="64">
        <v>60.9</v>
      </c>
      <c r="O26" s="64">
        <v>0</v>
      </c>
      <c r="P26" s="64">
        <v>1.24</v>
      </c>
      <c r="Q26" s="64">
        <v>9.76</v>
      </c>
      <c r="R26" s="198"/>
      <c r="S26" s="198"/>
      <c r="T26" s="198"/>
      <c r="U26" s="198"/>
    </row>
    <row r="27" spans="1:21" s="12" customFormat="1" x14ac:dyDescent="0.25">
      <c r="A27" s="247" t="s">
        <v>1030</v>
      </c>
      <c r="B27" s="64">
        <v>65.739999999999995</v>
      </c>
      <c r="C27" s="64">
        <v>71.94</v>
      </c>
      <c r="D27" s="64">
        <v>90.3</v>
      </c>
      <c r="E27" s="64">
        <v>4.34</v>
      </c>
      <c r="F27" s="64">
        <v>6.74</v>
      </c>
      <c r="G27" s="64">
        <v>145.71</v>
      </c>
      <c r="H27" s="64">
        <v>35.380000000000003</v>
      </c>
      <c r="I27" s="64">
        <v>4.07</v>
      </c>
      <c r="J27" s="64">
        <v>0.41</v>
      </c>
      <c r="K27" s="64">
        <v>314.29000000000002</v>
      </c>
      <c r="L27" s="64">
        <v>16.239999999999998</v>
      </c>
      <c r="M27" s="64">
        <v>50.1</v>
      </c>
      <c r="N27" s="64">
        <v>61.6</v>
      </c>
      <c r="O27" s="64">
        <v>0</v>
      </c>
      <c r="P27" s="64">
        <v>1.2</v>
      </c>
      <c r="Q27" s="64">
        <v>9.75</v>
      </c>
      <c r="R27" s="198"/>
      <c r="S27" s="198"/>
      <c r="T27" s="198"/>
      <c r="U27" s="198"/>
    </row>
    <row r="28" spans="1:21" s="12" customFormat="1" x14ac:dyDescent="0.25">
      <c r="A28" s="247" t="s">
        <v>1031</v>
      </c>
      <c r="B28" s="64">
        <v>65.44</v>
      </c>
      <c r="C28" s="64">
        <v>72.64</v>
      </c>
      <c r="D28" s="64">
        <v>90.43</v>
      </c>
      <c r="E28" s="64">
        <v>4.3600000000000003</v>
      </c>
      <c r="F28" s="64">
        <v>7.41</v>
      </c>
      <c r="G28" s="64">
        <v>134.1</v>
      </c>
      <c r="H28" s="64">
        <v>34.18</v>
      </c>
      <c r="I28" s="64">
        <v>3.95</v>
      </c>
      <c r="J28" s="64">
        <v>0.44</v>
      </c>
      <c r="K28" s="64">
        <v>211.28</v>
      </c>
      <c r="L28" s="64">
        <v>16.7</v>
      </c>
      <c r="M28" s="64">
        <v>43.03</v>
      </c>
      <c r="N28" s="64">
        <v>61.1</v>
      </c>
      <c r="O28" s="64">
        <v>0</v>
      </c>
      <c r="P28" s="64">
        <v>1.18</v>
      </c>
      <c r="Q28" s="64">
        <v>9.73</v>
      </c>
      <c r="R28" s="198"/>
      <c r="S28" s="198"/>
      <c r="T28" s="198"/>
      <c r="U28" s="198"/>
    </row>
    <row r="29" spans="1:21" s="12" customFormat="1" x14ac:dyDescent="0.25">
      <c r="A29" s="247" t="s">
        <v>1032</v>
      </c>
      <c r="B29" s="64">
        <v>60.86</v>
      </c>
      <c r="C29" s="64">
        <v>73.72</v>
      </c>
      <c r="D29" s="64">
        <v>87.33</v>
      </c>
      <c r="E29" s="64">
        <v>4.7300000000000004</v>
      </c>
      <c r="F29" s="64">
        <v>8.89</v>
      </c>
      <c r="G29" s="64">
        <v>102.19</v>
      </c>
      <c r="H29" s="64">
        <v>30.87</v>
      </c>
      <c r="I29" s="64">
        <v>3.98</v>
      </c>
      <c r="J29" s="64">
        <v>0.23</v>
      </c>
      <c r="K29" s="64">
        <v>308.87</v>
      </c>
      <c r="L29" s="64">
        <v>16.809999999999999</v>
      </c>
      <c r="M29" s="64">
        <v>41.15</v>
      </c>
      <c r="N29" s="64">
        <v>61.8</v>
      </c>
      <c r="O29" s="64">
        <v>0</v>
      </c>
      <c r="P29" s="64">
        <v>1.1399999999999999</v>
      </c>
      <c r="Q29" s="64">
        <v>9.73</v>
      </c>
      <c r="R29" s="198"/>
      <c r="S29" s="198"/>
      <c r="T29" s="198"/>
      <c r="U29" s="198"/>
    </row>
    <row r="30" spans="1:21" s="12" customFormat="1" x14ac:dyDescent="0.25">
      <c r="A30" s="247" t="s">
        <v>1033</v>
      </c>
      <c r="B30" s="64">
        <v>64.34</v>
      </c>
      <c r="C30" s="64">
        <v>75</v>
      </c>
      <c r="D30" s="64">
        <v>90.78</v>
      </c>
      <c r="E30" s="64">
        <v>4.25</v>
      </c>
      <c r="F30" s="64">
        <v>6.89</v>
      </c>
      <c r="G30" s="64">
        <v>102.19</v>
      </c>
      <c r="H30" s="64">
        <v>30.87</v>
      </c>
      <c r="I30" s="64">
        <v>3.87</v>
      </c>
      <c r="J30" s="64">
        <v>0.39</v>
      </c>
      <c r="K30" s="64">
        <v>307.81</v>
      </c>
      <c r="L30" s="64">
        <v>16.18</v>
      </c>
      <c r="M30" s="64">
        <v>46.43</v>
      </c>
      <c r="N30" s="64">
        <v>61.9</v>
      </c>
      <c r="O30" s="64">
        <v>0</v>
      </c>
      <c r="P30" s="64">
        <v>1.17</v>
      </c>
      <c r="Q30" s="64">
        <v>9.73</v>
      </c>
      <c r="R30" s="198"/>
      <c r="S30" s="198"/>
      <c r="T30" s="198"/>
      <c r="U30" s="198"/>
    </row>
    <row r="31" spans="1:21" s="12" customFormat="1" x14ac:dyDescent="0.25">
      <c r="A31" s="247" t="s">
        <v>1034</v>
      </c>
      <c r="B31" s="64">
        <v>65.510000000000005</v>
      </c>
      <c r="C31" s="64">
        <v>75.400000000000006</v>
      </c>
      <c r="D31" s="64">
        <v>91.93</v>
      </c>
      <c r="E31" s="64">
        <v>3.95</v>
      </c>
      <c r="F31" s="64">
        <v>7.15</v>
      </c>
      <c r="G31" s="64">
        <v>102.19</v>
      </c>
      <c r="H31" s="64">
        <v>30.87</v>
      </c>
      <c r="I31" s="64">
        <v>4.08</v>
      </c>
      <c r="J31" s="64">
        <v>0.2</v>
      </c>
      <c r="K31" s="64">
        <v>311.95</v>
      </c>
      <c r="L31" s="64">
        <v>15.89</v>
      </c>
      <c r="M31" s="64">
        <v>46.22</v>
      </c>
      <c r="N31" s="64">
        <v>61.9</v>
      </c>
      <c r="O31" s="64">
        <v>0</v>
      </c>
      <c r="P31" s="64">
        <v>1.1599999999999999</v>
      </c>
      <c r="Q31" s="64">
        <v>9.7200000000000006</v>
      </c>
      <c r="R31" s="198"/>
      <c r="S31" s="198"/>
      <c r="T31" s="198"/>
      <c r="U31" s="198"/>
    </row>
    <row r="32" spans="1:21" s="12" customFormat="1" x14ac:dyDescent="0.25">
      <c r="A32" s="247" t="s">
        <v>1035</v>
      </c>
      <c r="B32" s="64">
        <v>66.11</v>
      </c>
      <c r="C32" s="64">
        <v>74.290000000000006</v>
      </c>
      <c r="D32" s="64">
        <v>91.83</v>
      </c>
      <c r="E32" s="64">
        <v>4.12</v>
      </c>
      <c r="F32" s="64">
        <v>6.9</v>
      </c>
      <c r="G32" s="64">
        <v>106.32</v>
      </c>
      <c r="H32" s="64">
        <v>30.33</v>
      </c>
      <c r="I32" s="64">
        <v>4.09</v>
      </c>
      <c r="J32" s="64">
        <v>0.18</v>
      </c>
      <c r="K32" s="64">
        <v>195.45</v>
      </c>
      <c r="L32" s="64">
        <v>15.86</v>
      </c>
      <c r="M32" s="64">
        <v>46.06</v>
      </c>
      <c r="N32" s="64">
        <v>61.4</v>
      </c>
      <c r="O32" s="64">
        <v>0</v>
      </c>
      <c r="P32" s="64">
        <v>1.1499999999999999</v>
      </c>
      <c r="Q32" s="64">
        <v>9.75</v>
      </c>
      <c r="R32" s="198"/>
      <c r="S32" s="198"/>
      <c r="T32" s="198"/>
      <c r="U32" s="198"/>
    </row>
    <row r="33" spans="1:21" s="12" customFormat="1" x14ac:dyDescent="0.25">
      <c r="A33" s="247" t="s">
        <v>1036</v>
      </c>
      <c r="B33" s="64">
        <v>75.25</v>
      </c>
      <c r="C33" s="64">
        <v>75.349999999999994</v>
      </c>
      <c r="D33" s="64">
        <v>99.71</v>
      </c>
      <c r="E33" s="64">
        <v>4.12</v>
      </c>
      <c r="F33" s="64">
        <v>6.66</v>
      </c>
      <c r="G33" s="64">
        <v>117.68</v>
      </c>
      <c r="H33" s="64">
        <v>28.86</v>
      </c>
      <c r="I33" s="64">
        <v>4.07</v>
      </c>
      <c r="J33" s="64">
        <v>0.23</v>
      </c>
      <c r="K33" s="64">
        <v>315.86</v>
      </c>
      <c r="L33" s="64">
        <v>15.45</v>
      </c>
      <c r="M33" s="64">
        <v>50.51</v>
      </c>
      <c r="N33" s="64">
        <v>63.9</v>
      </c>
      <c r="O33" s="64">
        <v>0</v>
      </c>
      <c r="P33" s="64">
        <v>1.1599999999999999</v>
      </c>
      <c r="Q33" s="64">
        <v>9.75</v>
      </c>
      <c r="R33" s="198"/>
      <c r="S33" s="198"/>
      <c r="T33" s="198"/>
      <c r="U33" s="198"/>
    </row>
    <row r="34" spans="1:21" s="12" customFormat="1" x14ac:dyDescent="0.25">
      <c r="A34" s="247" t="s">
        <v>1037</v>
      </c>
      <c r="B34" s="64">
        <v>84.26</v>
      </c>
      <c r="C34" s="64">
        <v>76.67</v>
      </c>
      <c r="D34" s="64">
        <v>107.63</v>
      </c>
      <c r="E34" s="64">
        <v>3.96</v>
      </c>
      <c r="F34" s="64">
        <v>6.61</v>
      </c>
      <c r="G34" s="64">
        <v>117.68</v>
      </c>
      <c r="H34" s="64">
        <v>28.86</v>
      </c>
      <c r="I34" s="64">
        <v>4.04</v>
      </c>
      <c r="J34" s="64">
        <v>0.15</v>
      </c>
      <c r="K34" s="64">
        <v>325.05</v>
      </c>
      <c r="L34" s="64">
        <v>15.33</v>
      </c>
      <c r="M34" s="64">
        <v>51.37</v>
      </c>
      <c r="N34" s="64">
        <v>71.7</v>
      </c>
      <c r="O34" s="64">
        <v>0</v>
      </c>
      <c r="P34" s="64">
        <v>1.18</v>
      </c>
      <c r="Q34" s="64">
        <v>9.6999999999999993</v>
      </c>
      <c r="R34" s="198"/>
      <c r="S34" s="198"/>
      <c r="T34" s="198"/>
      <c r="U34" s="198"/>
    </row>
    <row r="35" spans="1:21" s="12" customFormat="1" x14ac:dyDescent="0.25">
      <c r="A35" s="247" t="s">
        <v>1038</v>
      </c>
      <c r="B35" s="64">
        <v>103.41</v>
      </c>
      <c r="C35" s="64">
        <v>81.180000000000007</v>
      </c>
      <c r="D35" s="64">
        <v>125.34</v>
      </c>
      <c r="E35" s="64">
        <v>4.26</v>
      </c>
      <c r="F35" s="64">
        <v>6.79</v>
      </c>
      <c r="G35" s="64">
        <v>117.68</v>
      </c>
      <c r="H35" s="64">
        <v>28.86</v>
      </c>
      <c r="I35" s="64">
        <v>4.03</v>
      </c>
      <c r="J35" s="64">
        <v>0.31</v>
      </c>
      <c r="K35" s="64">
        <v>276.41000000000003</v>
      </c>
      <c r="L35" s="64">
        <v>15.66</v>
      </c>
      <c r="M35" s="64">
        <v>51.21</v>
      </c>
      <c r="N35" s="64">
        <v>86.8</v>
      </c>
      <c r="O35" s="64">
        <v>0</v>
      </c>
      <c r="P35" s="64">
        <v>1.25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47" t="s">
        <v>1039</v>
      </c>
      <c r="B36" s="64">
        <v>115.11</v>
      </c>
      <c r="C36" s="64">
        <v>88.65</v>
      </c>
      <c r="D36" s="64">
        <v>138.63</v>
      </c>
      <c r="E36" s="64">
        <v>5.61</v>
      </c>
      <c r="F36" s="64">
        <v>6.88</v>
      </c>
      <c r="G36" s="64">
        <v>127.93</v>
      </c>
      <c r="H36" s="64">
        <v>32.65</v>
      </c>
      <c r="I36" s="64">
        <v>3.92</v>
      </c>
      <c r="J36" s="64">
        <v>0.6</v>
      </c>
      <c r="K36" s="64">
        <v>11.22</v>
      </c>
      <c r="L36" s="64">
        <v>16.45</v>
      </c>
      <c r="M36" s="64">
        <v>49.36</v>
      </c>
      <c r="N36" s="64">
        <v>125</v>
      </c>
      <c r="O36" s="64">
        <v>0</v>
      </c>
      <c r="P36" s="64">
        <v>1.46</v>
      </c>
      <c r="Q36" s="64">
        <v>9.7100000000000009</v>
      </c>
      <c r="R36" s="198"/>
      <c r="S36" s="198"/>
      <c r="T36" s="198"/>
      <c r="U36" s="198"/>
    </row>
    <row r="37" spans="1:21" s="12" customFormat="1" x14ac:dyDescent="0.25">
      <c r="A37" s="247" t="s">
        <v>1040</v>
      </c>
      <c r="B37" s="64">
        <v>105.08</v>
      </c>
      <c r="C37" s="64">
        <v>87.46</v>
      </c>
      <c r="D37" s="64">
        <v>129.96</v>
      </c>
      <c r="E37" s="64">
        <v>6.47</v>
      </c>
      <c r="F37" s="64">
        <v>7.65</v>
      </c>
      <c r="G37" s="64">
        <v>157.76</v>
      </c>
      <c r="H37" s="64">
        <v>43.69</v>
      </c>
      <c r="I37" s="64">
        <v>4.01</v>
      </c>
      <c r="J37" s="64">
        <v>0.67</v>
      </c>
      <c r="K37" s="64">
        <v>355.48</v>
      </c>
      <c r="L37" s="64">
        <v>18.489999999999998</v>
      </c>
      <c r="M37" s="64">
        <v>44.67</v>
      </c>
      <c r="N37" s="64">
        <v>165.8</v>
      </c>
      <c r="O37" s="64">
        <v>0</v>
      </c>
      <c r="P37" s="64">
        <v>1.45</v>
      </c>
      <c r="Q37" s="64">
        <v>9.7899999999999991</v>
      </c>
      <c r="R37" s="198"/>
      <c r="S37" s="198"/>
      <c r="T37" s="198"/>
      <c r="U37" s="198"/>
    </row>
    <row r="38" spans="1:21" s="12" customFormat="1" x14ac:dyDescent="0.25">
      <c r="A38" s="247" t="s">
        <v>1041</v>
      </c>
      <c r="B38" s="64">
        <v>87.34</v>
      </c>
      <c r="C38" s="64">
        <v>78.98</v>
      </c>
      <c r="D38" s="64">
        <v>111.3</v>
      </c>
      <c r="E38" s="64">
        <v>7.36</v>
      </c>
      <c r="F38" s="64">
        <v>8.59</v>
      </c>
      <c r="G38" s="64">
        <v>157.76</v>
      </c>
      <c r="H38" s="64">
        <v>43.69</v>
      </c>
      <c r="I38" s="64">
        <v>4.01</v>
      </c>
      <c r="J38" s="64">
        <v>0.9</v>
      </c>
      <c r="K38" s="64">
        <v>3.98</v>
      </c>
      <c r="L38" s="64">
        <v>20.49</v>
      </c>
      <c r="M38" s="64">
        <v>38.24</v>
      </c>
      <c r="N38" s="64">
        <v>213.8</v>
      </c>
      <c r="O38" s="64">
        <v>0</v>
      </c>
      <c r="P38" s="64">
        <v>1.37</v>
      </c>
      <c r="Q38" s="64">
        <v>9.84</v>
      </c>
      <c r="R38" s="198"/>
      <c r="S38" s="198"/>
      <c r="T38" s="198"/>
      <c r="U38" s="198"/>
    </row>
    <row r="39" spans="1:21" s="12" customFormat="1" x14ac:dyDescent="0.25">
      <c r="A39" s="247" t="s">
        <v>1042</v>
      </c>
      <c r="B39" s="64">
        <v>89.1</v>
      </c>
      <c r="C39" s="64">
        <v>77.11</v>
      </c>
      <c r="D39" s="64">
        <v>111.74</v>
      </c>
      <c r="E39" s="64">
        <v>7.49</v>
      </c>
      <c r="F39" s="64">
        <v>9.44</v>
      </c>
      <c r="G39" s="64">
        <v>157.76</v>
      </c>
      <c r="H39" s="64">
        <v>43.69</v>
      </c>
      <c r="I39" s="64">
        <v>3.91</v>
      </c>
      <c r="J39" s="64">
        <v>1.1499999999999999</v>
      </c>
      <c r="K39" s="64">
        <v>10.7</v>
      </c>
      <c r="L39" s="64">
        <v>21.44</v>
      </c>
      <c r="M39" s="64">
        <v>35.270000000000003</v>
      </c>
      <c r="N39" s="64">
        <v>267</v>
      </c>
      <c r="O39" s="64">
        <v>0</v>
      </c>
      <c r="P39" s="64">
        <v>1.31</v>
      </c>
      <c r="Q39" s="64">
        <v>9.85</v>
      </c>
      <c r="R39" s="198"/>
      <c r="S39" s="198"/>
      <c r="T39" s="198"/>
      <c r="U39" s="198"/>
    </row>
    <row r="40" spans="1:21" s="12" customFormat="1" x14ac:dyDescent="0.25">
      <c r="A40" s="247" t="s">
        <v>1043</v>
      </c>
      <c r="B40" s="64">
        <v>82.33</v>
      </c>
      <c r="C40" s="64">
        <v>80.260000000000005</v>
      </c>
      <c r="D40" s="64">
        <v>107.96</v>
      </c>
      <c r="E40" s="64">
        <v>5.73</v>
      </c>
      <c r="F40" s="64">
        <v>9.6</v>
      </c>
      <c r="G40" s="64">
        <v>162.96</v>
      </c>
      <c r="H40" s="64">
        <v>45.2</v>
      </c>
      <c r="I40" s="64">
        <v>4.12</v>
      </c>
      <c r="J40" s="64">
        <v>0.77</v>
      </c>
      <c r="K40" s="64">
        <v>36.11</v>
      </c>
      <c r="L40" s="64">
        <v>22.19</v>
      </c>
      <c r="M40" s="64">
        <v>34.31</v>
      </c>
      <c r="N40" s="64">
        <v>320.7</v>
      </c>
      <c r="O40" s="64">
        <v>0</v>
      </c>
      <c r="P40" s="64">
        <v>1.32</v>
      </c>
      <c r="Q40" s="64">
        <v>9.8699999999999992</v>
      </c>
      <c r="R40" s="198"/>
      <c r="S40" s="198"/>
      <c r="T40" s="198"/>
      <c r="U40" s="198"/>
    </row>
    <row r="41" spans="1:21" s="12" customFormat="1" x14ac:dyDescent="0.25">
      <c r="A41" s="247" t="s">
        <v>1044</v>
      </c>
      <c r="B41" s="64">
        <v>78.14</v>
      </c>
      <c r="C41" s="64">
        <v>79.650000000000006</v>
      </c>
      <c r="D41" s="64">
        <v>104.28</v>
      </c>
      <c r="E41" s="64">
        <v>7.56</v>
      </c>
      <c r="F41" s="64">
        <v>10.34</v>
      </c>
      <c r="G41" s="64">
        <v>178.1</v>
      </c>
      <c r="H41" s="64">
        <v>49.36</v>
      </c>
      <c r="I41" s="64">
        <v>3.89</v>
      </c>
      <c r="J41" s="64">
        <v>0.72</v>
      </c>
      <c r="K41" s="64">
        <v>30.87</v>
      </c>
      <c r="L41" s="64">
        <v>22.3</v>
      </c>
      <c r="M41" s="64">
        <v>34.520000000000003</v>
      </c>
      <c r="N41" s="64">
        <v>371.3</v>
      </c>
      <c r="O41" s="64">
        <v>0</v>
      </c>
      <c r="P41" s="64">
        <v>1.34</v>
      </c>
      <c r="Q41" s="64">
        <v>9.85</v>
      </c>
      <c r="R41" s="198"/>
      <c r="S41" s="198"/>
      <c r="T41" s="198"/>
      <c r="U41" s="198"/>
    </row>
    <row r="42" spans="1:21" s="12" customFormat="1" x14ac:dyDescent="0.25">
      <c r="A42" s="247" t="s">
        <v>1045</v>
      </c>
      <c r="B42" s="64">
        <v>78.86</v>
      </c>
      <c r="C42" s="64">
        <v>76.14</v>
      </c>
      <c r="D42" s="64">
        <v>103.02</v>
      </c>
      <c r="E42" s="64">
        <v>5.82</v>
      </c>
      <c r="F42" s="64">
        <v>9.74</v>
      </c>
      <c r="G42" s="64">
        <v>178.1</v>
      </c>
      <c r="H42" s="64">
        <v>49.36</v>
      </c>
      <c r="I42" s="64">
        <v>4.04</v>
      </c>
      <c r="J42" s="64">
        <v>1.37</v>
      </c>
      <c r="K42" s="64">
        <v>101.21</v>
      </c>
      <c r="L42" s="64">
        <v>22.46</v>
      </c>
      <c r="M42" s="64">
        <v>33.380000000000003</v>
      </c>
      <c r="N42" s="64">
        <v>422.8</v>
      </c>
      <c r="O42" s="64">
        <v>0</v>
      </c>
      <c r="P42" s="64">
        <v>1.29</v>
      </c>
      <c r="Q42" s="64">
        <v>9.82</v>
      </c>
      <c r="R42" s="198"/>
      <c r="S42" s="198"/>
      <c r="T42" s="198"/>
      <c r="U42" s="198"/>
    </row>
    <row r="43" spans="1:21" s="12" customFormat="1" x14ac:dyDescent="0.25">
      <c r="A43" s="247" t="s">
        <v>1046</v>
      </c>
      <c r="B43" s="64">
        <v>79.680000000000007</v>
      </c>
      <c r="C43" s="64">
        <v>76.790000000000006</v>
      </c>
      <c r="D43" s="64">
        <v>104.02</v>
      </c>
      <c r="E43" s="64">
        <v>4.95</v>
      </c>
      <c r="F43" s="64">
        <v>7.57</v>
      </c>
      <c r="G43" s="64">
        <v>178.1</v>
      </c>
      <c r="H43" s="64">
        <v>49.36</v>
      </c>
      <c r="I43" s="64">
        <v>4.1100000000000003</v>
      </c>
      <c r="J43" s="64">
        <v>1.1100000000000001</v>
      </c>
      <c r="K43" s="64">
        <v>90.52</v>
      </c>
      <c r="L43" s="64">
        <v>22.75</v>
      </c>
      <c r="M43" s="64">
        <v>32.770000000000003</v>
      </c>
      <c r="N43" s="64">
        <v>461.8</v>
      </c>
      <c r="O43" s="64">
        <v>0</v>
      </c>
      <c r="P43" s="64">
        <v>1.28</v>
      </c>
      <c r="Q43" s="64">
        <v>9.83</v>
      </c>
      <c r="R43" s="198"/>
      <c r="S43" s="198"/>
      <c r="T43" s="198"/>
      <c r="U43" s="198"/>
    </row>
    <row r="44" spans="1:21" s="12" customFormat="1" x14ac:dyDescent="0.25">
      <c r="A44" s="247" t="s">
        <v>1047</v>
      </c>
      <c r="B44" s="64">
        <v>73.09</v>
      </c>
      <c r="C44" s="64">
        <v>76.11</v>
      </c>
      <c r="D44" s="64">
        <v>98.37</v>
      </c>
      <c r="E44" s="64">
        <v>5.42</v>
      </c>
      <c r="F44" s="64">
        <v>7.88</v>
      </c>
      <c r="G44" s="64">
        <v>163.92</v>
      </c>
      <c r="H44" s="64">
        <v>47.6</v>
      </c>
      <c r="I44" s="64">
        <v>4.18</v>
      </c>
      <c r="J44" s="64">
        <v>1.88</v>
      </c>
      <c r="K44" s="64">
        <v>106.84</v>
      </c>
      <c r="L44" s="64">
        <v>22.64</v>
      </c>
      <c r="M44" s="64">
        <v>31.52</v>
      </c>
      <c r="N44" s="64">
        <v>511.5</v>
      </c>
      <c r="O44" s="64">
        <v>0</v>
      </c>
      <c r="P44" s="64">
        <v>1.26</v>
      </c>
      <c r="Q44" s="64">
        <v>9.81</v>
      </c>
      <c r="R44" s="198"/>
      <c r="S44" s="198"/>
      <c r="T44" s="198"/>
      <c r="U44" s="198"/>
    </row>
    <row r="45" spans="1:21" s="12" customFormat="1" x14ac:dyDescent="0.25">
      <c r="A45" s="247" t="s">
        <v>1048</v>
      </c>
      <c r="B45" s="64">
        <v>63.21</v>
      </c>
      <c r="C45" s="64">
        <v>79.260000000000005</v>
      </c>
      <c r="D45" s="64">
        <v>92.1</v>
      </c>
      <c r="E45" s="64">
        <v>5.62</v>
      </c>
      <c r="F45" s="64">
        <v>7.41</v>
      </c>
      <c r="G45" s="64">
        <v>124.92</v>
      </c>
      <c r="H45" s="64">
        <v>42.77</v>
      </c>
      <c r="I45" s="64">
        <v>4.24</v>
      </c>
      <c r="J45" s="64">
        <v>1.39</v>
      </c>
      <c r="K45" s="64">
        <v>92.88</v>
      </c>
      <c r="L45" s="64">
        <v>23.43</v>
      </c>
      <c r="M45" s="64">
        <v>29.82</v>
      </c>
      <c r="N45" s="64">
        <v>553.5</v>
      </c>
      <c r="O45" s="64">
        <v>0</v>
      </c>
      <c r="P45" s="64">
        <v>1.23</v>
      </c>
      <c r="Q45" s="64">
        <v>9.8000000000000007</v>
      </c>
      <c r="R45" s="198"/>
      <c r="S45" s="198"/>
      <c r="T45" s="198"/>
      <c r="U45" s="198"/>
    </row>
    <row r="46" spans="1:21" s="12" customFormat="1" x14ac:dyDescent="0.25">
      <c r="A46" s="247" t="s">
        <v>1049</v>
      </c>
      <c r="B46" s="64">
        <v>55.58</v>
      </c>
      <c r="C46" s="64">
        <v>80.03</v>
      </c>
      <c r="D46" s="64">
        <v>86.38</v>
      </c>
      <c r="E46" s="64">
        <v>5.78</v>
      </c>
      <c r="F46" s="64">
        <v>9.44</v>
      </c>
      <c r="G46" s="64">
        <v>124.92</v>
      </c>
      <c r="H46" s="64">
        <v>42.77</v>
      </c>
      <c r="I46" s="64">
        <v>3.95</v>
      </c>
      <c r="J46" s="64">
        <v>1.45</v>
      </c>
      <c r="K46" s="64">
        <v>106.99</v>
      </c>
      <c r="L46" s="64">
        <v>24.4</v>
      </c>
      <c r="M46" s="64">
        <v>27.92</v>
      </c>
      <c r="N46" s="64">
        <v>589.9</v>
      </c>
      <c r="O46" s="64">
        <v>0</v>
      </c>
      <c r="P46" s="64">
        <v>1.18</v>
      </c>
      <c r="Q46" s="64">
        <v>9.75</v>
      </c>
      <c r="R46" s="198"/>
      <c r="S46" s="198"/>
      <c r="T46" s="198"/>
      <c r="U46" s="198"/>
    </row>
    <row r="47" spans="1:21" s="12" customFormat="1" x14ac:dyDescent="0.25">
      <c r="A47" s="247" t="s">
        <v>1050</v>
      </c>
      <c r="B47" s="64">
        <v>46.01</v>
      </c>
      <c r="C47" s="64">
        <v>80</v>
      </c>
      <c r="D47" s="64">
        <v>78.69</v>
      </c>
      <c r="E47" s="64">
        <v>5.99</v>
      </c>
      <c r="F47" s="64">
        <v>9.98</v>
      </c>
      <c r="G47" s="64">
        <v>124.92</v>
      </c>
      <c r="H47" s="64">
        <v>42.77</v>
      </c>
      <c r="I47" s="64">
        <v>4.01</v>
      </c>
      <c r="J47" s="64">
        <v>1.29</v>
      </c>
      <c r="K47" s="64">
        <v>93.23</v>
      </c>
      <c r="L47" s="64">
        <v>25.63</v>
      </c>
      <c r="M47" s="64">
        <v>25.47</v>
      </c>
      <c r="N47" s="64">
        <v>625.5</v>
      </c>
      <c r="O47" s="64">
        <v>0</v>
      </c>
      <c r="P47" s="64">
        <v>1.1299999999999999</v>
      </c>
      <c r="Q47" s="64">
        <v>9.74</v>
      </c>
      <c r="R47" s="198"/>
      <c r="S47" s="198"/>
      <c r="T47" s="198"/>
      <c r="U47" s="198"/>
    </row>
    <row r="48" spans="1:21" s="12" customFormat="1" x14ac:dyDescent="0.25">
      <c r="A48" s="247" t="s">
        <v>1051</v>
      </c>
      <c r="B48" s="64">
        <v>40.97</v>
      </c>
      <c r="C48" s="64">
        <v>81</v>
      </c>
      <c r="D48" s="64">
        <v>75.17</v>
      </c>
      <c r="E48" s="64">
        <v>4.42</v>
      </c>
      <c r="F48" s="64">
        <v>8.7799999999999994</v>
      </c>
      <c r="G48" s="64">
        <v>118.47</v>
      </c>
      <c r="H48" s="64">
        <v>39.46</v>
      </c>
      <c r="I48" s="64">
        <v>4.04</v>
      </c>
      <c r="J48" s="64">
        <v>1.92</v>
      </c>
      <c r="K48" s="64">
        <v>102.32</v>
      </c>
      <c r="L48" s="64">
        <v>25.62</v>
      </c>
      <c r="M48" s="64">
        <v>23.14</v>
      </c>
      <c r="N48" s="64">
        <v>670.5</v>
      </c>
      <c r="O48" s="64">
        <v>0</v>
      </c>
      <c r="P48" s="64">
        <v>1.1000000000000001</v>
      </c>
      <c r="Q48" s="64">
        <v>9.73</v>
      </c>
      <c r="R48" s="198"/>
      <c r="S48" s="198"/>
      <c r="T48" s="198"/>
      <c r="U48" s="198"/>
    </row>
    <row r="49" spans="1:21" s="12" customFormat="1" x14ac:dyDescent="0.25">
      <c r="A49" s="247" t="s">
        <v>1052</v>
      </c>
      <c r="B49" s="64">
        <v>33.06</v>
      </c>
      <c r="C49" s="64">
        <v>77.849999999999994</v>
      </c>
      <c r="D49" s="64">
        <v>67.19</v>
      </c>
      <c r="E49" s="64">
        <v>4.3600000000000003</v>
      </c>
      <c r="F49" s="64">
        <v>8.43</v>
      </c>
      <c r="G49" s="64">
        <v>100.73</v>
      </c>
      <c r="H49" s="64">
        <v>30.38</v>
      </c>
      <c r="I49" s="64">
        <v>4.05</v>
      </c>
      <c r="J49" s="64">
        <v>1.96</v>
      </c>
      <c r="K49" s="64">
        <v>103.3</v>
      </c>
      <c r="L49" s="64">
        <v>26.29</v>
      </c>
      <c r="M49" s="64">
        <v>21.79</v>
      </c>
      <c r="N49" s="64">
        <v>707</v>
      </c>
      <c r="O49" s="64">
        <v>0</v>
      </c>
      <c r="P49" s="64">
        <v>1.04</v>
      </c>
      <c r="Q49" s="64">
        <v>9.68</v>
      </c>
      <c r="R49" s="198"/>
      <c r="S49" s="198"/>
      <c r="T49" s="198"/>
      <c r="U49" s="198"/>
    </row>
    <row r="50" spans="1:21" s="12" customFormat="1" x14ac:dyDescent="0.25">
      <c r="A50" s="247" t="s">
        <v>1053</v>
      </c>
      <c r="B50" s="64">
        <v>25.05</v>
      </c>
      <c r="C50" s="64">
        <v>80.099999999999994</v>
      </c>
      <c r="D50" s="64">
        <v>61.94</v>
      </c>
      <c r="E50" s="64">
        <v>4.8499999999999996</v>
      </c>
      <c r="F50" s="64">
        <v>14.62</v>
      </c>
      <c r="G50" s="64">
        <v>100.73</v>
      </c>
      <c r="H50" s="64">
        <v>30.38</v>
      </c>
      <c r="I50" s="64">
        <v>3.97</v>
      </c>
      <c r="J50" s="64">
        <v>1.46</v>
      </c>
      <c r="K50" s="64">
        <v>95.31</v>
      </c>
      <c r="L50" s="64">
        <v>26.7</v>
      </c>
      <c r="M50" s="64">
        <v>21.5</v>
      </c>
      <c r="N50" s="64">
        <v>728.6</v>
      </c>
      <c r="O50" s="64">
        <v>0</v>
      </c>
      <c r="P50" s="64">
        <v>0.96</v>
      </c>
      <c r="Q50" s="64">
        <v>9.68</v>
      </c>
      <c r="R50" s="198"/>
      <c r="S50" s="198"/>
      <c r="T50" s="198"/>
      <c r="U50" s="198"/>
    </row>
    <row r="51" spans="1:21" s="12" customFormat="1" x14ac:dyDescent="0.25">
      <c r="A51" s="247" t="s">
        <v>1054</v>
      </c>
      <c r="B51" s="64">
        <v>18.22</v>
      </c>
      <c r="C51" s="64">
        <v>79.02</v>
      </c>
      <c r="D51" s="64">
        <v>55.9</v>
      </c>
      <c r="E51" s="64">
        <v>5.0199999999999996</v>
      </c>
      <c r="F51" s="64">
        <v>14.46</v>
      </c>
      <c r="G51" s="64">
        <v>100.73</v>
      </c>
      <c r="H51" s="64">
        <v>30.38</v>
      </c>
      <c r="I51" s="64">
        <v>3.95</v>
      </c>
      <c r="J51" s="64">
        <v>0.96</v>
      </c>
      <c r="K51" s="64">
        <v>59.14</v>
      </c>
      <c r="L51" s="64">
        <v>28.35</v>
      </c>
      <c r="M51" s="64">
        <v>19.88</v>
      </c>
      <c r="N51" s="64">
        <v>746.5</v>
      </c>
      <c r="O51" s="64">
        <v>0</v>
      </c>
      <c r="P51" s="64">
        <v>0.93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47" t="s">
        <v>1055</v>
      </c>
      <c r="B52" s="64">
        <v>14.53</v>
      </c>
      <c r="C52" s="64">
        <v>81.22</v>
      </c>
      <c r="D52" s="64">
        <v>54.09</v>
      </c>
      <c r="E52" s="64">
        <v>5.74</v>
      </c>
      <c r="F52" s="64">
        <v>13.64</v>
      </c>
      <c r="G52" s="64">
        <v>90.4</v>
      </c>
      <c r="H52" s="64">
        <v>28.86</v>
      </c>
      <c r="I52" s="64">
        <v>4.0199999999999996</v>
      </c>
      <c r="J52" s="64">
        <v>0.45</v>
      </c>
      <c r="K52" s="64">
        <v>85.54</v>
      </c>
      <c r="L52" s="64">
        <v>29.87</v>
      </c>
      <c r="M52" s="64">
        <v>20.62</v>
      </c>
      <c r="N52" s="64">
        <v>756.8</v>
      </c>
      <c r="O52" s="64">
        <v>0</v>
      </c>
      <c r="P52" s="64">
        <v>0.9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47" t="s">
        <v>1056</v>
      </c>
      <c r="B53" s="64">
        <v>12.59</v>
      </c>
      <c r="C53" s="64">
        <v>83.27</v>
      </c>
      <c r="D53" s="64">
        <v>53.6</v>
      </c>
      <c r="E53" s="64">
        <v>5.81</v>
      </c>
      <c r="F53" s="64">
        <v>24.56</v>
      </c>
      <c r="G53" s="64">
        <v>62</v>
      </c>
      <c r="H53" s="64">
        <v>24.68</v>
      </c>
      <c r="I53" s="64">
        <v>3.85</v>
      </c>
      <c r="J53" s="64">
        <v>0.9</v>
      </c>
      <c r="K53" s="64">
        <v>356.31</v>
      </c>
      <c r="L53" s="64">
        <v>30.51</v>
      </c>
      <c r="M53" s="64">
        <v>19.739999999999998</v>
      </c>
      <c r="N53" s="64">
        <v>752.4</v>
      </c>
      <c r="O53" s="64">
        <v>0</v>
      </c>
      <c r="P53" s="64">
        <v>0.89</v>
      </c>
      <c r="Q53" s="64">
        <v>9.59</v>
      </c>
      <c r="R53" s="198"/>
      <c r="S53" s="198"/>
      <c r="T53" s="198"/>
      <c r="U53" s="198"/>
    </row>
    <row r="54" spans="1:21" s="12" customFormat="1" x14ac:dyDescent="0.25">
      <c r="A54" s="247" t="s">
        <v>1057</v>
      </c>
      <c r="B54" s="64">
        <v>9.8800000000000008</v>
      </c>
      <c r="C54" s="64">
        <v>79.66</v>
      </c>
      <c r="D54" s="64">
        <v>49.55</v>
      </c>
      <c r="E54" s="64">
        <v>6.15</v>
      </c>
      <c r="F54" s="64">
        <v>19.25</v>
      </c>
      <c r="G54" s="64">
        <v>62</v>
      </c>
      <c r="H54" s="64">
        <v>24.68</v>
      </c>
      <c r="I54" s="64">
        <v>3.91</v>
      </c>
      <c r="J54" s="64">
        <v>1.34</v>
      </c>
      <c r="K54" s="64">
        <v>342.09</v>
      </c>
      <c r="L54" s="64">
        <v>33.450000000000003</v>
      </c>
      <c r="M54" s="64">
        <v>14.93</v>
      </c>
      <c r="N54" s="64">
        <v>756</v>
      </c>
      <c r="O54" s="64">
        <v>0</v>
      </c>
      <c r="P54" s="64">
        <v>0.9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47" t="s">
        <v>1058</v>
      </c>
      <c r="B55" s="64">
        <v>9.09</v>
      </c>
      <c r="C55" s="64">
        <v>81.319999999999993</v>
      </c>
      <c r="D55" s="64">
        <v>49.78</v>
      </c>
      <c r="E55" s="64">
        <v>6.49</v>
      </c>
      <c r="F55" s="64">
        <v>25.25</v>
      </c>
      <c r="G55" s="64">
        <v>62</v>
      </c>
      <c r="H55" s="64">
        <v>24.68</v>
      </c>
      <c r="I55" s="64">
        <v>4</v>
      </c>
      <c r="J55" s="64">
        <v>1.56</v>
      </c>
      <c r="K55" s="64">
        <v>347.05</v>
      </c>
      <c r="L55" s="64">
        <v>34.46</v>
      </c>
      <c r="M55" s="64">
        <v>13.98</v>
      </c>
      <c r="N55" s="64">
        <v>741.2</v>
      </c>
      <c r="O55" s="64">
        <v>0</v>
      </c>
      <c r="P55" s="64">
        <v>0.89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47" t="s">
        <v>1059</v>
      </c>
      <c r="B56" s="64">
        <v>7.29</v>
      </c>
      <c r="C56" s="64">
        <v>77.650000000000006</v>
      </c>
      <c r="D56" s="64">
        <v>46.41</v>
      </c>
      <c r="E56" s="64">
        <v>6.77</v>
      </c>
      <c r="F56" s="64">
        <v>26.38</v>
      </c>
      <c r="G56" s="64">
        <v>62.8</v>
      </c>
      <c r="H56" s="64">
        <v>24.95</v>
      </c>
      <c r="I56" s="64">
        <v>4.08</v>
      </c>
      <c r="J56" s="64">
        <v>0.97</v>
      </c>
      <c r="K56" s="64">
        <v>329.9</v>
      </c>
      <c r="L56" s="64">
        <v>34.520000000000003</v>
      </c>
      <c r="M56" s="64">
        <v>13.67</v>
      </c>
      <c r="N56" s="64">
        <v>719.1</v>
      </c>
      <c r="O56" s="64">
        <v>0</v>
      </c>
      <c r="P56" s="64">
        <v>0.85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47" t="s">
        <v>1060</v>
      </c>
      <c r="B57" s="64">
        <v>8.93</v>
      </c>
      <c r="C57" s="64">
        <v>79.87</v>
      </c>
      <c r="D57" s="64">
        <v>48.89</v>
      </c>
      <c r="E57" s="64">
        <v>5.14</v>
      </c>
      <c r="F57" s="64">
        <v>21.56</v>
      </c>
      <c r="G57" s="64">
        <v>65.14</v>
      </c>
      <c r="H57" s="64">
        <v>25.69</v>
      </c>
      <c r="I57" s="64">
        <v>4</v>
      </c>
      <c r="J57" s="64">
        <v>1.27</v>
      </c>
      <c r="K57" s="64">
        <v>321.94</v>
      </c>
      <c r="L57" s="64">
        <v>34.799999999999997</v>
      </c>
      <c r="M57" s="64">
        <v>13.14</v>
      </c>
      <c r="N57" s="64">
        <v>716.5</v>
      </c>
      <c r="O57" s="64">
        <v>0</v>
      </c>
      <c r="P57" s="64">
        <v>0.87</v>
      </c>
      <c r="Q57" s="64">
        <v>9.5399999999999991</v>
      </c>
      <c r="R57" s="198"/>
      <c r="S57" s="198"/>
      <c r="T57" s="198"/>
      <c r="U57" s="198"/>
    </row>
    <row r="58" spans="1:21" s="12" customFormat="1" x14ac:dyDescent="0.25">
      <c r="A58" s="247" t="s">
        <v>1061</v>
      </c>
      <c r="B58" s="64">
        <v>5.7</v>
      </c>
      <c r="C58" s="64">
        <v>70.75</v>
      </c>
      <c r="D58" s="64">
        <v>41.54</v>
      </c>
      <c r="E58" s="64">
        <v>6.59</v>
      </c>
      <c r="F58" s="64">
        <v>30.79</v>
      </c>
      <c r="G58" s="64">
        <v>65.14</v>
      </c>
      <c r="H58" s="64">
        <v>25.69</v>
      </c>
      <c r="I58" s="64">
        <v>3.94</v>
      </c>
      <c r="J58" s="64">
        <v>0.53</v>
      </c>
      <c r="K58" s="64">
        <v>316.83999999999997</v>
      </c>
      <c r="L58" s="64">
        <v>33.979999999999997</v>
      </c>
      <c r="M58" s="64">
        <v>13.25</v>
      </c>
      <c r="N58" s="64">
        <v>716.4</v>
      </c>
      <c r="O58" s="64">
        <v>0</v>
      </c>
      <c r="P58" s="64">
        <v>0.82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47" t="s">
        <v>1062</v>
      </c>
      <c r="B59" s="64">
        <v>6.16</v>
      </c>
      <c r="C59" s="64">
        <v>75.66</v>
      </c>
      <c r="D59" s="64">
        <v>44.47</v>
      </c>
      <c r="E59" s="64">
        <v>6.43</v>
      </c>
      <c r="F59" s="64">
        <v>26.13</v>
      </c>
      <c r="G59" s="64">
        <v>65.14</v>
      </c>
      <c r="H59" s="64">
        <v>25.69</v>
      </c>
      <c r="I59" s="64">
        <v>4.16</v>
      </c>
      <c r="J59" s="64">
        <v>1.1499999999999999</v>
      </c>
      <c r="K59" s="64">
        <v>333.25</v>
      </c>
      <c r="L59" s="64">
        <v>33.75</v>
      </c>
      <c r="M59" s="64">
        <v>13.42</v>
      </c>
      <c r="N59" s="64">
        <v>715.9</v>
      </c>
      <c r="O59" s="64">
        <v>0</v>
      </c>
      <c r="P59" s="64">
        <v>0.82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47" t="s">
        <v>1063</v>
      </c>
      <c r="B60" s="64">
        <v>6.48</v>
      </c>
      <c r="C60" s="64">
        <v>70.34</v>
      </c>
      <c r="D60" s="64">
        <v>41.94</v>
      </c>
      <c r="E60" s="64">
        <v>7.1</v>
      </c>
      <c r="F60" s="64">
        <v>32.950000000000003</v>
      </c>
      <c r="G60" s="64">
        <v>65.239999999999995</v>
      </c>
      <c r="H60" s="64">
        <v>25.11</v>
      </c>
      <c r="I60" s="64">
        <v>4.1900000000000004</v>
      </c>
      <c r="J60" s="64">
        <v>1.29</v>
      </c>
      <c r="K60" s="64">
        <v>337.91</v>
      </c>
      <c r="L60" s="64">
        <v>35.130000000000003</v>
      </c>
      <c r="M60" s="64">
        <v>12.22</v>
      </c>
      <c r="N60" s="64">
        <v>707.6</v>
      </c>
      <c r="O60" s="64">
        <v>0</v>
      </c>
      <c r="P60" s="64">
        <v>0.78</v>
      </c>
      <c r="Q60" s="64">
        <v>9.5399999999999991</v>
      </c>
      <c r="R60" s="198"/>
      <c r="S60" s="198"/>
      <c r="T60" s="198"/>
      <c r="U60" s="198"/>
    </row>
    <row r="61" spans="1:21" s="12" customFormat="1" x14ac:dyDescent="0.25">
      <c r="A61" s="247" t="s">
        <v>1064</v>
      </c>
      <c r="B61" s="64">
        <v>5.56</v>
      </c>
      <c r="C61" s="64">
        <v>68.47</v>
      </c>
      <c r="D61" s="64">
        <v>40.229999999999997</v>
      </c>
      <c r="E61" s="64">
        <v>6.23</v>
      </c>
      <c r="F61" s="64">
        <v>21.46</v>
      </c>
      <c r="G61" s="64">
        <v>65.52</v>
      </c>
      <c r="H61" s="64">
        <v>23.51</v>
      </c>
      <c r="I61" s="64">
        <v>4.0199999999999996</v>
      </c>
      <c r="J61" s="64">
        <v>0.28999999999999998</v>
      </c>
      <c r="K61" s="64">
        <v>21.37</v>
      </c>
      <c r="L61" s="64">
        <v>33.32</v>
      </c>
      <c r="M61" s="64">
        <v>13.13</v>
      </c>
      <c r="N61" s="64">
        <v>716.5</v>
      </c>
      <c r="O61" s="64">
        <v>0</v>
      </c>
      <c r="P61" s="64">
        <v>0.74</v>
      </c>
      <c r="Q61" s="64">
        <v>9.5299999999999994</v>
      </c>
      <c r="R61" s="198"/>
      <c r="S61" s="198"/>
      <c r="T61" s="198"/>
      <c r="U61" s="198"/>
    </row>
    <row r="62" spans="1:21" s="12" customFormat="1" x14ac:dyDescent="0.25">
      <c r="A62" s="247" t="s">
        <v>1065</v>
      </c>
      <c r="B62" s="64">
        <v>5.08</v>
      </c>
      <c r="C62" s="64">
        <v>69.72</v>
      </c>
      <c r="D62" s="64">
        <v>40.5</v>
      </c>
      <c r="E62" s="64">
        <v>5.89</v>
      </c>
      <c r="F62" s="64">
        <v>22.89</v>
      </c>
      <c r="G62" s="64">
        <v>65.52</v>
      </c>
      <c r="H62" s="64">
        <v>23.51</v>
      </c>
      <c r="I62" s="64">
        <v>4.08</v>
      </c>
      <c r="J62" s="64">
        <v>1.37</v>
      </c>
      <c r="K62" s="64">
        <v>328.99</v>
      </c>
      <c r="L62" s="64">
        <v>34.99</v>
      </c>
      <c r="M62" s="64">
        <v>12.71</v>
      </c>
      <c r="N62" s="64">
        <v>719.2</v>
      </c>
      <c r="O62" s="64">
        <v>0</v>
      </c>
      <c r="P62" s="64">
        <v>0.8</v>
      </c>
      <c r="Q62" s="64">
        <v>9.51</v>
      </c>
      <c r="R62" s="198"/>
      <c r="S62" s="198"/>
      <c r="T62" s="198"/>
      <c r="U62" s="198"/>
    </row>
    <row r="63" spans="1:21" s="12" customFormat="1" x14ac:dyDescent="0.25">
      <c r="A63" s="247" t="s">
        <v>1066</v>
      </c>
      <c r="B63" s="64">
        <v>4.76</v>
      </c>
      <c r="C63" s="64">
        <v>70.34</v>
      </c>
      <c r="D63" s="64">
        <v>40.57</v>
      </c>
      <c r="E63" s="64">
        <v>5.0199999999999996</v>
      </c>
      <c r="F63" s="64">
        <v>16.89</v>
      </c>
      <c r="G63" s="64">
        <v>65.52</v>
      </c>
      <c r="H63" s="64">
        <v>23.51</v>
      </c>
      <c r="I63" s="64">
        <v>4.0199999999999996</v>
      </c>
      <c r="J63" s="64">
        <v>1.34</v>
      </c>
      <c r="K63" s="64">
        <v>316.97000000000003</v>
      </c>
      <c r="L63" s="64">
        <v>35.770000000000003</v>
      </c>
      <c r="M63" s="64">
        <v>12.15</v>
      </c>
      <c r="N63" s="64">
        <v>668.6</v>
      </c>
      <c r="O63" s="64">
        <v>0</v>
      </c>
      <c r="P63" s="64">
        <v>0.78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47" t="s">
        <v>1067</v>
      </c>
      <c r="B64" s="64">
        <v>7.35</v>
      </c>
      <c r="C64" s="64">
        <v>72.16</v>
      </c>
      <c r="D64" s="64">
        <v>43.59</v>
      </c>
      <c r="E64" s="64">
        <v>7.07</v>
      </c>
      <c r="F64" s="64">
        <v>31.19</v>
      </c>
      <c r="G64" s="64">
        <v>62.08</v>
      </c>
      <c r="H64" s="64">
        <v>23.15</v>
      </c>
      <c r="I64" s="64">
        <v>4.03</v>
      </c>
      <c r="J64" s="64">
        <v>0.98</v>
      </c>
      <c r="K64" s="64">
        <v>325.23</v>
      </c>
      <c r="L64" s="64">
        <v>35.32</v>
      </c>
      <c r="M64" s="64">
        <v>11.36</v>
      </c>
      <c r="N64" s="64">
        <v>639.70000000000005</v>
      </c>
      <c r="O64" s="64">
        <v>0</v>
      </c>
      <c r="P64" s="64">
        <v>0.75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47" t="s">
        <v>1068</v>
      </c>
      <c r="B65" s="64">
        <v>4.08</v>
      </c>
      <c r="C65" s="64">
        <v>61.94</v>
      </c>
      <c r="D65" s="64">
        <v>35.630000000000003</v>
      </c>
      <c r="E65" s="64">
        <v>6.41</v>
      </c>
      <c r="F65" s="64">
        <v>28.55</v>
      </c>
      <c r="G65" s="64">
        <v>52.64</v>
      </c>
      <c r="H65" s="64">
        <v>22.15</v>
      </c>
      <c r="I65" s="64">
        <v>3.89</v>
      </c>
      <c r="J65" s="64">
        <v>0.44</v>
      </c>
      <c r="K65" s="64">
        <v>249</v>
      </c>
      <c r="L65" s="64">
        <v>33.71</v>
      </c>
      <c r="M65" s="64">
        <v>12.18</v>
      </c>
      <c r="N65" s="64">
        <v>604.6</v>
      </c>
      <c r="O65" s="64">
        <v>0</v>
      </c>
      <c r="P65" s="64">
        <v>0.69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47" t="s">
        <v>1069</v>
      </c>
      <c r="B66" s="64">
        <v>4.22</v>
      </c>
      <c r="C66" s="64">
        <v>55.64</v>
      </c>
      <c r="D66" s="64">
        <v>32.46</v>
      </c>
      <c r="E66" s="64">
        <v>7.47</v>
      </c>
      <c r="F66" s="64">
        <v>40.47</v>
      </c>
      <c r="G66" s="64">
        <v>52.64</v>
      </c>
      <c r="H66" s="64">
        <v>22.15</v>
      </c>
      <c r="I66" s="64">
        <v>3.96</v>
      </c>
      <c r="J66" s="64">
        <v>0.45</v>
      </c>
      <c r="K66" s="64">
        <v>185.69</v>
      </c>
      <c r="L66" s="64">
        <v>32.26</v>
      </c>
      <c r="M66" s="64">
        <v>12.42</v>
      </c>
      <c r="N66" s="64">
        <v>578</v>
      </c>
      <c r="O66" s="64">
        <v>0</v>
      </c>
      <c r="P66" s="64">
        <v>0.56000000000000005</v>
      </c>
      <c r="Q66" s="64">
        <v>9.42</v>
      </c>
      <c r="R66" s="198"/>
      <c r="S66" s="198"/>
      <c r="T66" s="198"/>
      <c r="U66" s="198"/>
    </row>
    <row r="67" spans="1:21" s="12" customFormat="1" x14ac:dyDescent="0.25">
      <c r="A67" s="247" t="s">
        <v>1070</v>
      </c>
      <c r="B67" s="64">
        <v>4.18</v>
      </c>
      <c r="C67" s="64">
        <v>52.9</v>
      </c>
      <c r="D67" s="64">
        <v>30.99</v>
      </c>
      <c r="E67" s="64">
        <v>6.88</v>
      </c>
      <c r="F67" s="64">
        <v>27.83</v>
      </c>
      <c r="G67" s="64">
        <v>52.64</v>
      </c>
      <c r="H67" s="64">
        <v>22.15</v>
      </c>
      <c r="I67" s="64">
        <v>3.73</v>
      </c>
      <c r="J67" s="64">
        <v>0.43</v>
      </c>
      <c r="K67" s="64">
        <v>218.83</v>
      </c>
      <c r="L67" s="64">
        <v>32.380000000000003</v>
      </c>
      <c r="M67" s="64">
        <v>12.77</v>
      </c>
      <c r="N67" s="64">
        <v>330.8</v>
      </c>
      <c r="O67" s="64">
        <v>0</v>
      </c>
      <c r="P67" s="64">
        <v>0.56999999999999995</v>
      </c>
      <c r="Q67" s="64">
        <v>9.4</v>
      </c>
      <c r="R67" s="198"/>
      <c r="S67" s="198"/>
      <c r="T67" s="198"/>
      <c r="U67" s="198"/>
    </row>
    <row r="68" spans="1:21" s="12" customFormat="1" x14ac:dyDescent="0.25">
      <c r="A68" s="247" t="s">
        <v>1071</v>
      </c>
      <c r="B68" s="64">
        <v>5.69</v>
      </c>
      <c r="C68" s="64">
        <v>58.52</v>
      </c>
      <c r="D68" s="64">
        <v>35.14</v>
      </c>
      <c r="E68" s="64">
        <v>6.62</v>
      </c>
      <c r="F68" s="64">
        <v>31.32</v>
      </c>
      <c r="G68" s="64">
        <v>53.38</v>
      </c>
      <c r="H68" s="64">
        <v>21.44</v>
      </c>
      <c r="I68" s="64">
        <v>4.09</v>
      </c>
      <c r="J68" s="64">
        <v>0.66</v>
      </c>
      <c r="K68" s="64">
        <v>312.41000000000003</v>
      </c>
      <c r="L68" s="64">
        <v>32.21</v>
      </c>
      <c r="M68" s="64">
        <v>13.43</v>
      </c>
      <c r="N68" s="64">
        <v>358.7</v>
      </c>
      <c r="O68" s="64">
        <v>0</v>
      </c>
      <c r="P68" s="64">
        <v>0.56000000000000005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47" t="s">
        <v>1072</v>
      </c>
      <c r="B69" s="64">
        <v>6.16</v>
      </c>
      <c r="C69" s="64">
        <v>60.51</v>
      </c>
      <c r="D69" s="64">
        <v>36.549999999999997</v>
      </c>
      <c r="E69" s="64">
        <v>7.08</v>
      </c>
      <c r="F69" s="64">
        <v>27.25</v>
      </c>
      <c r="G69" s="64">
        <v>55.44</v>
      </c>
      <c r="H69" s="64">
        <v>19.5</v>
      </c>
      <c r="I69" s="64">
        <v>4.0999999999999996</v>
      </c>
      <c r="J69" s="64">
        <v>0.87</v>
      </c>
      <c r="K69" s="64">
        <v>314.88</v>
      </c>
      <c r="L69" s="64">
        <v>32.770000000000003</v>
      </c>
      <c r="M69" s="64">
        <v>12.75</v>
      </c>
      <c r="N69" s="64">
        <v>275.8</v>
      </c>
      <c r="O69" s="64">
        <v>0</v>
      </c>
      <c r="P69" s="64">
        <v>0.57999999999999996</v>
      </c>
      <c r="Q69" s="64">
        <v>9.35</v>
      </c>
      <c r="R69" s="198"/>
      <c r="S69" s="198"/>
      <c r="T69" s="198"/>
      <c r="U69" s="198"/>
    </row>
    <row r="70" spans="1:21" s="12" customFormat="1" x14ac:dyDescent="0.25">
      <c r="A70" s="247" t="s">
        <v>1073</v>
      </c>
      <c r="B70" s="64">
        <v>4.46</v>
      </c>
      <c r="C70" s="64">
        <v>52.49</v>
      </c>
      <c r="D70" s="64">
        <v>31</v>
      </c>
      <c r="E70" s="64">
        <v>5.9</v>
      </c>
      <c r="F70" s="64">
        <v>25.71</v>
      </c>
      <c r="G70" s="64">
        <v>55.44</v>
      </c>
      <c r="H70" s="64">
        <v>19.5</v>
      </c>
      <c r="I70" s="64">
        <v>3.79</v>
      </c>
      <c r="J70" s="64">
        <v>0.78</v>
      </c>
      <c r="K70" s="64">
        <v>208.54</v>
      </c>
      <c r="L70" s="64">
        <v>30.89</v>
      </c>
      <c r="M70" s="64">
        <v>13.23</v>
      </c>
      <c r="N70" s="64">
        <v>202.4</v>
      </c>
      <c r="O70" s="64">
        <v>0</v>
      </c>
      <c r="P70" s="64">
        <v>0.55000000000000004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47" t="s">
        <v>1074</v>
      </c>
      <c r="B71" s="64">
        <v>3.79</v>
      </c>
      <c r="C71" s="64">
        <v>46.01</v>
      </c>
      <c r="D71" s="64">
        <v>27.08</v>
      </c>
      <c r="E71" s="64">
        <v>7.64</v>
      </c>
      <c r="F71" s="64">
        <v>36.85</v>
      </c>
      <c r="G71" s="64">
        <v>55.44</v>
      </c>
      <c r="H71" s="64">
        <v>19.5</v>
      </c>
      <c r="I71" s="64">
        <v>4.1399999999999997</v>
      </c>
      <c r="J71" s="64">
        <v>0.62</v>
      </c>
      <c r="K71" s="64">
        <v>228.59</v>
      </c>
      <c r="L71" s="64">
        <v>30.6</v>
      </c>
      <c r="M71" s="64">
        <v>13.65</v>
      </c>
      <c r="N71" s="64">
        <v>179.4</v>
      </c>
      <c r="O71" s="64">
        <v>0</v>
      </c>
      <c r="P71" s="64">
        <v>0.5</v>
      </c>
      <c r="Q71" s="64">
        <v>9.27</v>
      </c>
      <c r="R71" s="198"/>
      <c r="S71" s="198"/>
      <c r="T71" s="198"/>
      <c r="U71" s="198"/>
    </row>
    <row r="72" spans="1:21" s="12" customFormat="1" x14ac:dyDescent="0.25">
      <c r="A72" s="247" t="s">
        <v>1075</v>
      </c>
      <c r="B72" s="64">
        <v>3.75</v>
      </c>
      <c r="C72" s="64">
        <v>49.74</v>
      </c>
      <c r="D72" s="64">
        <v>28.99</v>
      </c>
      <c r="E72" s="64">
        <v>8.1199999999999992</v>
      </c>
      <c r="F72" s="64">
        <v>30.38</v>
      </c>
      <c r="G72" s="64">
        <v>52.75</v>
      </c>
      <c r="H72" s="64">
        <v>19.059999999999999</v>
      </c>
      <c r="I72" s="64">
        <v>4.01</v>
      </c>
      <c r="J72" s="64">
        <v>0.38</v>
      </c>
      <c r="K72" s="64">
        <v>249.52</v>
      </c>
      <c r="L72" s="64">
        <v>30.42</v>
      </c>
      <c r="M72" s="64">
        <v>13.8</v>
      </c>
      <c r="N72" s="64">
        <v>184.4</v>
      </c>
      <c r="O72" s="64">
        <v>0</v>
      </c>
      <c r="P72" s="64">
        <v>0.52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47" t="s">
        <v>1076</v>
      </c>
      <c r="B73" s="64">
        <v>3.93</v>
      </c>
      <c r="C73" s="64">
        <v>49.03</v>
      </c>
      <c r="D73" s="64">
        <v>28.77</v>
      </c>
      <c r="E73" s="64">
        <v>8.1199999999999992</v>
      </c>
      <c r="F73" s="64">
        <v>43.66</v>
      </c>
      <c r="G73" s="64">
        <v>45.34</v>
      </c>
      <c r="H73" s="64">
        <v>17.86</v>
      </c>
      <c r="I73" s="64">
        <v>4.01</v>
      </c>
      <c r="J73" s="64">
        <v>0.49</v>
      </c>
      <c r="K73" s="64">
        <v>214.58</v>
      </c>
      <c r="L73" s="64">
        <v>30</v>
      </c>
      <c r="M73" s="64">
        <v>13.96</v>
      </c>
      <c r="N73" s="64">
        <v>186.5</v>
      </c>
      <c r="O73" s="64">
        <v>0</v>
      </c>
      <c r="P73" s="64">
        <v>0.49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47" t="s">
        <v>1077</v>
      </c>
      <c r="B74" s="64">
        <v>6.47</v>
      </c>
      <c r="C74" s="64">
        <v>57.36</v>
      </c>
      <c r="D74" s="64">
        <v>35.159999999999997</v>
      </c>
      <c r="E74" s="64">
        <v>11.18</v>
      </c>
      <c r="F74" s="64">
        <v>47.64</v>
      </c>
      <c r="G74" s="64">
        <v>45.34</v>
      </c>
      <c r="H74" s="64">
        <v>17.86</v>
      </c>
      <c r="I74" s="64">
        <v>3.91</v>
      </c>
      <c r="J74" s="64">
        <v>0.32</v>
      </c>
      <c r="K74" s="64">
        <v>267.63</v>
      </c>
      <c r="L74" s="64">
        <v>29.81</v>
      </c>
      <c r="M74" s="64">
        <v>15.19</v>
      </c>
      <c r="N74" s="64">
        <v>152.6</v>
      </c>
      <c r="O74" s="64">
        <v>0</v>
      </c>
      <c r="P74" s="64">
        <v>0.5</v>
      </c>
      <c r="Q74" s="64">
        <v>9.24</v>
      </c>
      <c r="R74" s="198"/>
      <c r="S74" s="198"/>
      <c r="T74" s="198"/>
      <c r="U74" s="198"/>
    </row>
    <row r="75" spans="1:21" s="12" customFormat="1" x14ac:dyDescent="0.25">
      <c r="A75" s="247" t="s">
        <v>1078</v>
      </c>
      <c r="B75" s="64">
        <v>8.9600000000000009</v>
      </c>
      <c r="C75" s="64">
        <v>67.75</v>
      </c>
      <c r="D75" s="64">
        <v>42.58</v>
      </c>
      <c r="E75" s="64">
        <v>12.24</v>
      </c>
      <c r="F75" s="64">
        <v>48.51</v>
      </c>
      <c r="G75" s="64">
        <v>45.34</v>
      </c>
      <c r="H75" s="64">
        <v>17.86</v>
      </c>
      <c r="I75" s="64">
        <v>3.91</v>
      </c>
      <c r="J75" s="64">
        <v>1.02</v>
      </c>
      <c r="K75" s="64">
        <v>345.98</v>
      </c>
      <c r="L75" s="64">
        <v>29.85</v>
      </c>
      <c r="M75" s="64">
        <v>16.600000000000001</v>
      </c>
      <c r="N75" s="64">
        <v>131.19999999999999</v>
      </c>
      <c r="O75" s="64">
        <v>0</v>
      </c>
      <c r="P75" s="64">
        <v>0.6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47" t="s">
        <v>1079</v>
      </c>
      <c r="B76" s="64">
        <v>12.84</v>
      </c>
      <c r="C76" s="64">
        <v>88.98</v>
      </c>
      <c r="D76" s="64">
        <v>56.78</v>
      </c>
      <c r="E76" s="64">
        <v>14.72</v>
      </c>
      <c r="F76" s="64">
        <v>47.56</v>
      </c>
      <c r="G76" s="64">
        <v>49.92</v>
      </c>
      <c r="H76" s="64">
        <v>18.43</v>
      </c>
      <c r="I76" s="64">
        <v>3.97</v>
      </c>
      <c r="J76" s="64">
        <v>0.8</v>
      </c>
      <c r="K76" s="64">
        <v>4.17</v>
      </c>
      <c r="L76" s="64">
        <v>29.44</v>
      </c>
      <c r="M76" s="64">
        <v>17.25</v>
      </c>
      <c r="N76" s="64">
        <v>117.1</v>
      </c>
      <c r="O76" s="64">
        <v>0</v>
      </c>
      <c r="P76" s="64">
        <v>0.72</v>
      </c>
      <c r="Q76" s="64">
        <v>9.24</v>
      </c>
      <c r="R76" s="198"/>
      <c r="S76" s="198"/>
      <c r="T76" s="198"/>
      <c r="U76" s="198"/>
    </row>
    <row r="77" spans="1:21" s="12" customFormat="1" x14ac:dyDescent="0.25">
      <c r="A77" s="247" t="s">
        <v>1080</v>
      </c>
      <c r="B77" s="64">
        <v>10.29</v>
      </c>
      <c r="C77" s="64">
        <v>75.510000000000005</v>
      </c>
      <c r="D77" s="64">
        <v>47.71</v>
      </c>
      <c r="E77" s="64">
        <v>13.71</v>
      </c>
      <c r="F77" s="64">
        <v>41.52</v>
      </c>
      <c r="G77" s="64">
        <v>62.54</v>
      </c>
      <c r="H77" s="64">
        <v>20</v>
      </c>
      <c r="I77" s="64">
        <v>4.1500000000000004</v>
      </c>
      <c r="J77" s="64">
        <v>0.94</v>
      </c>
      <c r="K77" s="64">
        <v>351.89</v>
      </c>
      <c r="L77" s="64">
        <v>28.74</v>
      </c>
      <c r="M77" s="64">
        <v>20.94</v>
      </c>
      <c r="N77" s="64">
        <v>103.9</v>
      </c>
      <c r="O77" s="64">
        <v>0</v>
      </c>
      <c r="P77" s="64">
        <v>0.7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47" t="s">
        <v>1081</v>
      </c>
      <c r="B78" s="64">
        <v>7.95</v>
      </c>
      <c r="C78" s="64">
        <v>74.12</v>
      </c>
      <c r="D78" s="64">
        <v>45.1</v>
      </c>
      <c r="E78" s="64">
        <v>27.92</v>
      </c>
      <c r="F78" s="64">
        <v>33.81</v>
      </c>
      <c r="G78" s="64">
        <v>62.54</v>
      </c>
      <c r="H78" s="64">
        <v>20</v>
      </c>
      <c r="I78" s="64">
        <v>4.1100000000000003</v>
      </c>
      <c r="J78" s="64">
        <v>1.08</v>
      </c>
      <c r="K78" s="64">
        <v>6.45</v>
      </c>
      <c r="L78" s="64">
        <v>28.2</v>
      </c>
      <c r="M78" s="64">
        <v>20.75</v>
      </c>
      <c r="N78" s="64">
        <v>89.9</v>
      </c>
      <c r="O78" s="64">
        <v>0</v>
      </c>
      <c r="P78" s="64">
        <v>0.86</v>
      </c>
      <c r="Q78" s="64">
        <v>9.27</v>
      </c>
      <c r="R78" s="198"/>
      <c r="S78" s="198"/>
      <c r="T78" s="198"/>
      <c r="U78" s="198"/>
    </row>
    <row r="79" spans="1:21" s="12" customFormat="1" x14ac:dyDescent="0.25">
      <c r="A79" s="247" t="s">
        <v>1082</v>
      </c>
      <c r="B79" s="64">
        <v>9.01</v>
      </c>
      <c r="C79" s="64">
        <v>69.34</v>
      </c>
      <c r="D79" s="64">
        <v>43.45</v>
      </c>
      <c r="E79" s="64">
        <v>21.71</v>
      </c>
      <c r="F79" s="64">
        <v>26.91</v>
      </c>
      <c r="G79" s="64">
        <v>62.54</v>
      </c>
      <c r="H79" s="64">
        <v>20</v>
      </c>
      <c r="I79" s="64">
        <v>4.07</v>
      </c>
      <c r="J79" s="64">
        <v>1.75</v>
      </c>
      <c r="K79" s="64">
        <v>4.9400000000000004</v>
      </c>
      <c r="L79" s="64">
        <v>27.82</v>
      </c>
      <c r="M79" s="64">
        <v>21.47</v>
      </c>
      <c r="N79" s="64">
        <v>78.400000000000006</v>
      </c>
      <c r="O79" s="64">
        <v>0</v>
      </c>
      <c r="P79" s="64">
        <v>0.85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47" t="s">
        <v>1083</v>
      </c>
      <c r="B80" s="64">
        <v>8.14</v>
      </c>
      <c r="C80" s="64">
        <v>81.8</v>
      </c>
      <c r="D80" s="64">
        <v>49.27</v>
      </c>
      <c r="E80" s="64">
        <v>22.31</v>
      </c>
      <c r="F80" s="64">
        <v>25.1</v>
      </c>
      <c r="G80" s="64">
        <v>67.459999999999994</v>
      </c>
      <c r="H80" s="64">
        <v>20.86</v>
      </c>
      <c r="I80" s="64">
        <v>4.03</v>
      </c>
      <c r="J80" s="64">
        <v>1.74</v>
      </c>
      <c r="K80" s="64">
        <v>4.67</v>
      </c>
      <c r="L80" s="64">
        <v>27.32</v>
      </c>
      <c r="M80" s="64">
        <v>22.07</v>
      </c>
      <c r="N80" s="64">
        <v>68.900000000000006</v>
      </c>
      <c r="O80" s="64">
        <v>0</v>
      </c>
      <c r="P80" s="64">
        <v>0.99</v>
      </c>
      <c r="Q80" s="64">
        <v>9.32</v>
      </c>
      <c r="R80" s="198"/>
      <c r="S80" s="198"/>
      <c r="T80" s="198"/>
      <c r="U80" s="198"/>
    </row>
    <row r="81" spans="1:26" s="12" customFormat="1" x14ac:dyDescent="0.25">
      <c r="A81" s="247" t="s">
        <v>1084</v>
      </c>
      <c r="B81" s="64">
        <v>9.02</v>
      </c>
      <c r="C81" s="64">
        <v>82.54</v>
      </c>
      <c r="D81" s="64">
        <v>50.36</v>
      </c>
      <c r="E81" s="64">
        <v>19.13</v>
      </c>
      <c r="F81" s="64">
        <v>22.17</v>
      </c>
      <c r="G81" s="64">
        <v>80.989999999999995</v>
      </c>
      <c r="H81" s="64">
        <v>23.22</v>
      </c>
      <c r="I81" s="64">
        <v>4.0199999999999996</v>
      </c>
      <c r="J81" s="64">
        <v>1.5</v>
      </c>
      <c r="K81" s="64">
        <v>5.44</v>
      </c>
      <c r="L81" s="64">
        <v>26.64</v>
      </c>
      <c r="M81" s="64">
        <v>21.8</v>
      </c>
      <c r="N81" s="64">
        <v>63.3</v>
      </c>
      <c r="O81" s="64">
        <v>0</v>
      </c>
      <c r="P81" s="64">
        <v>1.06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47" t="s">
        <v>1085</v>
      </c>
      <c r="B82" s="64">
        <v>10.1</v>
      </c>
      <c r="C82" s="64">
        <v>89.09</v>
      </c>
      <c r="D82" s="64">
        <v>54.65</v>
      </c>
      <c r="E82" s="64">
        <v>19.23</v>
      </c>
      <c r="F82" s="64">
        <v>23.4</v>
      </c>
      <c r="G82" s="64">
        <v>80.989999999999995</v>
      </c>
      <c r="H82" s="64">
        <v>23.22</v>
      </c>
      <c r="I82" s="64">
        <v>3.97</v>
      </c>
      <c r="J82" s="64">
        <v>1.1499999999999999</v>
      </c>
      <c r="K82" s="64">
        <v>10.02</v>
      </c>
      <c r="L82" s="64">
        <v>26.15</v>
      </c>
      <c r="M82" s="64">
        <v>22.85</v>
      </c>
      <c r="N82" s="64">
        <v>61.7</v>
      </c>
      <c r="O82" s="64">
        <v>0</v>
      </c>
      <c r="P82" s="64">
        <v>1.21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47" t="s">
        <v>1086</v>
      </c>
      <c r="B83" s="64">
        <v>8.48</v>
      </c>
      <c r="C83" s="64">
        <v>96.94</v>
      </c>
      <c r="D83" s="64">
        <v>57.45</v>
      </c>
      <c r="E83" s="64">
        <v>23.17</v>
      </c>
      <c r="F83" s="64">
        <v>25.65</v>
      </c>
      <c r="G83" s="64">
        <v>80.989999999999995</v>
      </c>
      <c r="H83" s="64">
        <v>23.22</v>
      </c>
      <c r="I83" s="64">
        <v>3.99</v>
      </c>
      <c r="J83" s="64">
        <v>0.78</v>
      </c>
      <c r="K83" s="64">
        <v>16.670000000000002</v>
      </c>
      <c r="L83" s="64">
        <v>25.61</v>
      </c>
      <c r="M83" s="64">
        <v>23.79</v>
      </c>
      <c r="N83" s="64">
        <v>61.7</v>
      </c>
      <c r="O83" s="64">
        <v>0</v>
      </c>
      <c r="P83" s="64">
        <v>1.3</v>
      </c>
      <c r="Q83" s="64">
        <v>9.3699999999999992</v>
      </c>
      <c r="R83" s="198"/>
      <c r="S83" s="198"/>
      <c r="T83" s="198"/>
      <c r="U83" s="198"/>
    </row>
    <row r="84" spans="1:26" s="12" customFormat="1" x14ac:dyDescent="0.25">
      <c r="A84" s="247" t="s">
        <v>1087</v>
      </c>
      <c r="B84" s="64">
        <v>6.19</v>
      </c>
      <c r="C84" s="64">
        <v>90.65</v>
      </c>
      <c r="D84" s="64">
        <v>52.33</v>
      </c>
      <c r="E84" s="64">
        <v>37.880000000000003</v>
      </c>
      <c r="F84" s="64">
        <v>27.9</v>
      </c>
      <c r="G84" s="64">
        <v>84.82</v>
      </c>
      <c r="H84" s="64">
        <v>25.08</v>
      </c>
      <c r="I84" s="64">
        <v>4.03</v>
      </c>
      <c r="J84" s="64">
        <v>0.56999999999999995</v>
      </c>
      <c r="K84" s="64">
        <v>39.25</v>
      </c>
      <c r="L84" s="64">
        <v>25.09</v>
      </c>
      <c r="M84" s="64">
        <v>24.61</v>
      </c>
      <c r="N84" s="64">
        <v>61.6</v>
      </c>
      <c r="O84" s="64">
        <v>0</v>
      </c>
      <c r="P84" s="64">
        <v>1.25</v>
      </c>
      <c r="Q84" s="64">
        <v>9.41</v>
      </c>
      <c r="R84" s="198"/>
      <c r="S84" s="198"/>
      <c r="T84" s="198"/>
      <c r="U84" s="198"/>
    </row>
    <row r="85" spans="1:26" s="12" customFormat="1" x14ac:dyDescent="0.25">
      <c r="A85" s="247" t="s">
        <v>1088</v>
      </c>
      <c r="B85" s="64">
        <v>8.1999999999999993</v>
      </c>
      <c r="C85" s="64">
        <v>94.81</v>
      </c>
      <c r="D85" s="64">
        <v>56.11</v>
      </c>
      <c r="E85" s="64">
        <v>34.71</v>
      </c>
      <c r="F85" s="64">
        <v>23.12</v>
      </c>
      <c r="G85" s="64">
        <v>95.35</v>
      </c>
      <c r="H85" s="64">
        <v>30.2</v>
      </c>
      <c r="I85" s="64">
        <v>3.98</v>
      </c>
      <c r="J85" s="64">
        <v>0.57999999999999996</v>
      </c>
      <c r="K85" s="64">
        <v>44.75</v>
      </c>
      <c r="L85" s="64">
        <v>24.67</v>
      </c>
      <c r="M85" s="64">
        <v>24.43</v>
      </c>
      <c r="N85" s="64">
        <v>61.3</v>
      </c>
      <c r="O85" s="64">
        <v>0</v>
      </c>
      <c r="P85" s="64">
        <v>1.25</v>
      </c>
      <c r="Q85" s="64">
        <v>9.42</v>
      </c>
      <c r="R85" s="198"/>
      <c r="S85" s="198"/>
      <c r="T85" s="198"/>
      <c r="U85" s="198"/>
    </row>
    <row r="86" spans="1:26" s="12" customFormat="1" x14ac:dyDescent="0.25">
      <c r="A86" s="247" t="s">
        <v>1089</v>
      </c>
      <c r="B86" s="64">
        <v>35.94</v>
      </c>
      <c r="C86" s="64">
        <v>112.44</v>
      </c>
      <c r="D86" s="64">
        <v>87.57</v>
      </c>
      <c r="E86" s="64">
        <v>20.36</v>
      </c>
      <c r="F86" s="64">
        <v>20.190000000000001</v>
      </c>
      <c r="G86" s="64">
        <v>95.35</v>
      </c>
      <c r="H86" s="64">
        <v>30.2</v>
      </c>
      <c r="I86" s="64">
        <v>3.81</v>
      </c>
      <c r="J86" s="64">
        <v>0.63</v>
      </c>
      <c r="K86" s="64">
        <v>42.01</v>
      </c>
      <c r="L86" s="64">
        <v>24.55</v>
      </c>
      <c r="M86" s="64">
        <v>24.24</v>
      </c>
      <c r="N86" s="64">
        <v>61.2</v>
      </c>
      <c r="O86" s="64">
        <v>0</v>
      </c>
      <c r="P86" s="64">
        <v>1.39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47" t="s">
        <v>1090</v>
      </c>
      <c r="B87" s="64">
        <v>25.68</v>
      </c>
      <c r="C87" s="64">
        <v>118.9</v>
      </c>
      <c r="D87" s="64">
        <v>82.71</v>
      </c>
      <c r="E87" s="64">
        <v>16.5</v>
      </c>
      <c r="F87" s="64">
        <v>16.36</v>
      </c>
      <c r="G87" s="64">
        <v>95.35</v>
      </c>
      <c r="H87" s="64">
        <v>30.2</v>
      </c>
      <c r="I87" s="64">
        <v>4.12</v>
      </c>
      <c r="J87" s="64">
        <v>0.76</v>
      </c>
      <c r="K87" s="64">
        <v>29.08</v>
      </c>
      <c r="L87" s="64">
        <v>23.9</v>
      </c>
      <c r="M87" s="64">
        <v>26.57</v>
      </c>
      <c r="N87" s="64">
        <v>62</v>
      </c>
      <c r="O87" s="64">
        <v>0</v>
      </c>
      <c r="P87" s="64">
        <v>1.57</v>
      </c>
      <c r="Q87" s="64">
        <v>9.4700000000000006</v>
      </c>
      <c r="R87" s="198"/>
      <c r="S87" s="198"/>
      <c r="T87" s="198"/>
      <c r="U87" s="198"/>
    </row>
    <row r="88" spans="1:26" s="12" customFormat="1" x14ac:dyDescent="0.25">
      <c r="A88" s="247" t="s">
        <v>1091</v>
      </c>
      <c r="B88" s="64">
        <v>11.48</v>
      </c>
      <c r="C88" s="64">
        <v>99.64</v>
      </c>
      <c r="D88" s="64">
        <v>61.26</v>
      </c>
      <c r="E88" s="64">
        <v>14.77</v>
      </c>
      <c r="F88" s="64">
        <v>23.51</v>
      </c>
      <c r="G88" s="64">
        <v>95.85</v>
      </c>
      <c r="H88" s="64">
        <v>28.72</v>
      </c>
      <c r="I88" s="64">
        <v>4.07</v>
      </c>
      <c r="J88" s="64">
        <v>0.55000000000000004</v>
      </c>
      <c r="K88" s="64">
        <v>23.23</v>
      </c>
      <c r="L88" s="64">
        <v>23.84</v>
      </c>
      <c r="M88" s="64">
        <v>25.76</v>
      </c>
      <c r="N88" s="64">
        <v>61.8</v>
      </c>
      <c r="O88" s="64">
        <v>0</v>
      </c>
      <c r="P88" s="64">
        <v>1.31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47" t="s">
        <v>1092</v>
      </c>
      <c r="B89" s="64">
        <v>16.579999999999998</v>
      </c>
      <c r="C89" s="64">
        <v>100.97</v>
      </c>
      <c r="D89" s="64">
        <v>66.05</v>
      </c>
      <c r="E89" s="64">
        <v>15.9</v>
      </c>
      <c r="F89" s="64">
        <v>24.15</v>
      </c>
      <c r="G89" s="64">
        <v>97.22</v>
      </c>
      <c r="H89" s="64">
        <v>24.64</v>
      </c>
      <c r="I89" s="64">
        <v>4</v>
      </c>
      <c r="J89" s="64">
        <v>0.54</v>
      </c>
      <c r="K89" s="64">
        <v>35.229999999999997</v>
      </c>
      <c r="L89" s="64">
        <v>23.67</v>
      </c>
      <c r="M89" s="64">
        <v>26.29</v>
      </c>
      <c r="N89" s="64">
        <v>62.2</v>
      </c>
      <c r="O89" s="64">
        <v>0</v>
      </c>
      <c r="P89" s="64">
        <v>1.37</v>
      </c>
      <c r="Q89" s="64">
        <v>9.52</v>
      </c>
      <c r="R89" s="198"/>
      <c r="S89" s="198"/>
      <c r="T89" s="198"/>
      <c r="U89" s="198"/>
    </row>
    <row r="90" spans="1:26" s="12" customFormat="1" x14ac:dyDescent="0.25">
      <c r="A90" s="247" t="s">
        <v>1093</v>
      </c>
      <c r="B90" s="64">
        <v>6.49</v>
      </c>
      <c r="C90" s="64">
        <v>79.069999999999993</v>
      </c>
      <c r="D90" s="64">
        <v>46.52</v>
      </c>
      <c r="E90" s="64">
        <v>15.49</v>
      </c>
      <c r="F90" s="64">
        <v>31.61</v>
      </c>
      <c r="G90" s="64">
        <v>97.22</v>
      </c>
      <c r="H90" s="64">
        <v>24.64</v>
      </c>
      <c r="I90" s="64">
        <v>3.86</v>
      </c>
      <c r="J90" s="64">
        <v>0.74</v>
      </c>
      <c r="K90" s="64">
        <v>83.5</v>
      </c>
      <c r="L90" s="64">
        <v>23.76</v>
      </c>
      <c r="M90" s="64">
        <v>26.91</v>
      </c>
      <c r="N90" s="64">
        <v>62.3</v>
      </c>
      <c r="O90" s="64">
        <v>0</v>
      </c>
      <c r="P90" s="64">
        <v>1.08</v>
      </c>
      <c r="Q90" s="64">
        <v>9.5399999999999991</v>
      </c>
      <c r="R90" s="198"/>
      <c r="S90" s="198"/>
      <c r="T90" s="198"/>
      <c r="U90" s="198"/>
    </row>
    <row r="91" spans="1:26" s="12" customFormat="1" x14ac:dyDescent="0.25">
      <c r="A91" s="247" t="s">
        <v>1094</v>
      </c>
      <c r="B91" s="64">
        <v>9.9</v>
      </c>
      <c r="C91" s="64">
        <v>93.72</v>
      </c>
      <c r="D91" s="64">
        <v>56.91</v>
      </c>
      <c r="E91" s="64">
        <v>13.23</v>
      </c>
      <c r="F91" s="64">
        <v>25.67</v>
      </c>
      <c r="G91" s="64">
        <v>97.22</v>
      </c>
      <c r="H91" s="64">
        <v>24.64</v>
      </c>
      <c r="I91" s="64">
        <v>4.09</v>
      </c>
      <c r="J91" s="64">
        <v>1</v>
      </c>
      <c r="K91" s="64">
        <v>71.98</v>
      </c>
      <c r="L91" s="64">
        <v>23.76</v>
      </c>
      <c r="M91" s="64">
        <v>26.18</v>
      </c>
      <c r="N91" s="64">
        <v>61.4</v>
      </c>
      <c r="O91" s="64">
        <v>0</v>
      </c>
      <c r="P91" s="64">
        <v>1.19</v>
      </c>
      <c r="Q91" s="64">
        <v>9.5500000000000007</v>
      </c>
      <c r="R91" s="198"/>
      <c r="S91" s="198"/>
      <c r="T91" s="198"/>
      <c r="U91" s="198"/>
    </row>
    <row r="92" spans="1:26" s="12" customFormat="1" x14ac:dyDescent="0.25">
      <c r="A92" s="247" t="s">
        <v>1095</v>
      </c>
      <c r="B92" s="64">
        <v>6.86</v>
      </c>
      <c r="C92" s="64">
        <v>77.64</v>
      </c>
      <c r="D92" s="64">
        <v>46.07</v>
      </c>
      <c r="E92" s="64">
        <v>13.01</v>
      </c>
      <c r="F92" s="64">
        <v>30.9</v>
      </c>
      <c r="G92" s="64">
        <v>95.22</v>
      </c>
      <c r="H92" s="64">
        <v>22.56</v>
      </c>
      <c r="I92" s="64">
        <v>3.91</v>
      </c>
      <c r="J92" s="64">
        <v>0.91</v>
      </c>
      <c r="K92" s="64">
        <v>75.16</v>
      </c>
      <c r="L92" s="64">
        <v>23.9</v>
      </c>
      <c r="M92" s="64">
        <v>26.01</v>
      </c>
      <c r="N92" s="64">
        <v>62.2</v>
      </c>
      <c r="O92" s="64">
        <v>0</v>
      </c>
      <c r="P92" s="64">
        <v>1.06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47" t="s">
        <v>1096</v>
      </c>
      <c r="B93" s="64">
        <v>7.9</v>
      </c>
      <c r="C93" s="64">
        <v>80.86</v>
      </c>
      <c r="D93" s="64">
        <v>48.59</v>
      </c>
      <c r="E93" s="64">
        <v>13.03</v>
      </c>
      <c r="F93" s="64">
        <v>29.21</v>
      </c>
      <c r="G93" s="64">
        <v>89.73</v>
      </c>
      <c r="H93" s="64">
        <v>16.82</v>
      </c>
      <c r="I93" s="64">
        <v>3.96</v>
      </c>
      <c r="J93" s="64">
        <v>0.81</v>
      </c>
      <c r="K93" s="64">
        <v>86.37</v>
      </c>
      <c r="L93" s="64">
        <v>23.46</v>
      </c>
      <c r="M93" s="64">
        <v>27.56</v>
      </c>
      <c r="N93" s="64">
        <v>62.6</v>
      </c>
      <c r="O93" s="64">
        <v>0</v>
      </c>
      <c r="P93" s="64">
        <v>1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47" t="s">
        <v>1097</v>
      </c>
      <c r="B94" s="64">
        <v>9.17</v>
      </c>
      <c r="C94" s="64">
        <v>99.34</v>
      </c>
      <c r="D94" s="64">
        <v>59.26</v>
      </c>
      <c r="E94" s="64">
        <v>13.66</v>
      </c>
      <c r="F94" s="64">
        <v>25.8</v>
      </c>
      <c r="G94" s="64">
        <v>89.73</v>
      </c>
      <c r="H94" s="64">
        <v>16.82</v>
      </c>
      <c r="I94" s="64">
        <v>3.9</v>
      </c>
      <c r="J94" s="64">
        <v>0.61</v>
      </c>
      <c r="K94" s="64">
        <v>54.76</v>
      </c>
      <c r="L94" s="64">
        <v>23</v>
      </c>
      <c r="M94" s="64">
        <v>28.03</v>
      </c>
      <c r="N94" s="64">
        <v>62.7</v>
      </c>
      <c r="O94" s="64">
        <v>0</v>
      </c>
      <c r="P94" s="64">
        <v>1.1499999999999999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47" t="s">
        <v>1098</v>
      </c>
      <c r="B95" s="64">
        <v>15.92</v>
      </c>
      <c r="C95" s="64">
        <v>95.54</v>
      </c>
      <c r="D95" s="64">
        <v>62.69</v>
      </c>
      <c r="E95" s="64">
        <v>12.87</v>
      </c>
      <c r="F95" s="64">
        <v>24.44</v>
      </c>
      <c r="G95" s="64">
        <v>89.73</v>
      </c>
      <c r="H95" s="64">
        <v>16.82</v>
      </c>
      <c r="I95" s="64">
        <v>3.76</v>
      </c>
      <c r="J95" s="64">
        <v>0.76</v>
      </c>
      <c r="K95" s="64">
        <v>68.52</v>
      </c>
      <c r="L95" s="64">
        <v>22.83</v>
      </c>
      <c r="M95" s="64">
        <v>28.5</v>
      </c>
      <c r="N95" s="64">
        <v>62.5</v>
      </c>
      <c r="O95" s="64">
        <v>0</v>
      </c>
      <c r="P95" s="64">
        <v>1.06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47" t="s">
        <v>1099</v>
      </c>
      <c r="B96" s="64">
        <v>7.24</v>
      </c>
      <c r="C96" s="64">
        <v>79.28</v>
      </c>
      <c r="D96" s="64">
        <v>47.23</v>
      </c>
      <c r="E96" s="64">
        <v>10.34</v>
      </c>
      <c r="F96" s="64">
        <v>22.42</v>
      </c>
      <c r="G96" s="64">
        <v>87.17</v>
      </c>
      <c r="H96" s="64">
        <v>21.53</v>
      </c>
      <c r="I96" s="64">
        <v>3.94</v>
      </c>
      <c r="J96" s="64">
        <v>0.93</v>
      </c>
      <c r="K96" s="64">
        <v>89.28</v>
      </c>
      <c r="L96" s="64">
        <v>22.8</v>
      </c>
      <c r="M96" s="64">
        <v>29.31</v>
      </c>
      <c r="N96" s="64">
        <v>62.3</v>
      </c>
      <c r="O96" s="64">
        <v>0</v>
      </c>
      <c r="P96" s="64">
        <v>1.07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1100</v>
      </c>
      <c r="B97" s="64">
        <v>9.6300000000000008</v>
      </c>
      <c r="C97" s="64">
        <v>82.37</v>
      </c>
      <c r="D97" s="64">
        <v>50.76</v>
      </c>
      <c r="E97" s="64">
        <v>8.4700000000000006</v>
      </c>
      <c r="F97" s="64">
        <v>13.23</v>
      </c>
      <c r="G97" s="64">
        <v>80.13</v>
      </c>
      <c r="H97" s="64">
        <v>34.49</v>
      </c>
      <c r="I97" s="64">
        <v>4.1500000000000004</v>
      </c>
      <c r="J97" s="64">
        <v>1.32</v>
      </c>
      <c r="K97" s="64">
        <v>81.03</v>
      </c>
      <c r="L97" s="64">
        <v>22.86</v>
      </c>
      <c r="M97" s="64">
        <v>28.95</v>
      </c>
      <c r="N97" s="64">
        <v>61.9</v>
      </c>
      <c r="O97" s="64">
        <v>0</v>
      </c>
      <c r="P97" s="64">
        <v>1.1100000000000001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47" t="s">
        <v>1101</v>
      </c>
      <c r="B98" s="64">
        <v>6.21</v>
      </c>
      <c r="C98" s="64">
        <v>77.040000000000006</v>
      </c>
      <c r="D98" s="64">
        <v>45.23</v>
      </c>
      <c r="E98" s="64">
        <v>7.7</v>
      </c>
      <c r="F98" s="64">
        <v>14.36</v>
      </c>
      <c r="G98" s="64">
        <v>80.13</v>
      </c>
      <c r="H98" s="64">
        <v>34.49</v>
      </c>
      <c r="I98" s="64">
        <v>4</v>
      </c>
      <c r="J98" s="64">
        <v>1.29</v>
      </c>
      <c r="K98" s="64">
        <v>85.42</v>
      </c>
      <c r="L98" s="64">
        <v>22.9</v>
      </c>
      <c r="M98" s="64">
        <v>29.14</v>
      </c>
      <c r="N98" s="64">
        <v>62.4</v>
      </c>
      <c r="O98" s="64">
        <v>0</v>
      </c>
      <c r="P98" s="64">
        <v>1.0900000000000001</v>
      </c>
      <c r="Q98" s="64">
        <v>9.5</v>
      </c>
      <c r="R98" s="198"/>
      <c r="S98" s="198"/>
      <c r="T98" s="198"/>
      <c r="U98" s="198"/>
    </row>
    <row r="99" spans="1:33" s="12" customFormat="1" x14ac:dyDescent="0.25">
      <c r="A99" s="247" t="s">
        <v>1102</v>
      </c>
      <c r="B99" s="64">
        <v>5.48</v>
      </c>
      <c r="C99" s="64">
        <v>76.680000000000007</v>
      </c>
      <c r="D99" s="64">
        <v>44.45</v>
      </c>
      <c r="E99" s="64">
        <v>7.53</v>
      </c>
      <c r="F99" s="64">
        <v>15.32</v>
      </c>
      <c r="G99" s="64">
        <v>80.13</v>
      </c>
      <c r="H99" s="64">
        <v>34.49</v>
      </c>
      <c r="I99" s="64">
        <v>3.88</v>
      </c>
      <c r="J99" s="64">
        <v>1.17</v>
      </c>
      <c r="K99" s="64">
        <v>84.45</v>
      </c>
      <c r="L99" s="64">
        <v>22.77</v>
      </c>
      <c r="M99" s="64">
        <v>29.56</v>
      </c>
      <c r="N99" s="64">
        <v>62.5</v>
      </c>
      <c r="O99" s="64">
        <v>0</v>
      </c>
      <c r="P99" s="64">
        <v>1.04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47" t="s">
        <v>1103</v>
      </c>
      <c r="B100" s="64">
        <v>5.27</v>
      </c>
      <c r="C100" s="64">
        <v>74.95</v>
      </c>
      <c r="D100" s="64">
        <v>43.38</v>
      </c>
      <c r="E100" s="64">
        <v>11.72</v>
      </c>
      <c r="F100" s="64">
        <v>17.010000000000002</v>
      </c>
      <c r="G100" s="64">
        <v>78.540000000000006</v>
      </c>
      <c r="H100" s="64">
        <v>33.14</v>
      </c>
      <c r="I100" s="64">
        <v>4.0199999999999996</v>
      </c>
      <c r="J100" s="64">
        <v>1.1599999999999999</v>
      </c>
      <c r="K100" s="64">
        <v>88.31</v>
      </c>
      <c r="L100" s="64">
        <v>22.59</v>
      </c>
      <c r="M100" s="64">
        <v>30.54</v>
      </c>
      <c r="N100" s="64">
        <v>62.6</v>
      </c>
      <c r="O100" s="64">
        <v>0</v>
      </c>
      <c r="P100" s="64">
        <v>1</v>
      </c>
      <c r="Q100" s="64">
        <v>9.51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1104</v>
      </c>
      <c r="B101" s="64">
        <v>5.55</v>
      </c>
      <c r="C101" s="64">
        <v>74.77</v>
      </c>
      <c r="D101" s="64">
        <v>43.51</v>
      </c>
      <c r="E101" s="64">
        <v>12.63</v>
      </c>
      <c r="F101" s="64">
        <v>15.97</v>
      </c>
      <c r="G101" s="64">
        <v>74.180000000000007</v>
      </c>
      <c r="H101" s="64">
        <v>29.43</v>
      </c>
      <c r="I101" s="64">
        <v>4.04</v>
      </c>
      <c r="J101" s="64">
        <v>1.17</v>
      </c>
      <c r="K101" s="64">
        <v>86.38</v>
      </c>
      <c r="L101" s="64">
        <v>22.47</v>
      </c>
      <c r="M101" s="64">
        <v>31.17</v>
      </c>
      <c r="N101" s="64">
        <v>62.6</v>
      </c>
      <c r="O101" s="64">
        <v>0</v>
      </c>
      <c r="P101" s="64">
        <v>1.01</v>
      </c>
      <c r="Q101" s="64">
        <v>9.51</v>
      </c>
      <c r="R101" s="198"/>
      <c r="S101" s="198"/>
      <c r="T101" s="198"/>
      <c r="U101" s="198"/>
    </row>
    <row r="102" spans="1:33" s="12" customFormat="1" x14ac:dyDescent="0.25">
      <c r="A102" s="247" t="s">
        <v>1105</v>
      </c>
      <c r="B102" s="64">
        <v>5.18</v>
      </c>
      <c r="C102" s="64">
        <v>75.010000000000005</v>
      </c>
      <c r="D102" s="64">
        <v>43.34</v>
      </c>
      <c r="E102" s="64">
        <v>11.14</v>
      </c>
      <c r="F102" s="64">
        <v>15.3</v>
      </c>
      <c r="G102" s="64">
        <v>74.180000000000007</v>
      </c>
      <c r="H102" s="64">
        <v>29.43</v>
      </c>
      <c r="I102" s="64">
        <v>3.98</v>
      </c>
      <c r="J102" s="64">
        <v>0.87</v>
      </c>
      <c r="K102" s="64">
        <v>75.41</v>
      </c>
      <c r="L102" s="64">
        <v>22.32</v>
      </c>
      <c r="M102" s="64">
        <v>31.37</v>
      </c>
      <c r="N102" s="64">
        <v>62.7</v>
      </c>
      <c r="O102" s="64">
        <v>0</v>
      </c>
      <c r="P102" s="64">
        <v>0.98</v>
      </c>
      <c r="Q102" s="64">
        <v>9.51</v>
      </c>
      <c r="R102" s="198"/>
      <c r="S102" s="198"/>
      <c r="T102" s="198"/>
      <c r="U102" s="198"/>
    </row>
    <row r="103" spans="1:33" s="12" customFormat="1" x14ac:dyDescent="0.25">
      <c r="A103" s="247" t="s">
        <v>1106</v>
      </c>
      <c r="B103" s="64">
        <v>5.63</v>
      </c>
      <c r="C103" s="64">
        <v>78.22</v>
      </c>
      <c r="D103" s="64">
        <v>45.39</v>
      </c>
      <c r="E103" s="64">
        <v>10.39</v>
      </c>
      <c r="F103" s="64">
        <v>17.52</v>
      </c>
      <c r="G103" s="64">
        <v>74.180000000000007</v>
      </c>
      <c r="H103" s="64">
        <v>29.43</v>
      </c>
      <c r="I103" s="64">
        <v>4.09</v>
      </c>
      <c r="J103" s="64">
        <v>0.66</v>
      </c>
      <c r="K103" s="64">
        <v>72.37</v>
      </c>
      <c r="L103" s="64">
        <v>22.19</v>
      </c>
      <c r="M103" s="64">
        <v>31.46</v>
      </c>
      <c r="N103" s="64">
        <v>63</v>
      </c>
      <c r="O103" s="64">
        <v>0</v>
      </c>
      <c r="P103" s="64">
        <v>0.94</v>
      </c>
      <c r="Q103" s="64">
        <v>9.51</v>
      </c>
      <c r="R103" s="198"/>
      <c r="S103" s="198"/>
      <c r="T103" s="198"/>
      <c r="U103" s="198"/>
    </row>
    <row r="104" spans="1:33" s="12" customFormat="1" x14ac:dyDescent="0.25">
      <c r="A104" s="247" t="s">
        <v>1107</v>
      </c>
      <c r="B104" s="64">
        <v>4.51</v>
      </c>
      <c r="C104" s="64">
        <v>73.13</v>
      </c>
      <c r="D104" s="64">
        <v>41.83</v>
      </c>
      <c r="E104" s="64">
        <v>11.39</v>
      </c>
      <c r="F104" s="64">
        <v>23.61</v>
      </c>
      <c r="G104" s="64">
        <v>73.239999999999995</v>
      </c>
      <c r="H104" s="64">
        <v>30.59</v>
      </c>
      <c r="I104" s="64">
        <v>4.17</v>
      </c>
      <c r="J104" s="64">
        <v>0.55000000000000004</v>
      </c>
      <c r="K104" s="64">
        <v>57.96</v>
      </c>
      <c r="L104" s="64">
        <v>21.82</v>
      </c>
      <c r="M104" s="64">
        <v>32.28</v>
      </c>
      <c r="N104" s="64">
        <v>63.2</v>
      </c>
      <c r="O104" s="64">
        <v>0</v>
      </c>
      <c r="P104" s="64">
        <v>0.88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3.75</v>
      </c>
      <c r="C106" s="67">
        <f>MIN(C9:C104)</f>
        <v>46.01</v>
      </c>
      <c r="D106" s="67">
        <f t="shared" ref="D106:Q106" si="0">MIN(D9:D104)</f>
        <v>27.08</v>
      </c>
      <c r="E106" s="67">
        <f t="shared" si="0"/>
        <v>3.95</v>
      </c>
      <c r="F106" s="67">
        <f t="shared" si="0"/>
        <v>5.36</v>
      </c>
      <c r="G106" s="67">
        <f t="shared" si="0"/>
        <v>45.34</v>
      </c>
      <c r="H106" s="67">
        <f t="shared" si="0"/>
        <v>16.82</v>
      </c>
      <c r="I106" s="67">
        <f t="shared" si="0"/>
        <v>3.73</v>
      </c>
      <c r="J106" s="67">
        <f t="shared" si="0"/>
        <v>0.05</v>
      </c>
      <c r="K106" s="67">
        <f t="shared" si="0"/>
        <v>1.77</v>
      </c>
      <c r="L106" s="67">
        <f t="shared" si="0"/>
        <v>15.33</v>
      </c>
      <c r="M106" s="67">
        <f t="shared" si="0"/>
        <v>11.36</v>
      </c>
      <c r="N106" s="67">
        <f t="shared" si="0"/>
        <v>59.9</v>
      </c>
      <c r="O106" s="67">
        <f t="shared" si="0"/>
        <v>0</v>
      </c>
      <c r="P106" s="67">
        <f t="shared" si="0"/>
        <v>0.49</v>
      </c>
      <c r="Q106" s="67">
        <f t="shared" si="0"/>
        <v>9.2200000000000006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124.6</v>
      </c>
      <c r="C107" s="66">
        <f t="shared" ref="C107:Q107" si="1">MAX(C9:C104)</f>
        <v>118.9</v>
      </c>
      <c r="D107" s="66">
        <f t="shared" si="1"/>
        <v>149.09</v>
      </c>
      <c r="E107" s="66">
        <f t="shared" si="1"/>
        <v>37.880000000000003</v>
      </c>
      <c r="F107" s="66">
        <f t="shared" si="1"/>
        <v>48.51</v>
      </c>
      <c r="G107" s="66">
        <f t="shared" si="1"/>
        <v>178.1</v>
      </c>
      <c r="H107" s="66">
        <f t="shared" si="1"/>
        <v>50.38</v>
      </c>
      <c r="I107" s="66">
        <f t="shared" si="1"/>
        <v>4.24</v>
      </c>
      <c r="J107" s="66">
        <f t="shared" si="1"/>
        <v>1.96</v>
      </c>
      <c r="K107" s="66">
        <f t="shared" si="1"/>
        <v>356.31</v>
      </c>
      <c r="L107" s="66">
        <f t="shared" si="1"/>
        <v>35.770000000000003</v>
      </c>
      <c r="M107" s="66">
        <f t="shared" si="1"/>
        <v>54.28</v>
      </c>
      <c r="N107" s="66">
        <f t="shared" si="1"/>
        <v>756.8</v>
      </c>
      <c r="O107" s="66">
        <f t="shared" si="1"/>
        <v>0</v>
      </c>
      <c r="P107" s="66">
        <f t="shared" si="1"/>
        <v>1.9</v>
      </c>
      <c r="Q107" s="66">
        <f t="shared" si="1"/>
        <v>9.91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38.345729166666651</v>
      </c>
      <c r="C108" s="67">
        <f t="shared" ref="C108:Q108" si="2">AVERAGE(C9:C104)</f>
        <v>78.059479166666662</v>
      </c>
      <c r="D108" s="67">
        <f t="shared" si="2"/>
        <v>71.53416666666665</v>
      </c>
      <c r="E108" s="67">
        <f t="shared" si="2"/>
        <v>9.0223958333333343</v>
      </c>
      <c r="F108" s="67">
        <f t="shared" si="2"/>
        <v>18.485208333333336</v>
      </c>
      <c r="G108" s="67">
        <f t="shared" si="2"/>
        <v>96.89562500000001</v>
      </c>
      <c r="H108" s="67">
        <f t="shared" si="2"/>
        <v>29.467395833333317</v>
      </c>
      <c r="I108" s="67">
        <f t="shared" si="2"/>
        <v>4.0040624999999999</v>
      </c>
      <c r="J108" s="67">
        <f t="shared" si="2"/>
        <v>0.80291666666666661</v>
      </c>
      <c r="K108" s="67">
        <f t="shared" si="2"/>
        <v>172.88249999999996</v>
      </c>
      <c r="L108" s="67">
        <f t="shared" si="2"/>
        <v>24.151145833333342</v>
      </c>
      <c r="M108" s="67">
        <f t="shared" si="2"/>
        <v>29.469791666666669</v>
      </c>
      <c r="N108" s="67">
        <f t="shared" si="2"/>
        <v>246.23333333333338</v>
      </c>
      <c r="O108" s="67">
        <f t="shared" si="2"/>
        <v>0</v>
      </c>
      <c r="P108" s="67">
        <f t="shared" si="2"/>
        <v>1.0841666666666663</v>
      </c>
      <c r="Q108" s="67">
        <f t="shared" si="2"/>
        <v>9.6022916666666625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37.792555149471951</v>
      </c>
      <c r="C109" s="67">
        <f t="shared" ref="C109:Q109" si="3">STDEV(C9:C104)</f>
        <v>12.408455807043335</v>
      </c>
      <c r="D109" s="67">
        <f t="shared" si="3"/>
        <v>32.670907311573181</v>
      </c>
      <c r="E109" s="67">
        <f t="shared" si="3"/>
        <v>6.4144983386390777</v>
      </c>
      <c r="F109" s="67">
        <f t="shared" si="3"/>
        <v>11.103106154222328</v>
      </c>
      <c r="G109" s="67">
        <f t="shared" si="3"/>
        <v>37.34485052397303</v>
      </c>
      <c r="H109" s="67">
        <f t="shared" si="3"/>
        <v>8.8809460431090734</v>
      </c>
      <c r="I109" s="67">
        <f t="shared" si="3"/>
        <v>9.9488990398567789E-2</v>
      </c>
      <c r="J109" s="67">
        <f t="shared" si="3"/>
        <v>0.45056436345325318</v>
      </c>
      <c r="K109" s="67">
        <f t="shared" si="3"/>
        <v>128.25175411542799</v>
      </c>
      <c r="L109" s="67">
        <f t="shared" si="3"/>
        <v>6.1548679698168254</v>
      </c>
      <c r="M109" s="67">
        <f t="shared" si="3"/>
        <v>12.775199574435881</v>
      </c>
      <c r="N109" s="67">
        <f t="shared" si="3"/>
        <v>260.77597389599276</v>
      </c>
      <c r="O109" s="67">
        <f t="shared" si="3"/>
        <v>0</v>
      </c>
      <c r="P109" s="67">
        <f t="shared" si="3"/>
        <v>0.31177814874536625</v>
      </c>
      <c r="Q109" s="67">
        <f t="shared" si="3"/>
        <v>0.19714530663909954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1108</v>
      </c>
      <c r="B9" s="64">
        <v>7.46</v>
      </c>
      <c r="C9" s="64">
        <v>77.3</v>
      </c>
      <c r="D9" s="64">
        <v>46.37</v>
      </c>
      <c r="E9" s="64">
        <v>10.65</v>
      </c>
      <c r="F9" s="64">
        <v>17.489999999999998</v>
      </c>
      <c r="G9" s="64">
        <v>70.64</v>
      </c>
      <c r="H9" s="64">
        <v>33.78</v>
      </c>
      <c r="I9" s="64">
        <v>3.94</v>
      </c>
      <c r="J9" s="64">
        <v>0.54</v>
      </c>
      <c r="K9" s="64">
        <v>353.29</v>
      </c>
      <c r="L9" s="64">
        <v>21.33</v>
      </c>
      <c r="M9" s="64">
        <v>33.78</v>
      </c>
      <c r="N9" s="64">
        <v>63.6</v>
      </c>
      <c r="O9" s="64">
        <v>0</v>
      </c>
      <c r="P9" s="64">
        <v>0.96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47" t="s">
        <v>1109</v>
      </c>
      <c r="B10" s="64">
        <v>5.66</v>
      </c>
      <c r="C10" s="64">
        <v>78.040000000000006</v>
      </c>
      <c r="D10" s="64">
        <v>45.31</v>
      </c>
      <c r="E10" s="64">
        <v>11.45</v>
      </c>
      <c r="F10" s="64">
        <v>22.99</v>
      </c>
      <c r="G10" s="64">
        <v>70.64</v>
      </c>
      <c r="H10" s="64">
        <v>33.78</v>
      </c>
      <c r="I10" s="64">
        <v>4.26</v>
      </c>
      <c r="J10" s="64">
        <v>0.66</v>
      </c>
      <c r="K10" s="64">
        <v>275.60000000000002</v>
      </c>
      <c r="L10" s="64">
        <v>20.55</v>
      </c>
      <c r="M10" s="64">
        <v>36.340000000000003</v>
      </c>
      <c r="N10" s="64">
        <v>63.8</v>
      </c>
      <c r="O10" s="64">
        <v>0</v>
      </c>
      <c r="P10" s="64">
        <v>0.96</v>
      </c>
      <c r="Q10" s="64">
        <v>9.4600000000000009</v>
      </c>
      <c r="R10" s="198"/>
      <c r="S10" s="198"/>
      <c r="T10" s="198"/>
      <c r="U10" s="198"/>
    </row>
    <row r="11" spans="1:21" s="12" customFormat="1" x14ac:dyDescent="0.25">
      <c r="A11" s="247" t="s">
        <v>1110</v>
      </c>
      <c r="B11" s="64">
        <v>7.05</v>
      </c>
      <c r="C11" s="64">
        <v>78.09</v>
      </c>
      <c r="D11" s="64">
        <v>46.46</v>
      </c>
      <c r="E11" s="64">
        <v>12.16</v>
      </c>
      <c r="F11" s="64">
        <v>22.09</v>
      </c>
      <c r="G11" s="64">
        <v>70.64</v>
      </c>
      <c r="H11" s="64">
        <v>33.78</v>
      </c>
      <c r="I11" s="64">
        <v>4.01</v>
      </c>
      <c r="J11" s="64">
        <v>0.77</v>
      </c>
      <c r="K11" s="64">
        <v>313.39</v>
      </c>
      <c r="L11" s="64">
        <v>19.88</v>
      </c>
      <c r="M11" s="64">
        <v>39.35</v>
      </c>
      <c r="N11" s="64">
        <v>63.5</v>
      </c>
      <c r="O11" s="64">
        <v>0</v>
      </c>
      <c r="P11" s="64">
        <v>0.92</v>
      </c>
      <c r="Q11" s="64">
        <v>9.4700000000000006</v>
      </c>
      <c r="R11" s="198"/>
      <c r="S11" s="198"/>
      <c r="T11" s="198"/>
      <c r="U11" s="198"/>
    </row>
    <row r="12" spans="1:21" s="12" customFormat="1" x14ac:dyDescent="0.25">
      <c r="A12" s="247" t="s">
        <v>1111</v>
      </c>
      <c r="B12" s="64">
        <v>5.72</v>
      </c>
      <c r="C12" s="64">
        <v>68.7</v>
      </c>
      <c r="D12" s="64">
        <v>40.479999999999997</v>
      </c>
      <c r="E12" s="64">
        <v>9.1</v>
      </c>
      <c r="F12" s="64">
        <v>25.2</v>
      </c>
      <c r="G12" s="64">
        <v>72.22</v>
      </c>
      <c r="H12" s="64">
        <v>33.840000000000003</v>
      </c>
      <c r="I12" s="64">
        <v>3.85</v>
      </c>
      <c r="J12" s="64">
        <v>0.8</v>
      </c>
      <c r="K12" s="64">
        <v>351.55</v>
      </c>
      <c r="L12" s="64">
        <v>19.48</v>
      </c>
      <c r="M12" s="64">
        <v>43.12</v>
      </c>
      <c r="N12" s="64">
        <v>63.2</v>
      </c>
      <c r="O12" s="64">
        <v>0</v>
      </c>
      <c r="P12" s="64">
        <v>0.88</v>
      </c>
      <c r="Q12" s="64">
        <v>9.48</v>
      </c>
      <c r="R12" s="198"/>
      <c r="S12" s="198"/>
      <c r="T12" s="198"/>
      <c r="U12" s="198"/>
    </row>
    <row r="13" spans="1:21" s="12" customFormat="1" x14ac:dyDescent="0.25">
      <c r="A13" s="247" t="s">
        <v>1112</v>
      </c>
      <c r="B13" s="64">
        <v>5.54</v>
      </c>
      <c r="C13" s="64">
        <v>65.67</v>
      </c>
      <c r="D13" s="64">
        <v>38.75</v>
      </c>
      <c r="E13" s="64">
        <v>7.49</v>
      </c>
      <c r="F13" s="64">
        <v>20.399999999999999</v>
      </c>
      <c r="G13" s="64">
        <v>76.540000000000006</v>
      </c>
      <c r="H13" s="64">
        <v>34.03</v>
      </c>
      <c r="I13" s="64">
        <v>3.9</v>
      </c>
      <c r="J13" s="64">
        <v>1.33</v>
      </c>
      <c r="K13" s="64">
        <v>356.13</v>
      </c>
      <c r="L13" s="64">
        <v>19.38</v>
      </c>
      <c r="M13" s="64">
        <v>41.22</v>
      </c>
      <c r="N13" s="64">
        <v>62.6</v>
      </c>
      <c r="O13" s="64">
        <v>0</v>
      </c>
      <c r="P13" s="64">
        <v>0.91</v>
      </c>
      <c r="Q13" s="64">
        <v>9.48</v>
      </c>
      <c r="R13" s="198"/>
      <c r="S13" s="198"/>
      <c r="T13" s="198"/>
      <c r="U13" s="198"/>
    </row>
    <row r="14" spans="1:21" s="12" customFormat="1" x14ac:dyDescent="0.25">
      <c r="A14" s="247" t="s">
        <v>1113</v>
      </c>
      <c r="B14" s="64">
        <v>5.25</v>
      </c>
      <c r="C14" s="64">
        <v>66.930000000000007</v>
      </c>
      <c r="D14" s="64">
        <v>39.18</v>
      </c>
      <c r="E14" s="64">
        <v>8.24</v>
      </c>
      <c r="F14" s="64">
        <v>10.07</v>
      </c>
      <c r="G14" s="64">
        <v>76.540000000000006</v>
      </c>
      <c r="H14" s="64">
        <v>34.03</v>
      </c>
      <c r="I14" s="64">
        <v>3.97</v>
      </c>
      <c r="J14" s="64">
        <v>1.71</v>
      </c>
      <c r="K14" s="64">
        <v>347.79</v>
      </c>
      <c r="L14" s="64">
        <v>19.48</v>
      </c>
      <c r="M14" s="64">
        <v>40.75</v>
      </c>
      <c r="N14" s="64">
        <v>62.4</v>
      </c>
      <c r="O14" s="64">
        <v>0</v>
      </c>
      <c r="P14" s="64">
        <v>0.98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47" t="s">
        <v>1114</v>
      </c>
      <c r="B15" s="64">
        <v>5.23</v>
      </c>
      <c r="C15" s="64">
        <v>72.819999999999993</v>
      </c>
      <c r="D15" s="64">
        <v>42.24</v>
      </c>
      <c r="E15" s="64">
        <v>16.05</v>
      </c>
      <c r="F15" s="64">
        <v>9.32</v>
      </c>
      <c r="G15" s="64">
        <v>76.540000000000006</v>
      </c>
      <c r="H15" s="64">
        <v>34.03</v>
      </c>
      <c r="I15" s="64">
        <v>4.0599999999999996</v>
      </c>
      <c r="J15" s="64">
        <v>1.95</v>
      </c>
      <c r="K15" s="64">
        <v>3.62</v>
      </c>
      <c r="L15" s="64">
        <v>19.940000000000001</v>
      </c>
      <c r="M15" s="64">
        <v>37.840000000000003</v>
      </c>
      <c r="N15" s="64">
        <v>62.6</v>
      </c>
      <c r="O15" s="64">
        <v>0</v>
      </c>
      <c r="P15" s="64">
        <v>1.05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47" t="s">
        <v>1115</v>
      </c>
      <c r="B16" s="64">
        <v>6.96</v>
      </c>
      <c r="C16" s="64">
        <v>77.36</v>
      </c>
      <c r="D16" s="64">
        <v>46</v>
      </c>
      <c r="E16" s="64">
        <v>30.87</v>
      </c>
      <c r="F16" s="64">
        <v>13.38</v>
      </c>
      <c r="G16" s="64">
        <v>97.93</v>
      </c>
      <c r="H16" s="64">
        <v>35.549999999999997</v>
      </c>
      <c r="I16" s="64">
        <v>4.17</v>
      </c>
      <c r="J16" s="64">
        <v>1.71</v>
      </c>
      <c r="K16" s="64">
        <v>3.25</v>
      </c>
      <c r="L16" s="64">
        <v>20.170000000000002</v>
      </c>
      <c r="M16" s="64">
        <v>36.549999999999997</v>
      </c>
      <c r="N16" s="64">
        <v>63.1</v>
      </c>
      <c r="O16" s="64">
        <v>0</v>
      </c>
      <c r="P16" s="64">
        <v>1</v>
      </c>
      <c r="Q16" s="64">
        <v>9.48</v>
      </c>
      <c r="R16" s="198"/>
      <c r="S16" s="198"/>
      <c r="T16" s="198"/>
      <c r="U16" s="198"/>
    </row>
    <row r="17" spans="1:21" s="12" customFormat="1" x14ac:dyDescent="0.25">
      <c r="A17" s="247" t="s">
        <v>1116</v>
      </c>
      <c r="B17" s="64">
        <v>6.51</v>
      </c>
      <c r="C17" s="64">
        <v>79.069999999999993</v>
      </c>
      <c r="D17" s="64">
        <v>46.53</v>
      </c>
      <c r="E17" s="64">
        <v>21.92</v>
      </c>
      <c r="F17" s="64">
        <v>10.35</v>
      </c>
      <c r="G17" s="64">
        <v>160.25</v>
      </c>
      <c r="H17" s="64">
        <v>39.729999999999997</v>
      </c>
      <c r="I17" s="64">
        <v>3.96</v>
      </c>
      <c r="J17" s="64">
        <v>1.34</v>
      </c>
      <c r="K17" s="64">
        <v>6.14</v>
      </c>
      <c r="L17" s="64">
        <v>20.16</v>
      </c>
      <c r="M17" s="64">
        <v>36.75</v>
      </c>
      <c r="N17" s="64">
        <v>63.4</v>
      </c>
      <c r="O17" s="64">
        <v>0</v>
      </c>
      <c r="P17" s="64">
        <v>1.02</v>
      </c>
      <c r="Q17" s="64">
        <v>9.49</v>
      </c>
      <c r="R17" s="198"/>
      <c r="S17" s="198"/>
      <c r="T17" s="198"/>
      <c r="U17" s="198"/>
    </row>
    <row r="18" spans="1:21" s="12" customFormat="1" x14ac:dyDescent="0.25">
      <c r="A18" s="247" t="s">
        <v>1117</v>
      </c>
      <c r="B18" s="64">
        <v>6.1</v>
      </c>
      <c r="C18" s="64">
        <v>74.91</v>
      </c>
      <c r="D18" s="64">
        <v>44.03</v>
      </c>
      <c r="E18" s="64">
        <v>10.96</v>
      </c>
      <c r="F18" s="64">
        <v>7.28</v>
      </c>
      <c r="G18" s="64">
        <v>160.25</v>
      </c>
      <c r="H18" s="64">
        <v>39.729999999999997</v>
      </c>
      <c r="I18" s="64">
        <v>3.91</v>
      </c>
      <c r="J18" s="64">
        <v>0.91</v>
      </c>
      <c r="K18" s="64">
        <v>12.78</v>
      </c>
      <c r="L18" s="64">
        <v>19.96</v>
      </c>
      <c r="M18" s="64">
        <v>36.49</v>
      </c>
      <c r="N18" s="64">
        <v>63.9</v>
      </c>
      <c r="O18" s="64">
        <v>0</v>
      </c>
      <c r="P18" s="64">
        <v>1.02</v>
      </c>
      <c r="Q18" s="64">
        <v>9.5</v>
      </c>
      <c r="R18" s="198"/>
      <c r="S18" s="198"/>
      <c r="T18" s="198"/>
      <c r="U18" s="198"/>
    </row>
    <row r="19" spans="1:21" s="12" customFormat="1" x14ac:dyDescent="0.25">
      <c r="A19" s="247" t="s">
        <v>1118</v>
      </c>
      <c r="B19" s="64">
        <v>5.99</v>
      </c>
      <c r="C19" s="64">
        <v>74.63</v>
      </c>
      <c r="D19" s="64">
        <v>43.79</v>
      </c>
      <c r="E19" s="64">
        <v>18.45</v>
      </c>
      <c r="F19" s="64">
        <v>9.7799999999999994</v>
      </c>
      <c r="G19" s="64">
        <v>160.25</v>
      </c>
      <c r="H19" s="64">
        <v>39.729999999999997</v>
      </c>
      <c r="I19" s="64">
        <v>4.1100000000000003</v>
      </c>
      <c r="J19" s="64">
        <v>0.75</v>
      </c>
      <c r="K19" s="64">
        <v>13.95</v>
      </c>
      <c r="L19" s="64">
        <v>19.600000000000001</v>
      </c>
      <c r="M19" s="64">
        <v>35.67</v>
      </c>
      <c r="N19" s="64">
        <v>63.9</v>
      </c>
      <c r="O19" s="64">
        <v>0</v>
      </c>
      <c r="P19" s="64">
        <v>1.06</v>
      </c>
      <c r="Q19" s="64">
        <v>9.5</v>
      </c>
      <c r="R19" s="198"/>
      <c r="S19" s="198"/>
      <c r="T19" s="198"/>
      <c r="U19" s="198"/>
    </row>
    <row r="20" spans="1:21" s="12" customFormat="1" x14ac:dyDescent="0.25">
      <c r="A20" s="247" t="s">
        <v>1119</v>
      </c>
      <c r="B20" s="64">
        <v>5.96</v>
      </c>
      <c r="C20" s="64">
        <v>73.59</v>
      </c>
      <c r="D20" s="64">
        <v>43.23</v>
      </c>
      <c r="E20" s="64">
        <v>12.98</v>
      </c>
      <c r="F20" s="64">
        <v>9.18</v>
      </c>
      <c r="G20" s="64">
        <v>157.56</v>
      </c>
      <c r="H20" s="64">
        <v>40.369999999999997</v>
      </c>
      <c r="I20" s="64">
        <v>4.03</v>
      </c>
      <c r="J20" s="64">
        <v>1.02</v>
      </c>
      <c r="K20" s="64">
        <v>6.09</v>
      </c>
      <c r="L20" s="64">
        <v>19.47</v>
      </c>
      <c r="M20" s="64">
        <v>35.119999999999997</v>
      </c>
      <c r="N20" s="64">
        <v>63.3</v>
      </c>
      <c r="O20" s="64">
        <v>0</v>
      </c>
      <c r="P20" s="64">
        <v>1.06</v>
      </c>
      <c r="Q20" s="64">
        <v>9.51</v>
      </c>
      <c r="R20" s="198"/>
      <c r="S20" s="198"/>
      <c r="T20" s="198"/>
      <c r="U20" s="198"/>
    </row>
    <row r="21" spans="1:21" s="12" customFormat="1" x14ac:dyDescent="0.25">
      <c r="A21" s="247" t="s">
        <v>1120</v>
      </c>
      <c r="B21" s="64">
        <v>6.08</v>
      </c>
      <c r="C21" s="64">
        <v>71.91</v>
      </c>
      <c r="D21" s="64">
        <v>42.45</v>
      </c>
      <c r="E21" s="64">
        <v>9.41</v>
      </c>
      <c r="F21" s="64">
        <v>8.94</v>
      </c>
      <c r="G21" s="64">
        <v>149.72</v>
      </c>
      <c r="H21" s="64">
        <v>42.14</v>
      </c>
      <c r="I21" s="64">
        <v>3.92</v>
      </c>
      <c r="J21" s="64">
        <v>1.54</v>
      </c>
      <c r="K21" s="64">
        <v>104.63</v>
      </c>
      <c r="L21" s="64">
        <v>19.71</v>
      </c>
      <c r="M21" s="64">
        <v>33.49</v>
      </c>
      <c r="N21" s="64">
        <v>62.8</v>
      </c>
      <c r="O21" s="64">
        <v>0</v>
      </c>
      <c r="P21" s="64">
        <v>1.04</v>
      </c>
      <c r="Q21" s="64">
        <v>9.5</v>
      </c>
      <c r="R21" s="198"/>
      <c r="S21" s="198"/>
      <c r="T21" s="198"/>
      <c r="U21" s="198"/>
    </row>
    <row r="22" spans="1:21" s="12" customFormat="1" x14ac:dyDescent="0.25">
      <c r="A22" s="247" t="s">
        <v>1121</v>
      </c>
      <c r="B22" s="64">
        <v>6.08</v>
      </c>
      <c r="C22" s="64">
        <v>69.849999999999994</v>
      </c>
      <c r="D22" s="64">
        <v>41.37</v>
      </c>
      <c r="E22" s="64">
        <v>6.65</v>
      </c>
      <c r="F22" s="64">
        <v>8.82</v>
      </c>
      <c r="G22" s="64">
        <v>149.72</v>
      </c>
      <c r="H22" s="64">
        <v>42.14</v>
      </c>
      <c r="I22" s="64">
        <v>4.0599999999999996</v>
      </c>
      <c r="J22" s="64">
        <v>0.84</v>
      </c>
      <c r="K22" s="64">
        <v>33.979999999999997</v>
      </c>
      <c r="L22" s="64">
        <v>19.649999999999999</v>
      </c>
      <c r="M22" s="64">
        <v>33.44</v>
      </c>
      <c r="N22" s="64">
        <v>63.7</v>
      </c>
      <c r="O22" s="64">
        <v>0</v>
      </c>
      <c r="P22" s="64">
        <v>1</v>
      </c>
      <c r="Q22" s="64">
        <v>9.49</v>
      </c>
      <c r="R22" s="198"/>
      <c r="S22" s="198"/>
      <c r="T22" s="198"/>
      <c r="U22" s="198"/>
    </row>
    <row r="23" spans="1:21" s="12" customFormat="1" x14ac:dyDescent="0.25">
      <c r="A23" s="247" t="s">
        <v>1122</v>
      </c>
      <c r="B23" s="64">
        <v>5.99</v>
      </c>
      <c r="C23" s="64">
        <v>67.84</v>
      </c>
      <c r="D23" s="64">
        <v>40.25</v>
      </c>
      <c r="E23" s="64">
        <v>5.31</v>
      </c>
      <c r="F23" s="64">
        <v>8.01</v>
      </c>
      <c r="G23" s="64">
        <v>149.72</v>
      </c>
      <c r="H23" s="64">
        <v>42.14</v>
      </c>
      <c r="I23" s="64">
        <v>3.86</v>
      </c>
      <c r="J23" s="64">
        <v>1</v>
      </c>
      <c r="K23" s="64">
        <v>89.17</v>
      </c>
      <c r="L23" s="64">
        <v>19.38</v>
      </c>
      <c r="M23" s="64">
        <v>34.450000000000003</v>
      </c>
      <c r="N23" s="64">
        <v>63.3</v>
      </c>
      <c r="O23" s="64">
        <v>0</v>
      </c>
      <c r="P23" s="64">
        <v>0.98</v>
      </c>
      <c r="Q23" s="64">
        <v>9.4700000000000006</v>
      </c>
      <c r="R23" s="198"/>
      <c r="S23" s="198"/>
      <c r="T23" s="198"/>
      <c r="U23" s="198"/>
    </row>
    <row r="24" spans="1:21" s="12" customFormat="1" x14ac:dyDescent="0.25">
      <c r="A24" s="247" t="s">
        <v>1123</v>
      </c>
      <c r="B24" s="64">
        <v>5.93</v>
      </c>
      <c r="C24" s="64">
        <v>66.61</v>
      </c>
      <c r="D24" s="64">
        <v>39.56</v>
      </c>
      <c r="E24" s="64">
        <v>5.29</v>
      </c>
      <c r="F24" s="64">
        <v>10.38</v>
      </c>
      <c r="G24" s="64">
        <v>130.56</v>
      </c>
      <c r="H24" s="64">
        <v>42.14</v>
      </c>
      <c r="I24" s="64">
        <v>3.99</v>
      </c>
      <c r="J24" s="64">
        <v>0.64</v>
      </c>
      <c r="K24" s="64">
        <v>22.09</v>
      </c>
      <c r="L24" s="64">
        <v>19.14</v>
      </c>
      <c r="M24" s="64">
        <v>35.36</v>
      </c>
      <c r="N24" s="64">
        <v>64</v>
      </c>
      <c r="O24" s="64">
        <v>0</v>
      </c>
      <c r="P24" s="64">
        <v>0.92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47" t="s">
        <v>1124</v>
      </c>
      <c r="B25" s="64">
        <v>6.02</v>
      </c>
      <c r="C25" s="64">
        <v>66.5</v>
      </c>
      <c r="D25" s="64">
        <v>39.57</v>
      </c>
      <c r="E25" s="64">
        <v>4.5199999999999996</v>
      </c>
      <c r="F25" s="64">
        <v>7.86</v>
      </c>
      <c r="G25" s="64">
        <v>77.89</v>
      </c>
      <c r="H25" s="64">
        <v>42.15</v>
      </c>
      <c r="I25" s="64">
        <v>4.1500000000000004</v>
      </c>
      <c r="J25" s="64">
        <v>0.82</v>
      </c>
      <c r="K25" s="64">
        <v>14.78</v>
      </c>
      <c r="L25" s="64">
        <v>18.690000000000001</v>
      </c>
      <c r="M25" s="64">
        <v>36.520000000000003</v>
      </c>
      <c r="N25" s="64">
        <v>63.8</v>
      </c>
      <c r="O25" s="64">
        <v>0</v>
      </c>
      <c r="P25" s="64">
        <v>0.91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47" t="s">
        <v>1125</v>
      </c>
      <c r="B26" s="64">
        <v>6.44</v>
      </c>
      <c r="C26" s="64">
        <v>66.930000000000007</v>
      </c>
      <c r="D26" s="64">
        <v>40.130000000000003</v>
      </c>
      <c r="E26" s="64">
        <v>4.84</v>
      </c>
      <c r="F26" s="64">
        <v>8.59</v>
      </c>
      <c r="G26" s="64">
        <v>77.89</v>
      </c>
      <c r="H26" s="64">
        <v>42.15</v>
      </c>
      <c r="I26" s="64">
        <v>3.91</v>
      </c>
      <c r="J26" s="64">
        <v>0.6</v>
      </c>
      <c r="K26" s="64">
        <v>26.68</v>
      </c>
      <c r="L26" s="64">
        <v>18.420000000000002</v>
      </c>
      <c r="M26" s="64">
        <v>37.39</v>
      </c>
      <c r="N26" s="64">
        <v>63.9</v>
      </c>
      <c r="O26" s="64">
        <v>0</v>
      </c>
      <c r="P26" s="64">
        <v>0.89</v>
      </c>
      <c r="Q26" s="64">
        <v>9.4</v>
      </c>
      <c r="R26" s="198"/>
      <c r="S26" s="198"/>
      <c r="T26" s="198"/>
      <c r="U26" s="198"/>
    </row>
    <row r="27" spans="1:21" s="12" customFormat="1" x14ac:dyDescent="0.25">
      <c r="A27" s="247" t="s">
        <v>1126</v>
      </c>
      <c r="B27" s="64">
        <v>7.07</v>
      </c>
      <c r="C27" s="64">
        <v>67.510000000000005</v>
      </c>
      <c r="D27" s="64">
        <v>40.94</v>
      </c>
      <c r="E27" s="64">
        <v>4.82</v>
      </c>
      <c r="F27" s="64">
        <v>9.51</v>
      </c>
      <c r="G27" s="64">
        <v>77.89</v>
      </c>
      <c r="H27" s="64">
        <v>42.15</v>
      </c>
      <c r="I27" s="64">
        <v>4.01</v>
      </c>
      <c r="J27" s="64">
        <v>0.65</v>
      </c>
      <c r="K27" s="64">
        <v>26.13</v>
      </c>
      <c r="L27" s="64">
        <v>18.25</v>
      </c>
      <c r="M27" s="64">
        <v>38.31</v>
      </c>
      <c r="N27" s="64">
        <v>63.8</v>
      </c>
      <c r="O27" s="64">
        <v>0</v>
      </c>
      <c r="P27" s="64">
        <v>0.85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47" t="s">
        <v>1127</v>
      </c>
      <c r="B28" s="64">
        <v>7.41</v>
      </c>
      <c r="C28" s="64">
        <v>66.47</v>
      </c>
      <c r="D28" s="64">
        <v>40.67</v>
      </c>
      <c r="E28" s="64">
        <v>7.45</v>
      </c>
      <c r="F28" s="64">
        <v>11.95</v>
      </c>
      <c r="G28" s="64">
        <v>74.66</v>
      </c>
      <c r="H28" s="64">
        <v>39.590000000000003</v>
      </c>
      <c r="I28" s="64">
        <v>4.04</v>
      </c>
      <c r="J28" s="64">
        <v>0.64</v>
      </c>
      <c r="K28" s="64">
        <v>20.7</v>
      </c>
      <c r="L28" s="64">
        <v>18.079999999999998</v>
      </c>
      <c r="M28" s="64">
        <v>38.369999999999997</v>
      </c>
      <c r="N28" s="64">
        <v>63.8</v>
      </c>
      <c r="O28" s="64">
        <v>0</v>
      </c>
      <c r="P28" s="64">
        <v>0.82</v>
      </c>
      <c r="Q28" s="64">
        <v>9.4</v>
      </c>
      <c r="R28" s="198"/>
      <c r="S28" s="198"/>
      <c r="T28" s="198"/>
      <c r="U28" s="198"/>
    </row>
    <row r="29" spans="1:21" s="12" customFormat="1" x14ac:dyDescent="0.25">
      <c r="A29" s="247" t="s">
        <v>1128</v>
      </c>
      <c r="B29" s="64">
        <v>6.28</v>
      </c>
      <c r="C29" s="64">
        <v>65.25</v>
      </c>
      <c r="D29" s="64">
        <v>39.130000000000003</v>
      </c>
      <c r="E29" s="64">
        <v>7.91</v>
      </c>
      <c r="F29" s="64">
        <v>12.08</v>
      </c>
      <c r="G29" s="64">
        <v>65.790000000000006</v>
      </c>
      <c r="H29" s="64">
        <v>32.54</v>
      </c>
      <c r="I29" s="64">
        <v>3.97</v>
      </c>
      <c r="J29" s="64">
        <v>0.46</v>
      </c>
      <c r="K29" s="64">
        <v>49.52</v>
      </c>
      <c r="L29" s="64">
        <v>17.88</v>
      </c>
      <c r="M29" s="64">
        <v>38.67</v>
      </c>
      <c r="N29" s="64">
        <v>63.8</v>
      </c>
      <c r="O29" s="64">
        <v>0</v>
      </c>
      <c r="P29" s="64">
        <v>0.79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47" t="s">
        <v>1129</v>
      </c>
      <c r="B30" s="64">
        <v>8.85</v>
      </c>
      <c r="C30" s="64">
        <v>68.489999999999995</v>
      </c>
      <c r="D30" s="64">
        <v>42.88</v>
      </c>
      <c r="E30" s="64">
        <v>6.34</v>
      </c>
      <c r="F30" s="64">
        <v>10.73</v>
      </c>
      <c r="G30" s="64">
        <v>65.790000000000006</v>
      </c>
      <c r="H30" s="64">
        <v>32.54</v>
      </c>
      <c r="I30" s="64">
        <v>3.92</v>
      </c>
      <c r="J30" s="64">
        <v>0.66</v>
      </c>
      <c r="K30" s="64">
        <v>36.659999999999997</v>
      </c>
      <c r="L30" s="64">
        <v>17.940000000000001</v>
      </c>
      <c r="M30" s="64">
        <v>38.18</v>
      </c>
      <c r="N30" s="64">
        <v>63.3</v>
      </c>
      <c r="O30" s="64">
        <v>0</v>
      </c>
      <c r="P30" s="64">
        <v>0.75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47" t="s">
        <v>1130</v>
      </c>
      <c r="B31" s="64">
        <v>13.65</v>
      </c>
      <c r="C31" s="64">
        <v>71.930000000000007</v>
      </c>
      <c r="D31" s="64">
        <v>48.53</v>
      </c>
      <c r="E31" s="64">
        <v>5.74</v>
      </c>
      <c r="F31" s="64">
        <v>8.98</v>
      </c>
      <c r="G31" s="64">
        <v>65.790000000000006</v>
      </c>
      <c r="H31" s="64">
        <v>32.54</v>
      </c>
      <c r="I31" s="64">
        <v>3.9</v>
      </c>
      <c r="J31" s="64">
        <v>0.87</v>
      </c>
      <c r="K31" s="64">
        <v>9.41</v>
      </c>
      <c r="L31" s="64">
        <v>17.989999999999998</v>
      </c>
      <c r="M31" s="64">
        <v>38.049999999999997</v>
      </c>
      <c r="N31" s="64">
        <v>63.4</v>
      </c>
      <c r="O31" s="64">
        <v>0</v>
      </c>
      <c r="P31" s="64">
        <v>0.78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47" t="s">
        <v>1131</v>
      </c>
      <c r="B32" s="64">
        <v>9.4499999999999993</v>
      </c>
      <c r="C32" s="64">
        <v>69.89</v>
      </c>
      <c r="D32" s="64">
        <v>44.1</v>
      </c>
      <c r="E32" s="64">
        <v>5.89</v>
      </c>
      <c r="F32" s="64">
        <v>9.61</v>
      </c>
      <c r="G32" s="64">
        <v>68.05</v>
      </c>
      <c r="H32" s="64">
        <v>32.96</v>
      </c>
      <c r="I32" s="64">
        <v>3.97</v>
      </c>
      <c r="J32" s="64">
        <v>0.75</v>
      </c>
      <c r="K32" s="64">
        <v>12.25</v>
      </c>
      <c r="L32" s="64">
        <v>17.98</v>
      </c>
      <c r="M32" s="64">
        <v>37.520000000000003</v>
      </c>
      <c r="N32" s="64">
        <v>63.6</v>
      </c>
      <c r="O32" s="64">
        <v>0</v>
      </c>
      <c r="P32" s="64">
        <v>0.77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47" t="s">
        <v>1132</v>
      </c>
      <c r="B33" s="64">
        <v>12.41</v>
      </c>
      <c r="C33" s="64">
        <v>75.31</v>
      </c>
      <c r="D33" s="64">
        <v>49.3</v>
      </c>
      <c r="E33" s="64">
        <v>6.15</v>
      </c>
      <c r="F33" s="64">
        <v>8.7899999999999991</v>
      </c>
      <c r="G33" s="64">
        <v>74.61</v>
      </c>
      <c r="H33" s="64">
        <v>34.18</v>
      </c>
      <c r="I33" s="64">
        <v>4.07</v>
      </c>
      <c r="J33" s="64">
        <v>0.99</v>
      </c>
      <c r="K33" s="64">
        <v>12.85</v>
      </c>
      <c r="L33" s="64">
        <v>17.940000000000001</v>
      </c>
      <c r="M33" s="64">
        <v>38.03</v>
      </c>
      <c r="N33" s="64">
        <v>65.400000000000006</v>
      </c>
      <c r="O33" s="64">
        <v>0</v>
      </c>
      <c r="P33" s="64">
        <v>0.8</v>
      </c>
      <c r="Q33" s="64">
        <v>9.48</v>
      </c>
      <c r="R33" s="198"/>
      <c r="S33" s="198"/>
      <c r="T33" s="198"/>
      <c r="U33" s="198"/>
    </row>
    <row r="34" spans="1:21" s="12" customFormat="1" x14ac:dyDescent="0.25">
      <c r="A34" s="247" t="s">
        <v>1133</v>
      </c>
      <c r="B34" s="64">
        <v>19.27</v>
      </c>
      <c r="C34" s="64">
        <v>76.08</v>
      </c>
      <c r="D34" s="64">
        <v>55.2</v>
      </c>
      <c r="E34" s="64">
        <v>6.24</v>
      </c>
      <c r="F34" s="64">
        <v>7.51</v>
      </c>
      <c r="G34" s="64">
        <v>74.61</v>
      </c>
      <c r="H34" s="64">
        <v>34.18</v>
      </c>
      <c r="I34" s="64">
        <v>3.85</v>
      </c>
      <c r="J34" s="64">
        <v>0.67</v>
      </c>
      <c r="K34" s="64">
        <v>18.43</v>
      </c>
      <c r="L34" s="64">
        <v>17.72</v>
      </c>
      <c r="M34" s="64">
        <v>38.840000000000003</v>
      </c>
      <c r="N34" s="64">
        <v>72.7</v>
      </c>
      <c r="O34" s="64">
        <v>0</v>
      </c>
      <c r="P34" s="64">
        <v>0.79</v>
      </c>
      <c r="Q34" s="64">
        <v>9.52</v>
      </c>
      <c r="R34" s="198"/>
      <c r="S34" s="198"/>
      <c r="T34" s="198"/>
      <c r="U34" s="198"/>
    </row>
    <row r="35" spans="1:21" s="12" customFormat="1" x14ac:dyDescent="0.25">
      <c r="A35" s="247" t="s">
        <v>1134</v>
      </c>
      <c r="B35" s="64">
        <v>13.98</v>
      </c>
      <c r="C35" s="64">
        <v>69.67</v>
      </c>
      <c r="D35" s="64">
        <v>47.61</v>
      </c>
      <c r="E35" s="64">
        <v>4.0999999999999996</v>
      </c>
      <c r="F35" s="64">
        <v>7.07</v>
      </c>
      <c r="G35" s="64">
        <v>74.61</v>
      </c>
      <c r="H35" s="64">
        <v>34.18</v>
      </c>
      <c r="I35" s="64">
        <v>3.94</v>
      </c>
      <c r="J35" s="64">
        <v>0.65</v>
      </c>
      <c r="K35" s="64">
        <v>10.08</v>
      </c>
      <c r="L35" s="64">
        <v>17.72</v>
      </c>
      <c r="M35" s="64">
        <v>39.630000000000003</v>
      </c>
      <c r="N35" s="64">
        <v>87.2</v>
      </c>
      <c r="O35" s="64">
        <v>0</v>
      </c>
      <c r="P35" s="64">
        <v>0.82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47" t="s">
        <v>1135</v>
      </c>
      <c r="B36" s="64">
        <v>16</v>
      </c>
      <c r="C36" s="64">
        <v>69.8</v>
      </c>
      <c r="D36" s="64">
        <v>49.3</v>
      </c>
      <c r="E36" s="64">
        <v>3.95</v>
      </c>
      <c r="F36" s="64">
        <v>6.69</v>
      </c>
      <c r="G36" s="64">
        <v>75.94</v>
      </c>
      <c r="H36" s="64">
        <v>31.09</v>
      </c>
      <c r="I36" s="64">
        <v>3.96</v>
      </c>
      <c r="J36" s="64">
        <v>0.88</v>
      </c>
      <c r="K36" s="64">
        <v>13.16</v>
      </c>
      <c r="L36" s="64">
        <v>18.02</v>
      </c>
      <c r="M36" s="64">
        <v>39.03</v>
      </c>
      <c r="N36" s="64">
        <v>118.3</v>
      </c>
      <c r="O36" s="64">
        <v>0</v>
      </c>
      <c r="P36" s="64">
        <v>0.82</v>
      </c>
      <c r="Q36" s="64">
        <v>9.5399999999999991</v>
      </c>
      <c r="R36" s="198"/>
      <c r="S36" s="198"/>
      <c r="T36" s="198"/>
      <c r="U36" s="198"/>
    </row>
    <row r="37" spans="1:21" s="12" customFormat="1" x14ac:dyDescent="0.25">
      <c r="A37" s="247" t="s">
        <v>1136</v>
      </c>
      <c r="B37" s="64">
        <v>17.59</v>
      </c>
      <c r="C37" s="64">
        <v>70.36</v>
      </c>
      <c r="D37" s="64">
        <v>50.87</v>
      </c>
      <c r="E37" s="64">
        <v>4.25</v>
      </c>
      <c r="F37" s="64">
        <v>7.2</v>
      </c>
      <c r="G37" s="64">
        <v>79.8</v>
      </c>
      <c r="H37" s="64">
        <v>22.6</v>
      </c>
      <c r="I37" s="64">
        <v>3.77</v>
      </c>
      <c r="J37" s="64">
        <v>1.18</v>
      </c>
      <c r="K37" s="64">
        <v>6.73</v>
      </c>
      <c r="L37" s="64">
        <v>19.02</v>
      </c>
      <c r="M37" s="64">
        <v>37.67</v>
      </c>
      <c r="N37" s="64">
        <v>155.19999999999999</v>
      </c>
      <c r="O37" s="64">
        <v>0</v>
      </c>
      <c r="P37" s="64">
        <v>0.8</v>
      </c>
      <c r="Q37" s="64">
        <v>9.5399999999999991</v>
      </c>
      <c r="R37" s="198"/>
      <c r="S37" s="198"/>
      <c r="T37" s="198"/>
      <c r="U37" s="198"/>
    </row>
    <row r="38" spans="1:21" s="12" customFormat="1" x14ac:dyDescent="0.25">
      <c r="A38" s="247" t="s">
        <v>1137</v>
      </c>
      <c r="B38" s="64">
        <v>19.2</v>
      </c>
      <c r="C38" s="64">
        <v>73.61</v>
      </c>
      <c r="D38" s="64">
        <v>53.86</v>
      </c>
      <c r="E38" s="64">
        <v>4.41</v>
      </c>
      <c r="F38" s="64">
        <v>7.01</v>
      </c>
      <c r="G38" s="64">
        <v>79.8</v>
      </c>
      <c r="H38" s="64">
        <v>22.6</v>
      </c>
      <c r="I38" s="64">
        <v>4.05</v>
      </c>
      <c r="J38" s="64">
        <v>1.62</v>
      </c>
      <c r="K38" s="64">
        <v>5.15</v>
      </c>
      <c r="L38" s="64">
        <v>20.03</v>
      </c>
      <c r="M38" s="64">
        <v>35.08</v>
      </c>
      <c r="N38" s="64">
        <v>198.2</v>
      </c>
      <c r="O38" s="64">
        <v>0</v>
      </c>
      <c r="P38" s="64">
        <v>0.83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47" t="s">
        <v>1138</v>
      </c>
      <c r="B39" s="64">
        <v>21.01</v>
      </c>
      <c r="C39" s="64">
        <v>75.040000000000006</v>
      </c>
      <c r="D39" s="64">
        <v>56.06</v>
      </c>
      <c r="E39" s="64">
        <v>4.6399999999999997</v>
      </c>
      <c r="F39" s="64">
        <v>7.37</v>
      </c>
      <c r="G39" s="64">
        <v>79.8</v>
      </c>
      <c r="H39" s="64">
        <v>22.6</v>
      </c>
      <c r="I39" s="64">
        <v>3.88</v>
      </c>
      <c r="J39" s="64">
        <v>1.39</v>
      </c>
      <c r="K39" s="64">
        <v>7.14</v>
      </c>
      <c r="L39" s="64">
        <v>20.8</v>
      </c>
      <c r="M39" s="64">
        <v>32.82</v>
      </c>
      <c r="N39" s="64">
        <v>241.8</v>
      </c>
      <c r="O39" s="64">
        <v>0</v>
      </c>
      <c r="P39" s="64">
        <v>0.83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47" t="s">
        <v>1139</v>
      </c>
      <c r="B40" s="64">
        <v>23.63</v>
      </c>
      <c r="C40" s="64">
        <v>74.319999999999993</v>
      </c>
      <c r="D40" s="64">
        <v>57.78</v>
      </c>
      <c r="E40" s="64">
        <v>5.58</v>
      </c>
      <c r="F40" s="64">
        <v>7.47</v>
      </c>
      <c r="G40" s="64">
        <v>83.34</v>
      </c>
      <c r="H40" s="211" t="s">
        <v>42</v>
      </c>
      <c r="I40" s="64">
        <v>4.07</v>
      </c>
      <c r="J40" s="64">
        <v>1.1299999999999999</v>
      </c>
      <c r="K40" s="64">
        <v>4.28</v>
      </c>
      <c r="L40" s="64">
        <v>21.71</v>
      </c>
      <c r="M40" s="64">
        <v>31.19</v>
      </c>
      <c r="N40" s="64">
        <v>288.7</v>
      </c>
      <c r="O40" s="64">
        <v>0</v>
      </c>
      <c r="P40" s="64">
        <v>0.84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47" t="s">
        <v>1140</v>
      </c>
      <c r="B41" s="64">
        <v>27.15</v>
      </c>
      <c r="C41" s="64">
        <v>76.09</v>
      </c>
      <c r="D41" s="64">
        <v>61.53</v>
      </c>
      <c r="E41" s="64">
        <v>5.74</v>
      </c>
      <c r="F41" s="64">
        <v>7.31</v>
      </c>
      <c r="G41" s="64">
        <v>93.05</v>
      </c>
      <c r="H41" s="211" t="s">
        <v>42</v>
      </c>
      <c r="I41" s="64">
        <v>4</v>
      </c>
      <c r="J41" s="64">
        <v>1.05</v>
      </c>
      <c r="K41" s="64">
        <v>26.39</v>
      </c>
      <c r="L41" s="64">
        <v>22.35</v>
      </c>
      <c r="M41" s="64">
        <v>29.97</v>
      </c>
      <c r="N41" s="64">
        <v>338.2</v>
      </c>
      <c r="O41" s="64">
        <v>0</v>
      </c>
      <c r="P41" s="64">
        <v>0.85</v>
      </c>
      <c r="Q41" s="64">
        <v>9.58</v>
      </c>
      <c r="R41" s="198"/>
      <c r="S41" s="198"/>
      <c r="T41" s="198"/>
      <c r="U41" s="198"/>
    </row>
    <row r="42" spans="1:21" s="12" customFormat="1" x14ac:dyDescent="0.25">
      <c r="A42" s="247" t="s">
        <v>1141</v>
      </c>
      <c r="B42" s="64">
        <v>26.3</v>
      </c>
      <c r="C42" s="64">
        <v>76.28</v>
      </c>
      <c r="D42" s="64">
        <v>60.95</v>
      </c>
      <c r="E42" s="64">
        <v>6.42</v>
      </c>
      <c r="F42" s="64">
        <v>7.55</v>
      </c>
      <c r="G42" s="64">
        <v>93.05</v>
      </c>
      <c r="H42" s="211" t="s">
        <v>42</v>
      </c>
      <c r="I42" s="64">
        <v>4.1100000000000003</v>
      </c>
      <c r="J42" s="64">
        <v>1.58</v>
      </c>
      <c r="K42" s="64">
        <v>4.3</v>
      </c>
      <c r="L42" s="64">
        <v>23.13</v>
      </c>
      <c r="M42" s="64">
        <v>29.13</v>
      </c>
      <c r="N42" s="64">
        <v>382.9</v>
      </c>
      <c r="O42" s="64">
        <v>0</v>
      </c>
      <c r="P42" s="64">
        <v>0.86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47" t="s">
        <v>1142</v>
      </c>
      <c r="B43" s="64">
        <v>29.33</v>
      </c>
      <c r="C43" s="64">
        <v>78.319999999999993</v>
      </c>
      <c r="D43" s="64">
        <v>64.44</v>
      </c>
      <c r="E43" s="64">
        <v>6.1</v>
      </c>
      <c r="F43" s="64">
        <v>6.98</v>
      </c>
      <c r="G43" s="64">
        <v>93.05</v>
      </c>
      <c r="H43" s="211" t="s">
        <v>42</v>
      </c>
      <c r="I43" s="64">
        <v>4.0599999999999996</v>
      </c>
      <c r="J43" s="64">
        <v>1.1200000000000001</v>
      </c>
      <c r="K43" s="64">
        <v>10.3</v>
      </c>
      <c r="L43" s="64">
        <v>24.03</v>
      </c>
      <c r="M43" s="64">
        <v>29.58</v>
      </c>
      <c r="N43" s="64">
        <v>422</v>
      </c>
      <c r="O43" s="64">
        <v>0</v>
      </c>
      <c r="P43" s="64">
        <v>0.87</v>
      </c>
      <c r="Q43" s="64">
        <v>9.5500000000000007</v>
      </c>
      <c r="R43" s="198"/>
      <c r="S43" s="198"/>
      <c r="T43" s="198"/>
      <c r="U43" s="198"/>
    </row>
    <row r="44" spans="1:21" s="12" customFormat="1" x14ac:dyDescent="0.25">
      <c r="A44" s="247" t="s">
        <v>1143</v>
      </c>
      <c r="B44" s="64">
        <v>27.84</v>
      </c>
      <c r="C44" s="64">
        <v>77.06</v>
      </c>
      <c r="D44" s="64">
        <v>62.58</v>
      </c>
      <c r="E44" s="64">
        <v>5.54</v>
      </c>
      <c r="F44" s="64">
        <v>7.15</v>
      </c>
      <c r="G44" s="64">
        <v>98.97</v>
      </c>
      <c r="H44" s="211" t="s">
        <v>42</v>
      </c>
      <c r="I44" s="64">
        <v>3.98</v>
      </c>
      <c r="J44" s="64">
        <v>0.96</v>
      </c>
      <c r="K44" s="64">
        <v>79.319999999999993</v>
      </c>
      <c r="L44" s="64">
        <v>23.29</v>
      </c>
      <c r="M44" s="64">
        <v>32.39</v>
      </c>
      <c r="N44" s="64">
        <v>470.4</v>
      </c>
      <c r="O44" s="64">
        <v>0</v>
      </c>
      <c r="P44" s="64">
        <v>0.87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47" t="s">
        <v>1144</v>
      </c>
      <c r="B45" s="64">
        <v>27.06</v>
      </c>
      <c r="C45" s="64">
        <v>76.59</v>
      </c>
      <c r="D45" s="64">
        <v>61.72</v>
      </c>
      <c r="E45" s="64">
        <v>6.05</v>
      </c>
      <c r="F45" s="64">
        <v>8.9</v>
      </c>
      <c r="G45" s="64">
        <v>116.23</v>
      </c>
      <c r="H45" s="211" t="s">
        <v>42</v>
      </c>
      <c r="I45" s="64">
        <v>4.03</v>
      </c>
      <c r="J45" s="64">
        <v>0.73</v>
      </c>
      <c r="K45" s="64">
        <v>79.5</v>
      </c>
      <c r="L45" s="64">
        <v>24.36</v>
      </c>
      <c r="M45" s="64">
        <v>31.09</v>
      </c>
      <c r="N45" s="64">
        <v>507.9</v>
      </c>
      <c r="O45" s="64">
        <v>0</v>
      </c>
      <c r="P45" s="64">
        <v>0.88</v>
      </c>
      <c r="Q45" s="64">
        <v>9.57</v>
      </c>
      <c r="R45" s="198"/>
      <c r="S45" s="198"/>
      <c r="T45" s="198"/>
      <c r="U45" s="198"/>
    </row>
    <row r="46" spans="1:21" s="12" customFormat="1" x14ac:dyDescent="0.25">
      <c r="A46" s="247" t="s">
        <v>1145</v>
      </c>
      <c r="B46" s="64">
        <v>25.35</v>
      </c>
      <c r="C46" s="64">
        <v>74.62</v>
      </c>
      <c r="D46" s="64">
        <v>59.32</v>
      </c>
      <c r="E46" s="64">
        <v>5.15</v>
      </c>
      <c r="F46" s="64">
        <v>9.3800000000000008</v>
      </c>
      <c r="G46" s="64">
        <v>116.23</v>
      </c>
      <c r="H46" s="211" t="s">
        <v>42</v>
      </c>
      <c r="I46" s="64">
        <v>3.85</v>
      </c>
      <c r="J46" s="64">
        <v>1.74</v>
      </c>
      <c r="K46" s="64">
        <v>98.47</v>
      </c>
      <c r="L46" s="64">
        <v>23.42</v>
      </c>
      <c r="M46" s="64">
        <v>33.99</v>
      </c>
      <c r="N46" s="64">
        <v>552.29999999999995</v>
      </c>
      <c r="O46" s="64">
        <v>0</v>
      </c>
      <c r="P46" s="64">
        <v>0.87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47" t="s">
        <v>1146</v>
      </c>
      <c r="B47" s="64">
        <v>23.27</v>
      </c>
      <c r="C47" s="64">
        <v>76.209999999999994</v>
      </c>
      <c r="D47" s="64">
        <v>58.48</v>
      </c>
      <c r="E47" s="64">
        <v>5.54</v>
      </c>
      <c r="F47" s="64">
        <v>11.09</v>
      </c>
      <c r="G47" s="64">
        <v>116.23</v>
      </c>
      <c r="H47" s="211" t="s">
        <v>42</v>
      </c>
      <c r="I47" s="64">
        <v>4.08</v>
      </c>
      <c r="J47" s="64">
        <v>1.0900000000000001</v>
      </c>
      <c r="K47" s="64">
        <v>91.78</v>
      </c>
      <c r="L47" s="64">
        <v>24.37</v>
      </c>
      <c r="M47" s="64">
        <v>33.76</v>
      </c>
      <c r="N47" s="64">
        <v>579.4</v>
      </c>
      <c r="O47" s="64">
        <v>0</v>
      </c>
      <c r="P47" s="64">
        <v>0.87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47" t="s">
        <v>1147</v>
      </c>
      <c r="B48" s="64">
        <v>19.690000000000001</v>
      </c>
      <c r="C48" s="64">
        <v>75.709999999999994</v>
      </c>
      <c r="D48" s="64">
        <v>55.35</v>
      </c>
      <c r="E48" s="64">
        <v>8.93</v>
      </c>
      <c r="F48" s="64">
        <v>16.2</v>
      </c>
      <c r="G48" s="64">
        <v>111.4</v>
      </c>
      <c r="H48" s="64">
        <v>12.68</v>
      </c>
      <c r="I48" s="64">
        <v>4.13</v>
      </c>
      <c r="J48" s="64">
        <v>0.72</v>
      </c>
      <c r="K48" s="64">
        <v>48.04</v>
      </c>
      <c r="L48" s="64">
        <v>26.25</v>
      </c>
      <c r="M48" s="64">
        <v>30.89</v>
      </c>
      <c r="N48" s="64">
        <v>608.1</v>
      </c>
      <c r="O48" s="64">
        <v>0</v>
      </c>
      <c r="P48" s="64">
        <v>0.87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47" t="s">
        <v>1148</v>
      </c>
      <c r="B49" s="64">
        <v>16.86</v>
      </c>
      <c r="C49" s="64">
        <v>71.41</v>
      </c>
      <c r="D49" s="64">
        <v>50.83</v>
      </c>
      <c r="E49" s="64">
        <v>9.98</v>
      </c>
      <c r="F49" s="64">
        <v>20.399999999999999</v>
      </c>
      <c r="G49" s="64">
        <v>97.34</v>
      </c>
      <c r="H49" s="64">
        <v>47.56</v>
      </c>
      <c r="I49" s="64">
        <v>4.01</v>
      </c>
      <c r="J49" s="64">
        <v>0.72</v>
      </c>
      <c r="K49" s="64">
        <v>41.37</v>
      </c>
      <c r="L49" s="64">
        <v>27.55</v>
      </c>
      <c r="M49" s="64">
        <v>30.08</v>
      </c>
      <c r="N49" s="64">
        <v>642.20000000000005</v>
      </c>
      <c r="O49" s="64">
        <v>0</v>
      </c>
      <c r="P49" s="64">
        <v>0.88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47" t="s">
        <v>1149</v>
      </c>
      <c r="B50" s="64">
        <v>18.760000000000002</v>
      </c>
      <c r="C50" s="64">
        <v>77.069999999999993</v>
      </c>
      <c r="D50" s="64">
        <v>55.31</v>
      </c>
      <c r="E50" s="64">
        <v>13.9</v>
      </c>
      <c r="F50" s="64">
        <v>17.64</v>
      </c>
      <c r="G50" s="64">
        <v>97.34</v>
      </c>
      <c r="H50" s="64">
        <v>47.56</v>
      </c>
      <c r="I50" s="64">
        <v>3.99</v>
      </c>
      <c r="J50" s="64">
        <v>0.61</v>
      </c>
      <c r="K50" s="64">
        <v>10.77</v>
      </c>
      <c r="L50" s="64">
        <v>29.68</v>
      </c>
      <c r="M50" s="64">
        <v>27.72</v>
      </c>
      <c r="N50" s="64">
        <v>663.5</v>
      </c>
      <c r="O50" s="64">
        <v>0</v>
      </c>
      <c r="P50" s="64">
        <v>0.92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47" t="s">
        <v>1150</v>
      </c>
      <c r="B51" s="64">
        <v>14.31</v>
      </c>
      <c r="C51" s="64">
        <v>81.7</v>
      </c>
      <c r="D51" s="64">
        <v>54.16</v>
      </c>
      <c r="E51" s="64">
        <v>9.1</v>
      </c>
      <c r="F51" s="64">
        <v>15.27</v>
      </c>
      <c r="G51" s="64">
        <v>97.34</v>
      </c>
      <c r="H51" s="64">
        <v>47.56</v>
      </c>
      <c r="I51" s="64">
        <v>4.13</v>
      </c>
      <c r="J51" s="64">
        <v>1.1200000000000001</v>
      </c>
      <c r="K51" s="64">
        <v>329.83</v>
      </c>
      <c r="L51" s="64">
        <v>31.58</v>
      </c>
      <c r="M51" s="64">
        <v>25.79</v>
      </c>
      <c r="N51" s="64">
        <v>692.8</v>
      </c>
      <c r="O51" s="64">
        <v>0</v>
      </c>
      <c r="P51" s="64">
        <v>0.97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47" t="s">
        <v>1151</v>
      </c>
      <c r="B52" s="64">
        <v>10.119999999999999</v>
      </c>
      <c r="C52" s="64">
        <v>88.97</v>
      </c>
      <c r="D52" s="64">
        <v>54.6</v>
      </c>
      <c r="E52" s="64">
        <v>7.55</v>
      </c>
      <c r="F52" s="64">
        <v>13.89</v>
      </c>
      <c r="G52" s="64">
        <v>93.49</v>
      </c>
      <c r="H52" s="64">
        <v>48.33</v>
      </c>
      <c r="I52" s="64">
        <v>3.95</v>
      </c>
      <c r="J52" s="64">
        <v>1.21</v>
      </c>
      <c r="K52" s="64">
        <v>323.19</v>
      </c>
      <c r="L52" s="64">
        <v>32.4</v>
      </c>
      <c r="M52" s="64">
        <v>25.89</v>
      </c>
      <c r="N52" s="64">
        <v>712.7</v>
      </c>
      <c r="O52" s="64">
        <v>0</v>
      </c>
      <c r="P52" s="64">
        <v>1.01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47" t="s">
        <v>1152</v>
      </c>
      <c r="B53" s="64">
        <v>7.34</v>
      </c>
      <c r="C53" s="64">
        <v>94.38</v>
      </c>
      <c r="D53" s="64">
        <v>55.19</v>
      </c>
      <c r="E53" s="64">
        <v>7.35</v>
      </c>
      <c r="F53" s="64">
        <v>15.82</v>
      </c>
      <c r="G53" s="64">
        <v>79.36</v>
      </c>
      <c r="H53" s="64">
        <v>51.13</v>
      </c>
      <c r="I53" s="64">
        <v>3.98</v>
      </c>
      <c r="J53" s="64">
        <v>1.38</v>
      </c>
      <c r="K53" s="64">
        <v>334.6</v>
      </c>
      <c r="L53" s="64">
        <v>30.46</v>
      </c>
      <c r="M53" s="64">
        <v>31.88</v>
      </c>
      <c r="N53" s="64">
        <v>718.8</v>
      </c>
      <c r="O53" s="64">
        <v>0</v>
      </c>
      <c r="P53" s="64">
        <v>1.02</v>
      </c>
      <c r="Q53" s="64">
        <v>9.57</v>
      </c>
      <c r="R53" s="198"/>
      <c r="S53" s="198"/>
      <c r="T53" s="198"/>
      <c r="U53" s="198"/>
    </row>
    <row r="54" spans="1:21" s="12" customFormat="1" x14ac:dyDescent="0.25">
      <c r="A54" s="247" t="s">
        <v>1153</v>
      </c>
      <c r="B54" s="64">
        <v>5.09</v>
      </c>
      <c r="C54" s="64">
        <v>94.51</v>
      </c>
      <c r="D54" s="64">
        <v>53.46</v>
      </c>
      <c r="E54" s="64">
        <v>5.59</v>
      </c>
      <c r="F54" s="64">
        <v>11.73</v>
      </c>
      <c r="G54" s="64">
        <v>79.36</v>
      </c>
      <c r="H54" s="64">
        <v>51.13</v>
      </c>
      <c r="I54" s="64">
        <v>4.08</v>
      </c>
      <c r="J54" s="64">
        <v>1.56</v>
      </c>
      <c r="K54" s="64">
        <v>318.72000000000003</v>
      </c>
      <c r="L54" s="64">
        <v>31.65</v>
      </c>
      <c r="M54" s="64">
        <v>27.2</v>
      </c>
      <c r="N54" s="64">
        <v>719.7</v>
      </c>
      <c r="O54" s="64">
        <v>0</v>
      </c>
      <c r="P54" s="64">
        <v>1.02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47" t="s">
        <v>1154</v>
      </c>
      <c r="B55" s="64">
        <v>4.38</v>
      </c>
      <c r="C55" s="64">
        <v>89.36</v>
      </c>
      <c r="D55" s="64">
        <v>50.2</v>
      </c>
      <c r="E55" s="64">
        <v>6.48</v>
      </c>
      <c r="F55" s="64">
        <v>18.09</v>
      </c>
      <c r="G55" s="64">
        <v>79.36</v>
      </c>
      <c r="H55" s="64">
        <v>51.13</v>
      </c>
      <c r="I55" s="64">
        <v>3.87</v>
      </c>
      <c r="J55" s="64">
        <v>0.95</v>
      </c>
      <c r="K55" s="64">
        <v>325.54000000000002</v>
      </c>
      <c r="L55" s="64">
        <v>33.369999999999997</v>
      </c>
      <c r="M55" s="64">
        <v>24.04</v>
      </c>
      <c r="N55" s="64">
        <v>696.3</v>
      </c>
      <c r="O55" s="64">
        <v>0</v>
      </c>
      <c r="P55" s="64">
        <v>1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47" t="s">
        <v>1155</v>
      </c>
      <c r="B56" s="64">
        <v>4.96</v>
      </c>
      <c r="C56" s="64">
        <v>89.42</v>
      </c>
      <c r="D56" s="64">
        <v>50.7</v>
      </c>
      <c r="E56" s="64">
        <v>6.47</v>
      </c>
      <c r="F56" s="64">
        <v>20.81</v>
      </c>
      <c r="G56" s="64">
        <v>86.31</v>
      </c>
      <c r="H56" s="64">
        <v>45.17</v>
      </c>
      <c r="I56" s="64">
        <v>4.0599999999999996</v>
      </c>
      <c r="J56" s="64">
        <v>0.8</v>
      </c>
      <c r="K56" s="64">
        <v>325.55</v>
      </c>
      <c r="L56" s="64">
        <v>32.78</v>
      </c>
      <c r="M56" s="64">
        <v>24.58</v>
      </c>
      <c r="N56" s="64">
        <v>687.6</v>
      </c>
      <c r="O56" s="64">
        <v>0</v>
      </c>
      <c r="P56" s="64">
        <v>1</v>
      </c>
      <c r="Q56" s="64">
        <v>9.56</v>
      </c>
      <c r="R56" s="198"/>
      <c r="S56" s="198"/>
      <c r="T56" s="198"/>
      <c r="U56" s="198"/>
    </row>
    <row r="57" spans="1:21" s="12" customFormat="1" x14ac:dyDescent="0.25">
      <c r="A57" s="247" t="s">
        <v>1156</v>
      </c>
      <c r="B57" s="64">
        <v>3.88</v>
      </c>
      <c r="C57" s="64">
        <v>75.099999999999994</v>
      </c>
      <c r="D57" s="64">
        <v>42.35</v>
      </c>
      <c r="E57" s="64">
        <v>9.19</v>
      </c>
      <c r="F57" s="64">
        <v>26.53</v>
      </c>
      <c r="G57" s="64">
        <v>106.53</v>
      </c>
      <c r="H57" s="64">
        <v>28.77</v>
      </c>
      <c r="I57" s="64">
        <v>3.99</v>
      </c>
      <c r="J57" s="64">
        <v>0.66</v>
      </c>
      <c r="K57" s="64">
        <v>334.19</v>
      </c>
      <c r="L57" s="64">
        <v>32.869999999999997</v>
      </c>
      <c r="M57" s="64">
        <v>24.74</v>
      </c>
      <c r="N57" s="64">
        <v>685.6</v>
      </c>
      <c r="O57" s="64">
        <v>0</v>
      </c>
      <c r="P57" s="64">
        <v>0.91</v>
      </c>
      <c r="Q57" s="64">
        <v>9.56</v>
      </c>
      <c r="R57" s="198"/>
      <c r="S57" s="198"/>
      <c r="T57" s="198"/>
      <c r="U57" s="198"/>
    </row>
    <row r="58" spans="1:21" s="12" customFormat="1" x14ac:dyDescent="0.25">
      <c r="A58" s="247" t="s">
        <v>1157</v>
      </c>
      <c r="B58" s="64">
        <v>3.17</v>
      </c>
      <c r="C58" s="64">
        <v>72.12</v>
      </c>
      <c r="D58" s="64">
        <v>40.22</v>
      </c>
      <c r="E58" s="64">
        <v>6.81</v>
      </c>
      <c r="F58" s="64">
        <v>24.04</v>
      </c>
      <c r="G58" s="64">
        <v>106.53</v>
      </c>
      <c r="H58" s="64">
        <v>28.77</v>
      </c>
      <c r="I58" s="64">
        <v>3.81</v>
      </c>
      <c r="J58" s="64">
        <v>0.63</v>
      </c>
      <c r="K58" s="64">
        <v>147.97</v>
      </c>
      <c r="L58" s="64">
        <v>31.25</v>
      </c>
      <c r="M58" s="64">
        <v>26.36</v>
      </c>
      <c r="N58" s="64">
        <v>689.4</v>
      </c>
      <c r="O58" s="64">
        <v>0</v>
      </c>
      <c r="P58" s="64">
        <v>0.87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47" t="s">
        <v>1158</v>
      </c>
      <c r="B59" s="64">
        <v>3</v>
      </c>
      <c r="C59" s="64">
        <v>69.78</v>
      </c>
      <c r="D59" s="64">
        <v>38.86</v>
      </c>
      <c r="E59" s="64">
        <v>6.1</v>
      </c>
      <c r="F59" s="64">
        <v>27.36</v>
      </c>
      <c r="G59" s="64">
        <v>106.53</v>
      </c>
      <c r="H59" s="64">
        <v>28.77</v>
      </c>
      <c r="I59" s="64">
        <v>4.1100000000000003</v>
      </c>
      <c r="J59" s="64">
        <v>0.19</v>
      </c>
      <c r="K59" s="64">
        <v>276.14999999999998</v>
      </c>
      <c r="L59" s="64">
        <v>31.57</v>
      </c>
      <c r="M59" s="64">
        <v>25.6</v>
      </c>
      <c r="N59" s="64">
        <v>690.8</v>
      </c>
      <c r="O59" s="64">
        <v>0</v>
      </c>
      <c r="P59" s="64">
        <v>0.81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47" t="s">
        <v>1159</v>
      </c>
      <c r="B60" s="64">
        <v>3.36</v>
      </c>
      <c r="C60" s="64">
        <v>60.41</v>
      </c>
      <c r="D60" s="64">
        <v>34.26</v>
      </c>
      <c r="E60" s="64">
        <v>8.16</v>
      </c>
      <c r="F60" s="64">
        <v>26.73</v>
      </c>
      <c r="G60" s="64">
        <v>91.24</v>
      </c>
      <c r="H60" s="64">
        <v>25.06</v>
      </c>
      <c r="I60" s="64">
        <v>3.99</v>
      </c>
      <c r="J60" s="64">
        <v>0.53</v>
      </c>
      <c r="K60" s="64">
        <v>207.11</v>
      </c>
      <c r="L60" s="64">
        <v>31.7</v>
      </c>
      <c r="M60" s="64">
        <v>23.84</v>
      </c>
      <c r="N60" s="64">
        <v>683.9</v>
      </c>
      <c r="O60" s="64">
        <v>0</v>
      </c>
      <c r="P60" s="64">
        <v>0.73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47" t="s">
        <v>1160</v>
      </c>
      <c r="B61" s="64">
        <v>4.28</v>
      </c>
      <c r="C61" s="64">
        <v>66.89</v>
      </c>
      <c r="D61" s="64">
        <v>38.380000000000003</v>
      </c>
      <c r="E61" s="64">
        <v>8.6199999999999992</v>
      </c>
      <c r="F61" s="64">
        <v>26.5</v>
      </c>
      <c r="G61" s="64">
        <v>49.19</v>
      </c>
      <c r="H61" s="64">
        <v>14.84</v>
      </c>
      <c r="I61" s="64">
        <v>4.09</v>
      </c>
      <c r="J61" s="64">
        <v>0.57999999999999996</v>
      </c>
      <c r="K61" s="64">
        <v>296.60000000000002</v>
      </c>
      <c r="L61" s="64">
        <v>32.26</v>
      </c>
      <c r="M61" s="64">
        <v>23.01</v>
      </c>
      <c r="N61" s="64">
        <v>653.20000000000005</v>
      </c>
      <c r="O61" s="64">
        <v>0</v>
      </c>
      <c r="P61" s="64">
        <v>0.74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47" t="s">
        <v>1161</v>
      </c>
      <c r="B62" s="64">
        <v>4.1900000000000004</v>
      </c>
      <c r="C62" s="64">
        <v>69.400000000000006</v>
      </c>
      <c r="D62" s="64">
        <v>39.619999999999997</v>
      </c>
      <c r="E62" s="64">
        <v>8</v>
      </c>
      <c r="F62" s="64">
        <v>35.659999999999997</v>
      </c>
      <c r="G62" s="64">
        <v>49.19</v>
      </c>
      <c r="H62" s="64">
        <v>14.84</v>
      </c>
      <c r="I62" s="64">
        <v>4.03</v>
      </c>
      <c r="J62" s="64">
        <v>0.49</v>
      </c>
      <c r="K62" s="64">
        <v>316.14999999999998</v>
      </c>
      <c r="L62" s="64">
        <v>33.29</v>
      </c>
      <c r="M62" s="64">
        <v>21.22</v>
      </c>
      <c r="N62" s="64">
        <v>642.4</v>
      </c>
      <c r="O62" s="64">
        <v>0</v>
      </c>
      <c r="P62" s="64">
        <v>0.8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47" t="s">
        <v>1162</v>
      </c>
      <c r="B63" s="64">
        <v>4.76</v>
      </c>
      <c r="C63" s="64">
        <v>68.19</v>
      </c>
      <c r="D63" s="64">
        <v>39.44</v>
      </c>
      <c r="E63" s="64">
        <v>22.42</v>
      </c>
      <c r="F63" s="64">
        <v>44.32</v>
      </c>
      <c r="G63" s="64">
        <v>49.19</v>
      </c>
      <c r="H63" s="64">
        <v>14.84</v>
      </c>
      <c r="I63" s="64">
        <v>3.93</v>
      </c>
      <c r="J63" s="64">
        <v>0.37</v>
      </c>
      <c r="K63" s="64">
        <v>273.52</v>
      </c>
      <c r="L63" s="64">
        <v>31.75</v>
      </c>
      <c r="M63" s="64">
        <v>22.23</v>
      </c>
      <c r="N63" s="64">
        <v>606.9</v>
      </c>
      <c r="O63" s="64">
        <v>0</v>
      </c>
      <c r="P63" s="64">
        <v>0.8</v>
      </c>
      <c r="Q63" s="64">
        <v>9.57</v>
      </c>
      <c r="R63" s="198"/>
      <c r="S63" s="198"/>
      <c r="T63" s="198"/>
      <c r="U63" s="198"/>
    </row>
    <row r="64" spans="1:21" s="12" customFormat="1" x14ac:dyDescent="0.25">
      <c r="A64" s="247" t="s">
        <v>1163</v>
      </c>
      <c r="B64" s="64">
        <v>6.33</v>
      </c>
      <c r="C64" s="64">
        <v>76.92</v>
      </c>
      <c r="D64" s="64">
        <v>45.26</v>
      </c>
      <c r="E64" s="64">
        <v>25.63</v>
      </c>
      <c r="F64" s="64">
        <v>52.7</v>
      </c>
      <c r="G64" s="64">
        <v>61.74</v>
      </c>
      <c r="H64" s="64">
        <v>20.7</v>
      </c>
      <c r="I64" s="64">
        <v>3.98</v>
      </c>
      <c r="J64" s="64">
        <v>1.1599999999999999</v>
      </c>
      <c r="K64" s="64">
        <v>351.08</v>
      </c>
      <c r="L64" s="64">
        <v>33.35</v>
      </c>
      <c r="M64" s="64">
        <v>20.72</v>
      </c>
      <c r="N64" s="64">
        <v>563.4</v>
      </c>
      <c r="O64" s="64">
        <v>0</v>
      </c>
      <c r="P64" s="64">
        <v>0.88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47" t="s">
        <v>1164</v>
      </c>
      <c r="B65" s="64">
        <v>4.58</v>
      </c>
      <c r="C65" s="64">
        <v>66.55</v>
      </c>
      <c r="D65" s="64">
        <v>38.450000000000003</v>
      </c>
      <c r="E65" s="64">
        <v>21.51</v>
      </c>
      <c r="F65" s="64">
        <v>47.73</v>
      </c>
      <c r="G65" s="64">
        <v>96.24</v>
      </c>
      <c r="H65" s="64">
        <v>36.82</v>
      </c>
      <c r="I65" s="64">
        <v>4.07</v>
      </c>
      <c r="J65" s="64">
        <v>0.46</v>
      </c>
      <c r="K65" s="64">
        <v>330.64</v>
      </c>
      <c r="L65" s="64">
        <v>32.51</v>
      </c>
      <c r="M65" s="64">
        <v>22.26</v>
      </c>
      <c r="N65" s="64">
        <v>502.5</v>
      </c>
      <c r="O65" s="64">
        <v>0</v>
      </c>
      <c r="P65" s="64">
        <v>0.85</v>
      </c>
      <c r="Q65" s="64">
        <v>9.5</v>
      </c>
      <c r="R65" s="198"/>
      <c r="S65" s="198"/>
      <c r="T65" s="198"/>
      <c r="U65" s="198"/>
    </row>
    <row r="66" spans="1:21" s="12" customFormat="1" x14ac:dyDescent="0.25">
      <c r="A66" s="247" t="s">
        <v>1165</v>
      </c>
      <c r="B66" s="64">
        <v>5.13</v>
      </c>
      <c r="C66" s="64">
        <v>78.319999999999993</v>
      </c>
      <c r="D66" s="64">
        <v>45.03</v>
      </c>
      <c r="E66" s="64">
        <v>20.43</v>
      </c>
      <c r="F66" s="64">
        <v>35.39</v>
      </c>
      <c r="G66" s="64">
        <v>96.24</v>
      </c>
      <c r="H66" s="64">
        <v>36.82</v>
      </c>
      <c r="I66" s="64">
        <v>3.81</v>
      </c>
      <c r="J66" s="64">
        <v>1.31</v>
      </c>
      <c r="K66" s="64">
        <v>337.08</v>
      </c>
      <c r="L66" s="64">
        <v>33.54</v>
      </c>
      <c r="M66" s="64">
        <v>20.94</v>
      </c>
      <c r="N66" s="64">
        <v>451.3</v>
      </c>
      <c r="O66" s="64">
        <v>0</v>
      </c>
      <c r="P66" s="64">
        <v>0.91</v>
      </c>
      <c r="Q66" s="64">
        <v>9.49</v>
      </c>
      <c r="R66" s="198"/>
      <c r="S66" s="198"/>
      <c r="T66" s="198"/>
      <c r="U66" s="198"/>
    </row>
    <row r="67" spans="1:21" s="12" customFormat="1" x14ac:dyDescent="0.25">
      <c r="A67" s="247" t="s">
        <v>1166</v>
      </c>
      <c r="B67" s="64">
        <v>4.8499999999999996</v>
      </c>
      <c r="C67" s="64">
        <v>74.27</v>
      </c>
      <c r="D67" s="64">
        <v>42.69</v>
      </c>
      <c r="E67" s="64">
        <v>19.14</v>
      </c>
      <c r="F67" s="64">
        <v>41.95</v>
      </c>
      <c r="G67" s="64">
        <v>96.24</v>
      </c>
      <c r="H67" s="64">
        <v>36.82</v>
      </c>
      <c r="I67" s="64">
        <v>3.82</v>
      </c>
      <c r="J67" s="64">
        <v>0.91</v>
      </c>
      <c r="K67" s="64">
        <v>335.21</v>
      </c>
      <c r="L67" s="64">
        <v>33.06</v>
      </c>
      <c r="M67" s="64">
        <v>21.52</v>
      </c>
      <c r="N67" s="64">
        <v>310.7</v>
      </c>
      <c r="O67" s="64">
        <v>0</v>
      </c>
      <c r="P67" s="64">
        <v>0.86</v>
      </c>
      <c r="Q67" s="64">
        <v>9.49</v>
      </c>
      <c r="R67" s="198"/>
      <c r="S67" s="198"/>
      <c r="T67" s="198"/>
      <c r="U67" s="198"/>
    </row>
    <row r="68" spans="1:21" s="12" customFormat="1" x14ac:dyDescent="0.25">
      <c r="A68" s="247" t="s">
        <v>1167</v>
      </c>
      <c r="B68" s="64">
        <v>5.01</v>
      </c>
      <c r="C68" s="64">
        <v>73.37</v>
      </c>
      <c r="D68" s="64">
        <v>42.35</v>
      </c>
      <c r="E68" s="64">
        <v>23.21</v>
      </c>
      <c r="F68" s="64">
        <v>36.14</v>
      </c>
      <c r="G68" s="64">
        <v>93.66</v>
      </c>
      <c r="H68" s="64">
        <v>35.31</v>
      </c>
      <c r="I68" s="64">
        <v>4.0199999999999996</v>
      </c>
      <c r="J68" s="64">
        <v>1.26</v>
      </c>
      <c r="K68" s="64">
        <v>331.8</v>
      </c>
      <c r="L68" s="64">
        <v>32.840000000000003</v>
      </c>
      <c r="M68" s="64">
        <v>21.18</v>
      </c>
      <c r="N68" s="64">
        <v>278.39999999999998</v>
      </c>
      <c r="O68" s="64">
        <v>0</v>
      </c>
      <c r="P68" s="64">
        <v>0.87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47" t="s">
        <v>1168</v>
      </c>
      <c r="B69" s="64">
        <v>6.85</v>
      </c>
      <c r="C69" s="64">
        <v>72.27</v>
      </c>
      <c r="D69" s="64">
        <v>43.25</v>
      </c>
      <c r="E69" s="64">
        <v>26.13</v>
      </c>
      <c r="F69" s="64">
        <v>38.51</v>
      </c>
      <c r="G69" s="64">
        <v>86.12</v>
      </c>
      <c r="H69" s="64">
        <v>31.16</v>
      </c>
      <c r="I69" s="64">
        <v>4</v>
      </c>
      <c r="J69" s="64">
        <v>1.1399999999999999</v>
      </c>
      <c r="K69" s="64">
        <v>352.37</v>
      </c>
      <c r="L69" s="64">
        <v>32.659999999999997</v>
      </c>
      <c r="M69" s="64">
        <v>19.04</v>
      </c>
      <c r="N69" s="64">
        <v>263.39999999999998</v>
      </c>
      <c r="O69" s="64">
        <v>0</v>
      </c>
      <c r="P69" s="64">
        <v>0.87</v>
      </c>
      <c r="Q69" s="64">
        <v>9.43</v>
      </c>
      <c r="R69" s="198"/>
      <c r="S69" s="198"/>
      <c r="T69" s="198"/>
      <c r="U69" s="198"/>
    </row>
    <row r="70" spans="1:21" s="12" customFormat="1" x14ac:dyDescent="0.25">
      <c r="A70" s="247" t="s">
        <v>1169</v>
      </c>
      <c r="B70" s="64">
        <v>7.44</v>
      </c>
      <c r="C70" s="64">
        <v>74.569999999999993</v>
      </c>
      <c r="D70" s="64">
        <v>44.92</v>
      </c>
      <c r="E70" s="64">
        <v>19.649999999999999</v>
      </c>
      <c r="F70" s="64">
        <v>29.22</v>
      </c>
      <c r="G70" s="64">
        <v>86.12</v>
      </c>
      <c r="H70" s="64">
        <v>31.16</v>
      </c>
      <c r="I70" s="64">
        <v>3.93</v>
      </c>
      <c r="J70" s="64">
        <v>1.19</v>
      </c>
      <c r="K70" s="64">
        <v>8.59</v>
      </c>
      <c r="L70" s="64">
        <v>31.56</v>
      </c>
      <c r="M70" s="64">
        <v>18.7</v>
      </c>
      <c r="N70" s="64">
        <v>186.6</v>
      </c>
      <c r="O70" s="64">
        <v>0</v>
      </c>
      <c r="P70" s="64">
        <v>0.87</v>
      </c>
      <c r="Q70" s="64">
        <v>9.41</v>
      </c>
      <c r="R70" s="198"/>
      <c r="S70" s="198"/>
      <c r="T70" s="198"/>
      <c r="U70" s="198"/>
    </row>
    <row r="71" spans="1:21" s="12" customFormat="1" x14ac:dyDescent="0.25">
      <c r="A71" s="247" t="s">
        <v>1170</v>
      </c>
      <c r="B71" s="64">
        <v>9.39</v>
      </c>
      <c r="C71" s="64">
        <v>78.599999999999994</v>
      </c>
      <c r="D71" s="64">
        <v>48.6</v>
      </c>
      <c r="E71" s="64">
        <v>14.86</v>
      </c>
      <c r="F71" s="64">
        <v>20.39</v>
      </c>
      <c r="G71" s="64">
        <v>86.12</v>
      </c>
      <c r="H71" s="64">
        <v>31.16</v>
      </c>
      <c r="I71" s="64">
        <v>3.97</v>
      </c>
      <c r="J71" s="64">
        <v>1.52</v>
      </c>
      <c r="K71" s="64">
        <v>4.04</v>
      </c>
      <c r="L71" s="64">
        <v>31.29</v>
      </c>
      <c r="M71" s="64">
        <v>18.57</v>
      </c>
      <c r="N71" s="64">
        <v>211.7</v>
      </c>
      <c r="O71" s="64">
        <v>0</v>
      </c>
      <c r="P71" s="64">
        <v>0.88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47" t="s">
        <v>1171</v>
      </c>
      <c r="B72" s="64">
        <v>7.84</v>
      </c>
      <c r="C72" s="64">
        <v>71.59</v>
      </c>
      <c r="D72" s="64">
        <v>43.69</v>
      </c>
      <c r="E72" s="64">
        <v>10.18</v>
      </c>
      <c r="F72" s="64">
        <v>23.13</v>
      </c>
      <c r="G72" s="64">
        <v>83.77</v>
      </c>
      <c r="H72" s="64">
        <v>31.93</v>
      </c>
      <c r="I72" s="64">
        <v>3.88</v>
      </c>
      <c r="J72" s="64">
        <v>1.65</v>
      </c>
      <c r="K72" s="64">
        <v>0.02</v>
      </c>
      <c r="L72" s="64">
        <v>31.04</v>
      </c>
      <c r="M72" s="64">
        <v>16.8</v>
      </c>
      <c r="N72" s="64">
        <v>183.9</v>
      </c>
      <c r="O72" s="64">
        <v>0</v>
      </c>
      <c r="P72" s="64">
        <v>0.84</v>
      </c>
      <c r="Q72" s="64">
        <v>9.3800000000000008</v>
      </c>
      <c r="R72" s="198"/>
      <c r="S72" s="198"/>
      <c r="T72" s="198"/>
      <c r="U72" s="198"/>
    </row>
    <row r="73" spans="1:21" s="12" customFormat="1" x14ac:dyDescent="0.25">
      <c r="A73" s="247" t="s">
        <v>1172</v>
      </c>
      <c r="B73" s="64">
        <v>6.48</v>
      </c>
      <c r="C73" s="64">
        <v>73.69</v>
      </c>
      <c r="D73" s="64">
        <v>43.7</v>
      </c>
      <c r="E73" s="64">
        <v>9.35</v>
      </c>
      <c r="F73" s="64">
        <v>15.62</v>
      </c>
      <c r="G73" s="64">
        <v>77.3</v>
      </c>
      <c r="H73" s="64">
        <v>34.04</v>
      </c>
      <c r="I73" s="64">
        <v>4.12</v>
      </c>
      <c r="J73" s="64">
        <v>1.76</v>
      </c>
      <c r="K73" s="64">
        <v>354.11</v>
      </c>
      <c r="L73" s="64">
        <v>30.76</v>
      </c>
      <c r="M73" s="64">
        <v>18.940000000000001</v>
      </c>
      <c r="N73" s="64">
        <v>200.7</v>
      </c>
      <c r="O73" s="64">
        <v>0</v>
      </c>
      <c r="P73" s="64">
        <v>0.9</v>
      </c>
      <c r="Q73" s="64">
        <v>9.3800000000000008</v>
      </c>
      <c r="R73" s="198"/>
      <c r="S73" s="198"/>
      <c r="T73" s="198"/>
      <c r="U73" s="198"/>
    </row>
    <row r="74" spans="1:21" s="12" customFormat="1" x14ac:dyDescent="0.25">
      <c r="A74" s="247" t="s">
        <v>1173</v>
      </c>
      <c r="B74" s="64">
        <v>7.18</v>
      </c>
      <c r="C74" s="64">
        <v>75.2</v>
      </c>
      <c r="D74" s="64">
        <v>45.05</v>
      </c>
      <c r="E74" s="64">
        <v>11.08</v>
      </c>
      <c r="F74" s="64">
        <v>20.82</v>
      </c>
      <c r="G74" s="64">
        <v>77.3</v>
      </c>
      <c r="H74" s="64">
        <v>34.04</v>
      </c>
      <c r="I74" s="64">
        <v>4.03</v>
      </c>
      <c r="J74" s="64">
        <v>1.67</v>
      </c>
      <c r="K74" s="64">
        <v>357.83</v>
      </c>
      <c r="L74" s="64">
        <v>30.5</v>
      </c>
      <c r="M74" s="64">
        <v>20.95</v>
      </c>
      <c r="N74" s="64">
        <v>178.8</v>
      </c>
      <c r="O74" s="64">
        <v>0</v>
      </c>
      <c r="P74" s="64">
        <v>0.89</v>
      </c>
      <c r="Q74" s="64">
        <v>9.35</v>
      </c>
      <c r="R74" s="198"/>
      <c r="S74" s="198"/>
      <c r="T74" s="198"/>
      <c r="U74" s="198"/>
    </row>
    <row r="75" spans="1:21" s="12" customFormat="1" x14ac:dyDescent="0.25">
      <c r="A75" s="247" t="s">
        <v>1174</v>
      </c>
      <c r="B75" s="64">
        <v>7.6</v>
      </c>
      <c r="C75" s="64">
        <v>77.48</v>
      </c>
      <c r="D75" s="64">
        <v>46.57</v>
      </c>
      <c r="E75" s="64">
        <v>7.87</v>
      </c>
      <c r="F75" s="64">
        <v>17.14</v>
      </c>
      <c r="G75" s="64">
        <v>77.3</v>
      </c>
      <c r="H75" s="64">
        <v>34.04</v>
      </c>
      <c r="I75" s="64">
        <v>3.96</v>
      </c>
      <c r="J75" s="64">
        <v>1.84</v>
      </c>
      <c r="K75" s="64">
        <v>356.19</v>
      </c>
      <c r="L75" s="64">
        <v>30.11</v>
      </c>
      <c r="M75" s="64">
        <v>21.54</v>
      </c>
      <c r="N75" s="64">
        <v>142.6</v>
      </c>
      <c r="O75" s="64">
        <v>0</v>
      </c>
      <c r="P75" s="64">
        <v>0.9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47" t="s">
        <v>1175</v>
      </c>
      <c r="B76" s="64">
        <v>8.41</v>
      </c>
      <c r="C76" s="64">
        <v>74.569999999999993</v>
      </c>
      <c r="D76" s="64">
        <v>45.7</v>
      </c>
      <c r="E76" s="64">
        <v>9.8000000000000007</v>
      </c>
      <c r="F76" s="64">
        <v>24.11</v>
      </c>
      <c r="G76" s="64">
        <v>78.38</v>
      </c>
      <c r="H76" s="64">
        <v>32.020000000000003</v>
      </c>
      <c r="I76" s="64">
        <v>4.04</v>
      </c>
      <c r="J76" s="64">
        <v>1.59</v>
      </c>
      <c r="K76" s="64">
        <v>355.23</v>
      </c>
      <c r="L76" s="64">
        <v>29.62</v>
      </c>
      <c r="M76" s="64">
        <v>21.52</v>
      </c>
      <c r="N76" s="64">
        <v>121.2</v>
      </c>
      <c r="O76" s="64">
        <v>0</v>
      </c>
      <c r="P76" s="64">
        <v>0.88</v>
      </c>
      <c r="Q76" s="64">
        <v>9.32</v>
      </c>
      <c r="R76" s="198"/>
      <c r="S76" s="198"/>
      <c r="T76" s="198"/>
      <c r="U76" s="198"/>
    </row>
    <row r="77" spans="1:21" s="12" customFormat="1" x14ac:dyDescent="0.25">
      <c r="A77" s="247" t="s">
        <v>1176</v>
      </c>
      <c r="B77" s="64">
        <v>7.67</v>
      </c>
      <c r="C77" s="64">
        <v>80.72</v>
      </c>
      <c r="D77" s="64">
        <v>48.32</v>
      </c>
      <c r="E77" s="64">
        <v>10.81</v>
      </c>
      <c r="F77" s="64">
        <v>18.649999999999999</v>
      </c>
      <c r="G77" s="64">
        <v>81.34</v>
      </c>
      <c r="H77" s="64">
        <v>26.44</v>
      </c>
      <c r="I77" s="64">
        <v>3.92</v>
      </c>
      <c r="J77" s="64">
        <v>1.33</v>
      </c>
      <c r="K77" s="64">
        <v>358.01</v>
      </c>
      <c r="L77" s="64">
        <v>28.43</v>
      </c>
      <c r="M77" s="64">
        <v>23.91</v>
      </c>
      <c r="N77" s="64">
        <v>105.7</v>
      </c>
      <c r="O77" s="64">
        <v>0</v>
      </c>
      <c r="P77" s="64">
        <v>0.94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47" t="s">
        <v>1177</v>
      </c>
      <c r="B78" s="64">
        <v>14.03</v>
      </c>
      <c r="C78" s="64">
        <v>91.03</v>
      </c>
      <c r="D78" s="64">
        <v>58.81</v>
      </c>
      <c r="E78" s="64">
        <v>13.7</v>
      </c>
      <c r="F78" s="64">
        <v>23.49</v>
      </c>
      <c r="G78" s="64">
        <v>81.34</v>
      </c>
      <c r="H78" s="64">
        <v>26.44</v>
      </c>
      <c r="I78" s="64">
        <v>4.03</v>
      </c>
      <c r="J78" s="64">
        <v>1.22</v>
      </c>
      <c r="K78" s="64">
        <v>1.54</v>
      </c>
      <c r="L78" s="64">
        <v>28.36</v>
      </c>
      <c r="M78" s="64">
        <v>21.67</v>
      </c>
      <c r="N78" s="64">
        <v>94.4</v>
      </c>
      <c r="O78" s="64">
        <v>0</v>
      </c>
      <c r="P78" s="64">
        <v>1.02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47" t="s">
        <v>1178</v>
      </c>
      <c r="B79" s="64">
        <v>16.29</v>
      </c>
      <c r="C79" s="64">
        <v>103.67</v>
      </c>
      <c r="D79" s="64">
        <v>67.23</v>
      </c>
      <c r="E79" s="64">
        <v>14.1</v>
      </c>
      <c r="F79" s="64">
        <v>21.36</v>
      </c>
      <c r="G79" s="64">
        <v>81.34</v>
      </c>
      <c r="H79" s="64">
        <v>26.44</v>
      </c>
      <c r="I79" s="64">
        <v>3.97</v>
      </c>
      <c r="J79" s="64">
        <v>0.65</v>
      </c>
      <c r="K79" s="64">
        <v>25.13</v>
      </c>
      <c r="L79" s="64">
        <v>27.76</v>
      </c>
      <c r="M79" s="64">
        <v>22.19</v>
      </c>
      <c r="N79" s="64">
        <v>82.4</v>
      </c>
      <c r="O79" s="64">
        <v>0</v>
      </c>
      <c r="P79" s="64">
        <v>1.25</v>
      </c>
      <c r="Q79" s="64">
        <v>9.34</v>
      </c>
      <c r="R79" s="198"/>
      <c r="S79" s="198"/>
      <c r="T79" s="198"/>
      <c r="U79" s="198"/>
    </row>
    <row r="80" spans="1:21" s="12" customFormat="1" x14ac:dyDescent="0.25">
      <c r="A80" s="247" t="s">
        <v>1179</v>
      </c>
      <c r="B80" s="64">
        <v>35.18</v>
      </c>
      <c r="C80" s="64">
        <v>134.83000000000001</v>
      </c>
      <c r="D80" s="64">
        <v>98.66</v>
      </c>
      <c r="E80" s="64">
        <v>13.21</v>
      </c>
      <c r="F80" s="64">
        <v>13.57</v>
      </c>
      <c r="G80" s="64">
        <v>82.06</v>
      </c>
      <c r="H80" s="64">
        <v>27.05</v>
      </c>
      <c r="I80" s="64">
        <v>3.95</v>
      </c>
      <c r="J80" s="64">
        <v>0.6</v>
      </c>
      <c r="K80" s="64">
        <v>347.92</v>
      </c>
      <c r="L80" s="64">
        <v>26.75</v>
      </c>
      <c r="M80" s="64">
        <v>26.84</v>
      </c>
      <c r="N80" s="64">
        <v>72</v>
      </c>
      <c r="O80" s="64">
        <v>0</v>
      </c>
      <c r="P80" s="64">
        <v>1.88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47" t="s">
        <v>1180</v>
      </c>
      <c r="B81" s="64">
        <v>43.2</v>
      </c>
      <c r="C81" s="64">
        <v>150.16999999999999</v>
      </c>
      <c r="D81" s="64">
        <v>113.1</v>
      </c>
      <c r="E81" s="64">
        <v>14.81</v>
      </c>
      <c r="F81" s="64">
        <v>12.58</v>
      </c>
      <c r="G81" s="64">
        <v>84.05</v>
      </c>
      <c r="H81" s="64">
        <v>28.71</v>
      </c>
      <c r="I81" s="64">
        <v>3.95</v>
      </c>
      <c r="J81" s="64">
        <v>0.59</v>
      </c>
      <c r="K81" s="64">
        <v>327.04000000000002</v>
      </c>
      <c r="L81" s="64">
        <v>25.62</v>
      </c>
      <c r="M81" s="64">
        <v>29.34</v>
      </c>
      <c r="N81" s="64">
        <v>65.900000000000006</v>
      </c>
      <c r="O81" s="64">
        <v>0</v>
      </c>
      <c r="P81" s="64">
        <v>1.85</v>
      </c>
      <c r="Q81" s="64">
        <v>9.42</v>
      </c>
      <c r="R81" s="198"/>
      <c r="S81" s="198"/>
      <c r="T81" s="198"/>
      <c r="U81" s="198"/>
    </row>
    <row r="82" spans="1:26" s="12" customFormat="1" x14ac:dyDescent="0.25">
      <c r="A82" s="247" t="s">
        <v>1181</v>
      </c>
      <c r="B82" s="64">
        <v>96.84</v>
      </c>
      <c r="C82" s="64">
        <v>171.95</v>
      </c>
      <c r="D82" s="64">
        <v>167.5</v>
      </c>
      <c r="E82" s="64">
        <v>14.9</v>
      </c>
      <c r="F82" s="64">
        <v>8.11</v>
      </c>
      <c r="G82" s="64">
        <v>84.05</v>
      </c>
      <c r="H82" s="64">
        <v>28.71</v>
      </c>
      <c r="I82" s="64">
        <v>3.98</v>
      </c>
      <c r="J82" s="64">
        <v>0.31</v>
      </c>
      <c r="K82" s="64">
        <v>183.72</v>
      </c>
      <c r="L82" s="64">
        <v>24.81</v>
      </c>
      <c r="M82" s="64">
        <v>30.64</v>
      </c>
      <c r="N82" s="64">
        <v>64.099999999999994</v>
      </c>
      <c r="O82" s="64">
        <v>0</v>
      </c>
      <c r="P82" s="64">
        <v>2.19</v>
      </c>
      <c r="Q82" s="64">
        <v>9.44</v>
      </c>
      <c r="R82" s="198"/>
      <c r="S82" s="198"/>
      <c r="T82" s="198"/>
      <c r="U82" s="198"/>
    </row>
    <row r="83" spans="1:26" s="12" customFormat="1" x14ac:dyDescent="0.25">
      <c r="A83" s="247" t="s">
        <v>1182</v>
      </c>
      <c r="B83" s="64">
        <v>137.65</v>
      </c>
      <c r="C83" s="64">
        <v>168.62</v>
      </c>
      <c r="D83" s="64">
        <v>198.48</v>
      </c>
      <c r="E83" s="64">
        <v>13.58</v>
      </c>
      <c r="F83" s="64">
        <v>8.08</v>
      </c>
      <c r="G83" s="64">
        <v>84.05</v>
      </c>
      <c r="H83" s="64">
        <v>28.71</v>
      </c>
      <c r="I83" s="64">
        <v>4.08</v>
      </c>
      <c r="J83" s="64">
        <v>0.37</v>
      </c>
      <c r="K83" s="64">
        <v>276.14</v>
      </c>
      <c r="L83" s="64">
        <v>24.13</v>
      </c>
      <c r="M83" s="64">
        <v>33.9</v>
      </c>
      <c r="N83" s="64">
        <v>63.7</v>
      </c>
      <c r="O83" s="64">
        <v>0</v>
      </c>
      <c r="P83" s="64">
        <v>2.4900000000000002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47" t="s">
        <v>1183</v>
      </c>
      <c r="B84" s="64">
        <v>189.08</v>
      </c>
      <c r="C84" s="64">
        <v>177.96</v>
      </c>
      <c r="D84" s="64">
        <v>244.6</v>
      </c>
      <c r="E84" s="64">
        <v>14.62</v>
      </c>
      <c r="F84" s="64">
        <v>8.4700000000000006</v>
      </c>
      <c r="G84" s="64">
        <v>109.16</v>
      </c>
      <c r="H84" s="64">
        <v>31.16</v>
      </c>
      <c r="I84" s="64">
        <v>3.86</v>
      </c>
      <c r="J84" s="64">
        <v>0.42</v>
      </c>
      <c r="K84" s="64">
        <v>321.83999999999997</v>
      </c>
      <c r="L84" s="64">
        <v>23.57</v>
      </c>
      <c r="M84" s="64">
        <v>37.130000000000003</v>
      </c>
      <c r="N84" s="64">
        <v>63.7</v>
      </c>
      <c r="O84" s="64">
        <v>0</v>
      </c>
      <c r="P84" s="64">
        <v>3.94</v>
      </c>
      <c r="Q84" s="64">
        <v>9.43</v>
      </c>
      <c r="R84" s="198"/>
      <c r="S84" s="198"/>
      <c r="T84" s="198"/>
      <c r="U84" s="198"/>
    </row>
    <row r="85" spans="1:26" s="12" customFormat="1" x14ac:dyDescent="0.25">
      <c r="A85" s="247" t="s">
        <v>1184</v>
      </c>
      <c r="B85" s="64">
        <v>195.38</v>
      </c>
      <c r="C85" s="64">
        <v>184.49</v>
      </c>
      <c r="D85" s="64">
        <v>253.07</v>
      </c>
      <c r="E85" s="64">
        <v>14.41</v>
      </c>
      <c r="F85" s="64">
        <v>8.4</v>
      </c>
      <c r="G85" s="64">
        <v>178.21</v>
      </c>
      <c r="H85" s="64">
        <v>37.9</v>
      </c>
      <c r="I85" s="64">
        <v>4.0199999999999996</v>
      </c>
      <c r="J85" s="64">
        <v>0.5</v>
      </c>
      <c r="K85" s="64">
        <v>273.35000000000002</v>
      </c>
      <c r="L85" s="64">
        <v>23.1</v>
      </c>
      <c r="M85" s="64">
        <v>37.520000000000003</v>
      </c>
      <c r="N85" s="64">
        <v>63.6</v>
      </c>
      <c r="O85" s="64">
        <v>0</v>
      </c>
      <c r="P85" s="64">
        <v>3.04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47" t="s">
        <v>1185</v>
      </c>
      <c r="B86" s="64">
        <v>139.47999999999999</v>
      </c>
      <c r="C86" s="64">
        <v>169.69</v>
      </c>
      <c r="D86" s="64">
        <v>200.5</v>
      </c>
      <c r="E86" s="64">
        <v>13.41</v>
      </c>
      <c r="F86" s="64">
        <v>8.92</v>
      </c>
      <c r="G86" s="64">
        <v>178.21</v>
      </c>
      <c r="H86" s="64">
        <v>37.9</v>
      </c>
      <c r="I86" s="64">
        <v>3.95</v>
      </c>
      <c r="J86" s="64">
        <v>0.48</v>
      </c>
      <c r="K86" s="64">
        <v>321.43</v>
      </c>
      <c r="L86" s="64">
        <v>22.6</v>
      </c>
      <c r="M86" s="64">
        <v>38.39</v>
      </c>
      <c r="N86" s="64">
        <v>63.6</v>
      </c>
      <c r="O86" s="64">
        <v>0</v>
      </c>
      <c r="P86" s="64">
        <v>3.29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47" t="s">
        <v>1186</v>
      </c>
      <c r="B87" s="64">
        <v>169.19</v>
      </c>
      <c r="C87" s="64">
        <v>166.27</v>
      </c>
      <c r="D87" s="64">
        <v>222.55</v>
      </c>
      <c r="E87" s="64">
        <v>13.11</v>
      </c>
      <c r="F87" s="64">
        <v>8.7899999999999991</v>
      </c>
      <c r="G87" s="64">
        <v>178.21</v>
      </c>
      <c r="H87" s="64">
        <v>37.9</v>
      </c>
      <c r="I87" s="64">
        <v>3.93</v>
      </c>
      <c r="J87" s="64">
        <v>0.69</v>
      </c>
      <c r="K87" s="64">
        <v>118.73</v>
      </c>
      <c r="L87" s="64">
        <v>22.51</v>
      </c>
      <c r="M87" s="64">
        <v>39.479999999999997</v>
      </c>
      <c r="N87" s="64">
        <v>63.3</v>
      </c>
      <c r="O87" s="64">
        <v>0</v>
      </c>
      <c r="P87" s="64">
        <v>3.07</v>
      </c>
      <c r="Q87" s="64">
        <v>9.52</v>
      </c>
      <c r="R87" s="198"/>
      <c r="S87" s="198"/>
      <c r="T87" s="198"/>
      <c r="U87" s="198"/>
    </row>
    <row r="88" spans="1:26" s="12" customFormat="1" x14ac:dyDescent="0.25">
      <c r="A88" s="247" t="s">
        <v>1187</v>
      </c>
      <c r="B88" s="64">
        <v>133.86000000000001</v>
      </c>
      <c r="C88" s="64">
        <v>123.91</v>
      </c>
      <c r="D88" s="64">
        <v>172.08</v>
      </c>
      <c r="E88" s="64">
        <v>9.68</v>
      </c>
      <c r="F88" s="64">
        <v>8.7799999999999994</v>
      </c>
      <c r="G88" s="64">
        <v>189.12</v>
      </c>
      <c r="H88" s="64">
        <v>37.57</v>
      </c>
      <c r="I88" s="64">
        <v>4.1399999999999997</v>
      </c>
      <c r="J88" s="64">
        <v>0.63</v>
      </c>
      <c r="K88" s="64">
        <v>3.2</v>
      </c>
      <c r="L88" s="64">
        <v>21.98</v>
      </c>
      <c r="M88" s="64">
        <v>46.59</v>
      </c>
      <c r="N88" s="64">
        <v>63.6</v>
      </c>
      <c r="O88" s="64">
        <v>0</v>
      </c>
      <c r="P88" s="64">
        <v>3.21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47" t="s">
        <v>1188</v>
      </c>
      <c r="B89" s="64">
        <v>136.02000000000001</v>
      </c>
      <c r="C89" s="64">
        <v>132.83000000000001</v>
      </c>
      <c r="D89" s="64">
        <v>178.48</v>
      </c>
      <c r="E89" s="64">
        <v>8.5500000000000007</v>
      </c>
      <c r="F89" s="64">
        <v>7.45</v>
      </c>
      <c r="G89" s="64">
        <v>219.13</v>
      </c>
      <c r="H89" s="64">
        <v>36.659999999999997</v>
      </c>
      <c r="I89" s="64">
        <v>3.88</v>
      </c>
      <c r="J89" s="64">
        <v>0.65</v>
      </c>
      <c r="K89" s="64">
        <v>3.45</v>
      </c>
      <c r="L89" s="64">
        <v>21.59</v>
      </c>
      <c r="M89" s="64">
        <v>46.42</v>
      </c>
      <c r="N89" s="64">
        <v>63.6</v>
      </c>
      <c r="O89" s="64">
        <v>0</v>
      </c>
      <c r="P89" s="64">
        <v>3.61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47" t="s">
        <v>1189</v>
      </c>
      <c r="B90" s="64">
        <v>158.83000000000001</v>
      </c>
      <c r="C90" s="64">
        <v>139</v>
      </c>
      <c r="D90" s="64">
        <v>199.99</v>
      </c>
      <c r="E90" s="64">
        <v>8.94</v>
      </c>
      <c r="F90" s="64">
        <v>8.34</v>
      </c>
      <c r="G90" s="64">
        <v>219.13</v>
      </c>
      <c r="H90" s="64">
        <v>36.659999999999997</v>
      </c>
      <c r="I90" s="64">
        <v>3.92</v>
      </c>
      <c r="J90" s="64">
        <v>0.55000000000000004</v>
      </c>
      <c r="K90" s="64">
        <v>32.119999999999997</v>
      </c>
      <c r="L90" s="64">
        <v>21.41</v>
      </c>
      <c r="M90" s="64">
        <v>45.76</v>
      </c>
      <c r="N90" s="64">
        <v>63.6</v>
      </c>
      <c r="O90" s="64">
        <v>0</v>
      </c>
      <c r="P90" s="64">
        <v>3.39</v>
      </c>
      <c r="Q90" s="64">
        <v>9.58</v>
      </c>
      <c r="R90" s="198"/>
      <c r="S90" s="198"/>
      <c r="T90" s="198"/>
      <c r="U90" s="198"/>
    </row>
    <row r="91" spans="1:26" s="12" customFormat="1" x14ac:dyDescent="0.25">
      <c r="A91" s="247" t="s">
        <v>1190</v>
      </c>
      <c r="B91" s="64">
        <v>140.1</v>
      </c>
      <c r="C91" s="64">
        <v>138.58000000000001</v>
      </c>
      <c r="D91" s="64">
        <v>184.75</v>
      </c>
      <c r="E91" s="64">
        <v>9.65</v>
      </c>
      <c r="F91" s="64">
        <v>8.4</v>
      </c>
      <c r="G91" s="64">
        <v>219.13</v>
      </c>
      <c r="H91" s="64">
        <v>36.659999999999997</v>
      </c>
      <c r="I91" s="64">
        <v>3.88</v>
      </c>
      <c r="J91" s="64">
        <v>0.56999999999999995</v>
      </c>
      <c r="K91" s="64">
        <v>13.7</v>
      </c>
      <c r="L91" s="64">
        <v>21.55</v>
      </c>
      <c r="M91" s="64">
        <v>49.32</v>
      </c>
      <c r="N91" s="64">
        <v>63.1</v>
      </c>
      <c r="O91" s="64">
        <v>0</v>
      </c>
      <c r="P91" s="64">
        <v>3.52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47" t="s">
        <v>1191</v>
      </c>
      <c r="B92" s="64">
        <v>123.68</v>
      </c>
      <c r="C92" s="64">
        <v>136.31</v>
      </c>
      <c r="D92" s="64">
        <v>170.4</v>
      </c>
      <c r="E92" s="64">
        <v>10.050000000000001</v>
      </c>
      <c r="F92" s="64">
        <v>7.98</v>
      </c>
      <c r="G92" s="64">
        <v>219.85</v>
      </c>
      <c r="H92" s="64">
        <v>44.63</v>
      </c>
      <c r="I92" s="64">
        <v>3.88</v>
      </c>
      <c r="J92" s="64">
        <v>0.8</v>
      </c>
      <c r="K92" s="64">
        <v>54.44</v>
      </c>
      <c r="L92" s="64">
        <v>21.83</v>
      </c>
      <c r="M92" s="64">
        <v>45.62</v>
      </c>
      <c r="N92" s="64">
        <v>62.7</v>
      </c>
      <c r="O92" s="64">
        <v>0</v>
      </c>
      <c r="P92" s="64">
        <v>3.71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47" t="s">
        <v>1192</v>
      </c>
      <c r="B93" s="64">
        <v>97.05</v>
      </c>
      <c r="C93" s="64">
        <v>146.82</v>
      </c>
      <c r="D93" s="64">
        <v>154.53</v>
      </c>
      <c r="E93" s="64">
        <v>10.7</v>
      </c>
      <c r="F93" s="64">
        <v>8.7899999999999991</v>
      </c>
      <c r="G93" s="64">
        <v>221.84</v>
      </c>
      <c r="H93" s="64">
        <v>66.53</v>
      </c>
      <c r="I93" s="64">
        <v>3.86</v>
      </c>
      <c r="J93" s="64">
        <v>0.77</v>
      </c>
      <c r="K93" s="64">
        <v>54.79</v>
      </c>
      <c r="L93" s="64">
        <v>22.35</v>
      </c>
      <c r="M93" s="64">
        <v>36.89</v>
      </c>
      <c r="N93" s="64">
        <v>62.8</v>
      </c>
      <c r="O93" s="64">
        <v>0</v>
      </c>
      <c r="P93" s="64">
        <v>3.56</v>
      </c>
      <c r="Q93" s="64">
        <v>9.76</v>
      </c>
      <c r="R93" s="198"/>
      <c r="S93" s="198"/>
      <c r="T93" s="198"/>
      <c r="U93" s="198"/>
    </row>
    <row r="94" spans="1:26" s="12" customFormat="1" x14ac:dyDescent="0.25">
      <c r="A94" s="247" t="s">
        <v>1193</v>
      </c>
      <c r="B94" s="64">
        <v>110.02</v>
      </c>
      <c r="C94" s="64">
        <v>130.28</v>
      </c>
      <c r="D94" s="64">
        <v>156.30000000000001</v>
      </c>
      <c r="E94" s="64">
        <v>9.82</v>
      </c>
      <c r="F94" s="64">
        <v>7.88</v>
      </c>
      <c r="G94" s="64">
        <v>221.84</v>
      </c>
      <c r="H94" s="64">
        <v>66.53</v>
      </c>
      <c r="I94" s="64">
        <v>3.92</v>
      </c>
      <c r="J94" s="64">
        <v>0.05</v>
      </c>
      <c r="K94" s="64">
        <v>216.23</v>
      </c>
      <c r="L94" s="64">
        <v>22.59</v>
      </c>
      <c r="M94" s="64">
        <v>38.61</v>
      </c>
      <c r="N94" s="64">
        <v>63.7</v>
      </c>
      <c r="O94" s="64">
        <v>0</v>
      </c>
      <c r="P94" s="64">
        <v>3.38</v>
      </c>
      <c r="Q94" s="64">
        <v>9.8000000000000007</v>
      </c>
      <c r="R94" s="198"/>
      <c r="S94" s="198"/>
      <c r="T94" s="198"/>
      <c r="U94" s="198"/>
    </row>
    <row r="95" spans="1:26" s="12" customFormat="1" x14ac:dyDescent="0.25">
      <c r="A95" s="247" t="s">
        <v>1194</v>
      </c>
      <c r="B95" s="64">
        <v>107</v>
      </c>
      <c r="C95" s="64">
        <v>134.69999999999999</v>
      </c>
      <c r="D95" s="64">
        <v>156.18</v>
      </c>
      <c r="E95" s="64">
        <v>8.07</v>
      </c>
      <c r="F95" s="64">
        <v>7.85</v>
      </c>
      <c r="G95" s="64">
        <v>221.84</v>
      </c>
      <c r="H95" s="64">
        <v>66.53</v>
      </c>
      <c r="I95" s="64">
        <v>3.99</v>
      </c>
      <c r="J95" s="64">
        <v>0.47</v>
      </c>
      <c r="K95" s="64">
        <v>7.64</v>
      </c>
      <c r="L95" s="64">
        <v>21.67</v>
      </c>
      <c r="M95" s="64">
        <v>41.65</v>
      </c>
      <c r="N95" s="64">
        <v>63.8</v>
      </c>
      <c r="O95" s="64">
        <v>0</v>
      </c>
      <c r="P95" s="64">
        <v>3.59</v>
      </c>
      <c r="Q95" s="64">
        <v>9.8000000000000007</v>
      </c>
      <c r="R95" s="198"/>
      <c r="S95" s="198"/>
      <c r="T95" s="198"/>
      <c r="U95" s="198"/>
    </row>
    <row r="96" spans="1:26" s="12" customFormat="1" x14ac:dyDescent="0.25">
      <c r="A96" s="247" t="s">
        <v>1195</v>
      </c>
      <c r="B96" s="64">
        <v>108.04</v>
      </c>
      <c r="C96" s="64">
        <v>128.41</v>
      </c>
      <c r="D96" s="64">
        <v>153.72999999999999</v>
      </c>
      <c r="E96" s="64">
        <v>7.82</v>
      </c>
      <c r="F96" s="64">
        <v>8.43</v>
      </c>
      <c r="G96" s="64">
        <v>202.06</v>
      </c>
      <c r="H96" s="64">
        <v>63.17</v>
      </c>
      <c r="I96" s="64">
        <v>3.9</v>
      </c>
      <c r="J96" s="64">
        <v>0.27</v>
      </c>
      <c r="K96" s="64">
        <v>284.08</v>
      </c>
      <c r="L96" s="64">
        <v>21.22</v>
      </c>
      <c r="M96" s="64">
        <v>42.51</v>
      </c>
      <c r="N96" s="64">
        <v>63.8</v>
      </c>
      <c r="O96" s="64">
        <v>0</v>
      </c>
      <c r="P96" s="64">
        <v>3.53</v>
      </c>
      <c r="Q96" s="64">
        <v>9.81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1196</v>
      </c>
      <c r="B97" s="64">
        <v>138.19</v>
      </c>
      <c r="C97" s="64">
        <v>122.2</v>
      </c>
      <c r="D97" s="64">
        <v>174.66</v>
      </c>
      <c r="E97" s="64">
        <v>6.87</v>
      </c>
      <c r="F97" s="64">
        <v>8.5500000000000007</v>
      </c>
      <c r="G97" s="64">
        <v>147.65</v>
      </c>
      <c r="H97" s="64">
        <v>53.94</v>
      </c>
      <c r="I97" s="64">
        <v>4.04</v>
      </c>
      <c r="J97" s="64">
        <v>0.56999999999999995</v>
      </c>
      <c r="K97" s="64">
        <v>334.98</v>
      </c>
      <c r="L97" s="64">
        <v>20.82</v>
      </c>
      <c r="M97" s="64">
        <v>48.69</v>
      </c>
      <c r="N97" s="64">
        <v>64</v>
      </c>
      <c r="O97" s="64">
        <v>0</v>
      </c>
      <c r="P97" s="64">
        <v>3.73</v>
      </c>
      <c r="Q97" s="64">
        <v>9.83</v>
      </c>
      <c r="R97" s="198"/>
      <c r="S97" s="198"/>
      <c r="T97" s="198"/>
      <c r="U97" s="198"/>
    </row>
    <row r="98" spans="1:33" s="12" customFormat="1" x14ac:dyDescent="0.25">
      <c r="A98" s="247" t="s">
        <v>1197</v>
      </c>
      <c r="B98" s="64">
        <v>180.66</v>
      </c>
      <c r="C98" s="64">
        <v>148.06</v>
      </c>
      <c r="D98" s="64">
        <v>222.23</v>
      </c>
      <c r="E98" s="64">
        <v>10.27</v>
      </c>
      <c r="F98" s="64">
        <v>8.01</v>
      </c>
      <c r="G98" s="64">
        <v>147.65</v>
      </c>
      <c r="H98" s="64">
        <v>53.94</v>
      </c>
      <c r="I98" s="64">
        <v>3.86</v>
      </c>
      <c r="J98" s="64">
        <v>0.53</v>
      </c>
      <c r="K98" s="64">
        <v>317.29000000000002</v>
      </c>
      <c r="L98" s="64">
        <v>20.5</v>
      </c>
      <c r="M98" s="64">
        <v>48.5</v>
      </c>
      <c r="N98" s="64">
        <v>63.7</v>
      </c>
      <c r="O98" s="64">
        <v>0</v>
      </c>
      <c r="P98" s="64">
        <v>4.42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47" t="s">
        <v>1198</v>
      </c>
      <c r="B99" s="64">
        <v>127.7</v>
      </c>
      <c r="C99" s="64">
        <v>135.47999999999999</v>
      </c>
      <c r="D99" s="64">
        <v>173.19</v>
      </c>
      <c r="E99" s="64">
        <v>9.91</v>
      </c>
      <c r="F99" s="64">
        <v>8.17</v>
      </c>
      <c r="G99" s="64">
        <v>147.65</v>
      </c>
      <c r="H99" s="64">
        <v>53.94</v>
      </c>
      <c r="I99" s="64">
        <v>3.96</v>
      </c>
      <c r="J99" s="64">
        <v>0.87</v>
      </c>
      <c r="K99" s="64">
        <v>6.9</v>
      </c>
      <c r="L99" s="64">
        <v>20.09</v>
      </c>
      <c r="M99" s="64">
        <v>51.51</v>
      </c>
      <c r="N99" s="64">
        <v>63.5</v>
      </c>
      <c r="O99" s="64">
        <v>0</v>
      </c>
      <c r="P99" s="64">
        <v>4.3499999999999996</v>
      </c>
      <c r="Q99" s="64">
        <v>9.84</v>
      </c>
      <c r="R99" s="198"/>
      <c r="S99" s="198"/>
      <c r="T99" s="198"/>
      <c r="U99" s="198"/>
    </row>
    <row r="100" spans="1:33" s="12" customFormat="1" x14ac:dyDescent="0.25">
      <c r="A100" s="247" t="s">
        <v>1199</v>
      </c>
      <c r="B100" s="64">
        <v>129.61000000000001</v>
      </c>
      <c r="C100" s="64">
        <v>150.33000000000001</v>
      </c>
      <c r="D100" s="64">
        <v>182.48</v>
      </c>
      <c r="E100" s="64">
        <v>18.59</v>
      </c>
      <c r="F100" s="64">
        <v>8.2200000000000006</v>
      </c>
      <c r="G100" s="64">
        <v>157.19999999999999</v>
      </c>
      <c r="H100" s="64">
        <v>54.18</v>
      </c>
      <c r="I100" s="64">
        <v>4.13</v>
      </c>
      <c r="J100" s="64">
        <v>0.86</v>
      </c>
      <c r="K100" s="64">
        <v>11</v>
      </c>
      <c r="L100" s="64">
        <v>20.84</v>
      </c>
      <c r="M100" s="64">
        <v>41.73</v>
      </c>
      <c r="N100" s="64">
        <v>62.3</v>
      </c>
      <c r="O100" s="64">
        <v>0</v>
      </c>
      <c r="P100" s="64">
        <v>3.62</v>
      </c>
      <c r="Q100" s="64">
        <v>9.8800000000000008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1200</v>
      </c>
      <c r="B101" s="64">
        <v>96.26</v>
      </c>
      <c r="C101" s="64">
        <v>122.29</v>
      </c>
      <c r="D101" s="64">
        <v>141.09</v>
      </c>
      <c r="E101" s="64">
        <v>21.75</v>
      </c>
      <c r="F101" s="64">
        <v>10.38</v>
      </c>
      <c r="G101" s="64">
        <v>183.47</v>
      </c>
      <c r="H101" s="64">
        <v>54.83</v>
      </c>
      <c r="I101" s="64">
        <v>3.94</v>
      </c>
      <c r="J101" s="64">
        <v>1</v>
      </c>
      <c r="K101" s="64">
        <v>6.61</v>
      </c>
      <c r="L101" s="64">
        <v>21.4</v>
      </c>
      <c r="M101" s="64">
        <v>36.200000000000003</v>
      </c>
      <c r="N101" s="64">
        <v>62.6</v>
      </c>
      <c r="O101" s="64">
        <v>0</v>
      </c>
      <c r="P101" s="64">
        <v>3.05</v>
      </c>
      <c r="Q101" s="64">
        <v>9.92</v>
      </c>
      <c r="R101" s="198"/>
      <c r="S101" s="198"/>
      <c r="T101" s="198"/>
      <c r="U101" s="198"/>
    </row>
    <row r="102" spans="1:33" s="12" customFormat="1" x14ac:dyDescent="0.25">
      <c r="A102" s="247" t="s">
        <v>1201</v>
      </c>
      <c r="B102" s="64">
        <v>90.88</v>
      </c>
      <c r="C102" s="64">
        <v>99.66</v>
      </c>
      <c r="D102" s="64">
        <v>124.95</v>
      </c>
      <c r="E102" s="64">
        <v>12.68</v>
      </c>
      <c r="F102" s="64">
        <v>14.41</v>
      </c>
      <c r="G102" s="64">
        <v>183.47</v>
      </c>
      <c r="H102" s="64">
        <v>54.83</v>
      </c>
      <c r="I102" s="64">
        <v>3.93</v>
      </c>
      <c r="J102" s="64">
        <v>1.1100000000000001</v>
      </c>
      <c r="K102" s="64">
        <v>7.36</v>
      </c>
      <c r="L102" s="64">
        <v>21.5</v>
      </c>
      <c r="M102" s="64">
        <v>34.42</v>
      </c>
      <c r="N102" s="64">
        <v>62.8</v>
      </c>
      <c r="O102" s="64">
        <v>0</v>
      </c>
      <c r="P102" s="64">
        <v>2.8</v>
      </c>
      <c r="Q102" s="64">
        <v>9.9499999999999993</v>
      </c>
      <c r="R102" s="198"/>
      <c r="S102" s="198"/>
      <c r="T102" s="198"/>
      <c r="U102" s="198"/>
    </row>
    <row r="103" spans="1:33" s="12" customFormat="1" x14ac:dyDescent="0.25">
      <c r="A103" s="247" t="s">
        <v>1202</v>
      </c>
      <c r="B103" s="64">
        <v>73.540000000000006</v>
      </c>
      <c r="C103" s="64">
        <v>96.67</v>
      </c>
      <c r="D103" s="64">
        <v>109.48</v>
      </c>
      <c r="E103" s="64">
        <v>11.58</v>
      </c>
      <c r="F103" s="64">
        <v>16.5</v>
      </c>
      <c r="G103" s="64">
        <v>183.47</v>
      </c>
      <c r="H103" s="64">
        <v>54.83</v>
      </c>
      <c r="I103" s="64">
        <v>4.0199999999999996</v>
      </c>
      <c r="J103" s="64">
        <v>0.7</v>
      </c>
      <c r="K103" s="64">
        <v>22.85</v>
      </c>
      <c r="L103" s="64">
        <v>21.42</v>
      </c>
      <c r="M103" s="64">
        <v>33.56</v>
      </c>
      <c r="N103" s="64">
        <v>63.5</v>
      </c>
      <c r="O103" s="64">
        <v>0</v>
      </c>
      <c r="P103" s="64">
        <v>2.38</v>
      </c>
      <c r="Q103" s="64">
        <v>9.9499999999999993</v>
      </c>
      <c r="R103" s="198"/>
      <c r="S103" s="198"/>
      <c r="T103" s="198"/>
      <c r="U103" s="198"/>
    </row>
    <row r="104" spans="1:33" s="12" customFormat="1" x14ac:dyDescent="0.25">
      <c r="A104" s="247" t="s">
        <v>1203</v>
      </c>
      <c r="B104" s="64">
        <v>60.9</v>
      </c>
      <c r="C104" s="64">
        <v>95.39</v>
      </c>
      <c r="D104" s="64">
        <v>98.67</v>
      </c>
      <c r="E104" s="64">
        <v>13.42</v>
      </c>
      <c r="F104" s="64">
        <v>17.36</v>
      </c>
      <c r="G104" s="64">
        <v>171.35</v>
      </c>
      <c r="H104" s="64">
        <v>52.63</v>
      </c>
      <c r="I104" s="64">
        <v>4.08</v>
      </c>
      <c r="J104" s="64">
        <v>0.61</v>
      </c>
      <c r="K104" s="64">
        <v>26.43</v>
      </c>
      <c r="L104" s="64">
        <v>21.02</v>
      </c>
      <c r="M104" s="64">
        <v>34.04</v>
      </c>
      <c r="N104" s="64">
        <v>63.7</v>
      </c>
      <c r="O104" s="64">
        <v>0</v>
      </c>
      <c r="P104" s="64">
        <v>2.11</v>
      </c>
      <c r="Q104" s="64">
        <v>9.9499999999999993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</v>
      </c>
      <c r="C106" s="67">
        <f>MIN(C9:C104)</f>
        <v>60.41</v>
      </c>
      <c r="D106" s="67">
        <f t="shared" ref="D106:Q106" si="0">MIN(D9:D104)</f>
        <v>34.26</v>
      </c>
      <c r="E106" s="67">
        <f t="shared" si="0"/>
        <v>3.95</v>
      </c>
      <c r="F106" s="67">
        <f t="shared" si="0"/>
        <v>6.69</v>
      </c>
      <c r="G106" s="67">
        <f t="shared" si="0"/>
        <v>49.19</v>
      </c>
      <c r="H106" s="67">
        <f t="shared" si="0"/>
        <v>12.68</v>
      </c>
      <c r="I106" s="67">
        <f t="shared" si="0"/>
        <v>3.77</v>
      </c>
      <c r="J106" s="67">
        <f t="shared" si="0"/>
        <v>0.05</v>
      </c>
      <c r="K106" s="67">
        <f t="shared" si="0"/>
        <v>0.02</v>
      </c>
      <c r="L106" s="67">
        <f t="shared" si="0"/>
        <v>17.72</v>
      </c>
      <c r="M106" s="67">
        <f t="shared" si="0"/>
        <v>16.8</v>
      </c>
      <c r="N106" s="67">
        <f t="shared" si="0"/>
        <v>62.3</v>
      </c>
      <c r="O106" s="67">
        <f t="shared" si="0"/>
        <v>0</v>
      </c>
      <c r="P106" s="67">
        <f t="shared" si="0"/>
        <v>0.73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195.38</v>
      </c>
      <c r="C107" s="66">
        <f t="shared" ref="C107:Q107" si="1">MAX(C9:C104)</f>
        <v>184.49</v>
      </c>
      <c r="D107" s="66">
        <f t="shared" si="1"/>
        <v>253.07</v>
      </c>
      <c r="E107" s="66">
        <f t="shared" si="1"/>
        <v>30.87</v>
      </c>
      <c r="F107" s="66">
        <f t="shared" si="1"/>
        <v>52.7</v>
      </c>
      <c r="G107" s="66">
        <f t="shared" si="1"/>
        <v>221.84</v>
      </c>
      <c r="H107" s="66">
        <f t="shared" si="1"/>
        <v>66.53</v>
      </c>
      <c r="I107" s="66">
        <f t="shared" si="1"/>
        <v>4.26</v>
      </c>
      <c r="J107" s="66">
        <f t="shared" si="1"/>
        <v>1.95</v>
      </c>
      <c r="K107" s="66">
        <f t="shared" si="1"/>
        <v>358.01</v>
      </c>
      <c r="L107" s="66">
        <f t="shared" si="1"/>
        <v>33.54</v>
      </c>
      <c r="M107" s="66">
        <f t="shared" si="1"/>
        <v>51.51</v>
      </c>
      <c r="N107" s="66">
        <f t="shared" si="1"/>
        <v>719.7</v>
      </c>
      <c r="O107" s="66">
        <f t="shared" si="1"/>
        <v>0</v>
      </c>
      <c r="P107" s="66">
        <f t="shared" si="1"/>
        <v>4.42</v>
      </c>
      <c r="Q107" s="66">
        <f t="shared" si="1"/>
        <v>9.9499999999999993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39.204583333333339</v>
      </c>
      <c r="C108" s="67">
        <f t="shared" ref="C108:Q108" si="2">AVERAGE(C9:C104)</f>
        <v>91.851979166666652</v>
      </c>
      <c r="D108" s="67">
        <f t="shared" si="2"/>
        <v>79.428645833333292</v>
      </c>
      <c r="E108" s="67">
        <f t="shared" si="2"/>
        <v>10.696354166666667</v>
      </c>
      <c r="F108" s="67">
        <f t="shared" si="2"/>
        <v>15.418958333333334</v>
      </c>
      <c r="G108" s="67">
        <f t="shared" si="2"/>
        <v>111.53010416666665</v>
      </c>
      <c r="H108" s="67">
        <f t="shared" si="2"/>
        <v>37.597386363636367</v>
      </c>
      <c r="I108" s="67">
        <f t="shared" si="2"/>
        <v>3.9824999999999999</v>
      </c>
      <c r="J108" s="67">
        <f t="shared" si="2"/>
        <v>0.91552083333333323</v>
      </c>
      <c r="K108" s="67">
        <f t="shared" si="2"/>
        <v>148.94656250000006</v>
      </c>
      <c r="L108" s="67">
        <f t="shared" si="2"/>
        <v>24.32385416666666</v>
      </c>
      <c r="M108" s="67">
        <f t="shared" si="2"/>
        <v>32.767812500000012</v>
      </c>
      <c r="N108" s="67">
        <f t="shared" si="2"/>
        <v>231.99374999999998</v>
      </c>
      <c r="O108" s="67">
        <f t="shared" si="2"/>
        <v>0</v>
      </c>
      <c r="P108" s="67">
        <f t="shared" si="2"/>
        <v>1.4957291666666668</v>
      </c>
      <c r="Q108" s="67">
        <f t="shared" si="2"/>
        <v>9.5397916666666713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53.319473739193633</v>
      </c>
      <c r="C109" s="67">
        <f t="shared" ref="C109:Q109" si="3">STDEV(C9:C104)</f>
        <v>31.939891197777712</v>
      </c>
      <c r="D109" s="67">
        <f t="shared" si="3"/>
        <v>58.366146760092192</v>
      </c>
      <c r="E109" s="67">
        <f t="shared" si="3"/>
        <v>5.6314410831727351</v>
      </c>
      <c r="F109" s="67">
        <f t="shared" si="3"/>
        <v>10.098634246290478</v>
      </c>
      <c r="G109" s="67">
        <f t="shared" si="3"/>
        <v>47.780020323293122</v>
      </c>
      <c r="H109" s="67">
        <f t="shared" si="3"/>
        <v>11.445885622706893</v>
      </c>
      <c r="I109" s="67">
        <f t="shared" si="3"/>
        <v>9.2372244635211556E-2</v>
      </c>
      <c r="J109" s="67">
        <f t="shared" si="3"/>
        <v>0.42139085442494195</v>
      </c>
      <c r="K109" s="67">
        <f t="shared" si="3"/>
        <v>147.59516968153912</v>
      </c>
      <c r="L109" s="67">
        <f t="shared" si="3"/>
        <v>5.2885047871560502</v>
      </c>
      <c r="M109" s="67">
        <f t="shared" si="3"/>
        <v>8.2304971012019568</v>
      </c>
      <c r="N109" s="67">
        <f t="shared" si="3"/>
        <v>238.24760177177018</v>
      </c>
      <c r="O109" s="67">
        <f t="shared" si="3"/>
        <v>0</v>
      </c>
      <c r="P109" s="67">
        <f t="shared" si="3"/>
        <v>1.0733163018290226</v>
      </c>
      <c r="Q109" s="67">
        <f t="shared" si="3"/>
        <v>0.14477553709225482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1204</v>
      </c>
      <c r="B9" s="64">
        <v>77.34</v>
      </c>
      <c r="C9" s="64">
        <v>90.29</v>
      </c>
      <c r="D9" s="64">
        <v>109.2</v>
      </c>
      <c r="E9" s="64">
        <v>11.8</v>
      </c>
      <c r="F9" s="64">
        <v>13.31</v>
      </c>
      <c r="G9" s="64">
        <v>138.01</v>
      </c>
      <c r="H9" s="64">
        <v>46.59</v>
      </c>
      <c r="I9" s="64">
        <v>4.09</v>
      </c>
      <c r="J9" s="64">
        <v>0.72</v>
      </c>
      <c r="K9" s="64">
        <v>13.86</v>
      </c>
      <c r="L9" s="64">
        <v>20.6</v>
      </c>
      <c r="M9" s="64">
        <v>35.06</v>
      </c>
      <c r="N9" s="64">
        <v>63.8</v>
      </c>
      <c r="O9" s="64">
        <v>0</v>
      </c>
      <c r="P9" s="64">
        <v>2.48</v>
      </c>
      <c r="Q9" s="64">
        <v>9.94</v>
      </c>
      <c r="R9" s="198"/>
      <c r="S9" s="198"/>
      <c r="T9" s="198"/>
      <c r="U9" s="198"/>
    </row>
    <row r="10" spans="1:21" s="12" customFormat="1" x14ac:dyDescent="0.25">
      <c r="A10" s="247" t="s">
        <v>1205</v>
      </c>
      <c r="B10" s="64">
        <v>98.9</v>
      </c>
      <c r="C10" s="64">
        <v>92.66</v>
      </c>
      <c r="D10" s="64">
        <v>127.72</v>
      </c>
      <c r="E10" s="64">
        <v>5.14</v>
      </c>
      <c r="F10" s="64">
        <v>6.76</v>
      </c>
      <c r="G10" s="64">
        <v>138.01</v>
      </c>
      <c r="H10" s="64">
        <v>46.59</v>
      </c>
      <c r="I10" s="64">
        <v>4.1500000000000004</v>
      </c>
      <c r="J10" s="64">
        <v>0.63</v>
      </c>
      <c r="K10" s="64">
        <v>42.49</v>
      </c>
      <c r="L10" s="64">
        <v>20.45</v>
      </c>
      <c r="M10" s="64">
        <v>34.9</v>
      </c>
      <c r="N10" s="64">
        <v>63.4</v>
      </c>
      <c r="O10" s="64">
        <v>0</v>
      </c>
      <c r="P10" s="64">
        <v>3.01</v>
      </c>
      <c r="Q10" s="64">
        <v>9.91</v>
      </c>
      <c r="R10" s="198"/>
      <c r="S10" s="198"/>
      <c r="T10" s="198"/>
      <c r="U10" s="198"/>
    </row>
    <row r="11" spans="1:21" s="12" customFormat="1" x14ac:dyDescent="0.25">
      <c r="A11" s="247" t="s">
        <v>1206</v>
      </c>
      <c r="B11" s="64">
        <v>91.61</v>
      </c>
      <c r="C11" s="64">
        <v>90.43</v>
      </c>
      <c r="D11" s="64">
        <v>120.71</v>
      </c>
      <c r="E11" s="64">
        <v>5.64</v>
      </c>
      <c r="F11" s="64">
        <v>7.72</v>
      </c>
      <c r="G11" s="64">
        <v>138.01</v>
      </c>
      <c r="H11" s="64">
        <v>46.59</v>
      </c>
      <c r="I11" s="64">
        <v>4.0599999999999996</v>
      </c>
      <c r="J11" s="64">
        <v>0.79</v>
      </c>
      <c r="K11" s="64">
        <v>8.43</v>
      </c>
      <c r="L11" s="64">
        <v>20.46</v>
      </c>
      <c r="M11" s="64">
        <v>34.340000000000003</v>
      </c>
      <c r="N11" s="64">
        <v>63</v>
      </c>
      <c r="O11" s="64">
        <v>0</v>
      </c>
      <c r="P11" s="64">
        <v>2.85</v>
      </c>
      <c r="Q11" s="64">
        <v>9.9</v>
      </c>
      <c r="R11" s="198"/>
      <c r="S11" s="198"/>
      <c r="T11" s="198"/>
      <c r="U11" s="198"/>
    </row>
    <row r="12" spans="1:21" s="12" customFormat="1" x14ac:dyDescent="0.25">
      <c r="A12" s="247" t="s">
        <v>1207</v>
      </c>
      <c r="B12" s="64">
        <v>82.55</v>
      </c>
      <c r="C12" s="64">
        <v>83.95</v>
      </c>
      <c r="D12" s="64">
        <v>110.06</v>
      </c>
      <c r="E12" s="64">
        <v>7.48</v>
      </c>
      <c r="F12" s="64">
        <v>8.7799999999999994</v>
      </c>
      <c r="G12" s="64">
        <v>126.13</v>
      </c>
      <c r="H12" s="64">
        <v>44.02</v>
      </c>
      <c r="I12" s="64">
        <v>4.08</v>
      </c>
      <c r="J12" s="64">
        <v>1.24</v>
      </c>
      <c r="K12" s="64">
        <v>10.44</v>
      </c>
      <c r="L12" s="64">
        <v>20.73</v>
      </c>
      <c r="M12" s="64">
        <v>32.950000000000003</v>
      </c>
      <c r="N12" s="64">
        <v>62.7</v>
      </c>
      <c r="O12" s="64">
        <v>0</v>
      </c>
      <c r="P12" s="64">
        <v>2.63</v>
      </c>
      <c r="Q12" s="64">
        <v>9.86</v>
      </c>
      <c r="R12" s="198"/>
      <c r="S12" s="198"/>
      <c r="T12" s="198"/>
      <c r="U12" s="198"/>
    </row>
    <row r="13" spans="1:21" s="12" customFormat="1" x14ac:dyDescent="0.25">
      <c r="A13" s="247" t="s">
        <v>1208</v>
      </c>
      <c r="B13" s="64">
        <v>80.61</v>
      </c>
      <c r="C13" s="64">
        <v>82.42</v>
      </c>
      <c r="D13" s="64">
        <v>107.71</v>
      </c>
      <c r="E13" s="64">
        <v>5.5</v>
      </c>
      <c r="F13" s="64">
        <v>7.57</v>
      </c>
      <c r="G13" s="64">
        <v>93.44</v>
      </c>
      <c r="H13" s="64">
        <v>36.93</v>
      </c>
      <c r="I13" s="64">
        <v>3.96</v>
      </c>
      <c r="J13" s="64">
        <v>1.69</v>
      </c>
      <c r="K13" s="64">
        <v>5.63</v>
      </c>
      <c r="L13" s="64">
        <v>20.96</v>
      </c>
      <c r="M13" s="64">
        <v>30.74</v>
      </c>
      <c r="N13" s="64">
        <v>62.5</v>
      </c>
      <c r="O13" s="64">
        <v>0</v>
      </c>
      <c r="P13" s="64">
        <v>2.2599999999999998</v>
      </c>
      <c r="Q13" s="64">
        <v>9.85</v>
      </c>
      <c r="R13" s="198"/>
      <c r="S13" s="198"/>
      <c r="T13" s="198"/>
      <c r="U13" s="198"/>
    </row>
    <row r="14" spans="1:21" s="12" customFormat="1" x14ac:dyDescent="0.25">
      <c r="A14" s="247" t="s">
        <v>1209</v>
      </c>
      <c r="B14" s="64">
        <v>73.84</v>
      </c>
      <c r="C14" s="64">
        <v>85.06</v>
      </c>
      <c r="D14" s="64">
        <v>103.65</v>
      </c>
      <c r="E14" s="64">
        <v>4.38</v>
      </c>
      <c r="F14" s="64">
        <v>7.41</v>
      </c>
      <c r="G14" s="64">
        <v>93.44</v>
      </c>
      <c r="H14" s="64">
        <v>36.93</v>
      </c>
      <c r="I14" s="64">
        <v>3.99</v>
      </c>
      <c r="J14" s="64">
        <v>1.57</v>
      </c>
      <c r="K14" s="64">
        <v>5.95</v>
      </c>
      <c r="L14" s="64">
        <v>20.92</v>
      </c>
      <c r="M14" s="64">
        <v>30.21</v>
      </c>
      <c r="N14" s="64">
        <v>63.4</v>
      </c>
      <c r="O14" s="64">
        <v>0</v>
      </c>
      <c r="P14" s="64">
        <v>2.2799999999999998</v>
      </c>
      <c r="Q14" s="64">
        <v>9.82</v>
      </c>
      <c r="R14" s="198"/>
      <c r="S14" s="198"/>
      <c r="T14" s="198"/>
      <c r="U14" s="198"/>
    </row>
    <row r="15" spans="1:21" s="12" customFormat="1" x14ac:dyDescent="0.25">
      <c r="A15" s="247" t="s">
        <v>1210</v>
      </c>
      <c r="B15" s="64">
        <v>67.58</v>
      </c>
      <c r="C15" s="64">
        <v>84.4</v>
      </c>
      <c r="D15" s="64">
        <v>98.29</v>
      </c>
      <c r="E15" s="64">
        <v>3.71</v>
      </c>
      <c r="F15" s="64">
        <v>7.03</v>
      </c>
      <c r="G15" s="64">
        <v>93.44</v>
      </c>
      <c r="H15" s="64">
        <v>36.93</v>
      </c>
      <c r="I15" s="64">
        <v>3.94</v>
      </c>
      <c r="J15" s="64">
        <v>1.52</v>
      </c>
      <c r="K15" s="64">
        <v>7.05</v>
      </c>
      <c r="L15" s="64">
        <v>20.7</v>
      </c>
      <c r="M15" s="64">
        <v>30.14</v>
      </c>
      <c r="N15" s="64">
        <v>63.6</v>
      </c>
      <c r="O15" s="64">
        <v>0</v>
      </c>
      <c r="P15" s="64">
        <v>2.14</v>
      </c>
      <c r="Q15" s="64">
        <v>9.81</v>
      </c>
      <c r="R15" s="198"/>
      <c r="S15" s="198"/>
      <c r="T15" s="198"/>
      <c r="U15" s="198"/>
    </row>
    <row r="16" spans="1:21" s="12" customFormat="1" x14ac:dyDescent="0.25">
      <c r="A16" s="247" t="s">
        <v>1211</v>
      </c>
      <c r="B16" s="64">
        <v>61.89</v>
      </c>
      <c r="C16" s="64">
        <v>78.91</v>
      </c>
      <c r="D16" s="64">
        <v>90.86</v>
      </c>
      <c r="E16" s="64">
        <v>3.84</v>
      </c>
      <c r="F16" s="64">
        <v>7.9</v>
      </c>
      <c r="G16" s="64">
        <v>85.98</v>
      </c>
      <c r="H16" s="64">
        <v>31.63</v>
      </c>
      <c r="I16" s="64">
        <v>3.77</v>
      </c>
      <c r="J16" s="64">
        <v>0.77</v>
      </c>
      <c r="K16" s="64">
        <v>23.07</v>
      </c>
      <c r="L16" s="64">
        <v>20.23</v>
      </c>
      <c r="M16" s="64">
        <v>30.79</v>
      </c>
      <c r="N16" s="64">
        <v>63.9</v>
      </c>
      <c r="O16" s="64">
        <v>0</v>
      </c>
      <c r="P16" s="64">
        <v>1.98</v>
      </c>
      <c r="Q16" s="64">
        <v>9.7899999999999991</v>
      </c>
      <c r="R16" s="198"/>
      <c r="S16" s="198"/>
      <c r="T16" s="198"/>
      <c r="U16" s="198"/>
    </row>
    <row r="17" spans="1:21" s="12" customFormat="1" x14ac:dyDescent="0.25">
      <c r="A17" s="247" t="s">
        <v>1212</v>
      </c>
      <c r="B17" s="64">
        <v>56.56</v>
      </c>
      <c r="C17" s="64">
        <v>78.22</v>
      </c>
      <c r="D17" s="64">
        <v>86.23</v>
      </c>
      <c r="E17" s="64">
        <v>4.0199999999999996</v>
      </c>
      <c r="F17" s="64">
        <v>7.57</v>
      </c>
      <c r="G17" s="64">
        <v>65.48</v>
      </c>
      <c r="H17" s="64">
        <v>17.05</v>
      </c>
      <c r="I17" s="64">
        <v>3.95</v>
      </c>
      <c r="J17" s="64">
        <v>0.71</v>
      </c>
      <c r="K17" s="64">
        <v>18.2</v>
      </c>
      <c r="L17" s="64">
        <v>19.940000000000001</v>
      </c>
      <c r="M17" s="64">
        <v>31.53</v>
      </c>
      <c r="N17" s="64">
        <v>63.9</v>
      </c>
      <c r="O17" s="64">
        <v>0</v>
      </c>
      <c r="P17" s="64">
        <v>1.9</v>
      </c>
      <c r="Q17" s="64">
        <v>9.75</v>
      </c>
      <c r="R17" s="198"/>
      <c r="S17" s="198"/>
      <c r="T17" s="198"/>
      <c r="U17" s="198"/>
    </row>
    <row r="18" spans="1:21" s="12" customFormat="1" x14ac:dyDescent="0.25">
      <c r="A18" s="247" t="s">
        <v>1213</v>
      </c>
      <c r="B18" s="64">
        <v>51.63</v>
      </c>
      <c r="C18" s="64">
        <v>78.42</v>
      </c>
      <c r="D18" s="64">
        <v>82.38</v>
      </c>
      <c r="E18" s="64">
        <v>4.4400000000000004</v>
      </c>
      <c r="F18" s="64">
        <v>7.19</v>
      </c>
      <c r="G18" s="64">
        <v>65.48</v>
      </c>
      <c r="H18" s="64">
        <v>17.05</v>
      </c>
      <c r="I18" s="64">
        <v>3.89</v>
      </c>
      <c r="J18" s="64">
        <v>0.69</v>
      </c>
      <c r="K18" s="64">
        <v>54.44</v>
      </c>
      <c r="L18" s="64">
        <v>19.579999999999998</v>
      </c>
      <c r="M18" s="64">
        <v>32.950000000000003</v>
      </c>
      <c r="N18" s="64">
        <v>63.7</v>
      </c>
      <c r="O18" s="64">
        <v>0</v>
      </c>
      <c r="P18" s="64">
        <v>1.82</v>
      </c>
      <c r="Q18" s="64">
        <v>9.73</v>
      </c>
      <c r="R18" s="198"/>
      <c r="S18" s="198"/>
      <c r="T18" s="198"/>
      <c r="U18" s="198"/>
    </row>
    <row r="19" spans="1:21" s="12" customFormat="1" x14ac:dyDescent="0.25">
      <c r="A19" s="247" t="s">
        <v>1214</v>
      </c>
      <c r="B19" s="64">
        <v>42.22</v>
      </c>
      <c r="C19" s="64">
        <v>71.48</v>
      </c>
      <c r="D19" s="64">
        <v>71.209999999999994</v>
      </c>
      <c r="E19" s="64">
        <v>4.1100000000000003</v>
      </c>
      <c r="F19" s="64">
        <v>11.67</v>
      </c>
      <c r="G19" s="64">
        <v>65.48</v>
      </c>
      <c r="H19" s="64">
        <v>17.05</v>
      </c>
      <c r="I19" s="64">
        <v>4.03</v>
      </c>
      <c r="J19" s="64">
        <v>0.54</v>
      </c>
      <c r="K19" s="64">
        <v>38.19</v>
      </c>
      <c r="L19" s="64">
        <v>19.149999999999999</v>
      </c>
      <c r="M19" s="64">
        <v>34.22</v>
      </c>
      <c r="N19" s="64">
        <v>63.9</v>
      </c>
      <c r="O19" s="64">
        <v>0</v>
      </c>
      <c r="P19" s="64">
        <v>1.48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47" t="s">
        <v>1215</v>
      </c>
      <c r="B20" s="64">
        <v>31.44</v>
      </c>
      <c r="C20" s="64">
        <v>63.2</v>
      </c>
      <c r="D20" s="64">
        <v>58.24</v>
      </c>
      <c r="E20" s="64">
        <v>5.85</v>
      </c>
      <c r="F20" s="64">
        <v>17.53</v>
      </c>
      <c r="G20" s="64">
        <v>60.43</v>
      </c>
      <c r="H20" s="64">
        <v>17.95</v>
      </c>
      <c r="I20" s="64">
        <v>3.99</v>
      </c>
      <c r="J20" s="64">
        <v>0.62</v>
      </c>
      <c r="K20" s="64">
        <v>33.69</v>
      </c>
      <c r="L20" s="64">
        <v>18.760000000000002</v>
      </c>
      <c r="M20" s="64">
        <v>35.07</v>
      </c>
      <c r="N20" s="64">
        <v>63.9</v>
      </c>
      <c r="O20" s="64">
        <v>0</v>
      </c>
      <c r="P20" s="64">
        <v>1.1499999999999999</v>
      </c>
      <c r="Q20" s="64">
        <v>9.69</v>
      </c>
      <c r="R20" s="198"/>
      <c r="S20" s="198"/>
      <c r="T20" s="198"/>
      <c r="U20" s="198"/>
    </row>
    <row r="21" spans="1:21" s="12" customFormat="1" x14ac:dyDescent="0.25">
      <c r="A21" s="247" t="s">
        <v>1216</v>
      </c>
      <c r="B21" s="64">
        <v>31.69</v>
      </c>
      <c r="C21" s="64">
        <v>64.11</v>
      </c>
      <c r="D21" s="64">
        <v>58.9</v>
      </c>
      <c r="E21" s="64">
        <v>6.63</v>
      </c>
      <c r="F21" s="64">
        <v>15.67</v>
      </c>
      <c r="G21" s="64">
        <v>46.51</v>
      </c>
      <c r="H21" s="64">
        <v>20.41</v>
      </c>
      <c r="I21" s="64">
        <v>3.88</v>
      </c>
      <c r="J21" s="64">
        <v>0.59</v>
      </c>
      <c r="K21" s="64">
        <v>40.909999999999997</v>
      </c>
      <c r="L21" s="64">
        <v>18.77</v>
      </c>
      <c r="M21" s="64">
        <v>33.9</v>
      </c>
      <c r="N21" s="64">
        <v>63.4</v>
      </c>
      <c r="O21" s="64">
        <v>0</v>
      </c>
      <c r="P21" s="64">
        <v>1.1599999999999999</v>
      </c>
      <c r="Q21" s="64">
        <v>9.69</v>
      </c>
      <c r="R21" s="198"/>
      <c r="S21" s="198"/>
      <c r="T21" s="198"/>
      <c r="U21" s="198"/>
    </row>
    <row r="22" spans="1:21" s="12" customFormat="1" x14ac:dyDescent="0.25">
      <c r="A22" s="247" t="s">
        <v>1217</v>
      </c>
      <c r="B22" s="64">
        <v>28.47</v>
      </c>
      <c r="C22" s="64">
        <v>60.56</v>
      </c>
      <c r="D22" s="64">
        <v>54.47</v>
      </c>
      <c r="E22" s="64">
        <v>6.68</v>
      </c>
      <c r="F22" s="64">
        <v>18.88</v>
      </c>
      <c r="G22" s="64">
        <v>46.51</v>
      </c>
      <c r="H22" s="64">
        <v>20.41</v>
      </c>
      <c r="I22" s="64">
        <v>4.0199999999999996</v>
      </c>
      <c r="J22" s="64">
        <v>0.54</v>
      </c>
      <c r="K22" s="64">
        <v>77.87</v>
      </c>
      <c r="L22" s="64">
        <v>18.57</v>
      </c>
      <c r="M22" s="64">
        <v>33.93</v>
      </c>
      <c r="N22" s="64">
        <v>63.7</v>
      </c>
      <c r="O22" s="64">
        <v>0</v>
      </c>
      <c r="P22" s="64">
        <v>0.98</v>
      </c>
      <c r="Q22" s="64">
        <v>9.6999999999999993</v>
      </c>
      <c r="R22" s="198"/>
      <c r="S22" s="198"/>
      <c r="T22" s="198"/>
      <c r="U22" s="198"/>
    </row>
    <row r="23" spans="1:21" s="12" customFormat="1" x14ac:dyDescent="0.25">
      <c r="A23" s="247" t="s">
        <v>1218</v>
      </c>
      <c r="B23" s="64">
        <v>28.07</v>
      </c>
      <c r="C23" s="64">
        <v>57.76</v>
      </c>
      <c r="D23" s="64">
        <v>52.68</v>
      </c>
      <c r="E23" s="64">
        <v>6.35</v>
      </c>
      <c r="F23" s="64">
        <v>18.53</v>
      </c>
      <c r="G23" s="64">
        <v>46.51</v>
      </c>
      <c r="H23" s="64">
        <v>20.41</v>
      </c>
      <c r="I23" s="64">
        <v>4.0599999999999996</v>
      </c>
      <c r="J23" s="64">
        <v>0.74</v>
      </c>
      <c r="K23" s="64">
        <v>100.44</v>
      </c>
      <c r="L23" s="64">
        <v>18.5</v>
      </c>
      <c r="M23" s="64">
        <v>33.96</v>
      </c>
      <c r="N23" s="64">
        <v>63.2</v>
      </c>
      <c r="O23" s="64">
        <v>0</v>
      </c>
      <c r="P23" s="64">
        <v>0.97</v>
      </c>
      <c r="Q23" s="64">
        <v>9.6999999999999993</v>
      </c>
      <c r="R23" s="198"/>
      <c r="S23" s="198"/>
      <c r="T23" s="198"/>
      <c r="U23" s="198"/>
    </row>
    <row r="24" spans="1:21" s="12" customFormat="1" x14ac:dyDescent="0.25">
      <c r="A24" s="247" t="s">
        <v>1219</v>
      </c>
      <c r="B24" s="64">
        <v>23.64</v>
      </c>
      <c r="C24" s="64">
        <v>58.63</v>
      </c>
      <c r="D24" s="64">
        <v>49.59</v>
      </c>
      <c r="E24" s="64">
        <v>8.18</v>
      </c>
      <c r="F24" s="64">
        <v>20.47</v>
      </c>
      <c r="G24" s="64">
        <v>48.47</v>
      </c>
      <c r="H24" s="64">
        <v>19.04</v>
      </c>
      <c r="I24" s="64">
        <v>3.96</v>
      </c>
      <c r="J24" s="64">
        <v>0.59</v>
      </c>
      <c r="K24" s="64">
        <v>47.07</v>
      </c>
      <c r="L24" s="64">
        <v>18.579999999999998</v>
      </c>
      <c r="M24" s="64">
        <v>34.04</v>
      </c>
      <c r="N24" s="64">
        <v>63.6</v>
      </c>
      <c r="O24" s="64">
        <v>0</v>
      </c>
      <c r="P24" s="64">
        <v>0.79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47" t="s">
        <v>1220</v>
      </c>
      <c r="B25" s="64">
        <v>30.7</v>
      </c>
      <c r="C25" s="64">
        <v>68.150000000000006</v>
      </c>
      <c r="D25" s="64">
        <v>60.23</v>
      </c>
      <c r="E25" s="64">
        <v>7.35</v>
      </c>
      <c r="F25" s="64">
        <v>13.56</v>
      </c>
      <c r="G25" s="64">
        <v>53.86</v>
      </c>
      <c r="H25" s="64">
        <v>15.27</v>
      </c>
      <c r="I25" s="64">
        <v>4.01</v>
      </c>
      <c r="J25" s="64">
        <v>0.59</v>
      </c>
      <c r="K25" s="64">
        <v>59.33</v>
      </c>
      <c r="L25" s="64">
        <v>18.329999999999998</v>
      </c>
      <c r="M25" s="64">
        <v>34.659999999999997</v>
      </c>
      <c r="N25" s="64">
        <v>63.5</v>
      </c>
      <c r="O25" s="64">
        <v>0</v>
      </c>
      <c r="P25" s="64">
        <v>0.94</v>
      </c>
      <c r="Q25" s="64">
        <v>9.69</v>
      </c>
      <c r="R25" s="198"/>
      <c r="S25" s="198"/>
      <c r="T25" s="198"/>
      <c r="U25" s="198"/>
    </row>
    <row r="26" spans="1:21" s="12" customFormat="1" x14ac:dyDescent="0.25">
      <c r="A26" s="247" t="s">
        <v>1221</v>
      </c>
      <c r="B26" s="64">
        <v>38.58</v>
      </c>
      <c r="C26" s="64">
        <v>78.67</v>
      </c>
      <c r="D26" s="64">
        <v>72.040000000000006</v>
      </c>
      <c r="E26" s="64">
        <v>7.33</v>
      </c>
      <c r="F26" s="64">
        <v>9.75</v>
      </c>
      <c r="G26" s="64">
        <v>53.86</v>
      </c>
      <c r="H26" s="64">
        <v>15.27</v>
      </c>
      <c r="I26" s="64">
        <v>4.0599999999999996</v>
      </c>
      <c r="J26" s="64">
        <v>0.78</v>
      </c>
      <c r="K26" s="64">
        <v>7.73</v>
      </c>
      <c r="L26" s="64">
        <v>17.829999999999998</v>
      </c>
      <c r="M26" s="64">
        <v>36.9</v>
      </c>
      <c r="N26" s="64">
        <v>63.9</v>
      </c>
      <c r="O26" s="64">
        <v>0</v>
      </c>
      <c r="P26" s="64">
        <v>0.92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47" t="s">
        <v>1222</v>
      </c>
      <c r="B27" s="64">
        <v>34.68</v>
      </c>
      <c r="C27" s="64">
        <v>70.040000000000006</v>
      </c>
      <c r="D27" s="64">
        <v>64.41</v>
      </c>
      <c r="E27" s="64">
        <v>3.61</v>
      </c>
      <c r="F27" s="64">
        <v>6.82</v>
      </c>
      <c r="G27" s="64">
        <v>53.86</v>
      </c>
      <c r="H27" s="64">
        <v>15.27</v>
      </c>
      <c r="I27" s="64">
        <v>4.22</v>
      </c>
      <c r="J27" s="64">
        <v>0.81</v>
      </c>
      <c r="K27" s="64">
        <v>352.23</v>
      </c>
      <c r="L27" s="64">
        <v>17.43</v>
      </c>
      <c r="M27" s="64">
        <v>40.47</v>
      </c>
      <c r="N27" s="64">
        <v>64</v>
      </c>
      <c r="O27" s="64">
        <v>0</v>
      </c>
      <c r="P27" s="64">
        <v>1.26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47" t="s">
        <v>1223</v>
      </c>
      <c r="B28" s="64">
        <v>35.33</v>
      </c>
      <c r="C28" s="64">
        <v>69.61</v>
      </c>
      <c r="D28" s="64">
        <v>64.7</v>
      </c>
      <c r="E28" s="64">
        <v>2.66</v>
      </c>
      <c r="F28" s="64">
        <v>5.69</v>
      </c>
      <c r="G28" s="64">
        <v>57.43</v>
      </c>
      <c r="H28" s="64">
        <v>16.260000000000002</v>
      </c>
      <c r="I28" s="64">
        <v>3.96</v>
      </c>
      <c r="J28" s="64">
        <v>0.67</v>
      </c>
      <c r="K28" s="64">
        <v>288.73</v>
      </c>
      <c r="L28" s="64">
        <v>16.68</v>
      </c>
      <c r="M28" s="64">
        <v>47.37</v>
      </c>
      <c r="N28" s="64">
        <v>64.099999999999994</v>
      </c>
      <c r="O28" s="64">
        <v>0</v>
      </c>
      <c r="P28" s="64">
        <v>1.22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47" t="s">
        <v>1224</v>
      </c>
      <c r="B29" s="64">
        <v>34.25</v>
      </c>
      <c r="C29" s="64">
        <v>68.84</v>
      </c>
      <c r="D29" s="64">
        <v>63.44</v>
      </c>
      <c r="E29" s="64">
        <v>2.75</v>
      </c>
      <c r="F29" s="64">
        <v>5.92</v>
      </c>
      <c r="G29" s="64">
        <v>67.83</v>
      </c>
      <c r="H29" s="64">
        <v>18.989999999999998</v>
      </c>
      <c r="I29" s="64">
        <v>4.09</v>
      </c>
      <c r="J29" s="64">
        <v>0.56000000000000005</v>
      </c>
      <c r="K29" s="64">
        <v>262.76</v>
      </c>
      <c r="L29" s="64">
        <v>16.7</v>
      </c>
      <c r="M29" s="64">
        <v>42.16</v>
      </c>
      <c r="N29" s="64">
        <v>63.9</v>
      </c>
      <c r="O29" s="64">
        <v>0</v>
      </c>
      <c r="P29" s="64">
        <v>1.18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47" t="s">
        <v>1225</v>
      </c>
      <c r="B30" s="64">
        <v>35.020000000000003</v>
      </c>
      <c r="C30" s="64">
        <v>68.459999999999994</v>
      </c>
      <c r="D30" s="64">
        <v>63.85</v>
      </c>
      <c r="E30" s="64">
        <v>2.25</v>
      </c>
      <c r="F30" s="64">
        <v>5.91</v>
      </c>
      <c r="G30" s="64">
        <v>67.83</v>
      </c>
      <c r="H30" s="64">
        <v>18.989999999999998</v>
      </c>
      <c r="I30" s="64">
        <v>3.98</v>
      </c>
      <c r="J30" s="64">
        <v>0.64</v>
      </c>
      <c r="K30" s="64">
        <v>313.79000000000002</v>
      </c>
      <c r="L30" s="64">
        <v>16.16</v>
      </c>
      <c r="M30" s="64">
        <v>46.36</v>
      </c>
      <c r="N30" s="64">
        <v>64.099999999999994</v>
      </c>
      <c r="O30" s="64">
        <v>0</v>
      </c>
      <c r="P30" s="64">
        <v>1.1499999999999999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47" t="s">
        <v>1226</v>
      </c>
      <c r="B31" s="64">
        <v>38.06</v>
      </c>
      <c r="C31" s="64">
        <v>68.989999999999995</v>
      </c>
      <c r="D31" s="64">
        <v>66.56</v>
      </c>
      <c r="E31" s="64">
        <v>2.1</v>
      </c>
      <c r="F31" s="64">
        <v>6.18</v>
      </c>
      <c r="G31" s="64">
        <v>67.83</v>
      </c>
      <c r="H31" s="64">
        <v>18.989999999999998</v>
      </c>
      <c r="I31" s="64">
        <v>4.03</v>
      </c>
      <c r="J31" s="64">
        <v>0.15</v>
      </c>
      <c r="K31" s="64">
        <v>289.83999999999997</v>
      </c>
      <c r="L31" s="64">
        <v>15.59</v>
      </c>
      <c r="M31" s="64">
        <v>49.25</v>
      </c>
      <c r="N31" s="64">
        <v>64.099999999999994</v>
      </c>
      <c r="O31" s="64">
        <v>0</v>
      </c>
      <c r="P31" s="64">
        <v>1.1299999999999999</v>
      </c>
      <c r="Q31" s="64">
        <v>9.68</v>
      </c>
      <c r="R31" s="198"/>
      <c r="S31" s="198"/>
      <c r="T31" s="198"/>
      <c r="U31" s="198"/>
    </row>
    <row r="32" spans="1:21" s="12" customFormat="1" x14ac:dyDescent="0.25">
      <c r="A32" s="247" t="s">
        <v>1227</v>
      </c>
      <c r="B32" s="64">
        <v>41</v>
      </c>
      <c r="C32" s="64">
        <v>69.14</v>
      </c>
      <c r="D32" s="64">
        <v>69</v>
      </c>
      <c r="E32" s="64">
        <v>2.19</v>
      </c>
      <c r="F32" s="64">
        <v>6.98</v>
      </c>
      <c r="G32" s="64">
        <v>76.14</v>
      </c>
      <c r="H32" s="64">
        <v>19.329999999999998</v>
      </c>
      <c r="I32" s="64">
        <v>4.07</v>
      </c>
      <c r="J32" s="64">
        <v>0.57999999999999996</v>
      </c>
      <c r="K32" s="64">
        <v>274.14</v>
      </c>
      <c r="L32" s="64">
        <v>15.58</v>
      </c>
      <c r="M32" s="64">
        <v>50.25</v>
      </c>
      <c r="N32" s="64">
        <v>64.099999999999994</v>
      </c>
      <c r="O32" s="64">
        <v>0</v>
      </c>
      <c r="P32" s="64">
        <v>1.1100000000000001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47" t="s">
        <v>1228</v>
      </c>
      <c r="B33" s="64">
        <v>46.42</v>
      </c>
      <c r="C33" s="64">
        <v>69.56</v>
      </c>
      <c r="D33" s="64">
        <v>73.56</v>
      </c>
      <c r="E33" s="64">
        <v>2.4</v>
      </c>
      <c r="F33" s="64">
        <v>5.99</v>
      </c>
      <c r="G33" s="64">
        <v>100.31</v>
      </c>
      <c r="H33" s="64">
        <v>20.27</v>
      </c>
      <c r="I33" s="64">
        <v>3.95</v>
      </c>
      <c r="J33" s="64">
        <v>0.67</v>
      </c>
      <c r="K33" s="64">
        <v>275.41000000000003</v>
      </c>
      <c r="L33" s="64">
        <v>15.38</v>
      </c>
      <c r="M33" s="64">
        <v>49.88</v>
      </c>
      <c r="N33" s="64">
        <v>66.599999999999994</v>
      </c>
      <c r="O33" s="64">
        <v>0</v>
      </c>
      <c r="P33" s="64">
        <v>1.0900000000000001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47" t="s">
        <v>1229</v>
      </c>
      <c r="B34" s="64">
        <v>53.11</v>
      </c>
      <c r="C34" s="64">
        <v>70.38</v>
      </c>
      <c r="D34" s="64">
        <v>79.36</v>
      </c>
      <c r="E34" s="64">
        <v>2.4900000000000002</v>
      </c>
      <c r="F34" s="64">
        <v>5.65</v>
      </c>
      <c r="G34" s="64">
        <v>100.31</v>
      </c>
      <c r="H34" s="64">
        <v>20.27</v>
      </c>
      <c r="I34" s="64">
        <v>4.03</v>
      </c>
      <c r="J34" s="64">
        <v>0.43</v>
      </c>
      <c r="K34" s="64">
        <v>297.25</v>
      </c>
      <c r="L34" s="64">
        <v>15.35</v>
      </c>
      <c r="M34" s="64">
        <v>51.88</v>
      </c>
      <c r="N34" s="64">
        <v>75.900000000000006</v>
      </c>
      <c r="O34" s="64">
        <v>0</v>
      </c>
      <c r="P34" s="64">
        <v>1.0900000000000001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47" t="s">
        <v>1230</v>
      </c>
      <c r="B35" s="64">
        <v>58.07</v>
      </c>
      <c r="C35" s="64">
        <v>71.209999999999994</v>
      </c>
      <c r="D35" s="64">
        <v>83.77</v>
      </c>
      <c r="E35" s="64">
        <v>2.83</v>
      </c>
      <c r="F35" s="64">
        <v>6.46</v>
      </c>
      <c r="G35" s="64">
        <v>100.31</v>
      </c>
      <c r="H35" s="64">
        <v>20.27</v>
      </c>
      <c r="I35" s="64">
        <v>3.9</v>
      </c>
      <c r="J35" s="64">
        <v>0.51</v>
      </c>
      <c r="K35" s="64">
        <v>288.11</v>
      </c>
      <c r="L35" s="64">
        <v>15.77</v>
      </c>
      <c r="M35" s="64">
        <v>48.69</v>
      </c>
      <c r="N35" s="64">
        <v>94.2</v>
      </c>
      <c r="O35" s="64">
        <v>0</v>
      </c>
      <c r="P35" s="64">
        <v>1.07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47" t="s">
        <v>1231</v>
      </c>
      <c r="B36" s="64">
        <v>69.63</v>
      </c>
      <c r="C36" s="64">
        <v>73.33</v>
      </c>
      <c r="D36" s="64">
        <v>94.15</v>
      </c>
      <c r="E36" s="64">
        <v>2.75</v>
      </c>
      <c r="F36" s="64">
        <v>6.62</v>
      </c>
      <c r="G36" s="64">
        <v>104.54</v>
      </c>
      <c r="H36" s="64">
        <v>21.42</v>
      </c>
      <c r="I36" s="64">
        <v>3.97</v>
      </c>
      <c r="J36" s="64">
        <v>0.45</v>
      </c>
      <c r="K36" s="64">
        <v>339.34</v>
      </c>
      <c r="L36" s="64">
        <v>16.850000000000001</v>
      </c>
      <c r="M36" s="64">
        <v>49.61</v>
      </c>
      <c r="N36" s="64">
        <v>151.6</v>
      </c>
      <c r="O36" s="64">
        <v>0</v>
      </c>
      <c r="P36" s="64">
        <v>1.1000000000000001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47" t="s">
        <v>1232</v>
      </c>
      <c r="B37" s="64">
        <v>124.42</v>
      </c>
      <c r="C37" s="64">
        <v>90.59</v>
      </c>
      <c r="D37" s="64">
        <v>147.11000000000001</v>
      </c>
      <c r="E37" s="64">
        <v>3.83</v>
      </c>
      <c r="F37" s="64">
        <v>7.4</v>
      </c>
      <c r="G37" s="64">
        <v>116.18</v>
      </c>
      <c r="H37" s="64">
        <v>24.57</v>
      </c>
      <c r="I37" s="64">
        <v>4.0199999999999996</v>
      </c>
      <c r="J37" s="64">
        <v>0.36</v>
      </c>
      <c r="K37" s="64">
        <v>322.62</v>
      </c>
      <c r="L37" s="64">
        <v>19.649999999999999</v>
      </c>
      <c r="M37" s="64">
        <v>43.41</v>
      </c>
      <c r="N37" s="64">
        <v>204.4</v>
      </c>
      <c r="O37" s="64">
        <v>0</v>
      </c>
      <c r="P37" s="64">
        <v>1.32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47" t="s">
        <v>1233</v>
      </c>
      <c r="B38" s="64">
        <v>82.74</v>
      </c>
      <c r="C38" s="64">
        <v>78.78</v>
      </c>
      <c r="D38" s="64">
        <v>107.51</v>
      </c>
      <c r="E38" s="64">
        <v>4.6100000000000003</v>
      </c>
      <c r="F38" s="64">
        <v>8.17</v>
      </c>
      <c r="G38" s="64">
        <v>116.18</v>
      </c>
      <c r="H38" s="64">
        <v>24.57</v>
      </c>
      <c r="I38" s="64">
        <v>3.94</v>
      </c>
      <c r="J38" s="64">
        <v>0.86</v>
      </c>
      <c r="K38" s="64">
        <v>103.93</v>
      </c>
      <c r="L38" s="64">
        <v>21.85</v>
      </c>
      <c r="M38" s="64">
        <v>32</v>
      </c>
      <c r="N38" s="64">
        <v>262.3</v>
      </c>
      <c r="O38" s="64">
        <v>0</v>
      </c>
      <c r="P38" s="64">
        <v>1.19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47" t="s">
        <v>1234</v>
      </c>
      <c r="B39" s="64">
        <v>71.69</v>
      </c>
      <c r="C39" s="64">
        <v>73.989999999999995</v>
      </c>
      <c r="D39" s="64">
        <v>96.15</v>
      </c>
      <c r="E39" s="64">
        <v>4.38</v>
      </c>
      <c r="F39" s="64">
        <v>9.81</v>
      </c>
      <c r="G39" s="64">
        <v>116.18</v>
      </c>
      <c r="H39" s="64">
        <v>24.57</v>
      </c>
      <c r="I39" s="64">
        <v>4.1100000000000003</v>
      </c>
      <c r="J39" s="64">
        <v>1.55</v>
      </c>
      <c r="K39" s="64">
        <v>100.09</v>
      </c>
      <c r="L39" s="64">
        <v>21.89</v>
      </c>
      <c r="M39" s="64">
        <v>29.29</v>
      </c>
      <c r="N39" s="64">
        <v>323</v>
      </c>
      <c r="O39" s="64">
        <v>0</v>
      </c>
      <c r="P39" s="64">
        <v>1.1100000000000001</v>
      </c>
      <c r="Q39" s="64">
        <v>9.7799999999999994</v>
      </c>
      <c r="R39" s="198"/>
      <c r="S39" s="198"/>
      <c r="T39" s="198"/>
      <c r="U39" s="198"/>
    </row>
    <row r="40" spans="1:21" s="12" customFormat="1" x14ac:dyDescent="0.25">
      <c r="A40" s="247" t="s">
        <v>1235</v>
      </c>
      <c r="B40" s="64">
        <v>70.06</v>
      </c>
      <c r="C40" s="64">
        <v>70.28</v>
      </c>
      <c r="D40" s="64">
        <v>92.9</v>
      </c>
      <c r="E40" s="64">
        <v>3.49</v>
      </c>
      <c r="F40" s="64">
        <v>10.34</v>
      </c>
      <c r="G40" s="64">
        <v>110.62</v>
      </c>
      <c r="H40" s="64">
        <v>22.55</v>
      </c>
      <c r="I40" s="64">
        <v>4.12</v>
      </c>
      <c r="J40" s="64">
        <v>1.48</v>
      </c>
      <c r="K40" s="64">
        <v>99.92</v>
      </c>
      <c r="L40" s="64">
        <v>22.02</v>
      </c>
      <c r="M40" s="64">
        <v>29.25</v>
      </c>
      <c r="N40" s="64">
        <v>378</v>
      </c>
      <c r="O40" s="64">
        <v>0</v>
      </c>
      <c r="P40" s="64">
        <v>1.0900000000000001</v>
      </c>
      <c r="Q40" s="64">
        <v>9.84</v>
      </c>
      <c r="R40" s="198"/>
      <c r="S40" s="198"/>
      <c r="T40" s="198"/>
      <c r="U40" s="198"/>
    </row>
    <row r="41" spans="1:21" s="12" customFormat="1" x14ac:dyDescent="0.25">
      <c r="A41" s="247" t="s">
        <v>1236</v>
      </c>
      <c r="B41" s="64">
        <v>70.349999999999994</v>
      </c>
      <c r="C41" s="64">
        <v>69.86</v>
      </c>
      <c r="D41" s="64">
        <v>92.91</v>
      </c>
      <c r="E41" s="64">
        <v>4.54</v>
      </c>
      <c r="F41" s="64">
        <v>9.67</v>
      </c>
      <c r="G41" s="64">
        <v>95.34</v>
      </c>
      <c r="H41" s="64">
        <v>17.02</v>
      </c>
      <c r="I41" s="64">
        <v>3.9</v>
      </c>
      <c r="J41" s="64">
        <v>1.49</v>
      </c>
      <c r="K41" s="64">
        <v>100.37</v>
      </c>
      <c r="L41" s="64">
        <v>23.03</v>
      </c>
      <c r="M41" s="64">
        <v>27.63</v>
      </c>
      <c r="N41" s="64">
        <v>431.9</v>
      </c>
      <c r="O41" s="64">
        <v>0</v>
      </c>
      <c r="P41" s="64">
        <v>1.1000000000000001</v>
      </c>
      <c r="Q41" s="64">
        <v>9.84</v>
      </c>
      <c r="R41" s="198"/>
      <c r="S41" s="198"/>
      <c r="T41" s="198"/>
      <c r="U41" s="198"/>
    </row>
    <row r="42" spans="1:21" s="12" customFormat="1" x14ac:dyDescent="0.25">
      <c r="A42" s="247" t="s">
        <v>1237</v>
      </c>
      <c r="B42" s="64">
        <v>66.239999999999995</v>
      </c>
      <c r="C42" s="64">
        <v>69.2</v>
      </c>
      <c r="D42" s="64">
        <v>89.27</v>
      </c>
      <c r="E42" s="64">
        <v>4.04</v>
      </c>
      <c r="F42" s="64">
        <v>8.61</v>
      </c>
      <c r="G42" s="64">
        <v>95.34</v>
      </c>
      <c r="H42" s="64">
        <v>17.02</v>
      </c>
      <c r="I42" s="64">
        <v>3.86</v>
      </c>
      <c r="J42" s="64">
        <v>1.51</v>
      </c>
      <c r="K42" s="64">
        <v>100.15</v>
      </c>
      <c r="L42" s="64">
        <v>23.61</v>
      </c>
      <c r="M42" s="64">
        <v>26.75</v>
      </c>
      <c r="N42" s="64">
        <v>481.3</v>
      </c>
      <c r="O42" s="64">
        <v>0</v>
      </c>
      <c r="P42" s="64">
        <v>1.05</v>
      </c>
      <c r="Q42" s="64">
        <v>9.83</v>
      </c>
      <c r="R42" s="198"/>
      <c r="S42" s="198"/>
      <c r="T42" s="198"/>
      <c r="U42" s="198"/>
    </row>
    <row r="43" spans="1:21" s="12" customFormat="1" x14ac:dyDescent="0.25">
      <c r="A43" s="247" t="s">
        <v>1238</v>
      </c>
      <c r="B43" s="64">
        <v>62.63</v>
      </c>
      <c r="C43" s="64">
        <v>73.17</v>
      </c>
      <c r="D43" s="64">
        <v>88.45</v>
      </c>
      <c r="E43" s="64">
        <v>4.6900000000000004</v>
      </c>
      <c r="F43" s="64">
        <v>8.93</v>
      </c>
      <c r="G43" s="64">
        <v>95.34</v>
      </c>
      <c r="H43" s="64">
        <v>17.02</v>
      </c>
      <c r="I43" s="64">
        <v>3.98</v>
      </c>
      <c r="J43" s="64">
        <v>1.22</v>
      </c>
      <c r="K43" s="64">
        <v>100.39</v>
      </c>
      <c r="L43" s="64">
        <v>24.42</v>
      </c>
      <c r="M43" s="64">
        <v>27.06</v>
      </c>
      <c r="N43" s="64">
        <v>520.29999999999995</v>
      </c>
      <c r="O43" s="64">
        <v>0</v>
      </c>
      <c r="P43" s="64">
        <v>1.05</v>
      </c>
      <c r="Q43" s="64">
        <v>9.82</v>
      </c>
      <c r="R43" s="198"/>
      <c r="S43" s="198"/>
      <c r="T43" s="198"/>
      <c r="U43" s="198"/>
    </row>
    <row r="44" spans="1:21" s="12" customFormat="1" x14ac:dyDescent="0.25">
      <c r="A44" s="247" t="s">
        <v>1239</v>
      </c>
      <c r="B44" s="64">
        <v>58.59</v>
      </c>
      <c r="C44" s="64">
        <v>75.010000000000005</v>
      </c>
      <c r="D44" s="64">
        <v>86.18</v>
      </c>
      <c r="E44" s="64">
        <v>4.6900000000000004</v>
      </c>
      <c r="F44" s="64">
        <v>9.66</v>
      </c>
      <c r="G44" s="64">
        <v>90.06</v>
      </c>
      <c r="H44" s="64">
        <v>19.559999999999999</v>
      </c>
      <c r="I44" s="64">
        <v>4.1500000000000004</v>
      </c>
      <c r="J44" s="64">
        <v>1.48</v>
      </c>
      <c r="K44" s="64">
        <v>107.09</v>
      </c>
      <c r="L44" s="64">
        <v>25.35</v>
      </c>
      <c r="M44" s="64">
        <v>26.8</v>
      </c>
      <c r="N44" s="64">
        <v>561.9</v>
      </c>
      <c r="O44" s="64">
        <v>0</v>
      </c>
      <c r="P44" s="64">
        <v>1.02</v>
      </c>
      <c r="Q44" s="64">
        <v>9.8000000000000007</v>
      </c>
      <c r="R44" s="198"/>
      <c r="S44" s="198"/>
      <c r="T44" s="198"/>
      <c r="U44" s="198"/>
    </row>
    <row r="45" spans="1:21" s="12" customFormat="1" x14ac:dyDescent="0.25">
      <c r="A45" s="247" t="s">
        <v>1240</v>
      </c>
      <c r="B45" s="64">
        <v>59.24</v>
      </c>
      <c r="C45" s="64">
        <v>74.849999999999994</v>
      </c>
      <c r="D45" s="64">
        <v>86.62</v>
      </c>
      <c r="E45" s="64">
        <v>2.86</v>
      </c>
      <c r="F45" s="64">
        <v>7.54</v>
      </c>
      <c r="G45" s="64">
        <v>74.69</v>
      </c>
      <c r="H45" s="64">
        <v>26.54</v>
      </c>
      <c r="I45" s="64">
        <v>3.98</v>
      </c>
      <c r="J45" s="64">
        <v>0.82</v>
      </c>
      <c r="K45" s="64">
        <v>77.180000000000007</v>
      </c>
      <c r="L45" s="64">
        <v>25.99</v>
      </c>
      <c r="M45" s="64">
        <v>25.96</v>
      </c>
      <c r="N45" s="64">
        <v>596.5</v>
      </c>
      <c r="O45" s="64">
        <v>0</v>
      </c>
      <c r="P45" s="64">
        <v>1.03</v>
      </c>
      <c r="Q45" s="64">
        <v>9.7799999999999994</v>
      </c>
      <c r="R45" s="198"/>
      <c r="S45" s="198"/>
      <c r="T45" s="198"/>
      <c r="U45" s="198"/>
    </row>
    <row r="46" spans="1:21" s="12" customFormat="1" x14ac:dyDescent="0.25">
      <c r="A46" s="247" t="s">
        <v>1241</v>
      </c>
      <c r="B46" s="64">
        <v>54.09</v>
      </c>
      <c r="C46" s="64">
        <v>74.900000000000006</v>
      </c>
      <c r="D46" s="64">
        <v>82.51</v>
      </c>
      <c r="E46" s="64">
        <v>3.74</v>
      </c>
      <c r="F46" s="64">
        <v>6.99</v>
      </c>
      <c r="G46" s="64">
        <v>74.69</v>
      </c>
      <c r="H46" s="64">
        <v>26.54</v>
      </c>
      <c r="I46" s="64">
        <v>3.83</v>
      </c>
      <c r="J46" s="64">
        <v>1.19</v>
      </c>
      <c r="K46" s="64">
        <v>86.16</v>
      </c>
      <c r="L46" s="64">
        <v>26.85</v>
      </c>
      <c r="M46" s="64">
        <v>24.05</v>
      </c>
      <c r="N46" s="64">
        <v>638.29999999999995</v>
      </c>
      <c r="O46" s="64">
        <v>0</v>
      </c>
      <c r="P46" s="64">
        <v>0.99</v>
      </c>
      <c r="Q46" s="64">
        <v>9.75</v>
      </c>
      <c r="R46" s="198"/>
      <c r="S46" s="198"/>
      <c r="T46" s="198"/>
      <c r="U46" s="198"/>
    </row>
    <row r="47" spans="1:21" s="12" customFormat="1" x14ac:dyDescent="0.25">
      <c r="A47" s="247" t="s">
        <v>1242</v>
      </c>
      <c r="B47" s="64">
        <v>47.5</v>
      </c>
      <c r="C47" s="64">
        <v>77.010000000000005</v>
      </c>
      <c r="D47" s="64">
        <v>78.33</v>
      </c>
      <c r="E47" s="64">
        <v>4.0999999999999996</v>
      </c>
      <c r="F47" s="64">
        <v>8.14</v>
      </c>
      <c r="G47" s="64">
        <v>74.69</v>
      </c>
      <c r="H47" s="64">
        <v>26.54</v>
      </c>
      <c r="I47" s="64">
        <v>3.97</v>
      </c>
      <c r="J47" s="64">
        <v>1.04</v>
      </c>
      <c r="K47" s="64">
        <v>65.67</v>
      </c>
      <c r="L47" s="64">
        <v>27.05</v>
      </c>
      <c r="M47" s="64">
        <v>22.53</v>
      </c>
      <c r="N47" s="64">
        <v>677.3</v>
      </c>
      <c r="O47" s="64">
        <v>0</v>
      </c>
      <c r="P47" s="64">
        <v>0.95</v>
      </c>
      <c r="Q47" s="64">
        <v>9.75</v>
      </c>
      <c r="R47" s="198"/>
      <c r="S47" s="198"/>
      <c r="T47" s="198"/>
      <c r="U47" s="198"/>
    </row>
    <row r="48" spans="1:21" s="12" customFormat="1" x14ac:dyDescent="0.25">
      <c r="A48" s="247" t="s">
        <v>1243</v>
      </c>
      <c r="B48" s="64">
        <v>40.64</v>
      </c>
      <c r="C48" s="64">
        <v>77.41</v>
      </c>
      <c r="D48" s="64">
        <v>73.040000000000006</v>
      </c>
      <c r="E48" s="64">
        <v>4.3499999999999996</v>
      </c>
      <c r="F48" s="64">
        <v>8.1300000000000008</v>
      </c>
      <c r="G48" s="64">
        <v>73.040000000000006</v>
      </c>
      <c r="H48" s="64">
        <v>25.32</v>
      </c>
      <c r="I48" s="64">
        <v>3.92</v>
      </c>
      <c r="J48" s="64">
        <v>1.1599999999999999</v>
      </c>
      <c r="K48" s="64">
        <v>39.44</v>
      </c>
      <c r="L48" s="64">
        <v>28.33</v>
      </c>
      <c r="M48" s="64">
        <v>20.87</v>
      </c>
      <c r="N48" s="64">
        <v>709</v>
      </c>
      <c r="O48" s="64">
        <v>0</v>
      </c>
      <c r="P48" s="64">
        <v>0.91</v>
      </c>
      <c r="Q48" s="64">
        <v>9.7100000000000009</v>
      </c>
      <c r="R48" s="198"/>
      <c r="S48" s="198"/>
      <c r="T48" s="198"/>
      <c r="U48" s="198"/>
    </row>
    <row r="49" spans="1:21" s="12" customFormat="1" x14ac:dyDescent="0.25">
      <c r="A49" s="247" t="s">
        <v>1244</v>
      </c>
      <c r="B49" s="64">
        <v>36.26</v>
      </c>
      <c r="C49" s="64">
        <v>78.58</v>
      </c>
      <c r="D49" s="64">
        <v>69.09</v>
      </c>
      <c r="E49" s="64">
        <v>9.07</v>
      </c>
      <c r="F49" s="64">
        <v>8.8800000000000008</v>
      </c>
      <c r="G49" s="64">
        <v>68.25</v>
      </c>
      <c r="H49" s="64">
        <v>21.94</v>
      </c>
      <c r="I49" s="64">
        <v>4.2</v>
      </c>
      <c r="J49" s="64">
        <v>1.17</v>
      </c>
      <c r="K49" s="64">
        <v>17.399999999999999</v>
      </c>
      <c r="L49" s="64">
        <v>30.52</v>
      </c>
      <c r="M49" s="64">
        <v>19.420000000000002</v>
      </c>
      <c r="N49" s="64">
        <v>748.8</v>
      </c>
      <c r="O49" s="64">
        <v>0</v>
      </c>
      <c r="P49" s="64">
        <v>0.89</v>
      </c>
      <c r="Q49" s="64">
        <v>9.6999999999999993</v>
      </c>
      <c r="R49" s="198"/>
      <c r="S49" s="198"/>
      <c r="T49" s="198"/>
      <c r="U49" s="198"/>
    </row>
    <row r="50" spans="1:21" s="12" customFormat="1" x14ac:dyDescent="0.25">
      <c r="A50" s="247" t="s">
        <v>1245</v>
      </c>
      <c r="B50" s="64">
        <v>32.85</v>
      </c>
      <c r="C50" s="64">
        <v>80.989999999999995</v>
      </c>
      <c r="D50" s="64">
        <v>68.66</v>
      </c>
      <c r="E50" s="64">
        <v>4.9800000000000004</v>
      </c>
      <c r="F50" s="64">
        <v>7.54</v>
      </c>
      <c r="G50" s="64">
        <v>68.25</v>
      </c>
      <c r="H50" s="64">
        <v>21.94</v>
      </c>
      <c r="I50" s="64">
        <v>3.99</v>
      </c>
      <c r="J50" s="64">
        <v>1.26</v>
      </c>
      <c r="K50" s="64">
        <v>75.62</v>
      </c>
      <c r="L50" s="64">
        <v>28.77</v>
      </c>
      <c r="M50" s="64">
        <v>20.57</v>
      </c>
      <c r="N50" s="64">
        <v>779.5</v>
      </c>
      <c r="O50" s="64">
        <v>0</v>
      </c>
      <c r="P50" s="64">
        <v>0.86</v>
      </c>
      <c r="Q50" s="64">
        <v>9.69</v>
      </c>
      <c r="R50" s="198"/>
      <c r="S50" s="198"/>
      <c r="T50" s="198"/>
      <c r="U50" s="198"/>
    </row>
    <row r="51" spans="1:21" s="12" customFormat="1" x14ac:dyDescent="0.25">
      <c r="A51" s="247" t="s">
        <v>1246</v>
      </c>
      <c r="B51" s="64">
        <v>30</v>
      </c>
      <c r="C51" s="64">
        <v>83.4</v>
      </c>
      <c r="D51" s="64">
        <v>67.63</v>
      </c>
      <c r="E51" s="64">
        <v>4.96</v>
      </c>
      <c r="F51" s="64">
        <v>8.93</v>
      </c>
      <c r="G51" s="64">
        <v>68.25</v>
      </c>
      <c r="H51" s="64">
        <v>21.94</v>
      </c>
      <c r="I51" s="64">
        <v>4</v>
      </c>
      <c r="J51" s="64">
        <v>1.34</v>
      </c>
      <c r="K51" s="64">
        <v>37.35</v>
      </c>
      <c r="L51" s="64">
        <v>30.39</v>
      </c>
      <c r="M51" s="64">
        <v>18.43</v>
      </c>
      <c r="N51" s="64">
        <v>803.6</v>
      </c>
      <c r="O51" s="64">
        <v>0</v>
      </c>
      <c r="P51" s="64">
        <v>0.83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47" t="s">
        <v>1247</v>
      </c>
      <c r="B52" s="64">
        <v>25.81</v>
      </c>
      <c r="C52" s="64">
        <v>79.930000000000007</v>
      </c>
      <c r="D52" s="64">
        <v>62.46</v>
      </c>
      <c r="E52" s="64">
        <v>4.87</v>
      </c>
      <c r="F52" s="64">
        <v>10.07</v>
      </c>
      <c r="G52" s="64">
        <v>66.650000000000006</v>
      </c>
      <c r="H52" s="64">
        <v>21.5</v>
      </c>
      <c r="I52" s="64">
        <v>4.0599999999999996</v>
      </c>
      <c r="J52" s="64">
        <v>1.74</v>
      </c>
      <c r="K52" s="64">
        <v>7.02</v>
      </c>
      <c r="L52" s="64">
        <v>30.79</v>
      </c>
      <c r="M52" s="64">
        <v>17.239999999999998</v>
      </c>
      <c r="N52" s="64">
        <v>807.7</v>
      </c>
      <c r="O52" s="64">
        <v>0</v>
      </c>
      <c r="P52" s="64">
        <v>0.79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47" t="s">
        <v>1248</v>
      </c>
      <c r="B53" s="64">
        <v>22.31</v>
      </c>
      <c r="C53" s="64">
        <v>79.7</v>
      </c>
      <c r="D53" s="64">
        <v>59.54</v>
      </c>
      <c r="E53" s="64">
        <v>6.39</v>
      </c>
      <c r="F53" s="64">
        <v>7.99</v>
      </c>
      <c r="G53" s="64">
        <v>62.26</v>
      </c>
      <c r="H53" s="64">
        <v>20.260000000000002</v>
      </c>
      <c r="I53" s="64">
        <v>3.99</v>
      </c>
      <c r="J53" s="64">
        <v>0.94</v>
      </c>
      <c r="K53" s="64">
        <v>48.6</v>
      </c>
      <c r="L53" s="64">
        <v>31.43</v>
      </c>
      <c r="M53" s="64">
        <v>16.739999999999998</v>
      </c>
      <c r="N53" s="64">
        <v>816.6</v>
      </c>
      <c r="O53" s="64">
        <v>0</v>
      </c>
      <c r="P53" s="64">
        <v>0.76</v>
      </c>
      <c r="Q53" s="64">
        <v>9.65</v>
      </c>
      <c r="R53" s="198"/>
      <c r="S53" s="198"/>
      <c r="T53" s="198"/>
      <c r="U53" s="198"/>
    </row>
    <row r="54" spans="1:21" s="12" customFormat="1" x14ac:dyDescent="0.25">
      <c r="A54" s="247" t="s">
        <v>1249</v>
      </c>
      <c r="B54" s="64">
        <v>22.14</v>
      </c>
      <c r="C54" s="64">
        <v>85.32</v>
      </c>
      <c r="D54" s="64">
        <v>62.33</v>
      </c>
      <c r="E54" s="64">
        <v>5.99</v>
      </c>
      <c r="F54" s="64">
        <v>10.33</v>
      </c>
      <c r="G54" s="64">
        <v>62.26</v>
      </c>
      <c r="H54" s="64">
        <v>20.260000000000002</v>
      </c>
      <c r="I54" s="64">
        <v>4.12</v>
      </c>
      <c r="J54" s="64">
        <v>1.54</v>
      </c>
      <c r="K54" s="64">
        <v>354.57</v>
      </c>
      <c r="L54" s="64">
        <v>33.409999999999997</v>
      </c>
      <c r="M54" s="64">
        <v>14.15</v>
      </c>
      <c r="N54" s="64">
        <v>808.4</v>
      </c>
      <c r="O54" s="64">
        <v>0</v>
      </c>
      <c r="P54" s="64">
        <v>0.74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47" t="s">
        <v>1250</v>
      </c>
      <c r="B55" s="64">
        <v>17.71</v>
      </c>
      <c r="C55" s="64">
        <v>76.73</v>
      </c>
      <c r="D55" s="64">
        <v>54.29</v>
      </c>
      <c r="E55" s="64">
        <v>12.57</v>
      </c>
      <c r="F55" s="64">
        <v>14.34</v>
      </c>
      <c r="G55" s="64">
        <v>62.26</v>
      </c>
      <c r="H55" s="64">
        <v>20.260000000000002</v>
      </c>
      <c r="I55" s="64">
        <v>3.96</v>
      </c>
      <c r="J55" s="64">
        <v>1.57</v>
      </c>
      <c r="K55" s="64">
        <v>14.01</v>
      </c>
      <c r="L55" s="64">
        <v>33.89</v>
      </c>
      <c r="M55" s="64">
        <v>12.95</v>
      </c>
      <c r="N55" s="64">
        <v>813.3</v>
      </c>
      <c r="O55" s="64">
        <v>0</v>
      </c>
      <c r="P55" s="64">
        <v>0.67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47" t="s">
        <v>1251</v>
      </c>
      <c r="B56" s="64">
        <v>18.52</v>
      </c>
      <c r="C56" s="64">
        <v>78.78</v>
      </c>
      <c r="D56" s="64">
        <v>56.01</v>
      </c>
      <c r="E56" s="64">
        <v>13.7</v>
      </c>
      <c r="F56" s="64">
        <v>16.57</v>
      </c>
      <c r="G56" s="64">
        <v>59.31</v>
      </c>
      <c r="H56" s="64">
        <v>19.18</v>
      </c>
      <c r="I56" s="64">
        <v>4.0199999999999996</v>
      </c>
      <c r="J56" s="64">
        <v>0.8</v>
      </c>
      <c r="K56" s="64">
        <v>6.65</v>
      </c>
      <c r="L56" s="64">
        <v>33.479999999999997</v>
      </c>
      <c r="M56" s="64">
        <v>12.48</v>
      </c>
      <c r="N56" s="64">
        <v>793.9</v>
      </c>
      <c r="O56" s="64">
        <v>0</v>
      </c>
      <c r="P56" s="64">
        <v>0.62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47" t="s">
        <v>1252</v>
      </c>
      <c r="B57" s="64">
        <v>17.170000000000002</v>
      </c>
      <c r="C57" s="64">
        <v>79.25</v>
      </c>
      <c r="D57" s="64">
        <v>55.17</v>
      </c>
      <c r="E57" s="64">
        <v>15.72</v>
      </c>
      <c r="F57" s="64">
        <v>15.97</v>
      </c>
      <c r="G57" s="64">
        <v>51.23</v>
      </c>
      <c r="H57" s="64">
        <v>16.21</v>
      </c>
      <c r="I57" s="64">
        <v>4.1100000000000003</v>
      </c>
      <c r="J57" s="64">
        <v>1.01</v>
      </c>
      <c r="K57" s="64">
        <v>37.29</v>
      </c>
      <c r="L57" s="64">
        <v>34.020000000000003</v>
      </c>
      <c r="M57" s="64">
        <v>12.03</v>
      </c>
      <c r="N57" s="64">
        <v>773.2</v>
      </c>
      <c r="O57" s="64">
        <v>0</v>
      </c>
      <c r="P57" s="64">
        <v>0.61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47" t="s">
        <v>1253</v>
      </c>
      <c r="B58" s="64">
        <v>16.12</v>
      </c>
      <c r="C58" s="64">
        <v>79</v>
      </c>
      <c r="D58" s="64">
        <v>54.21</v>
      </c>
      <c r="E58" s="64">
        <v>7.24</v>
      </c>
      <c r="F58" s="64">
        <v>14.03</v>
      </c>
      <c r="G58" s="64">
        <v>51.23</v>
      </c>
      <c r="H58" s="64">
        <v>16.21</v>
      </c>
      <c r="I58" s="64">
        <v>3.88</v>
      </c>
      <c r="J58" s="64">
        <v>0.99</v>
      </c>
      <c r="K58" s="64">
        <v>7.79</v>
      </c>
      <c r="L58" s="64">
        <v>32.43</v>
      </c>
      <c r="M58" s="64">
        <v>12.8</v>
      </c>
      <c r="N58" s="64">
        <v>788.8</v>
      </c>
      <c r="O58" s="64">
        <v>0</v>
      </c>
      <c r="P58" s="64">
        <v>0.61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47" t="s">
        <v>1254</v>
      </c>
      <c r="B59" s="64">
        <v>16.03</v>
      </c>
      <c r="C59" s="64">
        <v>79.58</v>
      </c>
      <c r="D59" s="64">
        <v>54.43</v>
      </c>
      <c r="E59" s="64">
        <v>10.58</v>
      </c>
      <c r="F59" s="64">
        <v>16.920000000000002</v>
      </c>
      <c r="G59" s="64">
        <v>51.23</v>
      </c>
      <c r="H59" s="64">
        <v>16.21</v>
      </c>
      <c r="I59" s="64">
        <v>4.0199999999999996</v>
      </c>
      <c r="J59" s="64">
        <v>1.65</v>
      </c>
      <c r="K59" s="64">
        <v>2.2200000000000002</v>
      </c>
      <c r="L59" s="64">
        <v>34.22</v>
      </c>
      <c r="M59" s="64">
        <v>11.23</v>
      </c>
      <c r="N59" s="64">
        <v>765.1</v>
      </c>
      <c r="O59" s="64">
        <v>0</v>
      </c>
      <c r="P59" s="64">
        <v>0.57999999999999996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47" t="s">
        <v>1255</v>
      </c>
      <c r="B60" s="64">
        <v>15.24</v>
      </c>
      <c r="C60" s="64">
        <v>81.53</v>
      </c>
      <c r="D60" s="64">
        <v>54.82</v>
      </c>
      <c r="E60" s="64">
        <v>9.8000000000000007</v>
      </c>
      <c r="F60" s="64">
        <v>10.67</v>
      </c>
      <c r="G60" s="64">
        <v>50.58</v>
      </c>
      <c r="H60" s="64">
        <v>15.73</v>
      </c>
      <c r="I60" s="64">
        <v>3.94</v>
      </c>
      <c r="J60" s="64">
        <v>1.96</v>
      </c>
      <c r="K60" s="64">
        <v>340.35</v>
      </c>
      <c r="L60" s="64">
        <v>35.21</v>
      </c>
      <c r="M60" s="64">
        <v>11.18</v>
      </c>
      <c r="N60" s="64">
        <v>777.8</v>
      </c>
      <c r="O60" s="64">
        <v>0</v>
      </c>
      <c r="P60" s="64">
        <v>0.6</v>
      </c>
      <c r="Q60" s="64">
        <v>9.59</v>
      </c>
      <c r="R60" s="198"/>
      <c r="S60" s="198"/>
      <c r="T60" s="198"/>
      <c r="U60" s="198"/>
    </row>
    <row r="61" spans="1:21" s="12" customFormat="1" x14ac:dyDescent="0.25">
      <c r="A61" s="247" t="s">
        <v>1256</v>
      </c>
      <c r="B61" s="64">
        <v>17.350000000000001</v>
      </c>
      <c r="C61" s="64">
        <v>77.45</v>
      </c>
      <c r="D61" s="64">
        <v>54.38</v>
      </c>
      <c r="E61" s="64">
        <v>17.82</v>
      </c>
      <c r="F61" s="64">
        <v>13.95</v>
      </c>
      <c r="G61" s="64">
        <v>48.68</v>
      </c>
      <c r="H61" s="64">
        <v>14.41</v>
      </c>
      <c r="I61" s="64">
        <v>4.21</v>
      </c>
      <c r="J61" s="64">
        <v>1.98</v>
      </c>
      <c r="K61" s="64">
        <v>355.58</v>
      </c>
      <c r="L61" s="64">
        <v>35.18</v>
      </c>
      <c r="M61" s="64">
        <v>11.14</v>
      </c>
      <c r="N61" s="64">
        <v>765.2</v>
      </c>
      <c r="O61" s="64">
        <v>0</v>
      </c>
      <c r="P61" s="64">
        <v>0.67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47" t="s">
        <v>1257</v>
      </c>
      <c r="B62" s="64">
        <v>13.78</v>
      </c>
      <c r="C62" s="64">
        <v>80.290000000000006</v>
      </c>
      <c r="D62" s="64">
        <v>53</v>
      </c>
      <c r="E62" s="64">
        <v>8.9499999999999993</v>
      </c>
      <c r="F62" s="64">
        <v>8.8000000000000007</v>
      </c>
      <c r="G62" s="64">
        <v>48.68</v>
      </c>
      <c r="H62" s="64">
        <v>14.41</v>
      </c>
      <c r="I62" s="64">
        <v>3.9</v>
      </c>
      <c r="J62" s="64">
        <v>1.98</v>
      </c>
      <c r="K62" s="64">
        <v>357</v>
      </c>
      <c r="L62" s="64">
        <v>35.17</v>
      </c>
      <c r="M62" s="64">
        <v>11.21</v>
      </c>
      <c r="N62" s="64">
        <v>736.4</v>
      </c>
      <c r="O62" s="64">
        <v>0</v>
      </c>
      <c r="P62" s="64">
        <v>0.71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47" t="s">
        <v>1258</v>
      </c>
      <c r="B63" s="64">
        <v>15.26</v>
      </c>
      <c r="C63" s="64">
        <v>81.97</v>
      </c>
      <c r="D63" s="64">
        <v>55.06</v>
      </c>
      <c r="E63" s="64">
        <v>4.8</v>
      </c>
      <c r="F63" s="64">
        <v>9.69</v>
      </c>
      <c r="G63" s="64">
        <v>48.68</v>
      </c>
      <c r="H63" s="64">
        <v>14.41</v>
      </c>
      <c r="I63" s="64">
        <v>4.0599999999999996</v>
      </c>
      <c r="J63" s="64">
        <v>2.19</v>
      </c>
      <c r="K63" s="64">
        <v>346.42</v>
      </c>
      <c r="L63" s="64">
        <v>35.51</v>
      </c>
      <c r="M63" s="64">
        <v>12</v>
      </c>
      <c r="N63" s="64">
        <v>719.2</v>
      </c>
      <c r="O63" s="64">
        <v>0</v>
      </c>
      <c r="P63" s="64">
        <v>0.71</v>
      </c>
      <c r="Q63" s="64">
        <v>9.56</v>
      </c>
      <c r="R63" s="198"/>
      <c r="S63" s="198"/>
      <c r="T63" s="198"/>
      <c r="U63" s="198"/>
    </row>
    <row r="64" spans="1:21" s="12" customFormat="1" x14ac:dyDescent="0.25">
      <c r="A64" s="247" t="s">
        <v>1259</v>
      </c>
      <c r="B64" s="64">
        <v>12.44</v>
      </c>
      <c r="C64" s="64">
        <v>79.739999999999995</v>
      </c>
      <c r="D64" s="64">
        <v>51.64</v>
      </c>
      <c r="E64" s="64">
        <v>4.6399999999999997</v>
      </c>
      <c r="F64" s="64">
        <v>9.64</v>
      </c>
      <c r="G64" s="64">
        <v>51.77</v>
      </c>
      <c r="H64" s="64">
        <v>14.44</v>
      </c>
      <c r="I64" s="64">
        <v>4.17</v>
      </c>
      <c r="J64" s="64">
        <v>2.2400000000000002</v>
      </c>
      <c r="K64" s="64">
        <v>336.06</v>
      </c>
      <c r="L64" s="64">
        <v>35.299999999999997</v>
      </c>
      <c r="M64" s="64">
        <v>13.31</v>
      </c>
      <c r="N64" s="64">
        <v>661.7</v>
      </c>
      <c r="O64" s="64">
        <v>0</v>
      </c>
      <c r="P64" s="64">
        <v>0.7</v>
      </c>
      <c r="Q64" s="64">
        <v>9.5500000000000007</v>
      </c>
      <c r="R64" s="198"/>
      <c r="S64" s="198"/>
      <c r="T64" s="198"/>
      <c r="U64" s="198"/>
    </row>
    <row r="65" spans="1:21" s="12" customFormat="1" x14ac:dyDescent="0.25">
      <c r="A65" s="247" t="s">
        <v>1260</v>
      </c>
      <c r="B65" s="64">
        <v>9.35</v>
      </c>
      <c r="C65" s="64">
        <v>76.260000000000005</v>
      </c>
      <c r="D65" s="64">
        <v>47.35</v>
      </c>
      <c r="E65" s="64">
        <v>6.63</v>
      </c>
      <c r="F65" s="64">
        <v>16.14</v>
      </c>
      <c r="G65" s="64">
        <v>60.78</v>
      </c>
      <c r="H65" s="64">
        <v>14.5</v>
      </c>
      <c r="I65" s="64">
        <v>4.1100000000000003</v>
      </c>
      <c r="J65" s="64">
        <v>1.52</v>
      </c>
      <c r="K65" s="64">
        <v>357.57</v>
      </c>
      <c r="L65" s="64">
        <v>34.14</v>
      </c>
      <c r="M65" s="64">
        <v>13.07</v>
      </c>
      <c r="N65" s="64">
        <v>694.8</v>
      </c>
      <c r="O65" s="64">
        <v>0</v>
      </c>
      <c r="P65" s="64">
        <v>0.66</v>
      </c>
      <c r="Q65" s="64">
        <v>9.56</v>
      </c>
      <c r="R65" s="198"/>
      <c r="S65" s="198"/>
      <c r="T65" s="198"/>
      <c r="U65" s="198"/>
    </row>
    <row r="66" spans="1:21" s="12" customFormat="1" x14ac:dyDescent="0.25">
      <c r="A66" s="247" t="s">
        <v>1261</v>
      </c>
      <c r="B66" s="64">
        <v>8.34</v>
      </c>
      <c r="C66" s="64">
        <v>78.75</v>
      </c>
      <c r="D66" s="64">
        <v>47.83</v>
      </c>
      <c r="E66" s="64">
        <v>5.83</v>
      </c>
      <c r="F66" s="64">
        <v>14</v>
      </c>
      <c r="G66" s="64">
        <v>60.78</v>
      </c>
      <c r="H66" s="64">
        <v>14.5</v>
      </c>
      <c r="I66" s="64">
        <v>4.12</v>
      </c>
      <c r="J66" s="64">
        <v>1.86</v>
      </c>
      <c r="K66" s="64">
        <v>350.35</v>
      </c>
      <c r="L66" s="64">
        <v>34.159999999999997</v>
      </c>
      <c r="M66" s="64">
        <v>12.53</v>
      </c>
      <c r="N66" s="64">
        <v>675.9</v>
      </c>
      <c r="O66" s="64">
        <v>0</v>
      </c>
      <c r="P66" s="64">
        <v>0.67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47" t="s">
        <v>1262</v>
      </c>
      <c r="B67" s="64">
        <v>8.4700000000000006</v>
      </c>
      <c r="C67" s="64">
        <v>76.150000000000006</v>
      </c>
      <c r="D67" s="64">
        <v>46.58</v>
      </c>
      <c r="E67" s="64">
        <v>4.97</v>
      </c>
      <c r="F67" s="64">
        <v>11.73</v>
      </c>
      <c r="G67" s="64">
        <v>60.78</v>
      </c>
      <c r="H67" s="64">
        <v>14.5</v>
      </c>
      <c r="I67" s="64">
        <v>4.1100000000000003</v>
      </c>
      <c r="J67" s="64">
        <v>1.99</v>
      </c>
      <c r="K67" s="64">
        <v>342.39</v>
      </c>
      <c r="L67" s="64">
        <v>34.21</v>
      </c>
      <c r="M67" s="64">
        <v>12.14</v>
      </c>
      <c r="N67" s="64">
        <v>389.7</v>
      </c>
      <c r="O67" s="64">
        <v>0</v>
      </c>
      <c r="P67" s="64">
        <v>0.67</v>
      </c>
      <c r="Q67" s="64">
        <v>9.52</v>
      </c>
      <c r="R67" s="198"/>
      <c r="S67" s="198"/>
      <c r="T67" s="198"/>
      <c r="U67" s="198"/>
    </row>
    <row r="68" spans="1:21" s="12" customFormat="1" x14ac:dyDescent="0.25">
      <c r="A68" s="247" t="s">
        <v>1263</v>
      </c>
      <c r="B68" s="64">
        <v>7.58</v>
      </c>
      <c r="C68" s="64">
        <v>77.31</v>
      </c>
      <c r="D68" s="64">
        <v>46.47</v>
      </c>
      <c r="E68" s="64">
        <v>3.74</v>
      </c>
      <c r="F68" s="64">
        <v>9.19</v>
      </c>
      <c r="G68" s="64">
        <v>60.45</v>
      </c>
      <c r="H68" s="64">
        <v>14.76</v>
      </c>
      <c r="I68" s="64">
        <v>3.96</v>
      </c>
      <c r="J68" s="64">
        <v>2.34</v>
      </c>
      <c r="K68" s="64">
        <v>332.69</v>
      </c>
      <c r="L68" s="64">
        <v>33.799999999999997</v>
      </c>
      <c r="M68" s="64">
        <v>12.45</v>
      </c>
      <c r="N68" s="64">
        <v>369.1</v>
      </c>
      <c r="O68" s="64">
        <v>0</v>
      </c>
      <c r="P68" s="64">
        <v>0.65</v>
      </c>
      <c r="Q68" s="64">
        <v>9.52</v>
      </c>
      <c r="R68" s="198"/>
      <c r="S68" s="198"/>
      <c r="T68" s="198"/>
      <c r="U68" s="198"/>
    </row>
    <row r="69" spans="1:21" s="12" customFormat="1" x14ac:dyDescent="0.25">
      <c r="A69" s="247" t="s">
        <v>1264</v>
      </c>
      <c r="B69" s="64">
        <v>7.11</v>
      </c>
      <c r="C69" s="64">
        <v>76.31</v>
      </c>
      <c r="D69" s="64">
        <v>45.57</v>
      </c>
      <c r="E69" s="64">
        <v>3.61</v>
      </c>
      <c r="F69" s="64">
        <v>11.28</v>
      </c>
      <c r="G69" s="64">
        <v>59.48</v>
      </c>
      <c r="H69" s="64">
        <v>15.47</v>
      </c>
      <c r="I69" s="64">
        <v>4.05</v>
      </c>
      <c r="J69" s="64">
        <v>2.41</v>
      </c>
      <c r="K69" s="64">
        <v>347.98</v>
      </c>
      <c r="L69" s="64">
        <v>33.020000000000003</v>
      </c>
      <c r="M69" s="64">
        <v>11.84</v>
      </c>
      <c r="N69" s="64">
        <v>221</v>
      </c>
      <c r="O69" s="64">
        <v>0</v>
      </c>
      <c r="P69" s="64">
        <v>0.63</v>
      </c>
      <c r="Q69" s="64">
        <v>9.4600000000000009</v>
      </c>
      <c r="R69" s="198"/>
      <c r="S69" s="198"/>
      <c r="T69" s="198"/>
      <c r="U69" s="198"/>
    </row>
    <row r="70" spans="1:21" s="12" customFormat="1" x14ac:dyDescent="0.25">
      <c r="A70" s="247" t="s">
        <v>1265</v>
      </c>
      <c r="B70" s="64">
        <v>17.760000000000002</v>
      </c>
      <c r="C70" s="64">
        <v>71.89</v>
      </c>
      <c r="D70" s="64">
        <v>51.8</v>
      </c>
      <c r="E70" s="64">
        <v>5.45</v>
      </c>
      <c r="F70" s="64">
        <v>19.059999999999999</v>
      </c>
      <c r="G70" s="64">
        <v>59.48</v>
      </c>
      <c r="H70" s="64">
        <v>15.47</v>
      </c>
      <c r="I70" s="64">
        <v>4.0599999999999996</v>
      </c>
      <c r="J70" s="64">
        <v>1.78</v>
      </c>
      <c r="K70" s="64">
        <v>359.3</v>
      </c>
      <c r="L70" s="64">
        <v>32.450000000000003</v>
      </c>
      <c r="M70" s="64">
        <v>11.45</v>
      </c>
      <c r="N70" s="64">
        <v>154.80000000000001</v>
      </c>
      <c r="O70" s="64">
        <v>0</v>
      </c>
      <c r="P70" s="64">
        <v>0.57999999999999996</v>
      </c>
      <c r="Q70" s="64">
        <v>9.44</v>
      </c>
      <c r="R70" s="198"/>
      <c r="S70" s="198"/>
      <c r="T70" s="198"/>
      <c r="U70" s="198"/>
    </row>
    <row r="71" spans="1:21" s="12" customFormat="1" x14ac:dyDescent="0.25">
      <c r="A71" s="247" t="s">
        <v>1266</v>
      </c>
      <c r="B71" s="64">
        <v>14.88</v>
      </c>
      <c r="C71" s="64">
        <v>71.89</v>
      </c>
      <c r="D71" s="64">
        <v>49.49</v>
      </c>
      <c r="E71" s="64">
        <v>6.63</v>
      </c>
      <c r="F71" s="64">
        <v>15.67</v>
      </c>
      <c r="G71" s="64">
        <v>59.48</v>
      </c>
      <c r="H71" s="64">
        <v>15.47</v>
      </c>
      <c r="I71" s="64">
        <v>3.99</v>
      </c>
      <c r="J71" s="64">
        <v>2.25</v>
      </c>
      <c r="K71" s="64">
        <v>353.63</v>
      </c>
      <c r="L71" s="64">
        <v>32.380000000000003</v>
      </c>
      <c r="M71" s="64">
        <v>11.96</v>
      </c>
      <c r="N71" s="64">
        <v>289.89999999999998</v>
      </c>
      <c r="O71" s="64">
        <v>0</v>
      </c>
      <c r="P71" s="64">
        <v>0.56999999999999995</v>
      </c>
      <c r="Q71" s="64">
        <v>9.4700000000000006</v>
      </c>
      <c r="R71" s="198"/>
      <c r="S71" s="198"/>
      <c r="T71" s="198"/>
      <c r="U71" s="198"/>
    </row>
    <row r="72" spans="1:21" s="12" customFormat="1" x14ac:dyDescent="0.25">
      <c r="A72" s="247" t="s">
        <v>1267</v>
      </c>
      <c r="B72" s="64">
        <v>12.55</v>
      </c>
      <c r="C72" s="64">
        <v>59.48</v>
      </c>
      <c r="D72" s="64">
        <v>41.14</v>
      </c>
      <c r="E72" s="64">
        <v>5.68</v>
      </c>
      <c r="F72" s="64">
        <v>18.09</v>
      </c>
      <c r="G72" s="64">
        <v>54.59</v>
      </c>
      <c r="H72" s="64">
        <v>13.94</v>
      </c>
      <c r="I72" s="64">
        <v>4.04</v>
      </c>
      <c r="J72" s="64">
        <v>1.95</v>
      </c>
      <c r="K72" s="64">
        <v>1.3</v>
      </c>
      <c r="L72" s="64">
        <v>31.43</v>
      </c>
      <c r="M72" s="64">
        <v>11.58</v>
      </c>
      <c r="N72" s="64">
        <v>213.8</v>
      </c>
      <c r="O72" s="64">
        <v>0</v>
      </c>
      <c r="P72" s="64">
        <v>0.52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47" t="s">
        <v>1268</v>
      </c>
      <c r="B73" s="64">
        <v>12.49</v>
      </c>
      <c r="C73" s="64">
        <v>62.1</v>
      </c>
      <c r="D73" s="64">
        <v>42.46</v>
      </c>
      <c r="E73" s="64">
        <v>7.28</v>
      </c>
      <c r="F73" s="64">
        <v>20.27</v>
      </c>
      <c r="G73" s="64">
        <v>40.36</v>
      </c>
      <c r="H73" s="64">
        <v>9.75</v>
      </c>
      <c r="I73" s="64">
        <v>3.98</v>
      </c>
      <c r="J73" s="64">
        <v>1.69</v>
      </c>
      <c r="K73" s="64">
        <v>358.14</v>
      </c>
      <c r="L73" s="64">
        <v>31.47</v>
      </c>
      <c r="M73" s="64">
        <v>11.88</v>
      </c>
      <c r="N73" s="64">
        <v>288.89999999999998</v>
      </c>
      <c r="O73" s="64">
        <v>0</v>
      </c>
      <c r="P73" s="64">
        <v>0.49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47" t="s">
        <v>1269</v>
      </c>
      <c r="B74" s="64">
        <v>14.47</v>
      </c>
      <c r="C74" s="64">
        <v>60.7</v>
      </c>
      <c r="D74" s="64">
        <v>43.32</v>
      </c>
      <c r="E74" s="64">
        <v>9.65</v>
      </c>
      <c r="F74" s="64">
        <v>24.7</v>
      </c>
      <c r="G74" s="64">
        <v>40.36</v>
      </c>
      <c r="H74" s="64">
        <v>9.75</v>
      </c>
      <c r="I74" s="64">
        <v>3.93</v>
      </c>
      <c r="J74" s="64">
        <v>1.43</v>
      </c>
      <c r="K74" s="64">
        <v>359.43</v>
      </c>
      <c r="L74" s="64">
        <v>31.49</v>
      </c>
      <c r="M74" s="64">
        <v>11.57</v>
      </c>
      <c r="N74" s="64">
        <v>231</v>
      </c>
      <c r="O74" s="64">
        <v>0</v>
      </c>
      <c r="P74" s="64">
        <v>0.54</v>
      </c>
      <c r="Q74" s="64">
        <v>9.4700000000000006</v>
      </c>
      <c r="R74" s="198"/>
      <c r="S74" s="198"/>
      <c r="T74" s="198"/>
      <c r="U74" s="198"/>
    </row>
    <row r="75" spans="1:21" s="12" customFormat="1" x14ac:dyDescent="0.25">
      <c r="A75" s="247" t="s">
        <v>1270</v>
      </c>
      <c r="B75" s="64">
        <v>12.08</v>
      </c>
      <c r="C75" s="64">
        <v>62.43</v>
      </c>
      <c r="D75" s="64">
        <v>42.3</v>
      </c>
      <c r="E75" s="64">
        <v>12.72</v>
      </c>
      <c r="F75" s="64">
        <v>22.11</v>
      </c>
      <c r="G75" s="64">
        <v>40.36</v>
      </c>
      <c r="H75" s="64">
        <v>9.75</v>
      </c>
      <c r="I75" s="64">
        <v>4.0199999999999996</v>
      </c>
      <c r="J75" s="64">
        <v>1.1000000000000001</v>
      </c>
      <c r="K75" s="64">
        <v>6.75</v>
      </c>
      <c r="L75" s="64">
        <v>30.28</v>
      </c>
      <c r="M75" s="64">
        <v>12.81</v>
      </c>
      <c r="N75" s="64">
        <v>152.19999999999999</v>
      </c>
      <c r="O75" s="64">
        <v>0</v>
      </c>
      <c r="P75" s="64">
        <v>0.51</v>
      </c>
      <c r="Q75" s="64">
        <v>9.4700000000000006</v>
      </c>
      <c r="R75" s="198"/>
      <c r="S75" s="198"/>
      <c r="T75" s="198"/>
      <c r="U75" s="198"/>
    </row>
    <row r="76" spans="1:21" s="12" customFormat="1" x14ac:dyDescent="0.25">
      <c r="A76" s="247" t="s">
        <v>1271</v>
      </c>
      <c r="B76" s="64">
        <v>15</v>
      </c>
      <c r="C76" s="64">
        <v>66.34</v>
      </c>
      <c r="D76" s="64">
        <v>46.69</v>
      </c>
      <c r="E76" s="64">
        <v>13.87</v>
      </c>
      <c r="F76" s="64">
        <v>21.22</v>
      </c>
      <c r="G76" s="64">
        <v>40.340000000000003</v>
      </c>
      <c r="H76" s="64">
        <v>9.7200000000000006</v>
      </c>
      <c r="I76" s="64">
        <v>4.08</v>
      </c>
      <c r="J76" s="64">
        <v>1.47</v>
      </c>
      <c r="K76" s="64">
        <v>357.82</v>
      </c>
      <c r="L76" s="64">
        <v>29.84</v>
      </c>
      <c r="M76" s="64">
        <v>15.59</v>
      </c>
      <c r="N76" s="64">
        <v>120.3</v>
      </c>
      <c r="O76" s="64">
        <v>0</v>
      </c>
      <c r="P76" s="64">
        <v>0.59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47" t="s">
        <v>1272</v>
      </c>
      <c r="B77" s="64">
        <v>20.84</v>
      </c>
      <c r="C77" s="64">
        <v>72.16</v>
      </c>
      <c r="D77" s="64">
        <v>54.41</v>
      </c>
      <c r="E77" s="64">
        <v>15.15</v>
      </c>
      <c r="F77" s="64">
        <v>18.77</v>
      </c>
      <c r="G77" s="64">
        <v>40.270000000000003</v>
      </c>
      <c r="H77" s="64">
        <v>9.65</v>
      </c>
      <c r="I77" s="64">
        <v>4.17</v>
      </c>
      <c r="J77" s="64">
        <v>1.41</v>
      </c>
      <c r="K77" s="64">
        <v>348.71</v>
      </c>
      <c r="L77" s="64">
        <v>28.82</v>
      </c>
      <c r="M77" s="64">
        <v>17.27</v>
      </c>
      <c r="N77" s="64">
        <v>111.6</v>
      </c>
      <c r="O77" s="64">
        <v>0</v>
      </c>
      <c r="P77" s="64">
        <v>0.65</v>
      </c>
      <c r="Q77" s="64">
        <v>9.48</v>
      </c>
      <c r="R77" s="198"/>
      <c r="S77" s="198"/>
      <c r="T77" s="198"/>
      <c r="U77" s="198"/>
    </row>
    <row r="78" spans="1:21" s="12" customFormat="1" x14ac:dyDescent="0.25">
      <c r="A78" s="247" t="s">
        <v>1273</v>
      </c>
      <c r="B78" s="64">
        <v>17.28</v>
      </c>
      <c r="C78" s="64">
        <v>70.94</v>
      </c>
      <c r="D78" s="64">
        <v>50.92</v>
      </c>
      <c r="E78" s="64">
        <v>10.41</v>
      </c>
      <c r="F78" s="64">
        <v>16.989999999999998</v>
      </c>
      <c r="G78" s="64">
        <v>40.270000000000003</v>
      </c>
      <c r="H78" s="64">
        <v>9.65</v>
      </c>
      <c r="I78" s="64">
        <v>4.1500000000000004</v>
      </c>
      <c r="J78" s="64">
        <v>1.74</v>
      </c>
      <c r="K78" s="64">
        <v>349.69</v>
      </c>
      <c r="L78" s="64">
        <v>28.93</v>
      </c>
      <c r="M78" s="64">
        <v>16.440000000000001</v>
      </c>
      <c r="N78" s="64">
        <v>104.5</v>
      </c>
      <c r="O78" s="64">
        <v>0</v>
      </c>
      <c r="P78" s="64">
        <v>0.67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47" t="s">
        <v>1274</v>
      </c>
      <c r="B79" s="64">
        <v>22.02</v>
      </c>
      <c r="C79" s="64">
        <v>79.45</v>
      </c>
      <c r="D79" s="64">
        <v>59.17</v>
      </c>
      <c r="E79" s="64">
        <v>18.37</v>
      </c>
      <c r="F79" s="64">
        <v>17.850000000000001</v>
      </c>
      <c r="G79" s="64">
        <v>40.270000000000003</v>
      </c>
      <c r="H79" s="64">
        <v>9.65</v>
      </c>
      <c r="I79" s="64">
        <v>4.1399999999999997</v>
      </c>
      <c r="J79" s="64">
        <v>1.08</v>
      </c>
      <c r="K79" s="64">
        <v>0.4</v>
      </c>
      <c r="L79" s="64">
        <v>28.52</v>
      </c>
      <c r="M79" s="64">
        <v>16.899999999999999</v>
      </c>
      <c r="N79" s="64">
        <v>92.9</v>
      </c>
      <c r="O79" s="64">
        <v>0</v>
      </c>
      <c r="P79" s="64">
        <v>0.87</v>
      </c>
      <c r="Q79" s="64">
        <v>9.5299999999999994</v>
      </c>
      <c r="R79" s="198"/>
      <c r="S79" s="198"/>
      <c r="T79" s="198"/>
      <c r="U79" s="198"/>
    </row>
    <row r="80" spans="1:21" s="12" customFormat="1" x14ac:dyDescent="0.25">
      <c r="A80" s="247" t="s">
        <v>1275</v>
      </c>
      <c r="B80" s="64">
        <v>39.76</v>
      </c>
      <c r="C80" s="64">
        <v>95.2</v>
      </c>
      <c r="D80" s="64">
        <v>81.63</v>
      </c>
      <c r="E80" s="64">
        <v>14.64</v>
      </c>
      <c r="F80" s="64">
        <v>13.43</v>
      </c>
      <c r="G80" s="64">
        <v>43.95</v>
      </c>
      <c r="H80" s="64">
        <v>10.28</v>
      </c>
      <c r="I80" s="64">
        <v>3.92</v>
      </c>
      <c r="J80" s="64">
        <v>0.98</v>
      </c>
      <c r="K80" s="64">
        <v>2.58</v>
      </c>
      <c r="L80" s="64">
        <v>27.67</v>
      </c>
      <c r="M80" s="64">
        <v>18.57</v>
      </c>
      <c r="N80" s="64">
        <v>82.9</v>
      </c>
      <c r="O80" s="64">
        <v>0</v>
      </c>
      <c r="P80" s="64">
        <v>1.24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47" t="s">
        <v>1276</v>
      </c>
      <c r="B81" s="64">
        <v>74.959999999999994</v>
      </c>
      <c r="C81" s="64">
        <v>107.78</v>
      </c>
      <c r="D81" s="64">
        <v>116.42</v>
      </c>
      <c r="E81" s="64">
        <v>15.01</v>
      </c>
      <c r="F81" s="64">
        <v>8.7799999999999994</v>
      </c>
      <c r="G81" s="64">
        <v>54.68</v>
      </c>
      <c r="H81" s="64">
        <v>12.01</v>
      </c>
      <c r="I81" s="64">
        <v>3.97</v>
      </c>
      <c r="J81" s="64">
        <v>0.67</v>
      </c>
      <c r="K81" s="64">
        <v>10.119999999999999</v>
      </c>
      <c r="L81" s="64">
        <v>26.74</v>
      </c>
      <c r="M81" s="64">
        <v>20.28</v>
      </c>
      <c r="N81" s="64">
        <v>76.2</v>
      </c>
      <c r="O81" s="64">
        <v>0</v>
      </c>
      <c r="P81" s="64">
        <v>1.71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47" t="s">
        <v>1277</v>
      </c>
      <c r="B82" s="64">
        <v>77.150000000000006</v>
      </c>
      <c r="C82" s="64">
        <v>108</v>
      </c>
      <c r="D82" s="64">
        <v>118.3</v>
      </c>
      <c r="E82" s="64">
        <v>13.49</v>
      </c>
      <c r="F82" s="64">
        <v>6.61</v>
      </c>
      <c r="G82" s="64">
        <v>54.68</v>
      </c>
      <c r="H82" s="64">
        <v>12.01</v>
      </c>
      <c r="I82" s="64">
        <v>4.0199999999999996</v>
      </c>
      <c r="J82" s="64">
        <v>0.48</v>
      </c>
      <c r="K82" s="64">
        <v>324.82</v>
      </c>
      <c r="L82" s="64">
        <v>25.69</v>
      </c>
      <c r="M82" s="64">
        <v>24.9</v>
      </c>
      <c r="N82" s="64">
        <v>74.099999999999994</v>
      </c>
      <c r="O82" s="64">
        <v>0</v>
      </c>
      <c r="P82" s="64">
        <v>1.85</v>
      </c>
      <c r="Q82" s="64">
        <v>9.5</v>
      </c>
      <c r="R82" s="198"/>
      <c r="S82" s="198"/>
      <c r="T82" s="198"/>
      <c r="U82" s="198"/>
    </row>
    <row r="83" spans="1:26" s="12" customFormat="1" x14ac:dyDescent="0.25">
      <c r="A83" s="247" t="s">
        <v>1278</v>
      </c>
      <c r="B83" s="64">
        <v>118.17</v>
      </c>
      <c r="C83" s="64">
        <v>115.43</v>
      </c>
      <c r="D83" s="64">
        <v>155.07</v>
      </c>
      <c r="E83" s="64">
        <v>11.02</v>
      </c>
      <c r="F83" s="64">
        <v>7.51</v>
      </c>
      <c r="G83" s="64">
        <v>54.68</v>
      </c>
      <c r="H83" s="64">
        <v>12.01</v>
      </c>
      <c r="I83" s="64">
        <v>3.92</v>
      </c>
      <c r="J83" s="64">
        <v>0.46</v>
      </c>
      <c r="K83" s="64">
        <v>0.57999999999999996</v>
      </c>
      <c r="L83" s="64">
        <v>24.57</v>
      </c>
      <c r="M83" s="64">
        <v>27.02</v>
      </c>
      <c r="N83" s="64">
        <v>73.8</v>
      </c>
      <c r="O83" s="64">
        <v>0</v>
      </c>
      <c r="P83" s="64">
        <v>2.0299999999999998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47" t="s">
        <v>1279</v>
      </c>
      <c r="B84" s="64">
        <v>123.88</v>
      </c>
      <c r="C84" s="64">
        <v>108.28</v>
      </c>
      <c r="D84" s="64">
        <v>155.91999999999999</v>
      </c>
      <c r="E84" s="64">
        <v>9.98</v>
      </c>
      <c r="F84" s="64">
        <v>8.82</v>
      </c>
      <c r="G84" s="64">
        <v>64.430000000000007</v>
      </c>
      <c r="H84" s="64">
        <v>13.23</v>
      </c>
      <c r="I84" s="64">
        <v>4.04</v>
      </c>
      <c r="J84" s="64">
        <v>0.48</v>
      </c>
      <c r="K84" s="64">
        <v>314.82</v>
      </c>
      <c r="L84" s="64">
        <v>23.89</v>
      </c>
      <c r="M84" s="64">
        <v>30.74</v>
      </c>
      <c r="N84" s="64">
        <v>73.599999999999994</v>
      </c>
      <c r="O84" s="64">
        <v>0</v>
      </c>
      <c r="P84" s="64">
        <v>2.2799999999999998</v>
      </c>
      <c r="Q84" s="64">
        <v>9.5299999999999994</v>
      </c>
      <c r="R84" s="198"/>
      <c r="S84" s="198"/>
      <c r="T84" s="198"/>
      <c r="U84" s="198"/>
    </row>
    <row r="85" spans="1:26" s="12" customFormat="1" x14ac:dyDescent="0.25">
      <c r="A85" s="247" t="s">
        <v>1280</v>
      </c>
      <c r="B85" s="64">
        <v>136.16999999999999</v>
      </c>
      <c r="C85" s="64">
        <v>112.07</v>
      </c>
      <c r="D85" s="64">
        <v>167.75</v>
      </c>
      <c r="E85" s="64">
        <v>9.8000000000000007</v>
      </c>
      <c r="F85" s="64">
        <v>7.71</v>
      </c>
      <c r="G85" s="64">
        <v>91.23</v>
      </c>
      <c r="H85" s="64">
        <v>16.559999999999999</v>
      </c>
      <c r="I85" s="64">
        <v>3.92</v>
      </c>
      <c r="J85" s="64">
        <v>0.62</v>
      </c>
      <c r="K85" s="64">
        <v>317.08</v>
      </c>
      <c r="L85" s="64">
        <v>23.72</v>
      </c>
      <c r="M85" s="64">
        <v>30.76</v>
      </c>
      <c r="N85" s="64">
        <v>73.5</v>
      </c>
      <c r="O85" s="64">
        <v>0</v>
      </c>
      <c r="P85" s="64">
        <v>1.98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47" t="s">
        <v>1281</v>
      </c>
      <c r="B86" s="64">
        <v>141.97</v>
      </c>
      <c r="C86" s="64">
        <v>115.96</v>
      </c>
      <c r="D86" s="64">
        <v>174.43</v>
      </c>
      <c r="E86" s="64">
        <v>9.26</v>
      </c>
      <c r="F86" s="64">
        <v>7.67</v>
      </c>
      <c r="G86" s="64">
        <v>91.23</v>
      </c>
      <c r="H86" s="64">
        <v>16.559999999999999</v>
      </c>
      <c r="I86" s="64">
        <v>3.95</v>
      </c>
      <c r="J86" s="64">
        <v>0.26</v>
      </c>
      <c r="K86" s="64">
        <v>146.16999999999999</v>
      </c>
      <c r="L86" s="64">
        <v>23.14</v>
      </c>
      <c r="M86" s="64">
        <v>31.38</v>
      </c>
      <c r="N86" s="64">
        <v>73.400000000000006</v>
      </c>
      <c r="O86" s="64">
        <v>0</v>
      </c>
      <c r="P86" s="64">
        <v>2.17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47" t="s">
        <v>1282</v>
      </c>
      <c r="B87" s="64">
        <v>203.93</v>
      </c>
      <c r="C87" s="64">
        <v>122.47</v>
      </c>
      <c r="D87" s="64">
        <v>227.52</v>
      </c>
      <c r="E87" s="64">
        <v>8.57</v>
      </c>
      <c r="F87" s="64">
        <v>8.3699999999999992</v>
      </c>
      <c r="G87" s="64">
        <v>91.23</v>
      </c>
      <c r="H87" s="64">
        <v>16.559999999999999</v>
      </c>
      <c r="I87" s="64">
        <v>3.98</v>
      </c>
      <c r="J87" s="64">
        <v>0.34</v>
      </c>
      <c r="K87" s="64">
        <v>331.53</v>
      </c>
      <c r="L87" s="64">
        <v>22.84</v>
      </c>
      <c r="M87" s="64">
        <v>34.04</v>
      </c>
      <c r="N87" s="64">
        <v>73.2</v>
      </c>
      <c r="O87" s="64">
        <v>0</v>
      </c>
      <c r="P87" s="64">
        <v>2.73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47" t="s">
        <v>1283</v>
      </c>
      <c r="B88" s="64">
        <v>192.6</v>
      </c>
      <c r="C88" s="64">
        <v>121.32</v>
      </c>
      <c r="D88" s="64">
        <v>217.83</v>
      </c>
      <c r="E88" s="64">
        <v>8.48</v>
      </c>
      <c r="F88" s="64">
        <v>8.23</v>
      </c>
      <c r="G88" s="64">
        <v>120.38</v>
      </c>
      <c r="H88" s="64">
        <v>16.010000000000002</v>
      </c>
      <c r="I88" s="64">
        <v>4.0199999999999996</v>
      </c>
      <c r="J88" s="64">
        <v>0.64</v>
      </c>
      <c r="K88" s="64">
        <v>76.94</v>
      </c>
      <c r="L88" s="64">
        <v>22.71</v>
      </c>
      <c r="M88" s="64">
        <v>35.58</v>
      </c>
      <c r="N88" s="64">
        <v>73</v>
      </c>
      <c r="O88" s="64">
        <v>0</v>
      </c>
      <c r="P88" s="64">
        <v>2.46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47" t="s">
        <v>1284</v>
      </c>
      <c r="B89" s="64">
        <v>242.04</v>
      </c>
      <c r="C89" s="64">
        <v>130.36000000000001</v>
      </c>
      <c r="D89" s="64">
        <v>262.20999999999998</v>
      </c>
      <c r="E89" s="64">
        <v>9</v>
      </c>
      <c r="F89" s="64">
        <v>8.85</v>
      </c>
      <c r="G89" s="64">
        <v>200.54</v>
      </c>
      <c r="H89" s="64">
        <v>14.48</v>
      </c>
      <c r="I89" s="64">
        <v>4.07</v>
      </c>
      <c r="J89" s="64">
        <v>0.1</v>
      </c>
      <c r="K89" s="64">
        <v>69.459999999999994</v>
      </c>
      <c r="L89" s="64">
        <v>22.2</v>
      </c>
      <c r="M89" s="64">
        <v>40.03</v>
      </c>
      <c r="N89" s="64">
        <v>73.2</v>
      </c>
      <c r="O89" s="64">
        <v>0</v>
      </c>
      <c r="P89" s="64">
        <v>2.94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47" t="s">
        <v>1285</v>
      </c>
      <c r="B90" s="64">
        <v>286.39999999999998</v>
      </c>
      <c r="C90" s="64">
        <v>136.43</v>
      </c>
      <c r="D90" s="64">
        <v>300.95</v>
      </c>
      <c r="E90" s="64">
        <v>11.81</v>
      </c>
      <c r="F90" s="64">
        <v>9.11</v>
      </c>
      <c r="G90" s="64">
        <v>200.54</v>
      </c>
      <c r="H90" s="64">
        <v>14.48</v>
      </c>
      <c r="I90" s="64">
        <v>3.87</v>
      </c>
      <c r="J90" s="64">
        <v>0.63</v>
      </c>
      <c r="K90" s="64">
        <v>322.20999999999998</v>
      </c>
      <c r="L90" s="64">
        <v>21.85</v>
      </c>
      <c r="M90" s="64">
        <v>42.97</v>
      </c>
      <c r="N90" s="64">
        <v>73.099999999999994</v>
      </c>
      <c r="O90" s="64">
        <v>0</v>
      </c>
      <c r="P90" s="64">
        <v>4.29</v>
      </c>
      <c r="Q90" s="64">
        <v>9.74</v>
      </c>
      <c r="R90" s="198"/>
      <c r="S90" s="198"/>
      <c r="T90" s="198"/>
      <c r="U90" s="198"/>
    </row>
    <row r="91" spans="1:26" s="12" customFormat="1" x14ac:dyDescent="0.25">
      <c r="A91" s="247" t="s">
        <v>1286</v>
      </c>
      <c r="B91" s="64">
        <v>235.94</v>
      </c>
      <c r="C91" s="64">
        <v>120.71</v>
      </c>
      <c r="D91" s="64">
        <v>252.27</v>
      </c>
      <c r="E91" s="64">
        <v>10.7</v>
      </c>
      <c r="F91" s="64">
        <v>9.66</v>
      </c>
      <c r="G91" s="64">
        <v>200.54</v>
      </c>
      <c r="H91" s="64">
        <v>14.48</v>
      </c>
      <c r="I91" s="64">
        <v>3.98</v>
      </c>
      <c r="J91" s="64">
        <v>0.25</v>
      </c>
      <c r="K91" s="64">
        <v>276.08</v>
      </c>
      <c r="L91" s="64">
        <v>22.15</v>
      </c>
      <c r="M91" s="64">
        <v>38.65</v>
      </c>
      <c r="N91" s="64">
        <v>72</v>
      </c>
      <c r="O91" s="64">
        <v>0</v>
      </c>
      <c r="P91" s="64">
        <v>3.79</v>
      </c>
      <c r="Q91" s="64">
        <v>9.82</v>
      </c>
      <c r="R91" s="198"/>
      <c r="S91" s="198"/>
      <c r="T91" s="198"/>
      <c r="U91" s="198"/>
    </row>
    <row r="92" spans="1:26" s="12" customFormat="1" x14ac:dyDescent="0.25">
      <c r="A92" s="247" t="s">
        <v>1287</v>
      </c>
      <c r="B92" s="64">
        <v>209.61</v>
      </c>
      <c r="C92" s="64">
        <v>121.96</v>
      </c>
      <c r="D92" s="64">
        <v>231.81</v>
      </c>
      <c r="E92" s="64">
        <v>11.41</v>
      </c>
      <c r="F92" s="64">
        <v>7.86</v>
      </c>
      <c r="G92" s="64">
        <v>203.75</v>
      </c>
      <c r="H92" s="64">
        <v>19.93</v>
      </c>
      <c r="I92" s="64">
        <v>4.03</v>
      </c>
      <c r="J92" s="64">
        <v>0.42</v>
      </c>
      <c r="K92" s="64">
        <v>318.08999999999997</v>
      </c>
      <c r="L92" s="64">
        <v>22.02</v>
      </c>
      <c r="M92" s="64">
        <v>38.57</v>
      </c>
      <c r="N92" s="64">
        <v>73.400000000000006</v>
      </c>
      <c r="O92" s="64">
        <v>0</v>
      </c>
      <c r="P92" s="64">
        <v>3.59</v>
      </c>
      <c r="Q92" s="64">
        <v>9.8699999999999992</v>
      </c>
      <c r="R92" s="198"/>
      <c r="S92" s="198"/>
      <c r="T92" s="198"/>
      <c r="U92" s="198"/>
    </row>
    <row r="93" spans="1:26" s="12" customFormat="1" x14ac:dyDescent="0.25">
      <c r="A93" s="247" t="s">
        <v>1288</v>
      </c>
      <c r="B93" s="64">
        <v>320.35000000000002</v>
      </c>
      <c r="C93" s="64">
        <v>132.47999999999999</v>
      </c>
      <c r="D93" s="64">
        <v>326.11</v>
      </c>
      <c r="E93" s="64">
        <v>11.16</v>
      </c>
      <c r="F93" s="64">
        <v>9.57</v>
      </c>
      <c r="G93" s="64">
        <v>212.57</v>
      </c>
      <c r="H93" s="64">
        <v>34.909999999999997</v>
      </c>
      <c r="I93" s="64">
        <v>4.13</v>
      </c>
      <c r="J93" s="64">
        <v>0.33</v>
      </c>
      <c r="K93" s="64">
        <v>272.39</v>
      </c>
      <c r="L93" s="64">
        <v>21.7</v>
      </c>
      <c r="M93" s="64">
        <v>37.97</v>
      </c>
      <c r="N93" s="64">
        <v>73</v>
      </c>
      <c r="O93" s="64">
        <v>0</v>
      </c>
      <c r="P93" s="64">
        <v>3.41</v>
      </c>
      <c r="Q93" s="64">
        <v>9.92</v>
      </c>
      <c r="R93" s="198"/>
      <c r="S93" s="198"/>
      <c r="T93" s="198"/>
      <c r="U93" s="198"/>
    </row>
    <row r="94" spans="1:26" s="12" customFormat="1" x14ac:dyDescent="0.25">
      <c r="A94" s="247" t="s">
        <v>1289</v>
      </c>
      <c r="B94" s="64">
        <v>281.06</v>
      </c>
      <c r="C94" s="64">
        <v>116.15</v>
      </c>
      <c r="D94" s="64">
        <v>286.07</v>
      </c>
      <c r="E94" s="64">
        <v>11.47</v>
      </c>
      <c r="F94" s="64">
        <v>8.8699999999999992</v>
      </c>
      <c r="G94" s="64">
        <v>212.57</v>
      </c>
      <c r="H94" s="64">
        <v>34.909999999999997</v>
      </c>
      <c r="I94" s="64">
        <v>3.98</v>
      </c>
      <c r="J94" s="64">
        <v>0.75</v>
      </c>
      <c r="K94" s="64">
        <v>341.4</v>
      </c>
      <c r="L94" s="64">
        <v>21.13</v>
      </c>
      <c r="M94" s="64">
        <v>43.09</v>
      </c>
      <c r="N94" s="64">
        <v>73.3</v>
      </c>
      <c r="O94" s="64">
        <v>0</v>
      </c>
      <c r="P94" s="64">
        <v>4.21</v>
      </c>
      <c r="Q94" s="64">
        <v>9.94</v>
      </c>
      <c r="R94" s="198"/>
      <c r="S94" s="198"/>
      <c r="T94" s="198"/>
      <c r="U94" s="198"/>
    </row>
    <row r="95" spans="1:26" s="12" customFormat="1" x14ac:dyDescent="0.25">
      <c r="A95" s="247" t="s">
        <v>1290</v>
      </c>
      <c r="B95" s="64">
        <v>215.7</v>
      </c>
      <c r="C95" s="64">
        <v>108.29</v>
      </c>
      <c r="D95" s="64">
        <v>229.56</v>
      </c>
      <c r="E95" s="64">
        <v>10.52</v>
      </c>
      <c r="F95" s="64">
        <v>8.67</v>
      </c>
      <c r="G95" s="64">
        <v>212.57</v>
      </c>
      <c r="H95" s="64">
        <v>34.909999999999997</v>
      </c>
      <c r="I95" s="64">
        <v>4.03</v>
      </c>
      <c r="J95" s="64">
        <v>0.15</v>
      </c>
      <c r="K95" s="64">
        <v>10.73</v>
      </c>
      <c r="L95" s="64">
        <v>20.65</v>
      </c>
      <c r="M95" s="64">
        <v>42.69</v>
      </c>
      <c r="N95" s="64">
        <v>73.3</v>
      </c>
      <c r="O95" s="64">
        <v>0</v>
      </c>
      <c r="P95" s="64">
        <v>3.35</v>
      </c>
      <c r="Q95" s="64">
        <v>9.9700000000000006</v>
      </c>
      <c r="R95" s="198"/>
      <c r="S95" s="198"/>
      <c r="T95" s="198"/>
      <c r="U95" s="198"/>
    </row>
    <row r="96" spans="1:26" s="12" customFormat="1" x14ac:dyDescent="0.25">
      <c r="A96" s="247" t="s">
        <v>1291</v>
      </c>
      <c r="B96" s="64">
        <v>219.82</v>
      </c>
      <c r="C96" s="64">
        <v>109.93</v>
      </c>
      <c r="D96" s="64">
        <v>233.71</v>
      </c>
      <c r="E96" s="64">
        <v>10.09</v>
      </c>
      <c r="F96" s="64">
        <v>8.35</v>
      </c>
      <c r="G96" s="64">
        <v>215.39</v>
      </c>
      <c r="H96" s="64">
        <v>40.33</v>
      </c>
      <c r="I96" s="64">
        <v>3.99</v>
      </c>
      <c r="J96" s="64">
        <v>0.81</v>
      </c>
      <c r="K96" s="64">
        <v>352.65</v>
      </c>
      <c r="L96" s="64">
        <v>20.440000000000001</v>
      </c>
      <c r="M96" s="64">
        <v>46.54</v>
      </c>
      <c r="N96" s="64">
        <v>73.3</v>
      </c>
      <c r="O96" s="64">
        <v>0</v>
      </c>
      <c r="P96" s="64">
        <v>3.57</v>
      </c>
      <c r="Q96" s="64">
        <v>10.039999999999999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1292</v>
      </c>
      <c r="B97" s="64">
        <v>247.8</v>
      </c>
      <c r="C97" s="64">
        <v>101.08</v>
      </c>
      <c r="D97" s="64">
        <v>251.53</v>
      </c>
      <c r="E97" s="64">
        <v>8.5299999999999994</v>
      </c>
      <c r="F97" s="64">
        <v>6.96</v>
      </c>
      <c r="G97" s="64">
        <v>223.17</v>
      </c>
      <c r="H97" s="64">
        <v>55.23</v>
      </c>
      <c r="I97" s="64">
        <v>3.92</v>
      </c>
      <c r="J97" s="64">
        <v>0.05</v>
      </c>
      <c r="K97" s="64">
        <v>215.46</v>
      </c>
      <c r="L97" s="64">
        <v>20.16</v>
      </c>
      <c r="M97" s="64">
        <v>44.56</v>
      </c>
      <c r="N97" s="64">
        <v>73.2</v>
      </c>
      <c r="O97" s="64">
        <v>0</v>
      </c>
      <c r="P97" s="64">
        <v>3.06</v>
      </c>
      <c r="Q97" s="64">
        <v>10.06</v>
      </c>
      <c r="R97" s="198"/>
      <c r="S97" s="198"/>
      <c r="T97" s="198"/>
      <c r="U97" s="198"/>
    </row>
    <row r="98" spans="1:33" s="12" customFormat="1" x14ac:dyDescent="0.25">
      <c r="A98" s="247" t="s">
        <v>1293</v>
      </c>
      <c r="B98" s="64">
        <v>211.39</v>
      </c>
      <c r="C98" s="64">
        <v>90.38</v>
      </c>
      <c r="D98" s="64">
        <v>216.74</v>
      </c>
      <c r="E98" s="64">
        <v>5.7</v>
      </c>
      <c r="F98" s="64">
        <v>5.94</v>
      </c>
      <c r="G98" s="64">
        <v>223.17</v>
      </c>
      <c r="H98" s="64">
        <v>55.23</v>
      </c>
      <c r="I98" s="64">
        <v>4.17</v>
      </c>
      <c r="J98" s="64">
        <v>0.72</v>
      </c>
      <c r="K98" s="64">
        <v>356.69</v>
      </c>
      <c r="L98" s="64">
        <v>20</v>
      </c>
      <c r="M98" s="64">
        <v>47.3</v>
      </c>
      <c r="N98" s="64">
        <v>73.3</v>
      </c>
      <c r="O98" s="64">
        <v>0</v>
      </c>
      <c r="P98" s="64">
        <v>2.84</v>
      </c>
      <c r="Q98" s="64">
        <v>10.029999999999999</v>
      </c>
      <c r="R98" s="198"/>
      <c r="S98" s="198"/>
      <c r="T98" s="198"/>
      <c r="U98" s="198"/>
    </row>
    <row r="99" spans="1:33" s="12" customFormat="1" x14ac:dyDescent="0.25">
      <c r="A99" s="247" t="s">
        <v>1294</v>
      </c>
      <c r="B99" s="64">
        <v>231.29</v>
      </c>
      <c r="C99" s="64">
        <v>92.81</v>
      </c>
      <c r="D99" s="64">
        <v>233.97</v>
      </c>
      <c r="E99" s="64">
        <v>6.47</v>
      </c>
      <c r="F99" s="64">
        <v>7.27</v>
      </c>
      <c r="G99" s="64">
        <v>223.17</v>
      </c>
      <c r="H99" s="64">
        <v>55.23</v>
      </c>
      <c r="I99" s="64">
        <v>4.01</v>
      </c>
      <c r="J99" s="64">
        <v>0.68</v>
      </c>
      <c r="K99" s="64">
        <v>327.74</v>
      </c>
      <c r="L99" s="64">
        <v>19.73</v>
      </c>
      <c r="M99" s="64">
        <v>44.65</v>
      </c>
      <c r="N99" s="64">
        <v>73.2</v>
      </c>
      <c r="O99" s="64">
        <v>0</v>
      </c>
      <c r="P99" s="64">
        <v>2.92</v>
      </c>
      <c r="Q99" s="64">
        <v>10.029999999999999</v>
      </c>
      <c r="R99" s="198"/>
      <c r="S99" s="198"/>
      <c r="T99" s="198"/>
      <c r="U99" s="198"/>
    </row>
    <row r="100" spans="1:33" s="12" customFormat="1" x14ac:dyDescent="0.25">
      <c r="A100" s="247" t="s">
        <v>1295</v>
      </c>
      <c r="B100" s="64">
        <v>261.14</v>
      </c>
      <c r="C100" s="64">
        <v>99.37</v>
      </c>
      <c r="D100" s="64">
        <v>261.33</v>
      </c>
      <c r="E100" s="64">
        <v>6.37</v>
      </c>
      <c r="F100" s="64">
        <v>7.37</v>
      </c>
      <c r="G100" s="64">
        <v>210.25</v>
      </c>
      <c r="H100" s="64">
        <v>52.64</v>
      </c>
      <c r="I100" s="64">
        <v>4.05</v>
      </c>
      <c r="J100" s="64">
        <v>0.38</v>
      </c>
      <c r="K100" s="64">
        <v>305.99</v>
      </c>
      <c r="L100" s="64">
        <v>19.77</v>
      </c>
      <c r="M100" s="64">
        <v>42.89</v>
      </c>
      <c r="N100" s="64">
        <v>73.3</v>
      </c>
      <c r="O100" s="64">
        <v>0</v>
      </c>
      <c r="P100" s="64">
        <v>2.78</v>
      </c>
      <c r="Q100" s="64">
        <v>10.06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1296</v>
      </c>
      <c r="B101" s="64">
        <v>240.15</v>
      </c>
      <c r="C101" s="64">
        <v>87.63</v>
      </c>
      <c r="D101" s="64">
        <v>238.37</v>
      </c>
      <c r="E101" s="64">
        <v>5.31</v>
      </c>
      <c r="F101" s="64">
        <v>5.84</v>
      </c>
      <c r="G101" s="64">
        <v>174.75</v>
      </c>
      <c r="H101" s="64">
        <v>45.52</v>
      </c>
      <c r="I101" s="64">
        <v>3.92</v>
      </c>
      <c r="J101" s="64">
        <v>0.63</v>
      </c>
      <c r="K101" s="64">
        <v>31.94</v>
      </c>
      <c r="L101" s="64">
        <v>19.350000000000001</v>
      </c>
      <c r="M101" s="64">
        <v>44.96</v>
      </c>
      <c r="N101" s="64">
        <v>73.5</v>
      </c>
      <c r="O101" s="64">
        <v>0</v>
      </c>
      <c r="P101" s="64">
        <v>2.84</v>
      </c>
      <c r="Q101" s="64">
        <v>10.1</v>
      </c>
      <c r="R101" s="198"/>
      <c r="S101" s="198"/>
      <c r="T101" s="198"/>
      <c r="U101" s="198"/>
    </row>
    <row r="102" spans="1:33" s="12" customFormat="1" x14ac:dyDescent="0.25">
      <c r="A102" s="247" t="s">
        <v>1297</v>
      </c>
      <c r="B102" s="64">
        <v>255.98</v>
      </c>
      <c r="C102" s="64">
        <v>89.55</v>
      </c>
      <c r="D102" s="64">
        <v>252.06</v>
      </c>
      <c r="E102" s="64">
        <v>5.72</v>
      </c>
      <c r="F102" s="64">
        <v>6.02</v>
      </c>
      <c r="G102" s="64">
        <v>174.75</v>
      </c>
      <c r="H102" s="64">
        <v>45.52</v>
      </c>
      <c r="I102" s="64">
        <v>3.93</v>
      </c>
      <c r="J102" s="64">
        <v>0.49</v>
      </c>
      <c r="K102" s="64">
        <v>254.94</v>
      </c>
      <c r="L102" s="64">
        <v>19.21</v>
      </c>
      <c r="M102" s="64">
        <v>45.53</v>
      </c>
      <c r="N102" s="64">
        <v>73.3</v>
      </c>
      <c r="O102" s="64">
        <v>0</v>
      </c>
      <c r="P102" s="64">
        <v>2.85</v>
      </c>
      <c r="Q102" s="64">
        <v>10.119999999999999</v>
      </c>
      <c r="R102" s="198"/>
      <c r="S102" s="198"/>
      <c r="T102" s="198"/>
      <c r="U102" s="198"/>
    </row>
    <row r="103" spans="1:33" s="12" customFormat="1" x14ac:dyDescent="0.25">
      <c r="A103" s="247" t="s">
        <v>1298</v>
      </c>
      <c r="B103" s="64">
        <v>277.91000000000003</v>
      </c>
      <c r="C103" s="64">
        <v>89.43</v>
      </c>
      <c r="D103" s="64">
        <v>269.58999999999997</v>
      </c>
      <c r="E103" s="64">
        <v>6.32</v>
      </c>
      <c r="F103" s="64">
        <v>6.84</v>
      </c>
      <c r="G103" s="64">
        <v>174.75</v>
      </c>
      <c r="H103" s="64">
        <v>45.52</v>
      </c>
      <c r="I103" s="64">
        <v>4</v>
      </c>
      <c r="J103" s="64">
        <v>0.47</v>
      </c>
      <c r="K103" s="64">
        <v>104.57</v>
      </c>
      <c r="L103" s="64">
        <v>19.09</v>
      </c>
      <c r="M103" s="64">
        <v>47.37</v>
      </c>
      <c r="N103" s="64">
        <v>73.5</v>
      </c>
      <c r="O103" s="64">
        <v>0</v>
      </c>
      <c r="P103" s="64">
        <v>2.76</v>
      </c>
      <c r="Q103" s="64">
        <v>10.16</v>
      </c>
      <c r="R103" s="198"/>
      <c r="S103" s="198"/>
      <c r="T103" s="198"/>
      <c r="U103" s="198"/>
    </row>
    <row r="104" spans="1:33" s="12" customFormat="1" x14ac:dyDescent="0.25">
      <c r="A104" s="247" t="s">
        <v>1299</v>
      </c>
      <c r="B104" s="64">
        <v>259.27</v>
      </c>
      <c r="C104" s="64">
        <v>88.44</v>
      </c>
      <c r="D104" s="64">
        <v>254.12</v>
      </c>
      <c r="E104" s="64">
        <v>4.7</v>
      </c>
      <c r="F104" s="64">
        <v>6.08</v>
      </c>
      <c r="G104" s="64">
        <v>174.43</v>
      </c>
      <c r="H104" s="64">
        <v>47.75</v>
      </c>
      <c r="I104" s="64">
        <v>3.88</v>
      </c>
      <c r="J104" s="64">
        <v>0.65</v>
      </c>
      <c r="K104" s="64">
        <v>116.78</v>
      </c>
      <c r="L104" s="64">
        <v>18.8</v>
      </c>
      <c r="M104" s="64">
        <v>47.07</v>
      </c>
      <c r="N104" s="64">
        <v>73.5</v>
      </c>
      <c r="O104" s="64">
        <v>0</v>
      </c>
      <c r="P104" s="64">
        <v>2.69</v>
      </c>
      <c r="Q104" s="64">
        <v>10.220000000000001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7.11</v>
      </c>
      <c r="C106" s="67">
        <f>MIN(C9:C104)</f>
        <v>57.76</v>
      </c>
      <c r="D106" s="67">
        <f t="shared" ref="D106:Q106" si="0">MIN(D9:D104)</f>
        <v>41.14</v>
      </c>
      <c r="E106" s="67">
        <f t="shared" si="0"/>
        <v>2.1</v>
      </c>
      <c r="F106" s="67">
        <f t="shared" si="0"/>
        <v>5.65</v>
      </c>
      <c r="G106" s="67">
        <f t="shared" si="0"/>
        <v>40.270000000000003</v>
      </c>
      <c r="H106" s="67">
        <f t="shared" si="0"/>
        <v>9.65</v>
      </c>
      <c r="I106" s="67">
        <f t="shared" si="0"/>
        <v>3.77</v>
      </c>
      <c r="J106" s="67">
        <f t="shared" si="0"/>
        <v>0.05</v>
      </c>
      <c r="K106" s="67">
        <f t="shared" si="0"/>
        <v>0.4</v>
      </c>
      <c r="L106" s="67">
        <f t="shared" si="0"/>
        <v>15.35</v>
      </c>
      <c r="M106" s="67">
        <f t="shared" si="0"/>
        <v>11.14</v>
      </c>
      <c r="N106" s="67">
        <f t="shared" si="0"/>
        <v>62.5</v>
      </c>
      <c r="O106" s="67">
        <f t="shared" si="0"/>
        <v>0</v>
      </c>
      <c r="P106" s="67">
        <f t="shared" si="0"/>
        <v>0.49</v>
      </c>
      <c r="Q106" s="67">
        <f t="shared" si="0"/>
        <v>9.44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320.35000000000002</v>
      </c>
      <c r="C107" s="66">
        <f t="shared" ref="C107:Q107" si="1">MAX(C9:C104)</f>
        <v>136.43</v>
      </c>
      <c r="D107" s="66">
        <f t="shared" si="1"/>
        <v>326.11</v>
      </c>
      <c r="E107" s="66">
        <f t="shared" si="1"/>
        <v>18.37</v>
      </c>
      <c r="F107" s="66">
        <f t="shared" si="1"/>
        <v>24.7</v>
      </c>
      <c r="G107" s="66">
        <f t="shared" si="1"/>
        <v>223.17</v>
      </c>
      <c r="H107" s="66">
        <f t="shared" si="1"/>
        <v>55.23</v>
      </c>
      <c r="I107" s="66">
        <f t="shared" si="1"/>
        <v>4.22</v>
      </c>
      <c r="J107" s="66">
        <f t="shared" si="1"/>
        <v>2.41</v>
      </c>
      <c r="K107" s="66">
        <f t="shared" si="1"/>
        <v>359.43</v>
      </c>
      <c r="L107" s="66">
        <f t="shared" si="1"/>
        <v>35.51</v>
      </c>
      <c r="M107" s="66">
        <f t="shared" si="1"/>
        <v>51.88</v>
      </c>
      <c r="N107" s="66">
        <f t="shared" si="1"/>
        <v>816.6</v>
      </c>
      <c r="O107" s="66">
        <f t="shared" si="1"/>
        <v>0</v>
      </c>
      <c r="P107" s="66">
        <f t="shared" si="1"/>
        <v>4.29</v>
      </c>
      <c r="Q107" s="66">
        <f t="shared" si="1"/>
        <v>10.220000000000001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82.132604166666667</v>
      </c>
      <c r="C108" s="67">
        <f t="shared" ref="C108:Q108" si="2">AVERAGE(C9:C104)</f>
        <v>83.727500000000006</v>
      </c>
      <c r="D108" s="67">
        <f t="shared" si="2"/>
        <v>109.59833333333336</v>
      </c>
      <c r="E108" s="67">
        <f t="shared" si="2"/>
        <v>7.2018750000000011</v>
      </c>
      <c r="F108" s="67">
        <f t="shared" si="2"/>
        <v>10.569687500000002</v>
      </c>
      <c r="G108" s="67">
        <f t="shared" si="2"/>
        <v>93.425104166666657</v>
      </c>
      <c r="H108" s="67">
        <f t="shared" si="2"/>
        <v>22.709791666666678</v>
      </c>
      <c r="I108" s="67">
        <f t="shared" si="2"/>
        <v>4.0115625000000019</v>
      </c>
      <c r="J108" s="67">
        <f t="shared" si="2"/>
        <v>1.0184374999999999</v>
      </c>
      <c r="K108" s="67">
        <f t="shared" si="2"/>
        <v>173.4504166666666</v>
      </c>
      <c r="L108" s="67">
        <f t="shared" si="2"/>
        <v>24.56739583333334</v>
      </c>
      <c r="M108" s="67">
        <f t="shared" si="2"/>
        <v>29.023750000000007</v>
      </c>
      <c r="N108" s="67">
        <f t="shared" si="2"/>
        <v>270.98437500000006</v>
      </c>
      <c r="O108" s="67">
        <f t="shared" si="2"/>
        <v>0</v>
      </c>
      <c r="P108" s="67">
        <f t="shared" si="2"/>
        <v>1.5303124999999997</v>
      </c>
      <c r="Q108" s="67">
        <f t="shared" si="2"/>
        <v>9.7033333333333314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84.666695139107134</v>
      </c>
      <c r="C109" s="67">
        <f t="shared" ref="C109:Q109" si="3">STDEV(C9:C104)</f>
        <v>18.005977428562293</v>
      </c>
      <c r="D109" s="67">
        <f t="shared" si="3"/>
        <v>75.390057946608394</v>
      </c>
      <c r="E109" s="67">
        <f t="shared" si="3"/>
        <v>3.7991612128274626</v>
      </c>
      <c r="F109" s="67">
        <f t="shared" si="3"/>
        <v>4.5364241547547195</v>
      </c>
      <c r="G109" s="67">
        <f t="shared" si="3"/>
        <v>54.748348362394353</v>
      </c>
      <c r="H109" s="67">
        <f t="shared" si="3"/>
        <v>11.958778759966414</v>
      </c>
      <c r="I109" s="67">
        <f t="shared" si="3"/>
        <v>8.9575938087248244E-2</v>
      </c>
      <c r="J109" s="67">
        <f t="shared" si="3"/>
        <v>0.58615307525558491</v>
      </c>
      <c r="K109" s="67">
        <f t="shared" si="3"/>
        <v>143.94913733250351</v>
      </c>
      <c r="L109" s="67">
        <f t="shared" si="3"/>
        <v>6.1614568073658393</v>
      </c>
      <c r="M109" s="67">
        <f t="shared" si="3"/>
        <v>12.794622410668408</v>
      </c>
      <c r="N109" s="67">
        <f t="shared" si="3"/>
        <v>281.38103939717911</v>
      </c>
      <c r="O109" s="67">
        <f t="shared" si="3"/>
        <v>0</v>
      </c>
      <c r="P109" s="67">
        <f t="shared" si="3"/>
        <v>0.98854965865735889</v>
      </c>
      <c r="Q109" s="67">
        <f t="shared" si="3"/>
        <v>0.17794538882339367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1300</v>
      </c>
      <c r="B9" s="64">
        <v>247.95</v>
      </c>
      <c r="C9" s="64">
        <v>82.14</v>
      </c>
      <c r="D9" s="64">
        <v>241.75</v>
      </c>
      <c r="E9" s="64">
        <v>4.79</v>
      </c>
      <c r="F9" s="64">
        <v>7.46</v>
      </c>
      <c r="G9" s="64">
        <v>173.54</v>
      </c>
      <c r="H9" s="64">
        <v>53.87</v>
      </c>
      <c r="I9" s="64">
        <v>4.0999999999999996</v>
      </c>
      <c r="J9" s="64">
        <v>0.67</v>
      </c>
      <c r="K9" s="64">
        <v>253.84</v>
      </c>
      <c r="L9" s="64">
        <v>18.96</v>
      </c>
      <c r="M9" s="64">
        <v>45.6</v>
      </c>
      <c r="N9" s="64">
        <v>73.099999999999994</v>
      </c>
      <c r="O9" s="64">
        <v>0</v>
      </c>
      <c r="P9" s="64">
        <v>2.63</v>
      </c>
      <c r="Q9" s="64">
        <v>10.26</v>
      </c>
      <c r="R9" s="198"/>
      <c r="S9" s="198"/>
      <c r="T9" s="198"/>
      <c r="U9" s="198"/>
    </row>
    <row r="10" spans="1:21" s="12" customFormat="1" x14ac:dyDescent="0.25">
      <c r="A10" s="247" t="s">
        <v>1301</v>
      </c>
      <c r="B10" s="64">
        <v>240.66</v>
      </c>
      <c r="C10" s="64">
        <v>81.489999999999995</v>
      </c>
      <c r="D10" s="64">
        <v>235.57</v>
      </c>
      <c r="E10" s="64">
        <v>4.71</v>
      </c>
      <c r="F10" s="64">
        <v>6.84</v>
      </c>
      <c r="G10" s="64">
        <v>173.54</v>
      </c>
      <c r="H10" s="64">
        <v>53.87</v>
      </c>
      <c r="I10" s="64">
        <v>4.07</v>
      </c>
      <c r="J10" s="64">
        <v>0.64</v>
      </c>
      <c r="K10" s="64">
        <v>335.08</v>
      </c>
      <c r="L10" s="64">
        <v>18.63</v>
      </c>
      <c r="M10" s="64">
        <v>54.03</v>
      </c>
      <c r="N10" s="64">
        <v>73.599999999999994</v>
      </c>
      <c r="O10" s="64">
        <v>0</v>
      </c>
      <c r="P10" s="64">
        <v>2.57</v>
      </c>
      <c r="Q10" s="64">
        <v>10.33</v>
      </c>
      <c r="R10" s="198"/>
      <c r="S10" s="198"/>
      <c r="T10" s="198"/>
      <c r="U10" s="198"/>
    </row>
    <row r="11" spans="1:21" s="12" customFormat="1" x14ac:dyDescent="0.25">
      <c r="A11" s="247" t="s">
        <v>1302</v>
      </c>
      <c r="B11" s="64">
        <v>196.57</v>
      </c>
      <c r="C11" s="64">
        <v>81.31</v>
      </c>
      <c r="D11" s="64">
        <v>200.11</v>
      </c>
      <c r="E11" s="64">
        <v>4.9800000000000004</v>
      </c>
      <c r="F11" s="64">
        <v>7.3</v>
      </c>
      <c r="G11" s="64">
        <v>173.54</v>
      </c>
      <c r="H11" s="64">
        <v>53.87</v>
      </c>
      <c r="I11" s="64">
        <v>4.1399999999999997</v>
      </c>
      <c r="J11" s="64">
        <v>0.55000000000000004</v>
      </c>
      <c r="K11" s="64">
        <v>3.79</v>
      </c>
      <c r="L11" s="64">
        <v>18.02</v>
      </c>
      <c r="M11" s="64">
        <v>53.26</v>
      </c>
      <c r="N11" s="64">
        <v>73.8</v>
      </c>
      <c r="O11" s="64">
        <v>0</v>
      </c>
      <c r="P11" s="64">
        <v>2.2400000000000002</v>
      </c>
      <c r="Q11" s="64">
        <v>10.36</v>
      </c>
      <c r="R11" s="198"/>
      <c r="S11" s="198"/>
      <c r="T11" s="198"/>
      <c r="U11" s="198"/>
    </row>
    <row r="12" spans="1:21" s="12" customFormat="1" x14ac:dyDescent="0.25">
      <c r="A12" s="247" t="s">
        <v>1303</v>
      </c>
      <c r="B12" s="64">
        <v>175.51</v>
      </c>
      <c r="C12" s="64">
        <v>84.47</v>
      </c>
      <c r="D12" s="64">
        <v>184.88</v>
      </c>
      <c r="E12" s="64">
        <v>5.43</v>
      </c>
      <c r="F12" s="64">
        <v>6.87</v>
      </c>
      <c r="G12" s="64">
        <v>150.9</v>
      </c>
      <c r="H12" s="64">
        <v>50.29</v>
      </c>
      <c r="I12" s="64">
        <v>3.98</v>
      </c>
      <c r="J12" s="64">
        <v>0.32</v>
      </c>
      <c r="K12" s="64">
        <v>128.37</v>
      </c>
      <c r="L12" s="64">
        <v>17.91</v>
      </c>
      <c r="M12" s="64">
        <v>52.32</v>
      </c>
      <c r="N12" s="64">
        <v>73.400000000000006</v>
      </c>
      <c r="O12" s="64">
        <v>0</v>
      </c>
      <c r="P12" s="64">
        <v>1.83</v>
      </c>
      <c r="Q12" s="64">
        <v>10.35</v>
      </c>
      <c r="R12" s="198"/>
      <c r="S12" s="198"/>
      <c r="T12" s="198"/>
      <c r="U12" s="198"/>
    </row>
    <row r="13" spans="1:21" s="12" customFormat="1" x14ac:dyDescent="0.25">
      <c r="A13" s="247" t="s">
        <v>1304</v>
      </c>
      <c r="B13" s="64">
        <v>154.16</v>
      </c>
      <c r="C13" s="64">
        <v>76.59</v>
      </c>
      <c r="D13" s="64">
        <v>163.63999999999999</v>
      </c>
      <c r="E13" s="64">
        <v>5.27</v>
      </c>
      <c r="F13" s="64">
        <v>6.85</v>
      </c>
      <c r="G13" s="64">
        <v>88.65</v>
      </c>
      <c r="H13" s="64">
        <v>40.43</v>
      </c>
      <c r="I13" s="64">
        <v>3.93</v>
      </c>
      <c r="J13" s="64">
        <v>0.62</v>
      </c>
      <c r="K13" s="64">
        <v>330.97</v>
      </c>
      <c r="L13" s="64">
        <v>17.78</v>
      </c>
      <c r="M13" s="64">
        <v>55.18</v>
      </c>
      <c r="N13" s="64">
        <v>73.599999999999994</v>
      </c>
      <c r="O13" s="64">
        <v>0</v>
      </c>
      <c r="P13" s="64">
        <v>1.69</v>
      </c>
      <c r="Q13" s="64">
        <v>10.34</v>
      </c>
      <c r="R13" s="198"/>
      <c r="S13" s="198"/>
      <c r="T13" s="198"/>
      <c r="U13" s="198"/>
    </row>
    <row r="14" spans="1:21" s="12" customFormat="1" x14ac:dyDescent="0.25">
      <c r="A14" s="247" t="s">
        <v>1305</v>
      </c>
      <c r="B14" s="64">
        <v>154.07</v>
      </c>
      <c r="C14" s="64">
        <v>77.209999999999994</v>
      </c>
      <c r="D14" s="64">
        <v>163.89</v>
      </c>
      <c r="E14" s="64">
        <v>5.2</v>
      </c>
      <c r="F14" s="64">
        <v>6.9</v>
      </c>
      <c r="G14" s="64">
        <v>88.65</v>
      </c>
      <c r="H14" s="64">
        <v>40.43</v>
      </c>
      <c r="I14" s="64">
        <v>4.16</v>
      </c>
      <c r="J14" s="64">
        <v>0.39</v>
      </c>
      <c r="K14" s="64">
        <v>327.32</v>
      </c>
      <c r="L14" s="64">
        <v>17.670000000000002</v>
      </c>
      <c r="M14" s="64">
        <v>53.87</v>
      </c>
      <c r="N14" s="64">
        <v>73.5</v>
      </c>
      <c r="O14" s="64">
        <v>0</v>
      </c>
      <c r="P14" s="64">
        <v>1.69</v>
      </c>
      <c r="Q14" s="64">
        <v>10.3</v>
      </c>
      <c r="R14" s="198"/>
      <c r="S14" s="198"/>
      <c r="T14" s="198"/>
      <c r="U14" s="198"/>
    </row>
    <row r="15" spans="1:21" s="12" customFormat="1" x14ac:dyDescent="0.25">
      <c r="A15" s="247" t="s">
        <v>1306</v>
      </c>
      <c r="B15" s="64">
        <v>151.30000000000001</v>
      </c>
      <c r="C15" s="64">
        <v>73.349999999999994</v>
      </c>
      <c r="D15" s="64">
        <v>159.65</v>
      </c>
      <c r="E15" s="64">
        <v>5.52</v>
      </c>
      <c r="F15" s="64">
        <v>6.67</v>
      </c>
      <c r="G15" s="64">
        <v>88.65</v>
      </c>
      <c r="H15" s="64">
        <v>40.43</v>
      </c>
      <c r="I15" s="64">
        <v>3.9</v>
      </c>
      <c r="J15" s="64">
        <v>0.66</v>
      </c>
      <c r="K15" s="64">
        <v>244.8</v>
      </c>
      <c r="L15" s="64">
        <v>17.75</v>
      </c>
      <c r="M15" s="64">
        <v>54.97</v>
      </c>
      <c r="N15" s="64">
        <v>73.400000000000006</v>
      </c>
      <c r="O15" s="64">
        <v>0</v>
      </c>
      <c r="P15" s="64">
        <v>1.7</v>
      </c>
      <c r="Q15" s="64">
        <v>10.27</v>
      </c>
      <c r="R15" s="198"/>
      <c r="S15" s="198"/>
      <c r="T15" s="198"/>
      <c r="U15" s="198"/>
    </row>
    <row r="16" spans="1:21" s="12" customFormat="1" x14ac:dyDescent="0.25">
      <c r="A16" s="247" t="s">
        <v>1307</v>
      </c>
      <c r="B16" s="64">
        <v>146.51</v>
      </c>
      <c r="C16" s="64">
        <v>72.11</v>
      </c>
      <c r="D16" s="64">
        <v>155.16</v>
      </c>
      <c r="E16" s="64">
        <v>5.5</v>
      </c>
      <c r="F16" s="64">
        <v>7.27</v>
      </c>
      <c r="G16" s="64">
        <v>89.86</v>
      </c>
      <c r="H16" s="64">
        <v>39.119999999999997</v>
      </c>
      <c r="I16" s="64">
        <v>3.9</v>
      </c>
      <c r="J16" s="64">
        <v>0.67</v>
      </c>
      <c r="K16" s="64">
        <v>322.22000000000003</v>
      </c>
      <c r="L16" s="64">
        <v>17.38</v>
      </c>
      <c r="M16" s="64">
        <v>59.28</v>
      </c>
      <c r="N16" s="64">
        <v>73.599999999999994</v>
      </c>
      <c r="O16" s="64">
        <v>0</v>
      </c>
      <c r="P16" s="64">
        <v>1.59</v>
      </c>
      <c r="Q16" s="64">
        <v>10.27</v>
      </c>
      <c r="R16" s="198"/>
      <c r="S16" s="198"/>
      <c r="T16" s="198"/>
      <c r="U16" s="198"/>
    </row>
    <row r="17" spans="1:21" s="12" customFormat="1" x14ac:dyDescent="0.25">
      <c r="A17" s="247" t="s">
        <v>1308</v>
      </c>
      <c r="B17" s="64">
        <v>137.08000000000001</v>
      </c>
      <c r="C17" s="64">
        <v>69.19</v>
      </c>
      <c r="D17" s="64">
        <v>146.08000000000001</v>
      </c>
      <c r="E17" s="64">
        <v>4.9000000000000004</v>
      </c>
      <c r="F17" s="64">
        <v>7.31</v>
      </c>
      <c r="G17" s="64">
        <v>93.4</v>
      </c>
      <c r="H17" s="64">
        <v>35.53</v>
      </c>
      <c r="I17" s="64">
        <v>3.79</v>
      </c>
      <c r="J17" s="64">
        <v>0.69</v>
      </c>
      <c r="K17" s="64">
        <v>321.04000000000002</v>
      </c>
      <c r="L17" s="64">
        <v>17.04</v>
      </c>
      <c r="M17" s="64">
        <v>58.99</v>
      </c>
      <c r="N17" s="64">
        <v>73.5</v>
      </c>
      <c r="O17" s="64">
        <v>0</v>
      </c>
      <c r="P17" s="64">
        <v>1.56</v>
      </c>
      <c r="Q17" s="64">
        <v>10.26</v>
      </c>
      <c r="R17" s="198"/>
      <c r="S17" s="198"/>
      <c r="T17" s="198"/>
      <c r="U17" s="198"/>
    </row>
    <row r="18" spans="1:21" s="12" customFormat="1" x14ac:dyDescent="0.25">
      <c r="A18" s="247" t="s">
        <v>1309</v>
      </c>
      <c r="B18" s="64">
        <v>153.61000000000001</v>
      </c>
      <c r="C18" s="64">
        <v>72.400000000000006</v>
      </c>
      <c r="D18" s="64">
        <v>161.01</v>
      </c>
      <c r="E18" s="64">
        <v>4.82</v>
      </c>
      <c r="F18" s="64">
        <v>6.96</v>
      </c>
      <c r="G18" s="64">
        <v>93.4</v>
      </c>
      <c r="H18" s="64">
        <v>35.53</v>
      </c>
      <c r="I18" s="64">
        <v>3.94</v>
      </c>
      <c r="J18" s="64">
        <v>0.84</v>
      </c>
      <c r="K18" s="64">
        <v>348.77</v>
      </c>
      <c r="L18" s="64">
        <v>16.79</v>
      </c>
      <c r="M18" s="64">
        <v>59.37</v>
      </c>
      <c r="N18" s="64">
        <v>73.5</v>
      </c>
      <c r="O18" s="64">
        <v>0</v>
      </c>
      <c r="P18" s="64">
        <v>1.73</v>
      </c>
      <c r="Q18" s="64">
        <v>10.220000000000001</v>
      </c>
      <c r="R18" s="198"/>
      <c r="S18" s="198"/>
      <c r="T18" s="198"/>
      <c r="U18" s="198"/>
    </row>
    <row r="19" spans="1:21" s="12" customFormat="1" x14ac:dyDescent="0.25">
      <c r="A19" s="247" t="s">
        <v>1310</v>
      </c>
      <c r="B19" s="64">
        <v>185.41</v>
      </c>
      <c r="C19" s="64">
        <v>70.099999999999994</v>
      </c>
      <c r="D19" s="64">
        <v>185.31</v>
      </c>
      <c r="E19" s="64">
        <v>3.93</v>
      </c>
      <c r="F19" s="64">
        <v>6.41</v>
      </c>
      <c r="G19" s="64">
        <v>93.4</v>
      </c>
      <c r="H19" s="64">
        <v>35.53</v>
      </c>
      <c r="I19" s="64">
        <v>3.93</v>
      </c>
      <c r="J19" s="64">
        <v>0.62</v>
      </c>
      <c r="K19" s="64">
        <v>287.63</v>
      </c>
      <c r="L19" s="64">
        <v>16.59</v>
      </c>
      <c r="M19" s="64">
        <v>59.08</v>
      </c>
      <c r="N19" s="64">
        <v>73.599999999999994</v>
      </c>
      <c r="O19" s="64">
        <v>0</v>
      </c>
      <c r="P19" s="64">
        <v>1.94</v>
      </c>
      <c r="Q19" s="64">
        <v>10.220000000000001</v>
      </c>
      <c r="R19" s="198"/>
      <c r="S19" s="198"/>
      <c r="T19" s="198"/>
      <c r="U19" s="198"/>
    </row>
    <row r="20" spans="1:21" s="12" customFormat="1" x14ac:dyDescent="0.25">
      <c r="A20" s="247" t="s">
        <v>1311</v>
      </c>
      <c r="B20" s="64">
        <v>173.22</v>
      </c>
      <c r="C20" s="64">
        <v>69.23</v>
      </c>
      <c r="D20" s="64">
        <v>175.08</v>
      </c>
      <c r="E20" s="64">
        <v>4.1100000000000003</v>
      </c>
      <c r="F20" s="64">
        <v>6.49</v>
      </c>
      <c r="G20" s="64">
        <v>87.63</v>
      </c>
      <c r="H20" s="64">
        <v>32.25</v>
      </c>
      <c r="I20" s="64">
        <v>3.89</v>
      </c>
      <c r="J20" s="64">
        <v>0.72</v>
      </c>
      <c r="K20" s="64">
        <v>248.05</v>
      </c>
      <c r="L20" s="64">
        <v>17.03</v>
      </c>
      <c r="M20" s="64">
        <v>52.49</v>
      </c>
      <c r="N20" s="64">
        <v>73.2</v>
      </c>
      <c r="O20" s="64">
        <v>0</v>
      </c>
      <c r="P20" s="64">
        <v>1.84</v>
      </c>
      <c r="Q20" s="64">
        <v>10.18</v>
      </c>
      <c r="R20" s="198"/>
      <c r="S20" s="198"/>
      <c r="T20" s="198"/>
      <c r="U20" s="198"/>
    </row>
    <row r="21" spans="1:21" s="12" customFormat="1" x14ac:dyDescent="0.25">
      <c r="A21" s="247" t="s">
        <v>1312</v>
      </c>
      <c r="B21" s="64">
        <v>166.45</v>
      </c>
      <c r="C21" s="64">
        <v>66.25</v>
      </c>
      <c r="D21" s="64">
        <v>168.1</v>
      </c>
      <c r="E21" s="64">
        <v>3.91</v>
      </c>
      <c r="F21" s="64">
        <v>6.9</v>
      </c>
      <c r="G21" s="64">
        <v>71.75</v>
      </c>
      <c r="H21" s="64">
        <v>23.25</v>
      </c>
      <c r="I21" s="64">
        <v>4.08</v>
      </c>
      <c r="J21" s="64">
        <v>0.48</v>
      </c>
      <c r="K21" s="64">
        <v>275.77</v>
      </c>
      <c r="L21" s="64">
        <v>17.59</v>
      </c>
      <c r="M21" s="64">
        <v>47.91</v>
      </c>
      <c r="N21" s="64">
        <v>73.3</v>
      </c>
      <c r="O21" s="64">
        <v>0</v>
      </c>
      <c r="P21" s="64">
        <v>1.79</v>
      </c>
      <c r="Q21" s="64">
        <v>10.16</v>
      </c>
      <c r="R21" s="198"/>
      <c r="S21" s="198"/>
      <c r="T21" s="198"/>
      <c r="U21" s="198"/>
    </row>
    <row r="22" spans="1:21" s="12" customFormat="1" x14ac:dyDescent="0.25">
      <c r="A22" s="247" t="s">
        <v>1313</v>
      </c>
      <c r="B22" s="64">
        <v>159.36000000000001</v>
      </c>
      <c r="C22" s="64">
        <v>66.55</v>
      </c>
      <c r="D22" s="64">
        <v>162.57</v>
      </c>
      <c r="E22" s="64">
        <v>3.68</v>
      </c>
      <c r="F22" s="64">
        <v>7.04</v>
      </c>
      <c r="G22" s="64">
        <v>71.75</v>
      </c>
      <c r="H22" s="64">
        <v>23.25</v>
      </c>
      <c r="I22" s="64">
        <v>4</v>
      </c>
      <c r="J22" s="64">
        <v>0.32</v>
      </c>
      <c r="K22" s="64">
        <v>263.52999999999997</v>
      </c>
      <c r="L22" s="64">
        <v>17.079999999999998</v>
      </c>
      <c r="M22" s="64">
        <v>48.96</v>
      </c>
      <c r="N22" s="64">
        <v>73.400000000000006</v>
      </c>
      <c r="O22" s="64">
        <v>0</v>
      </c>
      <c r="P22" s="64">
        <v>1.73</v>
      </c>
      <c r="Q22" s="64">
        <v>10.119999999999999</v>
      </c>
      <c r="R22" s="198"/>
      <c r="S22" s="198"/>
      <c r="T22" s="198"/>
      <c r="U22" s="198"/>
    </row>
    <row r="23" spans="1:21" s="12" customFormat="1" x14ac:dyDescent="0.25">
      <c r="A23" s="247" t="s">
        <v>1314</v>
      </c>
      <c r="B23" s="64">
        <v>152.34</v>
      </c>
      <c r="C23" s="64">
        <v>65.44</v>
      </c>
      <c r="D23" s="64">
        <v>156.36000000000001</v>
      </c>
      <c r="E23" s="64">
        <v>3.61</v>
      </c>
      <c r="F23" s="64">
        <v>6.72</v>
      </c>
      <c r="G23" s="64">
        <v>71.75</v>
      </c>
      <c r="H23" s="64">
        <v>23.25</v>
      </c>
      <c r="I23" s="64">
        <v>4.09</v>
      </c>
      <c r="J23" s="64">
        <v>0.73</v>
      </c>
      <c r="K23" s="64">
        <v>332.01</v>
      </c>
      <c r="L23" s="64">
        <v>16.52</v>
      </c>
      <c r="M23" s="64">
        <v>50.17</v>
      </c>
      <c r="N23" s="64">
        <v>73.8</v>
      </c>
      <c r="O23" s="64">
        <v>0</v>
      </c>
      <c r="P23" s="64">
        <v>1.66</v>
      </c>
      <c r="Q23" s="64">
        <v>10.07</v>
      </c>
      <c r="R23" s="198"/>
      <c r="S23" s="198"/>
      <c r="T23" s="198"/>
      <c r="U23" s="198"/>
    </row>
    <row r="24" spans="1:21" s="12" customFormat="1" x14ac:dyDescent="0.25">
      <c r="A24" s="247" t="s">
        <v>1315</v>
      </c>
      <c r="B24" s="64">
        <v>142.81</v>
      </c>
      <c r="C24" s="64">
        <v>65.45</v>
      </c>
      <c r="D24" s="64">
        <v>148.72</v>
      </c>
      <c r="E24" s="64">
        <v>3.73</v>
      </c>
      <c r="F24" s="64">
        <v>6.61</v>
      </c>
      <c r="G24" s="64">
        <v>65.34</v>
      </c>
      <c r="H24" s="64">
        <v>22.48</v>
      </c>
      <c r="I24" s="64">
        <v>3.95</v>
      </c>
      <c r="J24" s="64">
        <v>0.71</v>
      </c>
      <c r="K24" s="64">
        <v>233.77</v>
      </c>
      <c r="L24" s="64">
        <v>16.63</v>
      </c>
      <c r="M24" s="64">
        <v>49.4</v>
      </c>
      <c r="N24" s="64">
        <v>73</v>
      </c>
      <c r="O24" s="64">
        <v>0</v>
      </c>
      <c r="P24" s="64">
        <v>1.59</v>
      </c>
      <c r="Q24" s="64">
        <v>10.06</v>
      </c>
      <c r="R24" s="198"/>
      <c r="S24" s="198"/>
      <c r="T24" s="198"/>
      <c r="U24" s="198"/>
    </row>
    <row r="25" spans="1:21" s="12" customFormat="1" x14ac:dyDescent="0.25">
      <c r="A25" s="247" t="s">
        <v>1316</v>
      </c>
      <c r="B25" s="64">
        <v>135.56</v>
      </c>
      <c r="C25" s="64">
        <v>63.72</v>
      </c>
      <c r="D25" s="64">
        <v>142</v>
      </c>
      <c r="E25" s="64">
        <v>3.44</v>
      </c>
      <c r="F25" s="64">
        <v>7.26</v>
      </c>
      <c r="G25" s="64">
        <v>47.74</v>
      </c>
      <c r="H25" s="64">
        <v>20.350000000000001</v>
      </c>
      <c r="I25" s="64">
        <v>3.99</v>
      </c>
      <c r="J25" s="64">
        <v>0.45</v>
      </c>
      <c r="K25" s="64">
        <v>275.52999999999997</v>
      </c>
      <c r="L25" s="64">
        <v>17.079999999999998</v>
      </c>
      <c r="M25" s="64">
        <v>48.5</v>
      </c>
      <c r="N25" s="64">
        <v>73.599999999999994</v>
      </c>
      <c r="O25" s="64">
        <v>0</v>
      </c>
      <c r="P25" s="64">
        <v>1.54</v>
      </c>
      <c r="Q25" s="64">
        <v>10.02</v>
      </c>
      <c r="R25" s="198"/>
      <c r="S25" s="198"/>
      <c r="T25" s="198"/>
      <c r="U25" s="198"/>
    </row>
    <row r="26" spans="1:21" s="12" customFormat="1" x14ac:dyDescent="0.25">
      <c r="A26" s="247" t="s">
        <v>1317</v>
      </c>
      <c r="B26" s="64">
        <v>126.61</v>
      </c>
      <c r="C26" s="64">
        <v>64.349999999999994</v>
      </c>
      <c r="D26" s="64">
        <v>135.15</v>
      </c>
      <c r="E26" s="64">
        <v>3.25</v>
      </c>
      <c r="F26" s="64">
        <v>6.83</v>
      </c>
      <c r="G26" s="64">
        <v>47.74</v>
      </c>
      <c r="H26" s="64">
        <v>20.350000000000001</v>
      </c>
      <c r="I26" s="64">
        <v>4.08</v>
      </c>
      <c r="J26" s="64">
        <v>0.66</v>
      </c>
      <c r="K26" s="64">
        <v>236.38</v>
      </c>
      <c r="L26" s="64">
        <v>16.62</v>
      </c>
      <c r="M26" s="64">
        <v>52.74</v>
      </c>
      <c r="N26" s="64">
        <v>73.2</v>
      </c>
      <c r="O26" s="64">
        <v>0</v>
      </c>
      <c r="P26" s="64">
        <v>1.5</v>
      </c>
      <c r="Q26" s="64">
        <v>10</v>
      </c>
      <c r="R26" s="198"/>
      <c r="S26" s="198"/>
      <c r="T26" s="198"/>
      <c r="U26" s="198"/>
    </row>
    <row r="27" spans="1:21" s="12" customFormat="1" x14ac:dyDescent="0.25">
      <c r="A27" s="247" t="s">
        <v>1318</v>
      </c>
      <c r="B27" s="64">
        <v>125.74</v>
      </c>
      <c r="C27" s="64">
        <v>64.94</v>
      </c>
      <c r="D27" s="64">
        <v>134.76</v>
      </c>
      <c r="E27" s="64">
        <v>3.15</v>
      </c>
      <c r="F27" s="64">
        <v>6.99</v>
      </c>
      <c r="G27" s="64">
        <v>47.74</v>
      </c>
      <c r="H27" s="64">
        <v>20.350000000000001</v>
      </c>
      <c r="I27" s="64">
        <v>3.89</v>
      </c>
      <c r="J27" s="64">
        <v>0.74</v>
      </c>
      <c r="K27" s="64">
        <v>334.62</v>
      </c>
      <c r="L27" s="64">
        <v>16.399999999999999</v>
      </c>
      <c r="M27" s="64">
        <v>56.33</v>
      </c>
      <c r="N27" s="64">
        <v>74</v>
      </c>
      <c r="O27" s="64">
        <v>0</v>
      </c>
      <c r="P27" s="64">
        <v>1.47</v>
      </c>
      <c r="Q27" s="64">
        <v>9.9600000000000009</v>
      </c>
      <c r="R27" s="198"/>
      <c r="S27" s="198"/>
      <c r="T27" s="198"/>
      <c r="U27" s="198"/>
    </row>
    <row r="28" spans="1:21" s="12" customFormat="1" x14ac:dyDescent="0.25">
      <c r="A28" s="247" t="s">
        <v>1319</v>
      </c>
      <c r="B28" s="64">
        <v>118.58</v>
      </c>
      <c r="C28" s="64">
        <v>65.62</v>
      </c>
      <c r="D28" s="64">
        <v>129.38</v>
      </c>
      <c r="E28" s="64">
        <v>2.73</v>
      </c>
      <c r="F28" s="64">
        <v>6.96</v>
      </c>
      <c r="G28" s="64">
        <v>60.87</v>
      </c>
      <c r="H28" s="64">
        <v>20.99</v>
      </c>
      <c r="I28" s="64">
        <v>3.86</v>
      </c>
      <c r="J28" s="64">
        <v>0.42</v>
      </c>
      <c r="K28" s="64">
        <v>346.46</v>
      </c>
      <c r="L28" s="64">
        <v>15.89</v>
      </c>
      <c r="M28" s="64">
        <v>59.64</v>
      </c>
      <c r="N28" s="64">
        <v>73.8</v>
      </c>
      <c r="O28" s="64">
        <v>0</v>
      </c>
      <c r="P28" s="64">
        <v>1.45</v>
      </c>
      <c r="Q28" s="64">
        <v>9.9499999999999993</v>
      </c>
      <c r="R28" s="198"/>
      <c r="S28" s="198"/>
      <c r="T28" s="198"/>
      <c r="U28" s="198"/>
    </row>
    <row r="29" spans="1:21" s="12" customFormat="1" x14ac:dyDescent="0.25">
      <c r="A29" s="247" t="s">
        <v>1320</v>
      </c>
      <c r="B29" s="64">
        <v>96.13</v>
      </c>
      <c r="C29" s="64">
        <v>66.040000000000006</v>
      </c>
      <c r="D29" s="64">
        <v>111.6</v>
      </c>
      <c r="E29" s="64">
        <v>3.44</v>
      </c>
      <c r="F29" s="64">
        <v>7.79</v>
      </c>
      <c r="G29" s="64">
        <v>97</v>
      </c>
      <c r="H29" s="64">
        <v>22.83</v>
      </c>
      <c r="I29" s="64">
        <v>4</v>
      </c>
      <c r="J29" s="64">
        <v>0.51</v>
      </c>
      <c r="K29" s="64">
        <v>263.39</v>
      </c>
      <c r="L29" s="64">
        <v>15.85</v>
      </c>
      <c r="M29" s="64">
        <v>60.13</v>
      </c>
      <c r="N29" s="64">
        <v>73.599999999999994</v>
      </c>
      <c r="O29" s="64">
        <v>0</v>
      </c>
      <c r="P29" s="64">
        <v>1.31</v>
      </c>
      <c r="Q29" s="64">
        <v>9.93</v>
      </c>
      <c r="R29" s="198"/>
      <c r="S29" s="198"/>
      <c r="T29" s="198"/>
      <c r="U29" s="198"/>
    </row>
    <row r="30" spans="1:21" s="12" customFormat="1" x14ac:dyDescent="0.25">
      <c r="A30" s="247" t="s">
        <v>1321</v>
      </c>
      <c r="B30" s="64">
        <v>127.46</v>
      </c>
      <c r="C30" s="64">
        <v>68.78</v>
      </c>
      <c r="D30" s="64">
        <v>138.15</v>
      </c>
      <c r="E30" s="64">
        <v>3.34</v>
      </c>
      <c r="F30" s="64">
        <v>7.52</v>
      </c>
      <c r="G30" s="64">
        <v>97</v>
      </c>
      <c r="H30" s="64">
        <v>22.83</v>
      </c>
      <c r="I30" s="64">
        <v>3.94</v>
      </c>
      <c r="J30" s="64">
        <v>0.7</v>
      </c>
      <c r="K30" s="64">
        <v>339.62</v>
      </c>
      <c r="L30" s="64">
        <v>15.63</v>
      </c>
      <c r="M30" s="64">
        <v>62.49</v>
      </c>
      <c r="N30" s="64">
        <v>73.900000000000006</v>
      </c>
      <c r="O30" s="64">
        <v>0</v>
      </c>
      <c r="P30" s="64">
        <v>1.36</v>
      </c>
      <c r="Q30" s="64">
        <v>9.93</v>
      </c>
      <c r="R30" s="198"/>
      <c r="S30" s="198"/>
      <c r="T30" s="198"/>
      <c r="U30" s="198"/>
    </row>
    <row r="31" spans="1:21" s="12" customFormat="1" x14ac:dyDescent="0.25">
      <c r="A31" s="247" t="s">
        <v>1322</v>
      </c>
      <c r="B31" s="64">
        <v>132.30000000000001</v>
      </c>
      <c r="C31" s="64">
        <v>72.67</v>
      </c>
      <c r="D31" s="64">
        <v>144.06</v>
      </c>
      <c r="E31" s="64">
        <v>3.96</v>
      </c>
      <c r="F31" s="64">
        <v>7.17</v>
      </c>
      <c r="G31" s="64">
        <v>97</v>
      </c>
      <c r="H31" s="64">
        <v>22.83</v>
      </c>
      <c r="I31" s="64">
        <v>3.92</v>
      </c>
      <c r="J31" s="64">
        <v>0.59</v>
      </c>
      <c r="K31" s="64">
        <v>329.89</v>
      </c>
      <c r="L31" s="64">
        <v>15.3</v>
      </c>
      <c r="M31" s="64">
        <v>65</v>
      </c>
      <c r="N31" s="64">
        <v>73.900000000000006</v>
      </c>
      <c r="O31" s="64">
        <v>0</v>
      </c>
      <c r="P31" s="64">
        <v>1.51</v>
      </c>
      <c r="Q31" s="64">
        <v>9.9</v>
      </c>
      <c r="R31" s="198"/>
      <c r="S31" s="198"/>
      <c r="T31" s="198"/>
      <c r="U31" s="198"/>
    </row>
    <row r="32" spans="1:21" s="12" customFormat="1" x14ac:dyDescent="0.25">
      <c r="A32" s="247" t="s">
        <v>1323</v>
      </c>
      <c r="B32" s="64">
        <v>97.81</v>
      </c>
      <c r="C32" s="64">
        <v>68.92</v>
      </c>
      <c r="D32" s="64">
        <v>114.44</v>
      </c>
      <c r="E32" s="64">
        <v>3.67</v>
      </c>
      <c r="F32" s="64">
        <v>7.34</v>
      </c>
      <c r="G32" s="64">
        <v>101.3</v>
      </c>
      <c r="H32" s="64">
        <v>23.97</v>
      </c>
      <c r="I32" s="64">
        <v>3.92</v>
      </c>
      <c r="J32" s="64">
        <v>0.52</v>
      </c>
      <c r="K32" s="64">
        <v>263.77</v>
      </c>
      <c r="L32" s="64">
        <v>15.86</v>
      </c>
      <c r="M32" s="64">
        <v>61.13</v>
      </c>
      <c r="N32" s="64">
        <v>73.900000000000006</v>
      </c>
      <c r="O32" s="64">
        <v>0</v>
      </c>
      <c r="P32" s="64">
        <v>1.28</v>
      </c>
      <c r="Q32" s="64">
        <v>9.9</v>
      </c>
      <c r="R32" s="198"/>
      <c r="S32" s="198"/>
      <c r="T32" s="198"/>
      <c r="U32" s="198"/>
    </row>
    <row r="33" spans="1:21" s="12" customFormat="1" x14ac:dyDescent="0.25">
      <c r="A33" s="247" t="s">
        <v>1324</v>
      </c>
      <c r="B33" s="64">
        <v>124.37</v>
      </c>
      <c r="C33" s="64">
        <v>69.489999999999995</v>
      </c>
      <c r="D33" s="64">
        <v>136.04</v>
      </c>
      <c r="E33" s="64">
        <v>3.5</v>
      </c>
      <c r="F33" s="64">
        <v>8.1999999999999993</v>
      </c>
      <c r="G33" s="64">
        <v>113.83</v>
      </c>
      <c r="H33" s="64">
        <v>27.1</v>
      </c>
      <c r="I33" s="64">
        <v>3.96</v>
      </c>
      <c r="J33" s="64">
        <v>0.4</v>
      </c>
      <c r="K33" s="64">
        <v>106.58</v>
      </c>
      <c r="L33" s="64">
        <v>15.58</v>
      </c>
      <c r="M33" s="64">
        <v>63.85</v>
      </c>
      <c r="N33" s="64">
        <v>77</v>
      </c>
      <c r="O33" s="64">
        <v>0</v>
      </c>
      <c r="P33" s="64">
        <v>1.34</v>
      </c>
      <c r="Q33" s="64">
        <v>9.93</v>
      </c>
      <c r="R33" s="198"/>
      <c r="S33" s="198"/>
      <c r="T33" s="198"/>
      <c r="U33" s="198"/>
    </row>
    <row r="34" spans="1:21" s="12" customFormat="1" x14ac:dyDescent="0.25">
      <c r="A34" s="247" t="s">
        <v>1325</v>
      </c>
      <c r="B34" s="64">
        <v>128.06</v>
      </c>
      <c r="C34" s="64">
        <v>71.36</v>
      </c>
      <c r="D34" s="64">
        <v>139.97999999999999</v>
      </c>
      <c r="E34" s="64">
        <v>3.66</v>
      </c>
      <c r="F34" s="64">
        <v>7.25</v>
      </c>
      <c r="G34" s="64">
        <v>113.83</v>
      </c>
      <c r="H34" s="64">
        <v>27.1</v>
      </c>
      <c r="I34" s="64">
        <v>3.95</v>
      </c>
      <c r="J34" s="64">
        <v>0.21</v>
      </c>
      <c r="K34" s="64">
        <v>235.37</v>
      </c>
      <c r="L34" s="64">
        <v>15.57</v>
      </c>
      <c r="M34" s="64">
        <v>65.05</v>
      </c>
      <c r="N34" s="64">
        <v>86.7</v>
      </c>
      <c r="O34" s="64">
        <v>0</v>
      </c>
      <c r="P34" s="64">
        <v>1.36</v>
      </c>
      <c r="Q34" s="64">
        <v>9.92</v>
      </c>
      <c r="R34" s="198"/>
      <c r="S34" s="198"/>
      <c r="T34" s="198"/>
      <c r="U34" s="198"/>
    </row>
    <row r="35" spans="1:21" s="12" customFormat="1" x14ac:dyDescent="0.25">
      <c r="A35" s="247" t="s">
        <v>1326</v>
      </c>
      <c r="B35" s="64">
        <v>120.39</v>
      </c>
      <c r="C35" s="64">
        <v>74.59</v>
      </c>
      <c r="D35" s="64">
        <v>135.52000000000001</v>
      </c>
      <c r="E35" s="64">
        <v>3.39</v>
      </c>
      <c r="F35" s="64">
        <v>6.96</v>
      </c>
      <c r="G35" s="64">
        <v>113.83</v>
      </c>
      <c r="H35" s="64">
        <v>27.1</v>
      </c>
      <c r="I35" s="64">
        <v>3.99</v>
      </c>
      <c r="J35" s="64">
        <v>0.15</v>
      </c>
      <c r="K35" s="64">
        <v>103.28</v>
      </c>
      <c r="L35" s="64">
        <v>16.13</v>
      </c>
      <c r="M35" s="64">
        <v>61.05</v>
      </c>
      <c r="N35" s="64">
        <v>109.9</v>
      </c>
      <c r="O35" s="64">
        <v>0</v>
      </c>
      <c r="P35" s="64">
        <v>1.33</v>
      </c>
      <c r="Q35" s="64">
        <v>9.92</v>
      </c>
      <c r="R35" s="198"/>
      <c r="S35" s="198"/>
      <c r="T35" s="198"/>
      <c r="U35" s="198"/>
    </row>
    <row r="36" spans="1:21" s="12" customFormat="1" x14ac:dyDescent="0.25">
      <c r="A36" s="247" t="s">
        <v>1327</v>
      </c>
      <c r="B36" s="64">
        <v>115.55</v>
      </c>
      <c r="C36" s="64">
        <v>69.489999999999995</v>
      </c>
      <c r="D36" s="64">
        <v>128.97</v>
      </c>
      <c r="E36" s="64">
        <v>4.08</v>
      </c>
      <c r="F36" s="64">
        <v>7.16</v>
      </c>
      <c r="G36" s="64">
        <v>111.84</v>
      </c>
      <c r="H36" s="64">
        <v>29.11</v>
      </c>
      <c r="I36" s="64">
        <v>4.12</v>
      </c>
      <c r="J36" s="64">
        <v>0.57999999999999996</v>
      </c>
      <c r="K36" s="64">
        <v>211.19</v>
      </c>
      <c r="L36" s="64">
        <v>17.809999999999999</v>
      </c>
      <c r="M36" s="64">
        <v>55.71</v>
      </c>
      <c r="N36" s="64">
        <v>172.3</v>
      </c>
      <c r="O36" s="64">
        <v>0</v>
      </c>
      <c r="P36" s="64">
        <v>1.33</v>
      </c>
      <c r="Q36" s="64">
        <v>9.91</v>
      </c>
      <c r="R36" s="198"/>
      <c r="S36" s="198"/>
      <c r="T36" s="198"/>
      <c r="U36" s="198"/>
    </row>
    <row r="37" spans="1:21" s="12" customFormat="1" x14ac:dyDescent="0.25">
      <c r="A37" s="247" t="s">
        <v>1328</v>
      </c>
      <c r="B37" s="64">
        <v>125.54</v>
      </c>
      <c r="C37" s="64">
        <v>65.36</v>
      </c>
      <c r="D37" s="64">
        <v>134.83000000000001</v>
      </c>
      <c r="E37" s="64">
        <v>3.26</v>
      </c>
      <c r="F37" s="64">
        <v>7.02</v>
      </c>
      <c r="G37" s="64">
        <v>106.34</v>
      </c>
      <c r="H37" s="64">
        <v>34.61</v>
      </c>
      <c r="I37" s="64">
        <v>3.97</v>
      </c>
      <c r="J37" s="64">
        <v>0.43</v>
      </c>
      <c r="K37" s="64">
        <v>1.73</v>
      </c>
      <c r="L37" s="64">
        <v>20.93</v>
      </c>
      <c r="M37" s="64">
        <v>46.52</v>
      </c>
      <c r="N37" s="64">
        <v>227.6</v>
      </c>
      <c r="O37" s="64">
        <v>0</v>
      </c>
      <c r="P37" s="64">
        <v>1.38</v>
      </c>
      <c r="Q37" s="64">
        <v>9.9</v>
      </c>
      <c r="R37" s="198"/>
      <c r="S37" s="198"/>
      <c r="T37" s="198"/>
      <c r="U37" s="198"/>
    </row>
    <row r="38" spans="1:21" s="12" customFormat="1" x14ac:dyDescent="0.25">
      <c r="A38" s="247" t="s">
        <v>1329</v>
      </c>
      <c r="B38" s="64">
        <v>126.59</v>
      </c>
      <c r="C38" s="64">
        <v>70.3</v>
      </c>
      <c r="D38" s="64">
        <v>138.25</v>
      </c>
      <c r="E38" s="64">
        <v>4.08</v>
      </c>
      <c r="F38" s="64">
        <v>6.94</v>
      </c>
      <c r="G38" s="64">
        <v>106.34</v>
      </c>
      <c r="H38" s="64">
        <v>34.61</v>
      </c>
      <c r="I38" s="64">
        <v>3.9</v>
      </c>
      <c r="J38" s="64">
        <v>0.74</v>
      </c>
      <c r="K38" s="64">
        <v>359.17</v>
      </c>
      <c r="L38" s="64">
        <v>23.61</v>
      </c>
      <c r="M38" s="64">
        <v>38.04</v>
      </c>
      <c r="N38" s="64">
        <v>286.10000000000002</v>
      </c>
      <c r="O38" s="64">
        <v>0</v>
      </c>
      <c r="P38" s="64">
        <v>1.48</v>
      </c>
      <c r="Q38" s="64">
        <v>9.89</v>
      </c>
      <c r="R38" s="198"/>
      <c r="S38" s="198"/>
      <c r="T38" s="198"/>
      <c r="U38" s="198"/>
    </row>
    <row r="39" spans="1:21" s="12" customFormat="1" x14ac:dyDescent="0.25">
      <c r="A39" s="247" t="s">
        <v>1330</v>
      </c>
      <c r="B39" s="64">
        <v>125.5</v>
      </c>
      <c r="C39" s="64">
        <v>73.73</v>
      </c>
      <c r="D39" s="64">
        <v>139.16</v>
      </c>
      <c r="E39" s="64">
        <v>4.1399999999999997</v>
      </c>
      <c r="F39" s="64">
        <v>7.34</v>
      </c>
      <c r="G39" s="64">
        <v>106.34</v>
      </c>
      <c r="H39" s="64">
        <v>34.61</v>
      </c>
      <c r="I39" s="64">
        <v>4.0599999999999996</v>
      </c>
      <c r="J39" s="64">
        <v>0.86</v>
      </c>
      <c r="K39" s="64">
        <v>354.88</v>
      </c>
      <c r="L39" s="64">
        <v>25.24</v>
      </c>
      <c r="M39" s="64">
        <v>33.96</v>
      </c>
      <c r="N39" s="64">
        <v>338.8</v>
      </c>
      <c r="O39" s="64">
        <v>0</v>
      </c>
      <c r="P39" s="64">
        <v>1.5</v>
      </c>
      <c r="Q39" s="64">
        <v>9.91</v>
      </c>
      <c r="R39" s="198"/>
      <c r="S39" s="198"/>
      <c r="T39" s="198"/>
      <c r="U39" s="198"/>
    </row>
    <row r="40" spans="1:21" s="12" customFormat="1" x14ac:dyDescent="0.25">
      <c r="A40" s="247" t="s">
        <v>1331</v>
      </c>
      <c r="B40" s="64">
        <v>123.67</v>
      </c>
      <c r="C40" s="64">
        <v>75.98</v>
      </c>
      <c r="D40" s="64">
        <v>138.87</v>
      </c>
      <c r="E40" s="64">
        <v>5.0199999999999996</v>
      </c>
      <c r="F40" s="64">
        <v>7.07</v>
      </c>
      <c r="G40" s="64">
        <v>113.45</v>
      </c>
      <c r="H40" s="64">
        <v>34.15</v>
      </c>
      <c r="I40" s="64">
        <v>3.93</v>
      </c>
      <c r="J40" s="64">
        <v>0.43</v>
      </c>
      <c r="K40" s="64">
        <v>127.66</v>
      </c>
      <c r="L40" s="64">
        <v>27.05</v>
      </c>
      <c r="M40" s="64">
        <v>29.61</v>
      </c>
      <c r="N40" s="64">
        <v>392.5</v>
      </c>
      <c r="O40" s="64">
        <v>0</v>
      </c>
      <c r="P40" s="64">
        <v>1.51</v>
      </c>
      <c r="Q40" s="64">
        <v>9.9</v>
      </c>
      <c r="R40" s="198"/>
      <c r="S40" s="198"/>
      <c r="T40" s="198"/>
      <c r="U40" s="198"/>
    </row>
    <row r="41" spans="1:21" s="12" customFormat="1" x14ac:dyDescent="0.25">
      <c r="A41" s="247" t="s">
        <v>1332</v>
      </c>
      <c r="B41" s="64">
        <v>116.28</v>
      </c>
      <c r="C41" s="64">
        <v>75.959999999999994</v>
      </c>
      <c r="D41" s="64">
        <v>132.94</v>
      </c>
      <c r="E41" s="64">
        <v>6.2</v>
      </c>
      <c r="F41" s="64">
        <v>6.58</v>
      </c>
      <c r="G41" s="64">
        <v>132.97999999999999</v>
      </c>
      <c r="H41" s="64">
        <v>32.869999999999997</v>
      </c>
      <c r="I41" s="64">
        <v>4.03</v>
      </c>
      <c r="J41" s="64">
        <v>0.95</v>
      </c>
      <c r="K41" s="64">
        <v>155.38</v>
      </c>
      <c r="L41" s="64">
        <v>27</v>
      </c>
      <c r="M41" s="64">
        <v>28.61</v>
      </c>
      <c r="N41" s="64">
        <v>446</v>
      </c>
      <c r="O41" s="64">
        <v>0</v>
      </c>
      <c r="P41" s="64">
        <v>1.48</v>
      </c>
      <c r="Q41" s="64">
        <v>9.92</v>
      </c>
      <c r="R41" s="198"/>
      <c r="S41" s="198"/>
      <c r="T41" s="198"/>
      <c r="U41" s="198"/>
    </row>
    <row r="42" spans="1:21" s="12" customFormat="1" x14ac:dyDescent="0.25">
      <c r="A42" s="247" t="s">
        <v>1333</v>
      </c>
      <c r="B42" s="64">
        <v>113.07</v>
      </c>
      <c r="C42" s="64">
        <v>77.209999999999994</v>
      </c>
      <c r="D42" s="64">
        <v>131.02000000000001</v>
      </c>
      <c r="E42" s="64">
        <v>6.08</v>
      </c>
      <c r="F42" s="64">
        <v>6.75</v>
      </c>
      <c r="G42" s="64">
        <v>132.97999999999999</v>
      </c>
      <c r="H42" s="64">
        <v>32.869999999999997</v>
      </c>
      <c r="I42" s="64">
        <v>3.99</v>
      </c>
      <c r="J42" s="64">
        <v>0.44</v>
      </c>
      <c r="K42" s="64">
        <v>127.39</v>
      </c>
      <c r="L42" s="64">
        <v>28.68</v>
      </c>
      <c r="M42" s="64">
        <v>23.67</v>
      </c>
      <c r="N42" s="64">
        <v>496.1</v>
      </c>
      <c r="O42" s="64">
        <v>0</v>
      </c>
      <c r="P42" s="64">
        <v>1.47</v>
      </c>
      <c r="Q42" s="64">
        <v>9.9</v>
      </c>
      <c r="R42" s="198"/>
      <c r="S42" s="198"/>
      <c r="T42" s="198"/>
      <c r="U42" s="198"/>
    </row>
    <row r="43" spans="1:21" s="12" customFormat="1" x14ac:dyDescent="0.25">
      <c r="A43" s="247" t="s">
        <v>1334</v>
      </c>
      <c r="B43" s="64">
        <v>106.46</v>
      </c>
      <c r="C43" s="64">
        <v>79.53</v>
      </c>
      <c r="D43" s="64">
        <v>126.93</v>
      </c>
      <c r="E43" s="64">
        <v>5.46</v>
      </c>
      <c r="F43" s="64">
        <v>6.68</v>
      </c>
      <c r="G43" s="64">
        <v>132.97999999999999</v>
      </c>
      <c r="H43" s="64">
        <v>32.869999999999997</v>
      </c>
      <c r="I43" s="64">
        <v>3.95</v>
      </c>
      <c r="J43" s="64">
        <v>1.01</v>
      </c>
      <c r="K43" s="64">
        <v>198.38</v>
      </c>
      <c r="L43" s="64">
        <v>27.08</v>
      </c>
      <c r="M43" s="64">
        <v>33.619999999999997</v>
      </c>
      <c r="N43" s="64">
        <v>534.29999999999995</v>
      </c>
      <c r="O43" s="64">
        <v>0</v>
      </c>
      <c r="P43" s="64">
        <v>1.44</v>
      </c>
      <c r="Q43" s="64">
        <v>9.92</v>
      </c>
      <c r="R43" s="198"/>
      <c r="S43" s="198"/>
      <c r="T43" s="198"/>
      <c r="U43" s="198"/>
    </row>
    <row r="44" spans="1:21" s="12" customFormat="1" x14ac:dyDescent="0.25">
      <c r="A44" s="247" t="s">
        <v>1335</v>
      </c>
      <c r="B44" s="64">
        <v>93.65</v>
      </c>
      <c r="C44" s="64">
        <v>83.97</v>
      </c>
      <c r="D44" s="64">
        <v>118.97</v>
      </c>
      <c r="E44" s="64">
        <v>4.79</v>
      </c>
      <c r="F44" s="64">
        <v>6.37</v>
      </c>
      <c r="G44" s="64">
        <v>129.74</v>
      </c>
      <c r="H44" s="64">
        <v>34.36</v>
      </c>
      <c r="I44" s="64">
        <v>3.97</v>
      </c>
      <c r="J44" s="64">
        <v>1.41</v>
      </c>
      <c r="K44" s="64">
        <v>197.7</v>
      </c>
      <c r="L44" s="64">
        <v>23.63</v>
      </c>
      <c r="M44" s="64">
        <v>44.46</v>
      </c>
      <c r="N44" s="64">
        <v>587.5</v>
      </c>
      <c r="O44" s="64">
        <v>0</v>
      </c>
      <c r="P44" s="64">
        <v>1.4</v>
      </c>
      <c r="Q44" s="64">
        <v>9.92</v>
      </c>
      <c r="R44" s="198"/>
      <c r="S44" s="198"/>
      <c r="T44" s="198"/>
      <c r="U44" s="198"/>
    </row>
    <row r="45" spans="1:21" s="12" customFormat="1" x14ac:dyDescent="0.25">
      <c r="A45" s="247" t="s">
        <v>1336</v>
      </c>
      <c r="B45" s="64">
        <v>80.78</v>
      </c>
      <c r="C45" s="64">
        <v>87.33</v>
      </c>
      <c r="D45" s="64">
        <v>110.41</v>
      </c>
      <c r="E45" s="64">
        <v>4.4800000000000004</v>
      </c>
      <c r="F45" s="64">
        <v>6.57</v>
      </c>
      <c r="G45" s="64">
        <v>120.84</v>
      </c>
      <c r="H45" s="64">
        <v>38.479999999999997</v>
      </c>
      <c r="I45" s="64">
        <v>4.03</v>
      </c>
      <c r="J45" s="64">
        <v>1.21</v>
      </c>
      <c r="K45" s="64">
        <v>191.27</v>
      </c>
      <c r="L45" s="64">
        <v>23.68</v>
      </c>
      <c r="M45" s="64">
        <v>36.31</v>
      </c>
      <c r="N45" s="64">
        <v>611.9</v>
      </c>
      <c r="O45" s="64">
        <v>0</v>
      </c>
      <c r="P45" s="64">
        <v>1.35</v>
      </c>
      <c r="Q45" s="64">
        <v>9.81</v>
      </c>
      <c r="R45" s="198"/>
      <c r="S45" s="198"/>
      <c r="T45" s="198"/>
      <c r="U45" s="198"/>
    </row>
    <row r="46" spans="1:21" s="12" customFormat="1" x14ac:dyDescent="0.25">
      <c r="A46" s="247" t="s">
        <v>1337</v>
      </c>
      <c r="B46" s="64">
        <v>66.709999999999994</v>
      </c>
      <c r="C46" s="64">
        <v>88.47</v>
      </c>
      <c r="D46" s="64">
        <v>99.72</v>
      </c>
      <c r="E46" s="64">
        <v>4.7</v>
      </c>
      <c r="F46" s="64">
        <v>7.96</v>
      </c>
      <c r="G46" s="64">
        <v>120.84</v>
      </c>
      <c r="H46" s="64">
        <v>38.479999999999997</v>
      </c>
      <c r="I46" s="64">
        <v>4.17</v>
      </c>
      <c r="J46" s="64">
        <v>1.26</v>
      </c>
      <c r="K46" s="64">
        <v>168.2</v>
      </c>
      <c r="L46" s="64">
        <v>25</v>
      </c>
      <c r="M46" s="64">
        <v>34.11</v>
      </c>
      <c r="N46" s="64">
        <v>640</v>
      </c>
      <c r="O46" s="64">
        <v>0</v>
      </c>
      <c r="P46" s="64">
        <v>1.29</v>
      </c>
      <c r="Q46" s="64">
        <v>9.84</v>
      </c>
      <c r="R46" s="198"/>
      <c r="S46" s="198"/>
      <c r="T46" s="198"/>
      <c r="U46" s="198"/>
    </row>
    <row r="47" spans="1:21" s="12" customFormat="1" x14ac:dyDescent="0.25">
      <c r="A47" s="247" t="s">
        <v>1338</v>
      </c>
      <c r="B47" s="64">
        <v>53.42</v>
      </c>
      <c r="C47" s="64">
        <v>88.01</v>
      </c>
      <c r="D47" s="64">
        <v>88.82</v>
      </c>
      <c r="E47" s="64">
        <v>4.9800000000000004</v>
      </c>
      <c r="F47" s="64">
        <v>10.3</v>
      </c>
      <c r="G47" s="64">
        <v>120.84</v>
      </c>
      <c r="H47" s="64">
        <v>38.479999999999997</v>
      </c>
      <c r="I47" s="64">
        <v>4.03</v>
      </c>
      <c r="J47" s="64">
        <v>1.2</v>
      </c>
      <c r="K47" s="64">
        <v>175.46</v>
      </c>
      <c r="L47" s="64">
        <v>26.13</v>
      </c>
      <c r="M47" s="64">
        <v>33.43</v>
      </c>
      <c r="N47" s="64">
        <v>674.1</v>
      </c>
      <c r="O47" s="64">
        <v>0</v>
      </c>
      <c r="P47" s="64">
        <v>1.22</v>
      </c>
      <c r="Q47" s="64">
        <v>9.81</v>
      </c>
      <c r="R47" s="198"/>
      <c r="S47" s="198"/>
      <c r="T47" s="198"/>
      <c r="U47" s="198"/>
    </row>
    <row r="48" spans="1:21" s="12" customFormat="1" x14ac:dyDescent="0.25">
      <c r="A48" s="247" t="s">
        <v>1339</v>
      </c>
      <c r="B48" s="64">
        <v>43.66</v>
      </c>
      <c r="C48" s="64">
        <v>90.87</v>
      </c>
      <c r="D48" s="64">
        <v>82.49</v>
      </c>
      <c r="E48" s="64">
        <v>5.19</v>
      </c>
      <c r="F48" s="64">
        <v>10.79</v>
      </c>
      <c r="G48" s="64">
        <v>112.12</v>
      </c>
      <c r="H48" s="64">
        <v>38.17</v>
      </c>
      <c r="I48" s="64">
        <v>3.95</v>
      </c>
      <c r="J48" s="64">
        <v>1.04</v>
      </c>
      <c r="K48" s="64">
        <v>172.76</v>
      </c>
      <c r="L48" s="64">
        <v>27.15</v>
      </c>
      <c r="M48" s="64">
        <v>31.64</v>
      </c>
      <c r="N48" s="64">
        <v>701.5</v>
      </c>
      <c r="O48" s="64">
        <v>0</v>
      </c>
      <c r="P48" s="64">
        <v>1.18</v>
      </c>
      <c r="Q48" s="64">
        <v>9.75</v>
      </c>
      <c r="R48" s="198"/>
      <c r="S48" s="198"/>
      <c r="T48" s="198"/>
      <c r="U48" s="198"/>
    </row>
    <row r="49" spans="1:21" s="12" customFormat="1" x14ac:dyDescent="0.25">
      <c r="A49" s="247" t="s">
        <v>1340</v>
      </c>
      <c r="B49" s="64">
        <v>36.74</v>
      </c>
      <c r="C49" s="64">
        <v>86.97</v>
      </c>
      <c r="D49" s="64">
        <v>74.91</v>
      </c>
      <c r="E49" s="64">
        <v>5.14</v>
      </c>
      <c r="F49" s="64">
        <v>14.66</v>
      </c>
      <c r="G49" s="64">
        <v>86.7</v>
      </c>
      <c r="H49" s="64">
        <v>37.35</v>
      </c>
      <c r="I49" s="64">
        <v>4.01</v>
      </c>
      <c r="J49" s="64">
        <v>1.1499999999999999</v>
      </c>
      <c r="K49" s="64">
        <v>163.86</v>
      </c>
      <c r="L49" s="64">
        <v>28.43</v>
      </c>
      <c r="M49" s="64">
        <v>28.56</v>
      </c>
      <c r="N49" s="64">
        <v>731.3</v>
      </c>
      <c r="O49" s="64">
        <v>0</v>
      </c>
      <c r="P49" s="64">
        <v>1.1000000000000001</v>
      </c>
      <c r="Q49" s="64">
        <v>9.73</v>
      </c>
      <c r="R49" s="198"/>
      <c r="S49" s="198"/>
      <c r="T49" s="198"/>
      <c r="U49" s="198"/>
    </row>
    <row r="50" spans="1:21" s="12" customFormat="1" x14ac:dyDescent="0.25">
      <c r="A50" s="247" t="s">
        <v>1341</v>
      </c>
      <c r="B50" s="64">
        <v>33.29</v>
      </c>
      <c r="C50" s="64">
        <v>86.37</v>
      </c>
      <c r="D50" s="64">
        <v>71.819999999999993</v>
      </c>
      <c r="E50" s="64">
        <v>5.09</v>
      </c>
      <c r="F50" s="64">
        <v>13.42</v>
      </c>
      <c r="G50" s="64">
        <v>86.7</v>
      </c>
      <c r="H50" s="64">
        <v>37.35</v>
      </c>
      <c r="I50" s="64">
        <v>4.05</v>
      </c>
      <c r="J50" s="64">
        <v>0.83</v>
      </c>
      <c r="K50" s="64">
        <v>176.49</v>
      </c>
      <c r="L50" s="64">
        <v>29.55</v>
      </c>
      <c r="M50" s="64">
        <v>26.66</v>
      </c>
      <c r="N50" s="64">
        <v>750.2</v>
      </c>
      <c r="O50" s="64">
        <v>0</v>
      </c>
      <c r="P50" s="64">
        <v>1.0900000000000001</v>
      </c>
      <c r="Q50" s="64">
        <v>9.7200000000000006</v>
      </c>
      <c r="R50" s="198"/>
      <c r="S50" s="198"/>
      <c r="T50" s="198"/>
      <c r="U50" s="198"/>
    </row>
    <row r="51" spans="1:21" s="12" customFormat="1" x14ac:dyDescent="0.25">
      <c r="A51" s="247" t="s">
        <v>1342</v>
      </c>
      <c r="B51" s="64">
        <v>28.26</v>
      </c>
      <c r="C51" s="64">
        <v>84.93</v>
      </c>
      <c r="D51" s="64">
        <v>67.03</v>
      </c>
      <c r="E51" s="64">
        <v>5.49</v>
      </c>
      <c r="F51" s="64">
        <v>14.19</v>
      </c>
      <c r="G51" s="64">
        <v>86.7</v>
      </c>
      <c r="H51" s="64">
        <v>37.35</v>
      </c>
      <c r="I51" s="64">
        <v>3.97</v>
      </c>
      <c r="J51" s="64">
        <v>1.28</v>
      </c>
      <c r="K51" s="64">
        <v>160.54</v>
      </c>
      <c r="L51" s="64">
        <v>29.76</v>
      </c>
      <c r="M51" s="64">
        <v>26.27</v>
      </c>
      <c r="N51" s="64">
        <v>765.3</v>
      </c>
      <c r="O51" s="64">
        <v>0</v>
      </c>
      <c r="P51" s="64">
        <v>1.03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47" t="s">
        <v>1343</v>
      </c>
      <c r="B52" s="64">
        <v>24.38</v>
      </c>
      <c r="C52" s="64">
        <v>85.13</v>
      </c>
      <c r="D52" s="64">
        <v>64.02</v>
      </c>
      <c r="E52" s="64">
        <v>5.29</v>
      </c>
      <c r="F52" s="64">
        <v>11.76</v>
      </c>
      <c r="G52" s="64">
        <v>83.79</v>
      </c>
      <c r="H52" s="64">
        <v>36</v>
      </c>
      <c r="I52" s="64">
        <v>4.0999999999999996</v>
      </c>
      <c r="J52" s="64">
        <v>0.76</v>
      </c>
      <c r="K52" s="64">
        <v>241.65</v>
      </c>
      <c r="L52" s="64">
        <v>31.31</v>
      </c>
      <c r="M52" s="64">
        <v>19.54</v>
      </c>
      <c r="N52" s="64">
        <v>773.6</v>
      </c>
      <c r="O52" s="64">
        <v>0</v>
      </c>
      <c r="P52" s="64">
        <v>1.02</v>
      </c>
      <c r="Q52" s="64">
        <v>9.68</v>
      </c>
      <c r="R52" s="198"/>
      <c r="S52" s="198"/>
      <c r="T52" s="198"/>
      <c r="U52" s="198"/>
    </row>
    <row r="53" spans="1:21" s="12" customFormat="1" x14ac:dyDescent="0.25">
      <c r="A53" s="247" t="s">
        <v>1344</v>
      </c>
      <c r="B53" s="64">
        <v>17.95</v>
      </c>
      <c r="C53" s="64">
        <v>88.37</v>
      </c>
      <c r="D53" s="64">
        <v>60.56</v>
      </c>
      <c r="E53" s="64">
        <v>5.81</v>
      </c>
      <c r="F53" s="64">
        <v>15.37</v>
      </c>
      <c r="G53" s="64">
        <v>75.78</v>
      </c>
      <c r="H53" s="64">
        <v>32.29</v>
      </c>
      <c r="I53" s="64">
        <v>3.98</v>
      </c>
      <c r="J53" s="64">
        <v>0.64</v>
      </c>
      <c r="K53" s="64">
        <v>222.77</v>
      </c>
      <c r="L53" s="64">
        <v>32.24</v>
      </c>
      <c r="M53" s="64">
        <v>17.440000000000001</v>
      </c>
      <c r="N53" s="64">
        <v>777.9</v>
      </c>
      <c r="O53" s="64">
        <v>0</v>
      </c>
      <c r="P53" s="64">
        <v>1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47" t="s">
        <v>1345</v>
      </c>
      <c r="B54" s="64">
        <v>15.71</v>
      </c>
      <c r="C54" s="64">
        <v>93.88</v>
      </c>
      <c r="D54" s="64">
        <v>61.65</v>
      </c>
      <c r="E54" s="64">
        <v>4.82</v>
      </c>
      <c r="F54" s="64">
        <v>8.36</v>
      </c>
      <c r="G54" s="64">
        <v>75.78</v>
      </c>
      <c r="H54" s="64">
        <v>32.29</v>
      </c>
      <c r="I54" s="64">
        <v>4.07</v>
      </c>
      <c r="J54" s="64">
        <v>0.83</v>
      </c>
      <c r="K54" s="64">
        <v>238.66</v>
      </c>
      <c r="L54" s="64">
        <v>32.11</v>
      </c>
      <c r="M54" s="64">
        <v>17.77</v>
      </c>
      <c r="N54" s="64">
        <v>756.2</v>
      </c>
      <c r="O54" s="64">
        <v>0</v>
      </c>
      <c r="P54" s="64">
        <v>1.02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47" t="s">
        <v>1346</v>
      </c>
      <c r="B55" s="64">
        <v>12.71</v>
      </c>
      <c r="C55" s="64">
        <v>96.48</v>
      </c>
      <c r="D55" s="64">
        <v>60.6</v>
      </c>
      <c r="E55" s="64">
        <v>5.22</v>
      </c>
      <c r="F55" s="64">
        <v>9.73</v>
      </c>
      <c r="G55" s="64">
        <v>75.78</v>
      </c>
      <c r="H55" s="64">
        <v>32.29</v>
      </c>
      <c r="I55" s="64">
        <v>4.03</v>
      </c>
      <c r="J55" s="64">
        <v>0.78</v>
      </c>
      <c r="K55" s="64">
        <v>238.83</v>
      </c>
      <c r="L55" s="64">
        <v>32.43</v>
      </c>
      <c r="M55" s="64">
        <v>17.260000000000002</v>
      </c>
      <c r="N55" s="64">
        <v>736.3</v>
      </c>
      <c r="O55" s="64">
        <v>0</v>
      </c>
      <c r="P55" s="64">
        <v>0.98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47" t="s">
        <v>1347</v>
      </c>
      <c r="B56" s="64">
        <v>8.49</v>
      </c>
      <c r="C56" s="64">
        <v>98.08</v>
      </c>
      <c r="D56" s="64">
        <v>58.05</v>
      </c>
      <c r="E56" s="64">
        <v>6.51</v>
      </c>
      <c r="F56" s="64">
        <v>12.69</v>
      </c>
      <c r="G56" s="64">
        <v>72.03</v>
      </c>
      <c r="H56" s="64">
        <v>31.6</v>
      </c>
      <c r="I56" s="64">
        <v>4.0199999999999996</v>
      </c>
      <c r="J56" s="64">
        <v>1.27</v>
      </c>
      <c r="K56" s="64">
        <v>310.57</v>
      </c>
      <c r="L56" s="64">
        <v>34.57</v>
      </c>
      <c r="M56" s="64">
        <v>16.5</v>
      </c>
      <c r="N56" s="64">
        <v>712.3</v>
      </c>
      <c r="O56" s="64">
        <v>0</v>
      </c>
      <c r="P56" s="64">
        <v>0.98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47" t="s">
        <v>1348</v>
      </c>
      <c r="B57" s="64">
        <v>5.97</v>
      </c>
      <c r="C57" s="64">
        <v>96.16</v>
      </c>
      <c r="D57" s="64">
        <v>55.03</v>
      </c>
      <c r="E57" s="64">
        <v>6.37</v>
      </c>
      <c r="F57" s="64">
        <v>10.41</v>
      </c>
      <c r="G57" s="64">
        <v>61.73</v>
      </c>
      <c r="H57" s="64">
        <v>29.7</v>
      </c>
      <c r="I57" s="64">
        <v>4.17</v>
      </c>
      <c r="J57" s="64">
        <v>0.83</v>
      </c>
      <c r="K57" s="64">
        <v>282.41000000000003</v>
      </c>
      <c r="L57" s="64">
        <v>34.520000000000003</v>
      </c>
      <c r="M57" s="64">
        <v>15.05</v>
      </c>
      <c r="N57" s="64">
        <v>691.4</v>
      </c>
      <c r="O57" s="64">
        <v>0</v>
      </c>
      <c r="P57" s="64">
        <v>0.99</v>
      </c>
      <c r="Q57" s="64">
        <v>9.57</v>
      </c>
      <c r="R57" s="198"/>
      <c r="S57" s="198"/>
      <c r="T57" s="198"/>
      <c r="U57" s="198"/>
    </row>
    <row r="58" spans="1:21" s="12" customFormat="1" x14ac:dyDescent="0.25">
      <c r="A58" s="247" t="s">
        <v>1349</v>
      </c>
      <c r="B58" s="64">
        <v>4.55</v>
      </c>
      <c r="C58" s="64">
        <v>93.36</v>
      </c>
      <c r="D58" s="64">
        <v>52.43</v>
      </c>
      <c r="E58" s="64">
        <v>5.68</v>
      </c>
      <c r="F58" s="64">
        <v>11.6</v>
      </c>
      <c r="G58" s="64">
        <v>61.73</v>
      </c>
      <c r="H58" s="64">
        <v>29.7</v>
      </c>
      <c r="I58" s="64">
        <v>3.94</v>
      </c>
      <c r="J58" s="64">
        <v>0.97</v>
      </c>
      <c r="K58" s="64">
        <v>286.95999999999998</v>
      </c>
      <c r="L58" s="64">
        <v>35.340000000000003</v>
      </c>
      <c r="M58" s="64">
        <v>15.1</v>
      </c>
      <c r="N58" s="64">
        <v>664.1</v>
      </c>
      <c r="O58" s="64">
        <v>0</v>
      </c>
      <c r="P58" s="64">
        <v>1.01</v>
      </c>
      <c r="Q58" s="64">
        <v>9.57</v>
      </c>
      <c r="R58" s="198"/>
      <c r="S58" s="198"/>
      <c r="T58" s="198"/>
      <c r="U58" s="198"/>
    </row>
    <row r="59" spans="1:21" s="12" customFormat="1" x14ac:dyDescent="0.25">
      <c r="A59" s="247" t="s">
        <v>1350</v>
      </c>
      <c r="B59" s="64">
        <v>4.1900000000000004</v>
      </c>
      <c r="C59" s="64">
        <v>87.88</v>
      </c>
      <c r="D59" s="64">
        <v>49.27</v>
      </c>
      <c r="E59" s="64">
        <v>6.41</v>
      </c>
      <c r="F59" s="64">
        <v>13.41</v>
      </c>
      <c r="G59" s="64">
        <v>61.73</v>
      </c>
      <c r="H59" s="64">
        <v>29.7</v>
      </c>
      <c r="I59" s="64">
        <v>4.03</v>
      </c>
      <c r="J59" s="64">
        <v>1.1100000000000001</v>
      </c>
      <c r="K59" s="64">
        <v>300.39999999999998</v>
      </c>
      <c r="L59" s="64">
        <v>35.450000000000003</v>
      </c>
      <c r="M59" s="64">
        <v>14.61</v>
      </c>
      <c r="N59" s="64">
        <v>704.4</v>
      </c>
      <c r="O59" s="64">
        <v>0</v>
      </c>
      <c r="P59" s="64">
        <v>1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47" t="s">
        <v>1351</v>
      </c>
      <c r="B60" s="64">
        <v>3.82</v>
      </c>
      <c r="C60" s="64">
        <v>81.67</v>
      </c>
      <c r="D60" s="64">
        <v>45.73</v>
      </c>
      <c r="E60" s="64">
        <v>6.74</v>
      </c>
      <c r="F60" s="64">
        <v>15.23</v>
      </c>
      <c r="G60" s="64">
        <v>64.849999999999994</v>
      </c>
      <c r="H60" s="64">
        <v>29.39</v>
      </c>
      <c r="I60" s="64">
        <v>4.1900000000000004</v>
      </c>
      <c r="J60" s="64">
        <v>0.92</v>
      </c>
      <c r="K60" s="64">
        <v>250.41</v>
      </c>
      <c r="L60" s="64">
        <v>34.42</v>
      </c>
      <c r="M60" s="64">
        <v>14.98</v>
      </c>
      <c r="N60" s="64">
        <v>677.5</v>
      </c>
      <c r="O60" s="64">
        <v>0</v>
      </c>
      <c r="P60" s="64">
        <v>0.96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47" t="s">
        <v>1352</v>
      </c>
      <c r="B61" s="64">
        <v>4.74</v>
      </c>
      <c r="C61" s="64">
        <v>80.06</v>
      </c>
      <c r="D61" s="64">
        <v>45.63</v>
      </c>
      <c r="E61" s="64">
        <v>5.52</v>
      </c>
      <c r="F61" s="64">
        <v>12.96</v>
      </c>
      <c r="G61" s="64">
        <v>73.42</v>
      </c>
      <c r="H61" s="64">
        <v>28.51</v>
      </c>
      <c r="I61" s="64">
        <v>3.92</v>
      </c>
      <c r="J61" s="64">
        <v>0.85</v>
      </c>
      <c r="K61" s="64">
        <v>296.14999999999998</v>
      </c>
      <c r="L61" s="64">
        <v>34.17</v>
      </c>
      <c r="M61" s="64">
        <v>15.35</v>
      </c>
      <c r="N61" s="64">
        <v>691</v>
      </c>
      <c r="O61" s="64">
        <v>0</v>
      </c>
      <c r="P61" s="64">
        <v>0.93</v>
      </c>
      <c r="Q61" s="64">
        <v>9.5299999999999994</v>
      </c>
      <c r="R61" s="198"/>
      <c r="S61" s="198"/>
      <c r="T61" s="198"/>
      <c r="U61" s="198"/>
    </row>
    <row r="62" spans="1:21" s="12" customFormat="1" x14ac:dyDescent="0.25">
      <c r="A62" s="247" t="s">
        <v>1353</v>
      </c>
      <c r="B62" s="64">
        <v>4.08</v>
      </c>
      <c r="C62" s="64">
        <v>78.11</v>
      </c>
      <c r="D62" s="64">
        <v>44.08</v>
      </c>
      <c r="E62" s="64">
        <v>4.71</v>
      </c>
      <c r="F62" s="64">
        <v>12.24</v>
      </c>
      <c r="G62" s="64">
        <v>73.42</v>
      </c>
      <c r="H62" s="64">
        <v>28.51</v>
      </c>
      <c r="I62" s="64">
        <v>3.94</v>
      </c>
      <c r="J62" s="64">
        <v>1.7</v>
      </c>
      <c r="K62" s="64">
        <v>310.77</v>
      </c>
      <c r="L62" s="64">
        <v>35.51</v>
      </c>
      <c r="M62" s="64">
        <v>14.34</v>
      </c>
      <c r="N62" s="64">
        <v>715.5</v>
      </c>
      <c r="O62" s="64">
        <v>0</v>
      </c>
      <c r="P62" s="64">
        <v>0.97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47" t="s">
        <v>1354</v>
      </c>
      <c r="B63" s="64">
        <v>4.32</v>
      </c>
      <c r="C63" s="64">
        <v>75.33</v>
      </c>
      <c r="D63" s="64">
        <v>42.82</v>
      </c>
      <c r="E63" s="64">
        <v>5.36</v>
      </c>
      <c r="F63" s="64">
        <v>14.24</v>
      </c>
      <c r="G63" s="64">
        <v>73.42</v>
      </c>
      <c r="H63" s="64">
        <v>28.51</v>
      </c>
      <c r="I63" s="64">
        <v>3.96</v>
      </c>
      <c r="J63" s="64">
        <v>1.24</v>
      </c>
      <c r="K63" s="64">
        <v>301.92</v>
      </c>
      <c r="L63" s="64">
        <v>36.07</v>
      </c>
      <c r="M63" s="64">
        <v>13.15</v>
      </c>
      <c r="N63" s="64">
        <v>689.6</v>
      </c>
      <c r="O63" s="64">
        <v>0</v>
      </c>
      <c r="P63" s="64">
        <v>0.9</v>
      </c>
      <c r="Q63" s="64">
        <v>9.5299999999999994</v>
      </c>
      <c r="R63" s="198"/>
      <c r="S63" s="198"/>
      <c r="T63" s="198"/>
      <c r="U63" s="198"/>
    </row>
    <row r="64" spans="1:21" s="12" customFormat="1" x14ac:dyDescent="0.25">
      <c r="A64" s="247" t="s">
        <v>1355</v>
      </c>
      <c r="B64" s="64">
        <v>5.23</v>
      </c>
      <c r="C64" s="64">
        <v>69.77</v>
      </c>
      <c r="D64" s="64">
        <v>40.64</v>
      </c>
      <c r="E64" s="64">
        <v>4.7699999999999996</v>
      </c>
      <c r="F64" s="64">
        <v>15.58</v>
      </c>
      <c r="G64" s="64">
        <v>68.27</v>
      </c>
      <c r="H64" s="64">
        <v>27.82</v>
      </c>
      <c r="I64" s="64">
        <v>3.94</v>
      </c>
      <c r="J64" s="64">
        <v>1.63</v>
      </c>
      <c r="K64" s="64">
        <v>310.55</v>
      </c>
      <c r="L64" s="64">
        <v>36.07</v>
      </c>
      <c r="M64" s="64">
        <v>14.62</v>
      </c>
      <c r="N64" s="64">
        <v>658.5</v>
      </c>
      <c r="O64" s="64">
        <v>0</v>
      </c>
      <c r="P64" s="64">
        <v>0.84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47" t="s">
        <v>1356</v>
      </c>
      <c r="B65" s="64">
        <v>7.05</v>
      </c>
      <c r="C65" s="64">
        <v>70.849999999999994</v>
      </c>
      <c r="D65" s="64">
        <v>42.67</v>
      </c>
      <c r="E65" s="64">
        <v>6.3</v>
      </c>
      <c r="F65" s="64">
        <v>22.91</v>
      </c>
      <c r="G65" s="64">
        <v>54.11</v>
      </c>
      <c r="H65" s="64">
        <v>25.94</v>
      </c>
      <c r="I65" s="64">
        <v>3.92</v>
      </c>
      <c r="J65" s="64">
        <v>1.6</v>
      </c>
      <c r="K65" s="64">
        <v>333.7</v>
      </c>
      <c r="L65" s="64">
        <v>36.47</v>
      </c>
      <c r="M65" s="64">
        <v>13.18</v>
      </c>
      <c r="N65" s="64">
        <v>659.8</v>
      </c>
      <c r="O65" s="64">
        <v>0</v>
      </c>
      <c r="P65" s="64">
        <v>0.76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47" t="s">
        <v>1357</v>
      </c>
      <c r="B66" s="64">
        <v>5.82</v>
      </c>
      <c r="C66" s="64">
        <v>73.59</v>
      </c>
      <c r="D66" s="64">
        <v>43.12</v>
      </c>
      <c r="E66" s="64">
        <v>5.67</v>
      </c>
      <c r="F66" s="64">
        <v>12.63</v>
      </c>
      <c r="G66" s="64">
        <v>54.11</v>
      </c>
      <c r="H66" s="64">
        <v>25.94</v>
      </c>
      <c r="I66" s="64">
        <v>3.99</v>
      </c>
      <c r="J66" s="64">
        <v>1.56</v>
      </c>
      <c r="K66" s="64">
        <v>316.41000000000003</v>
      </c>
      <c r="L66" s="64">
        <v>36.299999999999997</v>
      </c>
      <c r="M66" s="64">
        <v>13.84</v>
      </c>
      <c r="N66" s="64">
        <v>630.29999999999995</v>
      </c>
      <c r="O66" s="64">
        <v>0</v>
      </c>
      <c r="P66" s="64">
        <v>0.78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47" t="s">
        <v>1358</v>
      </c>
      <c r="B67" s="64">
        <v>4.68</v>
      </c>
      <c r="C67" s="64">
        <v>67.41</v>
      </c>
      <c r="D67" s="64">
        <v>38.97</v>
      </c>
      <c r="E67" s="64">
        <v>5.32</v>
      </c>
      <c r="F67" s="64">
        <v>16.420000000000002</v>
      </c>
      <c r="G67" s="64">
        <v>54.11</v>
      </c>
      <c r="H67" s="64">
        <v>25.94</v>
      </c>
      <c r="I67" s="64">
        <v>4.0199999999999996</v>
      </c>
      <c r="J67" s="64">
        <v>1.32</v>
      </c>
      <c r="K67" s="64">
        <v>291.02</v>
      </c>
      <c r="L67" s="64">
        <v>35.24</v>
      </c>
      <c r="M67" s="64">
        <v>14.55</v>
      </c>
      <c r="N67" s="64">
        <v>333.9</v>
      </c>
      <c r="O67" s="64">
        <v>0</v>
      </c>
      <c r="P67" s="64">
        <v>0.77</v>
      </c>
      <c r="Q67" s="64">
        <v>9.42</v>
      </c>
      <c r="R67" s="198"/>
      <c r="S67" s="198"/>
      <c r="T67" s="198"/>
      <c r="U67" s="198"/>
    </row>
    <row r="68" spans="1:21" s="12" customFormat="1" x14ac:dyDescent="0.25">
      <c r="A68" s="247" t="s">
        <v>1359</v>
      </c>
      <c r="B68" s="64">
        <v>5.19</v>
      </c>
      <c r="C68" s="64">
        <v>67.98</v>
      </c>
      <c r="D68" s="64">
        <v>39.68</v>
      </c>
      <c r="E68" s="64">
        <v>7.21</v>
      </c>
      <c r="F68" s="64">
        <v>21.2</v>
      </c>
      <c r="G68" s="64">
        <v>54.57</v>
      </c>
      <c r="H68" s="64">
        <v>25.57</v>
      </c>
      <c r="I68" s="64">
        <v>4.05</v>
      </c>
      <c r="J68" s="64">
        <v>1.45</v>
      </c>
      <c r="K68" s="64">
        <v>313.10000000000002</v>
      </c>
      <c r="L68" s="64">
        <v>34.61</v>
      </c>
      <c r="M68" s="64">
        <v>15.12</v>
      </c>
      <c r="N68" s="64">
        <v>346.6</v>
      </c>
      <c r="O68" s="64">
        <v>0</v>
      </c>
      <c r="P68" s="64">
        <v>0.67</v>
      </c>
      <c r="Q68" s="64">
        <v>9.42</v>
      </c>
      <c r="R68" s="198"/>
      <c r="S68" s="198"/>
      <c r="T68" s="198"/>
      <c r="U68" s="198"/>
    </row>
    <row r="69" spans="1:21" s="12" customFormat="1" x14ac:dyDescent="0.25">
      <c r="A69" s="247" t="s">
        <v>1360</v>
      </c>
      <c r="B69" s="64">
        <v>6.73</v>
      </c>
      <c r="C69" s="64">
        <v>66.94</v>
      </c>
      <c r="D69" s="64">
        <v>40.369999999999997</v>
      </c>
      <c r="E69" s="64">
        <v>12.23</v>
      </c>
      <c r="F69" s="64">
        <v>22.54</v>
      </c>
      <c r="G69" s="64">
        <v>55.86</v>
      </c>
      <c r="H69" s="64">
        <v>24.56</v>
      </c>
      <c r="I69" s="64">
        <v>4.05</v>
      </c>
      <c r="J69" s="64">
        <v>1.21</v>
      </c>
      <c r="K69" s="64">
        <v>313.16000000000003</v>
      </c>
      <c r="L69" s="64">
        <v>34.25</v>
      </c>
      <c r="M69" s="64">
        <v>14.84</v>
      </c>
      <c r="N69" s="64">
        <v>246</v>
      </c>
      <c r="O69" s="64">
        <v>0</v>
      </c>
      <c r="P69" s="64">
        <v>0.67</v>
      </c>
      <c r="Q69" s="64">
        <v>9.41</v>
      </c>
      <c r="R69" s="198"/>
      <c r="S69" s="198"/>
      <c r="T69" s="198"/>
      <c r="U69" s="198"/>
    </row>
    <row r="70" spans="1:21" s="12" customFormat="1" x14ac:dyDescent="0.25">
      <c r="A70" s="247" t="s">
        <v>1361</v>
      </c>
      <c r="B70" s="64">
        <v>7.05</v>
      </c>
      <c r="C70" s="64">
        <v>69.94</v>
      </c>
      <c r="D70" s="64">
        <v>42.19</v>
      </c>
      <c r="E70" s="64">
        <v>10.94</v>
      </c>
      <c r="F70" s="64">
        <v>17.98</v>
      </c>
      <c r="G70" s="64">
        <v>55.86</v>
      </c>
      <c r="H70" s="64">
        <v>24.56</v>
      </c>
      <c r="I70" s="64">
        <v>3.98</v>
      </c>
      <c r="J70" s="64">
        <v>1.6</v>
      </c>
      <c r="K70" s="64">
        <v>315.52</v>
      </c>
      <c r="L70" s="64">
        <v>34.479999999999997</v>
      </c>
      <c r="M70" s="64">
        <v>14.92</v>
      </c>
      <c r="N70" s="64">
        <v>173.6</v>
      </c>
      <c r="O70" s="64">
        <v>0</v>
      </c>
      <c r="P70" s="64">
        <v>0.67</v>
      </c>
      <c r="Q70" s="64">
        <v>9.41</v>
      </c>
      <c r="R70" s="198"/>
      <c r="S70" s="198"/>
      <c r="T70" s="198"/>
      <c r="U70" s="198"/>
    </row>
    <row r="71" spans="1:21" s="12" customFormat="1" x14ac:dyDescent="0.25">
      <c r="A71" s="247" t="s">
        <v>1362</v>
      </c>
      <c r="B71" s="64">
        <v>6.04</v>
      </c>
      <c r="C71" s="64">
        <v>66.8</v>
      </c>
      <c r="D71" s="64">
        <v>39.75</v>
      </c>
      <c r="E71" s="64">
        <v>10.48</v>
      </c>
      <c r="F71" s="64">
        <v>19.84</v>
      </c>
      <c r="G71" s="64">
        <v>55.86</v>
      </c>
      <c r="H71" s="64">
        <v>24.56</v>
      </c>
      <c r="I71" s="64">
        <v>4.05</v>
      </c>
      <c r="J71" s="64">
        <v>1.62</v>
      </c>
      <c r="K71" s="64">
        <v>323.01</v>
      </c>
      <c r="L71" s="64">
        <v>34.1</v>
      </c>
      <c r="M71" s="64">
        <v>14.8</v>
      </c>
      <c r="N71" s="64">
        <v>193.6</v>
      </c>
      <c r="O71" s="64">
        <v>0</v>
      </c>
      <c r="P71" s="64">
        <v>0.65</v>
      </c>
      <c r="Q71" s="64">
        <v>9.4</v>
      </c>
      <c r="R71" s="198"/>
      <c r="S71" s="198"/>
      <c r="T71" s="198"/>
      <c r="U71" s="198"/>
    </row>
    <row r="72" spans="1:21" s="12" customFormat="1" x14ac:dyDescent="0.25">
      <c r="A72" s="247" t="s">
        <v>1363</v>
      </c>
      <c r="B72" s="64">
        <v>5.44</v>
      </c>
      <c r="C72" s="64">
        <v>62.41</v>
      </c>
      <c r="D72" s="64">
        <v>36.97</v>
      </c>
      <c r="E72" s="64">
        <v>12.58</v>
      </c>
      <c r="F72" s="64">
        <v>26.59</v>
      </c>
      <c r="G72" s="64">
        <v>53.45</v>
      </c>
      <c r="H72" s="64">
        <v>24.13</v>
      </c>
      <c r="I72" s="64">
        <v>3.8</v>
      </c>
      <c r="J72" s="64">
        <v>0.49</v>
      </c>
      <c r="K72" s="64">
        <v>180.35</v>
      </c>
      <c r="L72" s="64">
        <v>32.840000000000003</v>
      </c>
      <c r="M72" s="64">
        <v>15.33</v>
      </c>
      <c r="N72" s="64">
        <v>211.5</v>
      </c>
      <c r="O72" s="64">
        <v>0</v>
      </c>
      <c r="P72" s="64">
        <v>0.59</v>
      </c>
      <c r="Q72" s="64">
        <v>9.4</v>
      </c>
      <c r="R72" s="198"/>
      <c r="S72" s="198"/>
      <c r="T72" s="198"/>
      <c r="U72" s="198"/>
    </row>
    <row r="73" spans="1:21" s="12" customFormat="1" x14ac:dyDescent="0.25">
      <c r="A73" s="247" t="s">
        <v>1364</v>
      </c>
      <c r="B73" s="64">
        <v>5.96</v>
      </c>
      <c r="C73" s="64">
        <v>63.94</v>
      </c>
      <c r="D73" s="64">
        <v>38.19</v>
      </c>
      <c r="E73" s="64">
        <v>13.37</v>
      </c>
      <c r="F73" s="64">
        <v>26.2</v>
      </c>
      <c r="G73" s="64">
        <v>46.83</v>
      </c>
      <c r="H73" s="64">
        <v>22.97</v>
      </c>
      <c r="I73" s="64">
        <v>3.94</v>
      </c>
      <c r="J73" s="64">
        <v>0.74</v>
      </c>
      <c r="K73" s="64">
        <v>315.58</v>
      </c>
      <c r="L73" s="64">
        <v>32.479999999999997</v>
      </c>
      <c r="M73" s="64">
        <v>15.27</v>
      </c>
      <c r="N73" s="64">
        <v>258.8</v>
      </c>
      <c r="O73" s="64">
        <v>0</v>
      </c>
      <c r="P73" s="64">
        <v>0.59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47" t="s">
        <v>1365</v>
      </c>
      <c r="B74" s="64">
        <v>6.71</v>
      </c>
      <c r="C74" s="64">
        <v>71.23</v>
      </c>
      <c r="D74" s="64">
        <v>42.59</v>
      </c>
      <c r="E74" s="64">
        <v>13.06</v>
      </c>
      <c r="F74" s="64">
        <v>24.01</v>
      </c>
      <c r="G74" s="64">
        <v>46.83</v>
      </c>
      <c r="H74" s="64">
        <v>22.97</v>
      </c>
      <c r="I74" s="64">
        <v>3.91</v>
      </c>
      <c r="J74" s="64">
        <v>1.48</v>
      </c>
      <c r="K74" s="64">
        <v>338.68</v>
      </c>
      <c r="L74" s="64">
        <v>33.04</v>
      </c>
      <c r="M74" s="64">
        <v>15.14</v>
      </c>
      <c r="N74" s="64">
        <v>202.1</v>
      </c>
      <c r="O74" s="64">
        <v>0</v>
      </c>
      <c r="P74" s="64">
        <v>0.63</v>
      </c>
      <c r="Q74" s="64">
        <v>9.3800000000000008</v>
      </c>
      <c r="R74" s="198"/>
      <c r="S74" s="198"/>
      <c r="T74" s="198"/>
      <c r="U74" s="198"/>
    </row>
    <row r="75" spans="1:21" s="12" customFormat="1" x14ac:dyDescent="0.25">
      <c r="A75" s="247" t="s">
        <v>1366</v>
      </c>
      <c r="B75" s="64">
        <v>10.31</v>
      </c>
      <c r="C75" s="64">
        <v>69.11</v>
      </c>
      <c r="D75" s="64">
        <v>44.38</v>
      </c>
      <c r="E75" s="64">
        <v>17.170000000000002</v>
      </c>
      <c r="F75" s="64">
        <v>32</v>
      </c>
      <c r="G75" s="64">
        <v>46.83</v>
      </c>
      <c r="H75" s="64">
        <v>22.97</v>
      </c>
      <c r="I75" s="64">
        <v>4.0599999999999996</v>
      </c>
      <c r="J75" s="64">
        <v>1.54</v>
      </c>
      <c r="K75" s="64">
        <v>347.8</v>
      </c>
      <c r="L75" s="64">
        <v>32.47</v>
      </c>
      <c r="M75" s="64">
        <v>15.74</v>
      </c>
      <c r="N75" s="64">
        <v>158.69999999999999</v>
      </c>
      <c r="O75" s="64">
        <v>0</v>
      </c>
      <c r="P75" s="64">
        <v>0.59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47" t="s">
        <v>1367</v>
      </c>
      <c r="B76" s="64">
        <v>9.31</v>
      </c>
      <c r="C76" s="64">
        <v>71</v>
      </c>
      <c r="D76" s="64">
        <v>44.56</v>
      </c>
      <c r="E76" s="64">
        <v>22.15</v>
      </c>
      <c r="F76" s="64">
        <v>40.99</v>
      </c>
      <c r="G76" s="64">
        <v>47.63</v>
      </c>
      <c r="H76" s="64">
        <v>22.21</v>
      </c>
      <c r="I76" s="64">
        <v>4.22</v>
      </c>
      <c r="J76" s="64">
        <v>0.77</v>
      </c>
      <c r="K76" s="64">
        <v>4.88</v>
      </c>
      <c r="L76" s="64">
        <v>31.79</v>
      </c>
      <c r="M76" s="64">
        <v>17.010000000000002</v>
      </c>
      <c r="N76" s="64">
        <v>123.5</v>
      </c>
      <c r="O76" s="64">
        <v>0</v>
      </c>
      <c r="P76" s="64">
        <v>0.55000000000000004</v>
      </c>
      <c r="Q76" s="64">
        <v>9.36</v>
      </c>
      <c r="R76" s="198"/>
      <c r="S76" s="198"/>
      <c r="T76" s="198"/>
      <c r="U76" s="198"/>
    </row>
    <row r="77" spans="1:21" s="12" customFormat="1" x14ac:dyDescent="0.25">
      <c r="A77" s="247" t="s">
        <v>1368</v>
      </c>
      <c r="B77" s="64">
        <v>5.92</v>
      </c>
      <c r="C77" s="64">
        <v>66.64</v>
      </c>
      <c r="D77" s="64">
        <v>39.57</v>
      </c>
      <c r="E77" s="64">
        <v>22.03</v>
      </c>
      <c r="F77" s="64">
        <v>39.479999999999997</v>
      </c>
      <c r="G77" s="64">
        <v>49.85</v>
      </c>
      <c r="H77" s="64">
        <v>20.12</v>
      </c>
      <c r="I77" s="64">
        <v>3.93</v>
      </c>
      <c r="J77" s="64">
        <v>0.34</v>
      </c>
      <c r="K77" s="64">
        <v>221.33</v>
      </c>
      <c r="L77" s="64">
        <v>30.93</v>
      </c>
      <c r="M77" s="64">
        <v>16.559999999999999</v>
      </c>
      <c r="N77" s="64">
        <v>106.6</v>
      </c>
      <c r="O77" s="64">
        <v>0</v>
      </c>
      <c r="P77" s="64">
        <v>0.53</v>
      </c>
      <c r="Q77" s="64">
        <v>9.3800000000000008</v>
      </c>
      <c r="R77" s="198"/>
      <c r="S77" s="198"/>
      <c r="T77" s="198"/>
      <c r="U77" s="198"/>
    </row>
    <row r="78" spans="1:21" s="12" customFormat="1" x14ac:dyDescent="0.25">
      <c r="A78" s="247" t="s">
        <v>1369</v>
      </c>
      <c r="B78" s="64">
        <v>7.03</v>
      </c>
      <c r="C78" s="64">
        <v>76.62</v>
      </c>
      <c r="D78" s="64">
        <v>45.67</v>
      </c>
      <c r="E78" s="64">
        <v>13.5</v>
      </c>
      <c r="F78" s="64">
        <v>21.94</v>
      </c>
      <c r="G78" s="64">
        <v>49.85</v>
      </c>
      <c r="H78" s="64">
        <v>20.12</v>
      </c>
      <c r="I78" s="64">
        <v>4.1500000000000004</v>
      </c>
      <c r="J78" s="64">
        <v>0.82</v>
      </c>
      <c r="K78" s="64">
        <v>298.54000000000002</v>
      </c>
      <c r="L78" s="64">
        <v>30.76</v>
      </c>
      <c r="M78" s="64">
        <v>17.48</v>
      </c>
      <c r="N78" s="64">
        <v>95.9</v>
      </c>
      <c r="O78" s="64">
        <v>0</v>
      </c>
      <c r="P78" s="64">
        <v>0.69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47" t="s">
        <v>1370</v>
      </c>
      <c r="B79" s="64">
        <v>11.36</v>
      </c>
      <c r="C79" s="64">
        <v>91.03</v>
      </c>
      <c r="D79" s="64">
        <v>56.67</v>
      </c>
      <c r="E79" s="64">
        <v>12.37</v>
      </c>
      <c r="F79" s="64">
        <v>20.14</v>
      </c>
      <c r="G79" s="64">
        <v>49.85</v>
      </c>
      <c r="H79" s="64">
        <v>20.12</v>
      </c>
      <c r="I79" s="64">
        <v>4.12</v>
      </c>
      <c r="J79" s="64">
        <v>0.52</v>
      </c>
      <c r="K79" s="64">
        <v>292.99</v>
      </c>
      <c r="L79" s="64">
        <v>30.14</v>
      </c>
      <c r="M79" s="64">
        <v>18</v>
      </c>
      <c r="N79" s="64">
        <v>85.3</v>
      </c>
      <c r="O79" s="64">
        <v>0</v>
      </c>
      <c r="P79" s="64">
        <v>0.81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47" t="s">
        <v>1371</v>
      </c>
      <c r="B80" s="64">
        <v>8.82</v>
      </c>
      <c r="C80" s="64">
        <v>101.61</v>
      </c>
      <c r="D80" s="64">
        <v>60.16</v>
      </c>
      <c r="E80" s="64">
        <v>15.56</v>
      </c>
      <c r="F80" s="64">
        <v>26.96</v>
      </c>
      <c r="G80" s="64">
        <v>50.75</v>
      </c>
      <c r="H80" s="64">
        <v>20.309999999999999</v>
      </c>
      <c r="I80" s="64">
        <v>3.99</v>
      </c>
      <c r="J80" s="64">
        <v>0.39</v>
      </c>
      <c r="K80" s="64">
        <v>233.68</v>
      </c>
      <c r="L80" s="64">
        <v>29.56</v>
      </c>
      <c r="M80" s="64">
        <v>18.91</v>
      </c>
      <c r="N80" s="64">
        <v>75.2</v>
      </c>
      <c r="O80" s="64">
        <v>0</v>
      </c>
      <c r="P80" s="64">
        <v>1.02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47" t="s">
        <v>1372</v>
      </c>
      <c r="B81" s="64">
        <v>18.59</v>
      </c>
      <c r="C81" s="64">
        <v>106.62</v>
      </c>
      <c r="D81" s="64">
        <v>70.61</v>
      </c>
      <c r="E81" s="64">
        <v>16.22</v>
      </c>
      <c r="F81" s="64">
        <v>23.53</v>
      </c>
      <c r="G81" s="64">
        <v>53.2</v>
      </c>
      <c r="H81" s="64">
        <v>20.85</v>
      </c>
      <c r="I81" s="64">
        <v>4.09</v>
      </c>
      <c r="J81" s="64">
        <v>0.55000000000000004</v>
      </c>
      <c r="K81" s="64">
        <v>261.89</v>
      </c>
      <c r="L81" s="64">
        <v>28.67</v>
      </c>
      <c r="M81" s="64">
        <v>21.01</v>
      </c>
      <c r="N81" s="64">
        <v>68.7</v>
      </c>
      <c r="O81" s="64">
        <v>0</v>
      </c>
      <c r="P81" s="64">
        <v>1.01</v>
      </c>
      <c r="Q81" s="64">
        <v>9.43</v>
      </c>
      <c r="R81" s="198"/>
      <c r="S81" s="198"/>
      <c r="T81" s="198"/>
      <c r="U81" s="198"/>
    </row>
    <row r="82" spans="1:26" s="12" customFormat="1" x14ac:dyDescent="0.25">
      <c r="A82" s="247" t="s">
        <v>1373</v>
      </c>
      <c r="B82" s="64">
        <v>111.71</v>
      </c>
      <c r="C82" s="64">
        <v>167.88</v>
      </c>
      <c r="D82" s="64">
        <v>177.3</v>
      </c>
      <c r="E82" s="64">
        <v>17.2</v>
      </c>
      <c r="F82" s="64">
        <v>9.5</v>
      </c>
      <c r="G82" s="64">
        <v>53.2</v>
      </c>
      <c r="H82" s="64">
        <v>20.85</v>
      </c>
      <c r="I82" s="64">
        <v>4.05</v>
      </c>
      <c r="J82" s="64">
        <v>0.46</v>
      </c>
      <c r="K82" s="64">
        <v>335.39</v>
      </c>
      <c r="L82" s="64">
        <v>27.53</v>
      </c>
      <c r="M82" s="64">
        <v>25.34</v>
      </c>
      <c r="N82" s="64">
        <v>67</v>
      </c>
      <c r="O82" s="64">
        <v>0</v>
      </c>
      <c r="P82" s="64">
        <v>2.09</v>
      </c>
      <c r="Q82" s="64">
        <v>9.49</v>
      </c>
      <c r="R82" s="198"/>
      <c r="S82" s="198"/>
      <c r="T82" s="198"/>
      <c r="U82" s="198"/>
    </row>
    <row r="83" spans="1:26" s="12" customFormat="1" x14ac:dyDescent="0.25">
      <c r="A83" s="247" t="s">
        <v>1374</v>
      </c>
      <c r="B83" s="64">
        <v>39.630000000000003</v>
      </c>
      <c r="C83" s="64">
        <v>165.74</v>
      </c>
      <c r="D83" s="64">
        <v>118.38</v>
      </c>
      <c r="E83" s="64">
        <v>17.489999999999998</v>
      </c>
      <c r="F83" s="64">
        <v>9.48</v>
      </c>
      <c r="G83" s="64">
        <v>53.2</v>
      </c>
      <c r="H83" s="64">
        <v>20.85</v>
      </c>
      <c r="I83" s="64">
        <v>3.85</v>
      </c>
      <c r="J83" s="64">
        <v>0.36</v>
      </c>
      <c r="K83" s="64">
        <v>267.83</v>
      </c>
      <c r="L83" s="64">
        <v>26.71</v>
      </c>
      <c r="M83" s="64">
        <v>26.02</v>
      </c>
      <c r="N83" s="64">
        <v>66.599999999999994</v>
      </c>
      <c r="O83" s="64">
        <v>0</v>
      </c>
      <c r="P83" s="64">
        <v>1.78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47" t="s">
        <v>1375</v>
      </c>
      <c r="B84" s="64">
        <v>90.92</v>
      </c>
      <c r="C84" s="64">
        <v>171.02</v>
      </c>
      <c r="D84" s="64">
        <v>162.26</v>
      </c>
      <c r="E84" s="64">
        <v>15.5</v>
      </c>
      <c r="F84" s="64">
        <v>8.01</v>
      </c>
      <c r="G84" s="64">
        <v>63.65</v>
      </c>
      <c r="H84" s="64">
        <v>21.84</v>
      </c>
      <c r="I84" s="64">
        <v>4.04</v>
      </c>
      <c r="J84" s="64">
        <v>0.19</v>
      </c>
      <c r="K84" s="64">
        <v>184.93</v>
      </c>
      <c r="L84" s="64">
        <v>25.94</v>
      </c>
      <c r="M84" s="64">
        <v>28.88</v>
      </c>
      <c r="N84" s="64">
        <v>66.5</v>
      </c>
      <c r="O84" s="64">
        <v>0</v>
      </c>
      <c r="P84" s="64">
        <v>1.85</v>
      </c>
      <c r="Q84" s="64">
        <v>9.5299999999999994</v>
      </c>
      <c r="R84" s="198"/>
      <c r="S84" s="198"/>
      <c r="T84" s="198"/>
      <c r="U84" s="198"/>
    </row>
    <row r="85" spans="1:26" s="12" customFormat="1" x14ac:dyDescent="0.25">
      <c r="A85" s="247" t="s">
        <v>1376</v>
      </c>
      <c r="B85" s="64">
        <v>113.69</v>
      </c>
      <c r="C85" s="64">
        <v>168.4</v>
      </c>
      <c r="D85" s="64">
        <v>179.15</v>
      </c>
      <c r="E85" s="64">
        <v>14.17</v>
      </c>
      <c r="F85" s="64">
        <v>8.64</v>
      </c>
      <c r="G85" s="64">
        <v>92.38</v>
      </c>
      <c r="H85" s="64">
        <v>24.57</v>
      </c>
      <c r="I85" s="64">
        <v>3.98</v>
      </c>
      <c r="J85" s="64">
        <v>0.38</v>
      </c>
      <c r="K85" s="64">
        <v>336.41</v>
      </c>
      <c r="L85" s="64">
        <v>25.38</v>
      </c>
      <c r="M85" s="64">
        <v>30.63</v>
      </c>
      <c r="N85" s="64">
        <v>66.3</v>
      </c>
      <c r="O85" s="64">
        <v>0</v>
      </c>
      <c r="P85" s="64">
        <v>2.35</v>
      </c>
      <c r="Q85" s="64">
        <v>9.52</v>
      </c>
      <c r="R85" s="198"/>
      <c r="S85" s="198"/>
      <c r="T85" s="198"/>
      <c r="U85" s="198"/>
    </row>
    <row r="86" spans="1:26" s="12" customFormat="1" x14ac:dyDescent="0.25">
      <c r="A86" s="247" t="s">
        <v>1377</v>
      </c>
      <c r="B86" s="64">
        <v>88.63</v>
      </c>
      <c r="C86" s="64">
        <v>161.84</v>
      </c>
      <c r="D86" s="64">
        <v>155.63999999999999</v>
      </c>
      <c r="E86" s="64">
        <v>13.64</v>
      </c>
      <c r="F86" s="64">
        <v>8.32</v>
      </c>
      <c r="G86" s="64">
        <v>92.38</v>
      </c>
      <c r="H86" s="64">
        <v>24.57</v>
      </c>
      <c r="I86" s="64">
        <v>4.04</v>
      </c>
      <c r="J86" s="64">
        <v>0.72</v>
      </c>
      <c r="K86" s="64">
        <v>92.97</v>
      </c>
      <c r="L86" s="64">
        <v>25.17</v>
      </c>
      <c r="M86" s="64">
        <v>33.630000000000003</v>
      </c>
      <c r="N86" s="64">
        <v>66.099999999999994</v>
      </c>
      <c r="O86" s="64">
        <v>0</v>
      </c>
      <c r="P86" s="64">
        <v>2.0299999999999998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47" t="s">
        <v>1378</v>
      </c>
      <c r="B87" s="64">
        <v>150.43</v>
      </c>
      <c r="C87" s="64">
        <v>167.26</v>
      </c>
      <c r="D87" s="64">
        <v>208.02</v>
      </c>
      <c r="E87" s="64">
        <v>13.21</v>
      </c>
      <c r="F87" s="64">
        <v>11.88</v>
      </c>
      <c r="G87" s="64">
        <v>92.38</v>
      </c>
      <c r="H87" s="64">
        <v>24.57</v>
      </c>
      <c r="I87" s="64">
        <v>3.96</v>
      </c>
      <c r="J87" s="64">
        <v>0.45</v>
      </c>
      <c r="K87" s="64">
        <v>158.12</v>
      </c>
      <c r="L87" s="64">
        <v>24.76</v>
      </c>
      <c r="M87" s="64">
        <v>32.32</v>
      </c>
      <c r="N87" s="64">
        <v>65.8</v>
      </c>
      <c r="O87" s="64">
        <v>0</v>
      </c>
      <c r="P87" s="64">
        <v>1.9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47" t="s">
        <v>1379</v>
      </c>
      <c r="B88" s="64">
        <v>26.15</v>
      </c>
      <c r="C88" s="64">
        <v>127.42</v>
      </c>
      <c r="D88" s="64">
        <v>87.55</v>
      </c>
      <c r="E88" s="64">
        <v>13.36</v>
      </c>
      <c r="F88" s="64">
        <v>14.41</v>
      </c>
      <c r="G88" s="64">
        <v>102.32</v>
      </c>
      <c r="H88" s="64">
        <v>25.57</v>
      </c>
      <c r="I88" s="64">
        <v>4.16</v>
      </c>
      <c r="J88" s="64">
        <v>0.61</v>
      </c>
      <c r="K88" s="64">
        <v>211.83</v>
      </c>
      <c r="L88" s="64">
        <v>25.24</v>
      </c>
      <c r="M88" s="64">
        <v>29.91</v>
      </c>
      <c r="N88" s="64">
        <v>65.2</v>
      </c>
      <c r="O88" s="64">
        <v>0</v>
      </c>
      <c r="P88" s="64">
        <v>1.37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47" t="s">
        <v>1380</v>
      </c>
      <c r="B89" s="64">
        <v>42.39</v>
      </c>
      <c r="C89" s="64">
        <v>117.27</v>
      </c>
      <c r="D89" s="64">
        <v>95.26</v>
      </c>
      <c r="E89" s="64">
        <v>10.96</v>
      </c>
      <c r="F89" s="64">
        <v>9.51</v>
      </c>
      <c r="G89" s="64">
        <v>129.65</v>
      </c>
      <c r="H89" s="64">
        <v>28.34</v>
      </c>
      <c r="I89" s="64">
        <v>3.87</v>
      </c>
      <c r="J89" s="64">
        <v>0.32</v>
      </c>
      <c r="K89" s="64">
        <v>232.6</v>
      </c>
      <c r="L89" s="64">
        <v>25.1</v>
      </c>
      <c r="M89" s="64">
        <v>31.06</v>
      </c>
      <c r="N89" s="64">
        <v>66</v>
      </c>
      <c r="O89" s="64">
        <v>0</v>
      </c>
      <c r="P89" s="64">
        <v>1.48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47" t="s">
        <v>1381</v>
      </c>
      <c r="B90" s="64">
        <v>70.27</v>
      </c>
      <c r="C90" s="64">
        <v>127.01</v>
      </c>
      <c r="D90" s="64">
        <v>122.71</v>
      </c>
      <c r="E90" s="64">
        <v>9.56</v>
      </c>
      <c r="F90" s="64">
        <v>7.92</v>
      </c>
      <c r="G90" s="64">
        <v>129.65</v>
      </c>
      <c r="H90" s="64">
        <v>28.34</v>
      </c>
      <c r="I90" s="64">
        <v>3.95</v>
      </c>
      <c r="J90" s="64">
        <v>0.4</v>
      </c>
      <c r="K90" s="64">
        <v>303.12</v>
      </c>
      <c r="L90" s="64">
        <v>24.49</v>
      </c>
      <c r="M90" s="64">
        <v>33.42</v>
      </c>
      <c r="N90" s="64">
        <v>66.5</v>
      </c>
      <c r="O90" s="64">
        <v>0</v>
      </c>
      <c r="P90" s="64">
        <v>1.92</v>
      </c>
      <c r="Q90" s="64">
        <v>9.56</v>
      </c>
      <c r="R90" s="198"/>
      <c r="S90" s="198"/>
      <c r="T90" s="198"/>
      <c r="U90" s="198"/>
    </row>
    <row r="91" spans="1:26" s="12" customFormat="1" x14ac:dyDescent="0.25">
      <c r="A91" s="247" t="s">
        <v>1382</v>
      </c>
      <c r="B91" s="64">
        <v>113.12</v>
      </c>
      <c r="C91" s="64">
        <v>118.29</v>
      </c>
      <c r="D91" s="64">
        <v>152.52000000000001</v>
      </c>
      <c r="E91" s="64">
        <v>8.39</v>
      </c>
      <c r="F91" s="64">
        <v>7.54</v>
      </c>
      <c r="G91" s="64">
        <v>129.65</v>
      </c>
      <c r="H91" s="64">
        <v>28.34</v>
      </c>
      <c r="I91" s="64">
        <v>3.85</v>
      </c>
      <c r="J91" s="64">
        <v>0.6</v>
      </c>
      <c r="K91" s="64">
        <v>341.2</v>
      </c>
      <c r="L91" s="64">
        <v>23.56</v>
      </c>
      <c r="M91" s="64">
        <v>38.909999999999997</v>
      </c>
      <c r="N91" s="64">
        <v>66.599999999999994</v>
      </c>
      <c r="O91" s="64">
        <v>0</v>
      </c>
      <c r="P91" s="64">
        <v>2.34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47" t="s">
        <v>1383</v>
      </c>
      <c r="B92" s="64">
        <v>124.7</v>
      </c>
      <c r="C92" s="64">
        <v>125.84</v>
      </c>
      <c r="D92" s="64">
        <v>165.75</v>
      </c>
      <c r="E92" s="64">
        <v>8.86</v>
      </c>
      <c r="F92" s="64">
        <v>7.49</v>
      </c>
      <c r="G92" s="64">
        <v>131.54</v>
      </c>
      <c r="H92" s="64">
        <v>29.01</v>
      </c>
      <c r="I92" s="64">
        <v>4.16</v>
      </c>
      <c r="J92" s="64">
        <v>0.36</v>
      </c>
      <c r="K92" s="64">
        <v>353.41</v>
      </c>
      <c r="L92" s="64">
        <v>23.13</v>
      </c>
      <c r="M92" s="64">
        <v>38.49</v>
      </c>
      <c r="N92" s="64">
        <v>66.5</v>
      </c>
      <c r="O92" s="64">
        <v>0</v>
      </c>
      <c r="P92" s="64">
        <v>2.4700000000000002</v>
      </c>
      <c r="Q92" s="64">
        <v>9.58</v>
      </c>
      <c r="R92" s="198"/>
      <c r="S92" s="198"/>
      <c r="T92" s="198"/>
      <c r="U92" s="198"/>
    </row>
    <row r="93" spans="1:26" s="12" customFormat="1" x14ac:dyDescent="0.25">
      <c r="A93" s="247" t="s">
        <v>1384</v>
      </c>
      <c r="B93" s="64">
        <v>94.08</v>
      </c>
      <c r="C93" s="64">
        <v>117.73</v>
      </c>
      <c r="D93" s="64">
        <v>136.94999999999999</v>
      </c>
      <c r="E93" s="64">
        <v>8.41</v>
      </c>
      <c r="F93" s="64">
        <v>7.26</v>
      </c>
      <c r="G93" s="64">
        <v>136.72999999999999</v>
      </c>
      <c r="H93" s="64">
        <v>30.87</v>
      </c>
      <c r="I93" s="64">
        <v>4.0999999999999996</v>
      </c>
      <c r="J93" s="64">
        <v>0.5</v>
      </c>
      <c r="K93" s="64">
        <v>281.54000000000002</v>
      </c>
      <c r="L93" s="64">
        <v>22.87</v>
      </c>
      <c r="M93" s="64">
        <v>36.58</v>
      </c>
      <c r="N93" s="64">
        <v>66.400000000000006</v>
      </c>
      <c r="O93" s="64">
        <v>0</v>
      </c>
      <c r="P93" s="64">
        <v>1.93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47" t="s">
        <v>1385</v>
      </c>
      <c r="B94" s="64">
        <v>119.56</v>
      </c>
      <c r="C94" s="64">
        <v>113.88</v>
      </c>
      <c r="D94" s="64">
        <v>155.38</v>
      </c>
      <c r="E94" s="64">
        <v>7.43</v>
      </c>
      <c r="F94" s="64">
        <v>7.11</v>
      </c>
      <c r="G94" s="64">
        <v>136.72999999999999</v>
      </c>
      <c r="H94" s="64">
        <v>30.87</v>
      </c>
      <c r="I94" s="64">
        <v>3.92</v>
      </c>
      <c r="J94" s="64">
        <v>0.36</v>
      </c>
      <c r="K94" s="64">
        <v>349.21</v>
      </c>
      <c r="L94" s="64">
        <v>22.74</v>
      </c>
      <c r="M94" s="64">
        <v>37.659999999999997</v>
      </c>
      <c r="N94" s="64">
        <v>66.400000000000006</v>
      </c>
      <c r="O94" s="64">
        <v>0</v>
      </c>
      <c r="P94" s="64">
        <v>2.08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47" t="s">
        <v>1386</v>
      </c>
      <c r="B95" s="64">
        <v>138.19999999999999</v>
      </c>
      <c r="C95" s="64">
        <v>112.27</v>
      </c>
      <c r="D95" s="64">
        <v>169.48</v>
      </c>
      <c r="E95" s="64">
        <v>7.01</v>
      </c>
      <c r="F95" s="64">
        <v>6.95</v>
      </c>
      <c r="G95" s="64">
        <v>136.72999999999999</v>
      </c>
      <c r="H95" s="64">
        <v>30.87</v>
      </c>
      <c r="I95" s="64">
        <v>3.99</v>
      </c>
      <c r="J95" s="64">
        <v>0.54</v>
      </c>
      <c r="K95" s="64">
        <v>345.18</v>
      </c>
      <c r="L95" s="64">
        <v>22.4</v>
      </c>
      <c r="M95" s="64">
        <v>40.71</v>
      </c>
      <c r="N95" s="64">
        <v>66.5</v>
      </c>
      <c r="O95" s="64">
        <v>0</v>
      </c>
      <c r="P95" s="64">
        <v>2.59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47" t="s">
        <v>1387</v>
      </c>
      <c r="B96" s="64">
        <v>112.27</v>
      </c>
      <c r="C96" s="64">
        <v>110.59</v>
      </c>
      <c r="D96" s="64">
        <v>147.81</v>
      </c>
      <c r="E96" s="64">
        <v>6.9</v>
      </c>
      <c r="F96" s="64">
        <v>7.24</v>
      </c>
      <c r="G96" s="64">
        <v>138.79</v>
      </c>
      <c r="H96" s="64">
        <v>31.11</v>
      </c>
      <c r="I96" s="64">
        <v>3.85</v>
      </c>
      <c r="J96" s="64">
        <v>0.34</v>
      </c>
      <c r="K96" s="64">
        <v>320.02999999999997</v>
      </c>
      <c r="L96" s="64">
        <v>22.06</v>
      </c>
      <c r="M96" s="64">
        <v>40.880000000000003</v>
      </c>
      <c r="N96" s="64">
        <v>66.5</v>
      </c>
      <c r="O96" s="64">
        <v>0</v>
      </c>
      <c r="P96" s="64">
        <v>2.2000000000000002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1388</v>
      </c>
      <c r="B97" s="64">
        <v>115.98</v>
      </c>
      <c r="C97" s="64">
        <v>111.32</v>
      </c>
      <c r="D97" s="64">
        <v>151.16999999999999</v>
      </c>
      <c r="E97" s="64">
        <v>6.71</v>
      </c>
      <c r="F97" s="64">
        <v>7.78</v>
      </c>
      <c r="G97" s="64">
        <v>144.46</v>
      </c>
      <c r="H97" s="64">
        <v>31.77</v>
      </c>
      <c r="I97" s="64">
        <v>4.01</v>
      </c>
      <c r="J97" s="64">
        <v>0.64</v>
      </c>
      <c r="K97" s="64">
        <v>269.66000000000003</v>
      </c>
      <c r="L97" s="64">
        <v>21.92</v>
      </c>
      <c r="M97" s="64">
        <v>39.520000000000003</v>
      </c>
      <c r="N97" s="64">
        <v>66.2</v>
      </c>
      <c r="O97" s="64">
        <v>0</v>
      </c>
      <c r="P97" s="64">
        <v>2.12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47" t="s">
        <v>1389</v>
      </c>
      <c r="B98" s="64">
        <v>122.45</v>
      </c>
      <c r="C98" s="64">
        <v>106.56</v>
      </c>
      <c r="D98" s="64">
        <v>153.87</v>
      </c>
      <c r="E98" s="64">
        <v>6.18</v>
      </c>
      <c r="F98" s="64">
        <v>7.74</v>
      </c>
      <c r="G98" s="64">
        <v>144.46</v>
      </c>
      <c r="H98" s="64">
        <v>31.77</v>
      </c>
      <c r="I98" s="64">
        <v>3.84</v>
      </c>
      <c r="J98" s="64">
        <v>0.68</v>
      </c>
      <c r="K98" s="64">
        <v>349.11</v>
      </c>
      <c r="L98" s="64">
        <v>21.69</v>
      </c>
      <c r="M98" s="64">
        <v>43.15</v>
      </c>
      <c r="N98" s="64">
        <v>66.5</v>
      </c>
      <c r="O98" s="64">
        <v>0</v>
      </c>
      <c r="P98" s="64">
        <v>2.14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47" t="s">
        <v>1390</v>
      </c>
      <c r="B99" s="64">
        <v>99.46</v>
      </c>
      <c r="C99" s="64">
        <v>113.25</v>
      </c>
      <c r="D99" s="64">
        <v>138.93</v>
      </c>
      <c r="E99" s="64">
        <v>8.58</v>
      </c>
      <c r="F99" s="64">
        <v>9.9600000000000009</v>
      </c>
      <c r="G99" s="64">
        <v>144.46</v>
      </c>
      <c r="H99" s="64">
        <v>31.77</v>
      </c>
      <c r="I99" s="64">
        <v>4.1100000000000003</v>
      </c>
      <c r="J99" s="64">
        <v>0.55000000000000004</v>
      </c>
      <c r="K99" s="64">
        <v>288.44</v>
      </c>
      <c r="L99" s="64">
        <v>21.51</v>
      </c>
      <c r="M99" s="64">
        <v>39.19</v>
      </c>
      <c r="N99" s="64">
        <v>66.3</v>
      </c>
      <c r="O99" s="64">
        <v>0</v>
      </c>
      <c r="P99" s="64">
        <v>2</v>
      </c>
      <c r="Q99" s="64">
        <v>9.76</v>
      </c>
      <c r="R99" s="198"/>
      <c r="S99" s="198"/>
      <c r="T99" s="198"/>
      <c r="U99" s="198"/>
    </row>
    <row r="100" spans="1:33" s="12" customFormat="1" x14ac:dyDescent="0.25">
      <c r="A100" s="247" t="s">
        <v>1391</v>
      </c>
      <c r="B100" s="64">
        <v>91.17</v>
      </c>
      <c r="C100" s="64">
        <v>111.13</v>
      </c>
      <c r="D100" s="64">
        <v>131.16999999999999</v>
      </c>
      <c r="E100" s="64">
        <v>9.01</v>
      </c>
      <c r="F100" s="64">
        <v>10.210000000000001</v>
      </c>
      <c r="G100" s="64">
        <v>137.88</v>
      </c>
      <c r="H100" s="64">
        <v>31.87</v>
      </c>
      <c r="I100" s="64">
        <v>3.93</v>
      </c>
      <c r="J100" s="64">
        <v>0.37</v>
      </c>
      <c r="K100" s="64">
        <v>320.76</v>
      </c>
      <c r="L100" s="64">
        <v>21.49</v>
      </c>
      <c r="M100" s="64">
        <v>42.72</v>
      </c>
      <c r="N100" s="64">
        <v>66.3</v>
      </c>
      <c r="O100" s="64">
        <v>0</v>
      </c>
      <c r="P100" s="64">
        <v>1.73</v>
      </c>
      <c r="Q100" s="64">
        <v>9.8000000000000007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1392</v>
      </c>
      <c r="B101" s="64">
        <v>95.17</v>
      </c>
      <c r="C101" s="64">
        <v>114.76</v>
      </c>
      <c r="D101" s="64">
        <v>136.27000000000001</v>
      </c>
      <c r="E101" s="64">
        <v>8.48</v>
      </c>
      <c r="F101" s="64">
        <v>7.29</v>
      </c>
      <c r="G101" s="64">
        <v>119.8</v>
      </c>
      <c r="H101" s="64">
        <v>32.130000000000003</v>
      </c>
      <c r="I101" s="64">
        <v>3.98</v>
      </c>
      <c r="J101" s="64">
        <v>0.23</v>
      </c>
      <c r="K101" s="64">
        <v>220.18</v>
      </c>
      <c r="L101" s="64">
        <v>20.98</v>
      </c>
      <c r="M101" s="64">
        <v>43.06</v>
      </c>
      <c r="N101" s="64">
        <v>66.599999999999994</v>
      </c>
      <c r="O101" s="64">
        <v>0</v>
      </c>
      <c r="P101" s="64">
        <v>1.68</v>
      </c>
      <c r="Q101" s="64">
        <v>9.81</v>
      </c>
      <c r="R101" s="198"/>
      <c r="S101" s="198"/>
      <c r="T101" s="198"/>
      <c r="U101" s="198"/>
    </row>
    <row r="102" spans="1:33" s="12" customFormat="1" x14ac:dyDescent="0.25">
      <c r="A102" s="247" t="s">
        <v>1393</v>
      </c>
      <c r="B102" s="64">
        <v>152.04</v>
      </c>
      <c r="C102" s="64">
        <v>121.88</v>
      </c>
      <c r="D102" s="64">
        <v>185.6</v>
      </c>
      <c r="E102" s="64">
        <v>8.07</v>
      </c>
      <c r="F102" s="64">
        <v>7.32</v>
      </c>
      <c r="G102" s="64">
        <v>119.8</v>
      </c>
      <c r="H102" s="64">
        <v>32.130000000000003</v>
      </c>
      <c r="I102" s="64">
        <v>3.79</v>
      </c>
      <c r="J102" s="64">
        <v>0.11</v>
      </c>
      <c r="K102" s="64">
        <v>207.71</v>
      </c>
      <c r="L102" s="64">
        <v>20.78</v>
      </c>
      <c r="M102" s="64">
        <v>42.45</v>
      </c>
      <c r="N102" s="64">
        <v>66.400000000000006</v>
      </c>
      <c r="O102" s="64">
        <v>0</v>
      </c>
      <c r="P102" s="64">
        <v>1.66</v>
      </c>
      <c r="Q102" s="64">
        <v>9.83</v>
      </c>
      <c r="R102" s="198"/>
      <c r="S102" s="198"/>
      <c r="T102" s="198"/>
      <c r="U102" s="198"/>
    </row>
    <row r="103" spans="1:33" s="12" customFormat="1" x14ac:dyDescent="0.25">
      <c r="A103" s="247" t="s">
        <v>1394</v>
      </c>
      <c r="B103" s="64">
        <v>182.12</v>
      </c>
      <c r="C103" s="64">
        <v>113.22</v>
      </c>
      <c r="D103" s="64">
        <v>205.2</v>
      </c>
      <c r="E103" s="64">
        <v>7.62</v>
      </c>
      <c r="F103" s="64">
        <v>6.98</v>
      </c>
      <c r="G103" s="64">
        <v>119.8</v>
      </c>
      <c r="H103" s="64">
        <v>32.130000000000003</v>
      </c>
      <c r="I103" s="64">
        <v>4.16</v>
      </c>
      <c r="J103" s="64">
        <v>0.17</v>
      </c>
      <c r="K103" s="64">
        <v>351.31</v>
      </c>
      <c r="L103" s="64">
        <v>20.48</v>
      </c>
      <c r="M103" s="64">
        <v>48.19</v>
      </c>
      <c r="N103" s="64">
        <v>66.5</v>
      </c>
      <c r="O103" s="64">
        <v>0</v>
      </c>
      <c r="P103" s="64">
        <v>1.81</v>
      </c>
      <c r="Q103" s="64">
        <v>9.83</v>
      </c>
      <c r="R103" s="198"/>
      <c r="S103" s="198"/>
      <c r="T103" s="198"/>
      <c r="U103" s="198"/>
    </row>
    <row r="104" spans="1:33" s="12" customFormat="1" x14ac:dyDescent="0.25">
      <c r="A104" s="247" t="s">
        <v>1395</v>
      </c>
      <c r="B104" s="64">
        <v>102.31</v>
      </c>
      <c r="C104" s="64">
        <v>110.92</v>
      </c>
      <c r="D104" s="64">
        <v>140</v>
      </c>
      <c r="E104" s="64">
        <v>5.57</v>
      </c>
      <c r="F104" s="64">
        <v>7.29</v>
      </c>
      <c r="G104" s="64">
        <v>119.32</v>
      </c>
      <c r="H104" s="64">
        <v>31.56</v>
      </c>
      <c r="I104" s="64">
        <v>4.07</v>
      </c>
      <c r="J104" s="64">
        <v>0.44</v>
      </c>
      <c r="K104" s="64">
        <v>232.94</v>
      </c>
      <c r="L104" s="64">
        <v>20.45</v>
      </c>
      <c r="M104" s="64">
        <v>46.97</v>
      </c>
      <c r="N104" s="64">
        <v>66.2</v>
      </c>
      <c r="O104" s="64">
        <v>0</v>
      </c>
      <c r="P104" s="64">
        <v>1.62</v>
      </c>
      <c r="Q104" s="64">
        <v>9.83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3.82</v>
      </c>
      <c r="C106" s="67">
        <f>MIN(C9:C104)</f>
        <v>62.41</v>
      </c>
      <c r="D106" s="67">
        <f t="shared" ref="D106:Q106" si="0">MIN(D9:D104)</f>
        <v>36.97</v>
      </c>
      <c r="E106" s="67">
        <f t="shared" si="0"/>
        <v>2.73</v>
      </c>
      <c r="F106" s="67">
        <f t="shared" si="0"/>
        <v>6.37</v>
      </c>
      <c r="G106" s="67">
        <f t="shared" si="0"/>
        <v>46.83</v>
      </c>
      <c r="H106" s="67">
        <f t="shared" si="0"/>
        <v>20.12</v>
      </c>
      <c r="I106" s="67">
        <f t="shared" si="0"/>
        <v>3.79</v>
      </c>
      <c r="J106" s="67">
        <f t="shared" si="0"/>
        <v>0.11</v>
      </c>
      <c r="K106" s="67">
        <f t="shared" si="0"/>
        <v>1.73</v>
      </c>
      <c r="L106" s="67">
        <f t="shared" si="0"/>
        <v>15.3</v>
      </c>
      <c r="M106" s="67">
        <f t="shared" si="0"/>
        <v>13.15</v>
      </c>
      <c r="N106" s="67">
        <f t="shared" si="0"/>
        <v>65.2</v>
      </c>
      <c r="O106" s="67">
        <f t="shared" si="0"/>
        <v>0</v>
      </c>
      <c r="P106" s="67">
        <f t="shared" si="0"/>
        <v>0.53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247.95</v>
      </c>
      <c r="C107" s="66">
        <f t="shared" ref="C107:Q107" si="1">MAX(C9:C104)</f>
        <v>171.02</v>
      </c>
      <c r="D107" s="66">
        <f t="shared" si="1"/>
        <v>241.75</v>
      </c>
      <c r="E107" s="66">
        <f t="shared" si="1"/>
        <v>22.15</v>
      </c>
      <c r="F107" s="66">
        <f t="shared" si="1"/>
        <v>40.99</v>
      </c>
      <c r="G107" s="66">
        <f t="shared" si="1"/>
        <v>173.54</v>
      </c>
      <c r="H107" s="66">
        <f t="shared" si="1"/>
        <v>53.87</v>
      </c>
      <c r="I107" s="66">
        <f t="shared" si="1"/>
        <v>4.22</v>
      </c>
      <c r="J107" s="66">
        <f t="shared" si="1"/>
        <v>1.7</v>
      </c>
      <c r="K107" s="66">
        <f t="shared" si="1"/>
        <v>359.17</v>
      </c>
      <c r="L107" s="66">
        <f t="shared" si="1"/>
        <v>36.47</v>
      </c>
      <c r="M107" s="66">
        <f t="shared" si="1"/>
        <v>65.05</v>
      </c>
      <c r="N107" s="66">
        <f t="shared" si="1"/>
        <v>777.9</v>
      </c>
      <c r="O107" s="66">
        <f t="shared" si="1"/>
        <v>0</v>
      </c>
      <c r="P107" s="66">
        <f t="shared" si="1"/>
        <v>2.63</v>
      </c>
      <c r="Q107" s="66">
        <f t="shared" si="1"/>
        <v>10.36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84.414479166666638</v>
      </c>
      <c r="C108" s="67">
        <f t="shared" ref="C108:Q108" si="2">AVERAGE(C9:C104)</f>
        <v>89.288749999999979</v>
      </c>
      <c r="D108" s="67">
        <f t="shared" si="2"/>
        <v>114.34479166666669</v>
      </c>
      <c r="E108" s="67">
        <f t="shared" si="2"/>
        <v>7.411249999999999</v>
      </c>
      <c r="F108" s="67">
        <f t="shared" si="2"/>
        <v>11.515000000000002</v>
      </c>
      <c r="G108" s="67">
        <f t="shared" si="2"/>
        <v>92.620833333333238</v>
      </c>
      <c r="H108" s="67">
        <f t="shared" si="2"/>
        <v>29.903645833333339</v>
      </c>
      <c r="I108" s="67">
        <f t="shared" si="2"/>
        <v>3.9968750000000028</v>
      </c>
      <c r="J108" s="67">
        <f t="shared" si="2"/>
        <v>0.7407291666666671</v>
      </c>
      <c r="K108" s="67">
        <f t="shared" si="2"/>
        <v>257.09875</v>
      </c>
      <c r="L108" s="67">
        <f t="shared" si="2"/>
        <v>25.049270833333324</v>
      </c>
      <c r="M108" s="67">
        <f t="shared" si="2"/>
        <v>35.302812500000009</v>
      </c>
      <c r="N108" s="67">
        <f t="shared" si="2"/>
        <v>261.86041666666659</v>
      </c>
      <c r="O108" s="67">
        <f t="shared" si="2"/>
        <v>0</v>
      </c>
      <c r="P108" s="67">
        <f t="shared" si="2"/>
        <v>1.4187500000000004</v>
      </c>
      <c r="Q108" s="67">
        <f t="shared" si="2"/>
        <v>9.7592708333333285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63.7798895688139</v>
      </c>
      <c r="C109" s="67">
        <f t="shared" ref="C109:Q109" si="3">STDEV(C9:C104)</f>
        <v>26.872686593209195</v>
      </c>
      <c r="D109" s="67">
        <f t="shared" si="3"/>
        <v>53.510797099949123</v>
      </c>
      <c r="E109" s="67">
        <f t="shared" si="3"/>
        <v>4.3460024584002541</v>
      </c>
      <c r="F109" s="67">
        <f t="shared" si="3"/>
        <v>7.154349137339282</v>
      </c>
      <c r="G109" s="67">
        <f t="shared" si="3"/>
        <v>34.054345535108823</v>
      </c>
      <c r="H109" s="67">
        <f t="shared" si="3"/>
        <v>7.4607524835376475</v>
      </c>
      <c r="I109" s="67">
        <f t="shared" si="3"/>
        <v>9.4571749425891888E-2</v>
      </c>
      <c r="J109" s="67">
        <f t="shared" si="3"/>
        <v>0.39538454244381882</v>
      </c>
      <c r="K109" s="67">
        <f t="shared" si="3"/>
        <v>82.229539003553057</v>
      </c>
      <c r="L109" s="67">
        <f t="shared" si="3"/>
        <v>6.7955795608603546</v>
      </c>
      <c r="M109" s="67">
        <f t="shared" si="3"/>
        <v>16.457494130614467</v>
      </c>
      <c r="N109" s="67">
        <f t="shared" si="3"/>
        <v>263.91384498461139</v>
      </c>
      <c r="O109" s="67">
        <f t="shared" si="3"/>
        <v>0</v>
      </c>
      <c r="P109" s="67">
        <f t="shared" si="3"/>
        <v>0.52241594639963906</v>
      </c>
      <c r="Q109" s="67">
        <f t="shared" si="3"/>
        <v>0.28291432510722608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1396</v>
      </c>
      <c r="B9" s="64">
        <v>102.17</v>
      </c>
      <c r="C9" s="64">
        <v>103.12</v>
      </c>
      <c r="D9" s="64">
        <v>135.80000000000001</v>
      </c>
      <c r="E9" s="64">
        <v>5.67</v>
      </c>
      <c r="F9" s="64">
        <v>7.34</v>
      </c>
      <c r="G9" s="64">
        <v>117.97</v>
      </c>
      <c r="H9" s="64">
        <v>29.97</v>
      </c>
      <c r="I9" s="64">
        <v>4.16</v>
      </c>
      <c r="J9" s="64">
        <v>0.44</v>
      </c>
      <c r="K9" s="64">
        <v>342.47</v>
      </c>
      <c r="L9" s="64">
        <v>20.21</v>
      </c>
      <c r="M9" s="64">
        <v>49.13</v>
      </c>
      <c r="N9" s="64">
        <v>66.599999999999994</v>
      </c>
      <c r="O9" s="64">
        <v>0</v>
      </c>
      <c r="P9" s="64">
        <v>1.66</v>
      </c>
      <c r="Q9" s="64">
        <v>9.8800000000000008</v>
      </c>
      <c r="R9" s="198"/>
      <c r="S9" s="198"/>
      <c r="T9" s="198"/>
      <c r="U9" s="198"/>
    </row>
    <row r="10" spans="1:21" s="12" customFormat="1" x14ac:dyDescent="0.25">
      <c r="A10" s="247" t="s">
        <v>1397</v>
      </c>
      <c r="B10" s="64">
        <v>90.06</v>
      </c>
      <c r="C10" s="64">
        <v>98.86</v>
      </c>
      <c r="D10" s="64">
        <v>123.87</v>
      </c>
      <c r="E10" s="64">
        <v>5.4</v>
      </c>
      <c r="F10" s="64">
        <v>7.05</v>
      </c>
      <c r="G10" s="64">
        <v>117.97</v>
      </c>
      <c r="H10" s="64">
        <v>29.97</v>
      </c>
      <c r="I10" s="64">
        <v>3.99</v>
      </c>
      <c r="J10" s="64">
        <v>0.37</v>
      </c>
      <c r="K10" s="64">
        <v>345.74</v>
      </c>
      <c r="L10" s="64">
        <v>19.940000000000001</v>
      </c>
      <c r="M10" s="64">
        <v>48.15</v>
      </c>
      <c r="N10" s="64">
        <v>66.5</v>
      </c>
      <c r="O10" s="64">
        <v>0</v>
      </c>
      <c r="P10" s="64">
        <v>1.67</v>
      </c>
      <c r="Q10" s="64">
        <v>9.8699999999999992</v>
      </c>
      <c r="R10" s="198"/>
      <c r="S10" s="198"/>
      <c r="T10" s="198"/>
      <c r="U10" s="198"/>
    </row>
    <row r="11" spans="1:21" s="12" customFormat="1" x14ac:dyDescent="0.25">
      <c r="A11" s="247" t="s">
        <v>1398</v>
      </c>
      <c r="B11" s="64">
        <v>102.99</v>
      </c>
      <c r="C11" s="64">
        <v>87.15</v>
      </c>
      <c r="D11" s="64">
        <v>128.13</v>
      </c>
      <c r="E11" s="64">
        <v>2.7</v>
      </c>
      <c r="F11" s="64">
        <v>7.27</v>
      </c>
      <c r="G11" s="64">
        <v>117.97</v>
      </c>
      <c r="H11" s="64">
        <v>29.97</v>
      </c>
      <c r="I11" s="64">
        <v>4.05</v>
      </c>
      <c r="J11" s="64">
        <v>0.44</v>
      </c>
      <c r="K11" s="64">
        <v>178.56</v>
      </c>
      <c r="L11" s="64">
        <v>20.11</v>
      </c>
      <c r="M11" s="64">
        <v>46.26</v>
      </c>
      <c r="N11" s="64">
        <v>66</v>
      </c>
      <c r="O11" s="64">
        <v>0</v>
      </c>
      <c r="P11" s="64">
        <v>1.82</v>
      </c>
      <c r="Q11" s="64">
        <v>9.8699999999999992</v>
      </c>
      <c r="R11" s="198"/>
      <c r="S11" s="198"/>
      <c r="T11" s="198"/>
      <c r="U11" s="198"/>
    </row>
    <row r="12" spans="1:21" s="12" customFormat="1" x14ac:dyDescent="0.25">
      <c r="A12" s="247" t="s">
        <v>1399</v>
      </c>
      <c r="B12" s="64">
        <v>83.33</v>
      </c>
      <c r="C12" s="64">
        <v>81.56</v>
      </c>
      <c r="D12" s="64">
        <v>109.44</v>
      </c>
      <c r="E12" s="64">
        <v>4.0199999999999996</v>
      </c>
      <c r="F12" s="64">
        <v>11.5</v>
      </c>
      <c r="G12" s="64">
        <v>115.49</v>
      </c>
      <c r="H12" s="64">
        <v>29.73</v>
      </c>
      <c r="I12" s="64">
        <v>3.96</v>
      </c>
      <c r="J12" s="64">
        <v>0.71</v>
      </c>
      <c r="K12" s="64">
        <v>207.13</v>
      </c>
      <c r="L12" s="64">
        <v>21.1</v>
      </c>
      <c r="M12" s="64">
        <v>37.26</v>
      </c>
      <c r="N12" s="64">
        <v>65</v>
      </c>
      <c r="O12" s="64">
        <v>0</v>
      </c>
      <c r="P12" s="64">
        <v>1.59</v>
      </c>
      <c r="Q12" s="64">
        <v>9.8800000000000008</v>
      </c>
      <c r="R12" s="198"/>
      <c r="S12" s="198"/>
      <c r="T12" s="198"/>
      <c r="U12" s="198"/>
    </row>
    <row r="13" spans="1:21" s="12" customFormat="1" x14ac:dyDescent="0.25">
      <c r="A13" s="247" t="s">
        <v>1400</v>
      </c>
      <c r="B13" s="64">
        <v>80.23</v>
      </c>
      <c r="C13" s="64">
        <v>75.37</v>
      </c>
      <c r="D13" s="64">
        <v>103.71</v>
      </c>
      <c r="E13" s="64">
        <v>3.6</v>
      </c>
      <c r="F13" s="64">
        <v>10.65</v>
      </c>
      <c r="G13" s="64">
        <v>108.67</v>
      </c>
      <c r="H13" s="64">
        <v>29.08</v>
      </c>
      <c r="I13" s="64">
        <v>3.97</v>
      </c>
      <c r="J13" s="64">
        <v>0.47</v>
      </c>
      <c r="K13" s="64">
        <v>196.32</v>
      </c>
      <c r="L13" s="64">
        <v>21.05</v>
      </c>
      <c r="M13" s="64">
        <v>38.950000000000003</v>
      </c>
      <c r="N13" s="64">
        <v>66.5</v>
      </c>
      <c r="O13" s="64">
        <v>0</v>
      </c>
      <c r="P13" s="64">
        <v>1.51</v>
      </c>
      <c r="Q13" s="64">
        <v>9.8800000000000008</v>
      </c>
      <c r="R13" s="198"/>
      <c r="S13" s="198"/>
      <c r="T13" s="198"/>
      <c r="U13" s="198"/>
    </row>
    <row r="14" spans="1:21" s="12" customFormat="1" x14ac:dyDescent="0.25">
      <c r="A14" s="247" t="s">
        <v>1401</v>
      </c>
      <c r="B14" s="64">
        <v>84.01</v>
      </c>
      <c r="C14" s="64">
        <v>76.36</v>
      </c>
      <c r="D14" s="64">
        <v>107.26</v>
      </c>
      <c r="E14" s="64">
        <v>3.1</v>
      </c>
      <c r="F14" s="64">
        <v>8.48</v>
      </c>
      <c r="G14" s="64">
        <v>108.67</v>
      </c>
      <c r="H14" s="64">
        <v>29.08</v>
      </c>
      <c r="I14" s="64">
        <v>3.97</v>
      </c>
      <c r="J14" s="64">
        <v>0.67</v>
      </c>
      <c r="K14" s="64">
        <v>240.65</v>
      </c>
      <c r="L14" s="64">
        <v>20.58</v>
      </c>
      <c r="M14" s="64">
        <v>41.83</v>
      </c>
      <c r="N14" s="64">
        <v>66.400000000000006</v>
      </c>
      <c r="O14" s="64">
        <v>0</v>
      </c>
      <c r="P14" s="64">
        <v>1.62</v>
      </c>
      <c r="Q14" s="64">
        <v>9.8699999999999992</v>
      </c>
      <c r="R14" s="198"/>
      <c r="S14" s="198"/>
      <c r="T14" s="198"/>
      <c r="U14" s="198"/>
    </row>
    <row r="15" spans="1:21" s="12" customFormat="1" x14ac:dyDescent="0.25">
      <c r="A15" s="247" t="s">
        <v>1402</v>
      </c>
      <c r="B15" s="64">
        <v>82.22</v>
      </c>
      <c r="C15" s="64">
        <v>76.66</v>
      </c>
      <c r="D15" s="64">
        <v>105.99</v>
      </c>
      <c r="E15" s="64">
        <v>2.64</v>
      </c>
      <c r="F15" s="64">
        <v>8.16</v>
      </c>
      <c r="G15" s="64">
        <v>108.67</v>
      </c>
      <c r="H15" s="64">
        <v>29.08</v>
      </c>
      <c r="I15" s="64">
        <v>3.85</v>
      </c>
      <c r="J15" s="64">
        <v>0.67</v>
      </c>
      <c r="K15" s="64">
        <v>345.01</v>
      </c>
      <c r="L15" s="64">
        <v>19.920000000000002</v>
      </c>
      <c r="M15" s="64">
        <v>46.62</v>
      </c>
      <c r="N15" s="64">
        <v>66.8</v>
      </c>
      <c r="O15" s="64">
        <v>0</v>
      </c>
      <c r="P15" s="64">
        <v>1.6</v>
      </c>
      <c r="Q15" s="64">
        <v>9.86</v>
      </c>
      <c r="R15" s="198"/>
      <c r="S15" s="198"/>
      <c r="T15" s="198"/>
      <c r="U15" s="198"/>
    </row>
    <row r="16" spans="1:21" s="12" customFormat="1" x14ac:dyDescent="0.25">
      <c r="A16" s="247" t="s">
        <v>1403</v>
      </c>
      <c r="B16" s="64">
        <v>79.02</v>
      </c>
      <c r="C16" s="64">
        <v>81.069999999999993</v>
      </c>
      <c r="D16" s="64">
        <v>105.72</v>
      </c>
      <c r="E16" s="64">
        <v>2.4300000000000002</v>
      </c>
      <c r="F16" s="64">
        <v>7.2</v>
      </c>
      <c r="G16" s="64">
        <v>104.68</v>
      </c>
      <c r="H16" s="64">
        <v>29.33</v>
      </c>
      <c r="I16" s="64">
        <v>3.96</v>
      </c>
      <c r="J16" s="64">
        <v>0.15</v>
      </c>
      <c r="K16" s="64">
        <v>243.78</v>
      </c>
      <c r="L16" s="64">
        <v>19.309999999999999</v>
      </c>
      <c r="M16" s="64">
        <v>48.18</v>
      </c>
      <c r="N16" s="64">
        <v>66.599999999999994</v>
      </c>
      <c r="O16" s="64">
        <v>0</v>
      </c>
      <c r="P16" s="64">
        <v>1.55</v>
      </c>
      <c r="Q16" s="64">
        <v>9.83</v>
      </c>
      <c r="R16" s="198"/>
      <c r="S16" s="198"/>
      <c r="T16" s="198"/>
      <c r="U16" s="198"/>
    </row>
    <row r="17" spans="1:21" s="12" customFormat="1" x14ac:dyDescent="0.25">
      <c r="A17" s="247" t="s">
        <v>1404</v>
      </c>
      <c r="B17" s="64">
        <v>76.28</v>
      </c>
      <c r="C17" s="64">
        <v>76.69</v>
      </c>
      <c r="D17" s="64">
        <v>101.24</v>
      </c>
      <c r="E17" s="64">
        <v>2.4</v>
      </c>
      <c r="F17" s="64">
        <v>7.53</v>
      </c>
      <c r="G17" s="64">
        <v>93.71</v>
      </c>
      <c r="H17" s="64">
        <v>29.99</v>
      </c>
      <c r="I17" s="64">
        <v>3.95</v>
      </c>
      <c r="J17" s="64">
        <v>0.81</v>
      </c>
      <c r="K17" s="64">
        <v>235.42</v>
      </c>
      <c r="L17" s="64">
        <v>19.61</v>
      </c>
      <c r="M17" s="64">
        <v>44.39</v>
      </c>
      <c r="N17" s="64">
        <v>65.900000000000006</v>
      </c>
      <c r="O17" s="64">
        <v>0</v>
      </c>
      <c r="P17" s="64">
        <v>1.52</v>
      </c>
      <c r="Q17" s="64">
        <v>9.82</v>
      </c>
      <c r="R17" s="198"/>
      <c r="S17" s="198"/>
      <c r="T17" s="198"/>
      <c r="U17" s="198"/>
    </row>
    <row r="18" spans="1:21" s="12" customFormat="1" x14ac:dyDescent="0.25">
      <c r="A18" s="247" t="s">
        <v>1405</v>
      </c>
      <c r="B18" s="64">
        <v>73.86</v>
      </c>
      <c r="C18" s="64">
        <v>75.09</v>
      </c>
      <c r="D18" s="64">
        <v>98.47</v>
      </c>
      <c r="E18" s="64">
        <v>2.56</v>
      </c>
      <c r="F18" s="64">
        <v>8.23</v>
      </c>
      <c r="G18" s="64">
        <v>93.71</v>
      </c>
      <c r="H18" s="64">
        <v>29.99</v>
      </c>
      <c r="I18" s="64">
        <v>3.94</v>
      </c>
      <c r="J18" s="64">
        <v>0.56999999999999995</v>
      </c>
      <c r="K18" s="64">
        <v>237.17</v>
      </c>
      <c r="L18" s="64">
        <v>19.91</v>
      </c>
      <c r="M18" s="64">
        <v>43.32</v>
      </c>
      <c r="N18" s="64">
        <v>65.900000000000006</v>
      </c>
      <c r="O18" s="64">
        <v>0</v>
      </c>
      <c r="P18" s="64">
        <v>1.48</v>
      </c>
      <c r="Q18" s="64">
        <v>9.81</v>
      </c>
      <c r="R18" s="198"/>
      <c r="S18" s="198"/>
      <c r="T18" s="198"/>
      <c r="U18" s="198"/>
    </row>
    <row r="19" spans="1:21" s="12" customFormat="1" x14ac:dyDescent="0.25">
      <c r="A19" s="247" t="s">
        <v>1406</v>
      </c>
      <c r="B19" s="64">
        <v>69.02</v>
      </c>
      <c r="C19" s="64">
        <v>72.849999999999994</v>
      </c>
      <c r="D19" s="64">
        <v>93.41</v>
      </c>
      <c r="E19" s="64">
        <v>2.2000000000000002</v>
      </c>
      <c r="F19" s="64">
        <v>8.58</v>
      </c>
      <c r="G19" s="64">
        <v>93.71</v>
      </c>
      <c r="H19" s="64">
        <v>29.99</v>
      </c>
      <c r="I19" s="64">
        <v>4.0999999999999996</v>
      </c>
      <c r="J19" s="64">
        <v>0.83</v>
      </c>
      <c r="K19" s="64">
        <v>225.9</v>
      </c>
      <c r="L19" s="64">
        <v>20.04</v>
      </c>
      <c r="M19" s="64">
        <v>41.36</v>
      </c>
      <c r="N19" s="64">
        <v>65.7</v>
      </c>
      <c r="O19" s="64">
        <v>0</v>
      </c>
      <c r="P19" s="64">
        <v>1.44</v>
      </c>
      <c r="Q19" s="64">
        <v>9.81</v>
      </c>
      <c r="R19" s="198"/>
      <c r="S19" s="198"/>
      <c r="T19" s="198"/>
      <c r="U19" s="198"/>
    </row>
    <row r="20" spans="1:21" s="12" customFormat="1" x14ac:dyDescent="0.25">
      <c r="A20" s="247" t="s">
        <v>1407</v>
      </c>
      <c r="B20" s="64">
        <v>50.99</v>
      </c>
      <c r="C20" s="64">
        <v>67.37</v>
      </c>
      <c r="D20" s="64">
        <v>76.08</v>
      </c>
      <c r="E20" s="64">
        <v>2.9</v>
      </c>
      <c r="F20" s="64">
        <v>13.26</v>
      </c>
      <c r="G20" s="64">
        <v>92.3</v>
      </c>
      <c r="H20" s="64">
        <v>29.64</v>
      </c>
      <c r="I20" s="64">
        <v>3.94</v>
      </c>
      <c r="J20" s="64">
        <v>0.84</v>
      </c>
      <c r="K20" s="64">
        <v>226.49</v>
      </c>
      <c r="L20" s="64">
        <v>19.97</v>
      </c>
      <c r="M20" s="64">
        <v>42.67</v>
      </c>
      <c r="N20" s="64">
        <v>65.8</v>
      </c>
      <c r="O20" s="64">
        <v>0</v>
      </c>
      <c r="P20" s="64">
        <v>1.22</v>
      </c>
      <c r="Q20" s="64">
        <v>9.8000000000000007</v>
      </c>
      <c r="R20" s="198"/>
      <c r="S20" s="198"/>
      <c r="T20" s="198"/>
      <c r="U20" s="198"/>
    </row>
    <row r="21" spans="1:21" s="12" customFormat="1" x14ac:dyDescent="0.25">
      <c r="A21" s="247" t="s">
        <v>1408</v>
      </c>
      <c r="B21" s="64">
        <v>40.58</v>
      </c>
      <c r="C21" s="64">
        <v>58.51</v>
      </c>
      <c r="D21" s="64">
        <v>63.11</v>
      </c>
      <c r="E21" s="64">
        <v>4.47</v>
      </c>
      <c r="F21" s="64">
        <v>17.64</v>
      </c>
      <c r="G21" s="64">
        <v>88.44</v>
      </c>
      <c r="H21" s="64">
        <v>28.65</v>
      </c>
      <c r="I21" s="64">
        <v>3.97</v>
      </c>
      <c r="J21" s="64">
        <v>0.79</v>
      </c>
      <c r="K21" s="64">
        <v>245.64</v>
      </c>
      <c r="L21" s="64">
        <v>19.82</v>
      </c>
      <c r="M21" s="64">
        <v>42.35</v>
      </c>
      <c r="N21" s="64">
        <v>66</v>
      </c>
      <c r="O21" s="64">
        <v>0</v>
      </c>
      <c r="P21" s="64">
        <v>1.07</v>
      </c>
      <c r="Q21" s="64">
        <v>9.7799999999999994</v>
      </c>
      <c r="R21" s="198"/>
      <c r="S21" s="198"/>
      <c r="T21" s="198"/>
      <c r="U21" s="198"/>
    </row>
    <row r="22" spans="1:21" s="12" customFormat="1" x14ac:dyDescent="0.25">
      <c r="A22" s="247" t="s">
        <v>1409</v>
      </c>
      <c r="B22" s="64">
        <v>46.22</v>
      </c>
      <c r="C22" s="64">
        <v>60.45</v>
      </c>
      <c r="D22" s="64">
        <v>68.650000000000006</v>
      </c>
      <c r="E22" s="64">
        <v>3.84</v>
      </c>
      <c r="F22" s="64">
        <v>14.49</v>
      </c>
      <c r="G22" s="64">
        <v>88.44</v>
      </c>
      <c r="H22" s="64">
        <v>28.65</v>
      </c>
      <c r="I22" s="64">
        <v>4.01</v>
      </c>
      <c r="J22" s="64">
        <v>0.53</v>
      </c>
      <c r="K22" s="64">
        <v>221.02</v>
      </c>
      <c r="L22" s="64">
        <v>19.559999999999999</v>
      </c>
      <c r="M22" s="64">
        <v>42.62</v>
      </c>
      <c r="N22" s="64">
        <v>65.900000000000006</v>
      </c>
      <c r="O22" s="64">
        <v>0</v>
      </c>
      <c r="P22" s="64">
        <v>1.1599999999999999</v>
      </c>
      <c r="Q22" s="64">
        <v>9.7899999999999991</v>
      </c>
      <c r="R22" s="198"/>
      <c r="S22" s="198"/>
      <c r="T22" s="198"/>
      <c r="U22" s="198"/>
    </row>
    <row r="23" spans="1:21" s="12" customFormat="1" x14ac:dyDescent="0.25">
      <c r="A23" s="247" t="s">
        <v>1410</v>
      </c>
      <c r="B23" s="64">
        <v>40.39</v>
      </c>
      <c r="C23" s="64">
        <v>60.81</v>
      </c>
      <c r="D23" s="64">
        <v>64.16</v>
      </c>
      <c r="E23" s="64">
        <v>3.37</v>
      </c>
      <c r="F23" s="64">
        <v>16.27</v>
      </c>
      <c r="G23" s="64">
        <v>88.44</v>
      </c>
      <c r="H23" s="64">
        <v>28.65</v>
      </c>
      <c r="I23" s="64">
        <v>3.98</v>
      </c>
      <c r="J23" s="64">
        <v>0.5</v>
      </c>
      <c r="K23" s="64">
        <v>200.13</v>
      </c>
      <c r="L23" s="64">
        <v>19.36</v>
      </c>
      <c r="M23" s="64">
        <v>44.27</v>
      </c>
      <c r="N23" s="64">
        <v>66.099999999999994</v>
      </c>
      <c r="O23" s="64">
        <v>0</v>
      </c>
      <c r="P23" s="64">
        <v>1.1000000000000001</v>
      </c>
      <c r="Q23" s="64">
        <v>9.7899999999999991</v>
      </c>
      <c r="R23" s="198"/>
      <c r="S23" s="198"/>
      <c r="T23" s="198"/>
      <c r="U23" s="198"/>
    </row>
    <row r="24" spans="1:21" s="12" customFormat="1" x14ac:dyDescent="0.25">
      <c r="A24" s="247" t="s">
        <v>1411</v>
      </c>
      <c r="B24" s="64">
        <v>35.92</v>
      </c>
      <c r="C24" s="64">
        <v>60.28</v>
      </c>
      <c r="D24" s="64">
        <v>60.3</v>
      </c>
      <c r="E24" s="64">
        <v>4.05</v>
      </c>
      <c r="F24" s="64">
        <v>15.12</v>
      </c>
      <c r="G24" s="64">
        <v>84</v>
      </c>
      <c r="H24" s="64">
        <v>28.05</v>
      </c>
      <c r="I24" s="64">
        <v>4.03</v>
      </c>
      <c r="J24" s="64">
        <v>0.56000000000000005</v>
      </c>
      <c r="K24" s="64">
        <v>196.18</v>
      </c>
      <c r="L24" s="64">
        <v>18.989999999999998</v>
      </c>
      <c r="M24" s="64">
        <v>47.49</v>
      </c>
      <c r="N24" s="64">
        <v>66.3</v>
      </c>
      <c r="O24" s="64">
        <v>0</v>
      </c>
      <c r="P24" s="64">
        <v>1.04</v>
      </c>
      <c r="Q24" s="64">
        <v>9.75</v>
      </c>
      <c r="R24" s="198"/>
      <c r="S24" s="198"/>
      <c r="T24" s="198"/>
      <c r="U24" s="198"/>
    </row>
    <row r="25" spans="1:21" s="12" customFormat="1" x14ac:dyDescent="0.25">
      <c r="A25" s="247" t="s">
        <v>1412</v>
      </c>
      <c r="B25" s="64">
        <v>39.67</v>
      </c>
      <c r="C25" s="64">
        <v>66.930000000000007</v>
      </c>
      <c r="D25" s="64">
        <v>66.78</v>
      </c>
      <c r="E25" s="64">
        <v>3.57</v>
      </c>
      <c r="F25" s="64">
        <v>11.69</v>
      </c>
      <c r="G25" s="64">
        <v>71.790000000000006</v>
      </c>
      <c r="H25" s="64">
        <v>26.4</v>
      </c>
      <c r="I25" s="64">
        <v>3.97</v>
      </c>
      <c r="J25" s="64">
        <v>0.46</v>
      </c>
      <c r="K25" s="64">
        <v>244.62</v>
      </c>
      <c r="L25" s="64">
        <v>18.920000000000002</v>
      </c>
      <c r="M25" s="64">
        <v>47.51</v>
      </c>
      <c r="N25" s="64">
        <v>66</v>
      </c>
      <c r="O25" s="64">
        <v>0</v>
      </c>
      <c r="P25" s="64">
        <v>1.1000000000000001</v>
      </c>
      <c r="Q25" s="64">
        <v>9.74</v>
      </c>
      <c r="R25" s="198"/>
      <c r="S25" s="198"/>
      <c r="T25" s="198"/>
      <c r="U25" s="198"/>
    </row>
    <row r="26" spans="1:21" s="12" customFormat="1" x14ac:dyDescent="0.25">
      <c r="A26" s="247" t="s">
        <v>1413</v>
      </c>
      <c r="B26" s="64">
        <v>40.28</v>
      </c>
      <c r="C26" s="64">
        <v>71.459999999999994</v>
      </c>
      <c r="D26" s="64">
        <v>69.64</v>
      </c>
      <c r="E26" s="64">
        <v>4.13</v>
      </c>
      <c r="F26" s="64">
        <v>12.14</v>
      </c>
      <c r="G26" s="64">
        <v>71.790000000000006</v>
      </c>
      <c r="H26" s="64">
        <v>26.4</v>
      </c>
      <c r="I26" s="64">
        <v>4.05</v>
      </c>
      <c r="J26" s="64">
        <v>0.42</v>
      </c>
      <c r="K26" s="64">
        <v>268.36</v>
      </c>
      <c r="L26" s="64">
        <v>19.18</v>
      </c>
      <c r="M26" s="64">
        <v>44.6</v>
      </c>
      <c r="N26" s="64">
        <v>65.900000000000006</v>
      </c>
      <c r="O26" s="64">
        <v>0</v>
      </c>
      <c r="P26" s="64">
        <v>1.1100000000000001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47" t="s">
        <v>1414</v>
      </c>
      <c r="B27" s="64">
        <v>35.97</v>
      </c>
      <c r="C27" s="64">
        <v>64.5</v>
      </c>
      <c r="D27" s="64">
        <v>62.55</v>
      </c>
      <c r="E27" s="64">
        <v>4.08</v>
      </c>
      <c r="F27" s="64">
        <v>13.27</v>
      </c>
      <c r="G27" s="64">
        <v>71.790000000000006</v>
      </c>
      <c r="H27" s="64">
        <v>26.4</v>
      </c>
      <c r="I27" s="64">
        <v>4.01</v>
      </c>
      <c r="J27" s="64">
        <v>0.65</v>
      </c>
      <c r="K27" s="64">
        <v>237.75</v>
      </c>
      <c r="L27" s="64">
        <v>19.350000000000001</v>
      </c>
      <c r="M27" s="64">
        <v>43.73</v>
      </c>
      <c r="N27" s="64">
        <v>65.900000000000006</v>
      </c>
      <c r="O27" s="64">
        <v>0</v>
      </c>
      <c r="P27" s="64">
        <v>1.1000000000000001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47" t="s">
        <v>1415</v>
      </c>
      <c r="B28" s="64">
        <v>40.06</v>
      </c>
      <c r="C28" s="64">
        <v>62.41</v>
      </c>
      <c r="D28" s="64">
        <v>64.73</v>
      </c>
      <c r="E28" s="64">
        <v>2.92</v>
      </c>
      <c r="F28" s="64">
        <v>9.14</v>
      </c>
      <c r="G28" s="64">
        <v>70.290000000000006</v>
      </c>
      <c r="H28" s="64">
        <v>26.49</v>
      </c>
      <c r="I28" s="64">
        <v>3.95</v>
      </c>
      <c r="J28" s="64">
        <v>0.68</v>
      </c>
      <c r="K28" s="64">
        <v>224.38</v>
      </c>
      <c r="L28" s="64">
        <v>19.329999999999998</v>
      </c>
      <c r="M28" s="64">
        <v>44.04</v>
      </c>
      <c r="N28" s="64">
        <v>66.099999999999994</v>
      </c>
      <c r="O28" s="64">
        <v>0</v>
      </c>
      <c r="P28" s="64">
        <v>1.1399999999999999</v>
      </c>
      <c r="Q28" s="64">
        <v>9.7100000000000009</v>
      </c>
      <c r="R28" s="198"/>
      <c r="S28" s="198"/>
      <c r="T28" s="198"/>
      <c r="U28" s="198"/>
    </row>
    <row r="29" spans="1:21" s="12" customFormat="1" x14ac:dyDescent="0.25">
      <c r="A29" s="247" t="s">
        <v>1416</v>
      </c>
      <c r="B29" s="64">
        <v>45.1</v>
      </c>
      <c r="C29" s="64">
        <v>66.37</v>
      </c>
      <c r="D29" s="64">
        <v>70.84</v>
      </c>
      <c r="E29" s="64">
        <v>2.3199999999999998</v>
      </c>
      <c r="F29" s="64">
        <v>6.91</v>
      </c>
      <c r="G29" s="64">
        <v>65.92</v>
      </c>
      <c r="H29" s="64">
        <v>26.73</v>
      </c>
      <c r="I29" s="64">
        <v>4.03</v>
      </c>
      <c r="J29" s="64">
        <v>0.63</v>
      </c>
      <c r="K29" s="64">
        <v>234.1</v>
      </c>
      <c r="L29" s="64">
        <v>19.09</v>
      </c>
      <c r="M29" s="64">
        <v>44.95</v>
      </c>
      <c r="N29" s="64">
        <v>66.3</v>
      </c>
      <c r="O29" s="64">
        <v>0</v>
      </c>
      <c r="P29" s="64">
        <v>1.19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47" t="s">
        <v>1417</v>
      </c>
      <c r="B30" s="64">
        <v>39.47</v>
      </c>
      <c r="C30" s="64">
        <v>67.53</v>
      </c>
      <c r="D30" s="64">
        <v>66.930000000000007</v>
      </c>
      <c r="E30" s="64">
        <v>2.54</v>
      </c>
      <c r="F30" s="64">
        <v>7.75</v>
      </c>
      <c r="G30" s="64">
        <v>65.92</v>
      </c>
      <c r="H30" s="64">
        <v>26.73</v>
      </c>
      <c r="I30" s="64">
        <v>3.92</v>
      </c>
      <c r="J30" s="64">
        <v>0.45</v>
      </c>
      <c r="K30" s="64">
        <v>264.58999999999997</v>
      </c>
      <c r="L30" s="64">
        <v>19.07</v>
      </c>
      <c r="M30" s="64">
        <v>44.13</v>
      </c>
      <c r="N30" s="64">
        <v>66.5</v>
      </c>
      <c r="O30" s="64">
        <v>0</v>
      </c>
      <c r="P30" s="64">
        <v>1.1599999999999999</v>
      </c>
      <c r="Q30" s="64">
        <v>9.69</v>
      </c>
      <c r="R30" s="198"/>
      <c r="S30" s="198"/>
      <c r="T30" s="198"/>
      <c r="U30" s="198"/>
    </row>
    <row r="31" spans="1:21" s="12" customFormat="1" x14ac:dyDescent="0.25">
      <c r="A31" s="247" t="s">
        <v>1418</v>
      </c>
      <c r="B31" s="64">
        <v>36.159999999999997</v>
      </c>
      <c r="C31" s="64">
        <v>67.86</v>
      </c>
      <c r="D31" s="64">
        <v>64.459999999999994</v>
      </c>
      <c r="E31" s="64">
        <v>2.13</v>
      </c>
      <c r="F31" s="64">
        <v>6.92</v>
      </c>
      <c r="G31" s="64">
        <v>65.92</v>
      </c>
      <c r="H31" s="64">
        <v>26.73</v>
      </c>
      <c r="I31" s="64">
        <v>3.89</v>
      </c>
      <c r="J31" s="64">
        <v>0.54</v>
      </c>
      <c r="K31" s="64">
        <v>236.34</v>
      </c>
      <c r="L31" s="64">
        <v>19.09</v>
      </c>
      <c r="M31" s="64">
        <v>43.59</v>
      </c>
      <c r="N31" s="64">
        <v>66.7</v>
      </c>
      <c r="O31" s="64">
        <v>0</v>
      </c>
      <c r="P31" s="64">
        <v>1.1499999999999999</v>
      </c>
      <c r="Q31" s="64">
        <v>9.68</v>
      </c>
      <c r="R31" s="198"/>
      <c r="S31" s="198"/>
      <c r="T31" s="198"/>
      <c r="U31" s="198"/>
    </row>
    <row r="32" spans="1:21" s="12" customFormat="1" x14ac:dyDescent="0.25">
      <c r="A32" s="247" t="s">
        <v>1419</v>
      </c>
      <c r="B32" s="64">
        <v>33.85</v>
      </c>
      <c r="C32" s="64">
        <v>68.59</v>
      </c>
      <c r="D32" s="64">
        <v>62.98</v>
      </c>
      <c r="E32" s="64">
        <v>2.35</v>
      </c>
      <c r="F32" s="64">
        <v>6.85</v>
      </c>
      <c r="G32" s="64">
        <v>66.78</v>
      </c>
      <c r="H32" s="64">
        <v>26.98</v>
      </c>
      <c r="I32" s="64">
        <v>3.85</v>
      </c>
      <c r="J32" s="64">
        <v>0.56000000000000005</v>
      </c>
      <c r="K32" s="64">
        <v>255.77</v>
      </c>
      <c r="L32" s="64">
        <v>19.12</v>
      </c>
      <c r="M32" s="64">
        <v>42.86</v>
      </c>
      <c r="N32" s="64">
        <v>66.5</v>
      </c>
      <c r="O32" s="64">
        <v>0</v>
      </c>
      <c r="P32" s="64">
        <v>1.1399999999999999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47" t="s">
        <v>1420</v>
      </c>
      <c r="B33" s="64">
        <v>33.770000000000003</v>
      </c>
      <c r="C33" s="64">
        <v>68.3</v>
      </c>
      <c r="D33" s="64">
        <v>62.77</v>
      </c>
      <c r="E33" s="64">
        <v>1.62</v>
      </c>
      <c r="F33" s="64">
        <v>7.23</v>
      </c>
      <c r="G33" s="64">
        <v>69.150000000000006</v>
      </c>
      <c r="H33" s="64">
        <v>27.67</v>
      </c>
      <c r="I33" s="64">
        <v>3.93</v>
      </c>
      <c r="J33" s="64">
        <v>0.64</v>
      </c>
      <c r="K33" s="64">
        <v>233.19</v>
      </c>
      <c r="L33" s="64">
        <v>19.47</v>
      </c>
      <c r="M33" s="64">
        <v>42.07</v>
      </c>
      <c r="N33" s="64">
        <v>68.900000000000006</v>
      </c>
      <c r="O33" s="64">
        <v>0</v>
      </c>
      <c r="P33" s="64">
        <v>1.1399999999999999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47" t="s">
        <v>1421</v>
      </c>
      <c r="B34" s="64">
        <v>32.61</v>
      </c>
      <c r="C34" s="64">
        <v>68.09</v>
      </c>
      <c r="D34" s="64">
        <v>61.72</v>
      </c>
      <c r="E34" s="64">
        <v>1.84</v>
      </c>
      <c r="F34" s="64">
        <v>8.1</v>
      </c>
      <c r="G34" s="64">
        <v>69.150000000000006</v>
      </c>
      <c r="H34" s="64">
        <v>27.67</v>
      </c>
      <c r="I34" s="64">
        <v>3.94</v>
      </c>
      <c r="J34" s="64">
        <v>0.36</v>
      </c>
      <c r="K34" s="64">
        <v>237.77</v>
      </c>
      <c r="L34" s="64">
        <v>18.899999999999999</v>
      </c>
      <c r="M34" s="64">
        <v>45.34</v>
      </c>
      <c r="N34" s="64">
        <v>79.5</v>
      </c>
      <c r="O34" s="64">
        <v>0</v>
      </c>
      <c r="P34" s="64">
        <v>1.1299999999999999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47" t="s">
        <v>1422</v>
      </c>
      <c r="B35" s="64">
        <v>34.21</v>
      </c>
      <c r="C35" s="64">
        <v>70.849999999999994</v>
      </c>
      <c r="D35" s="64">
        <v>64.45</v>
      </c>
      <c r="E35" s="64">
        <v>2.0099999999999998</v>
      </c>
      <c r="F35" s="64">
        <v>8.1300000000000008</v>
      </c>
      <c r="G35" s="64">
        <v>69.150000000000006</v>
      </c>
      <c r="H35" s="64">
        <v>27.67</v>
      </c>
      <c r="I35" s="64">
        <v>4.07</v>
      </c>
      <c r="J35" s="64">
        <v>0.66</v>
      </c>
      <c r="K35" s="64">
        <v>16.899999999999999</v>
      </c>
      <c r="L35" s="64">
        <v>18.760000000000002</v>
      </c>
      <c r="M35" s="64">
        <v>46.57</v>
      </c>
      <c r="N35" s="64">
        <v>98.2</v>
      </c>
      <c r="O35" s="64">
        <v>0</v>
      </c>
      <c r="P35" s="64">
        <v>1.1599999999999999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47" t="s">
        <v>1423</v>
      </c>
      <c r="B36" s="64">
        <v>37.619999999999997</v>
      </c>
      <c r="C36" s="64">
        <v>70.5</v>
      </c>
      <c r="D36" s="64">
        <v>67</v>
      </c>
      <c r="E36" s="64">
        <v>1.81</v>
      </c>
      <c r="F36" s="64">
        <v>7.5</v>
      </c>
      <c r="G36" s="64">
        <v>71.41</v>
      </c>
      <c r="H36" s="64">
        <v>28.67</v>
      </c>
      <c r="I36" s="64">
        <v>3.93</v>
      </c>
      <c r="J36" s="64">
        <v>0.53</v>
      </c>
      <c r="K36" s="64">
        <v>39.770000000000003</v>
      </c>
      <c r="L36" s="64">
        <v>19.329999999999998</v>
      </c>
      <c r="M36" s="64">
        <v>46.55</v>
      </c>
      <c r="N36" s="64">
        <v>134.19999999999999</v>
      </c>
      <c r="O36" s="64">
        <v>0</v>
      </c>
      <c r="P36" s="64">
        <v>1.18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47" t="s">
        <v>1424</v>
      </c>
      <c r="B37" s="64">
        <v>43.79</v>
      </c>
      <c r="C37" s="64">
        <v>72.900000000000006</v>
      </c>
      <c r="D37" s="64">
        <v>73.2</v>
      </c>
      <c r="E37" s="64">
        <v>1.54</v>
      </c>
      <c r="F37" s="64">
        <v>7.37</v>
      </c>
      <c r="G37" s="64">
        <v>78</v>
      </c>
      <c r="H37" s="64">
        <v>31.41</v>
      </c>
      <c r="I37" s="64">
        <v>3.93</v>
      </c>
      <c r="J37" s="64">
        <v>0.71</v>
      </c>
      <c r="K37" s="64">
        <v>358.64</v>
      </c>
      <c r="L37" s="64">
        <v>20.84</v>
      </c>
      <c r="M37" s="64">
        <v>44.43</v>
      </c>
      <c r="N37" s="64">
        <v>173.3</v>
      </c>
      <c r="O37" s="64">
        <v>0</v>
      </c>
      <c r="P37" s="64">
        <v>1.17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47" t="s">
        <v>1425</v>
      </c>
      <c r="B38" s="64">
        <v>39.96</v>
      </c>
      <c r="C38" s="64">
        <v>74.319999999999993</v>
      </c>
      <c r="D38" s="64">
        <v>70.88</v>
      </c>
      <c r="E38" s="64">
        <v>3.47</v>
      </c>
      <c r="F38" s="64">
        <v>9.85</v>
      </c>
      <c r="G38" s="64">
        <v>78</v>
      </c>
      <c r="H38" s="64">
        <v>31.41</v>
      </c>
      <c r="I38" s="64">
        <v>3.96</v>
      </c>
      <c r="J38" s="64">
        <v>0.72</v>
      </c>
      <c r="K38" s="64">
        <v>320.55</v>
      </c>
      <c r="L38" s="64">
        <v>22.66</v>
      </c>
      <c r="M38" s="64">
        <v>40.82</v>
      </c>
      <c r="N38" s="64">
        <v>217.5</v>
      </c>
      <c r="O38" s="64">
        <v>0</v>
      </c>
      <c r="P38" s="64">
        <v>1.24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47" t="s">
        <v>1426</v>
      </c>
      <c r="B39" s="64">
        <v>33.03</v>
      </c>
      <c r="C39" s="64">
        <v>72.78</v>
      </c>
      <c r="D39" s="64">
        <v>64.510000000000005</v>
      </c>
      <c r="E39" s="64">
        <v>3.21</v>
      </c>
      <c r="F39" s="64">
        <v>9.99</v>
      </c>
      <c r="G39" s="64">
        <v>78</v>
      </c>
      <c r="H39" s="64">
        <v>31.41</v>
      </c>
      <c r="I39" s="64">
        <v>4.0999999999999996</v>
      </c>
      <c r="J39" s="64">
        <v>0.9</v>
      </c>
      <c r="K39" s="64">
        <v>299.69</v>
      </c>
      <c r="L39" s="64">
        <v>24.58</v>
      </c>
      <c r="M39" s="64">
        <v>35.6</v>
      </c>
      <c r="N39" s="64">
        <v>264.60000000000002</v>
      </c>
      <c r="O39" s="64">
        <v>0</v>
      </c>
      <c r="P39" s="64">
        <v>1.2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47" t="s">
        <v>1427</v>
      </c>
      <c r="B40" s="64">
        <v>35.56</v>
      </c>
      <c r="C40" s="64">
        <v>75.27</v>
      </c>
      <c r="D40" s="64">
        <v>67.84</v>
      </c>
      <c r="E40" s="64">
        <v>3.95</v>
      </c>
      <c r="F40" s="64">
        <v>12.18</v>
      </c>
      <c r="G40" s="64">
        <v>80.33</v>
      </c>
      <c r="H40" s="64">
        <v>32.619999999999997</v>
      </c>
      <c r="I40" s="64">
        <v>4.12</v>
      </c>
      <c r="J40" s="64">
        <v>0.88</v>
      </c>
      <c r="K40" s="64">
        <v>308.02999999999997</v>
      </c>
      <c r="L40" s="64">
        <v>26.07</v>
      </c>
      <c r="M40" s="64">
        <v>33.549999999999997</v>
      </c>
      <c r="N40" s="64">
        <v>304.39999999999998</v>
      </c>
      <c r="O40" s="64">
        <v>0</v>
      </c>
      <c r="P40" s="64">
        <v>1.21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47" t="s">
        <v>1428</v>
      </c>
      <c r="B41" s="64">
        <v>30.02</v>
      </c>
      <c r="C41" s="64">
        <v>72.430000000000007</v>
      </c>
      <c r="D41" s="64">
        <v>61.92</v>
      </c>
      <c r="E41" s="64">
        <v>6.2</v>
      </c>
      <c r="F41" s="64">
        <v>12.82</v>
      </c>
      <c r="G41" s="64">
        <v>86.74</v>
      </c>
      <c r="H41" s="64">
        <v>35.94</v>
      </c>
      <c r="I41" s="64">
        <v>3.81</v>
      </c>
      <c r="J41" s="64">
        <v>0.57999999999999996</v>
      </c>
      <c r="K41" s="64">
        <v>268.07</v>
      </c>
      <c r="L41" s="64">
        <v>25.77</v>
      </c>
      <c r="M41" s="64">
        <v>33.76</v>
      </c>
      <c r="N41" s="64">
        <v>352.6</v>
      </c>
      <c r="O41" s="64">
        <v>0</v>
      </c>
      <c r="P41" s="64">
        <v>1.18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47" t="s">
        <v>1429</v>
      </c>
      <c r="B42" s="64">
        <v>27.76</v>
      </c>
      <c r="C42" s="64">
        <v>72.77</v>
      </c>
      <c r="D42" s="64">
        <v>60.28</v>
      </c>
      <c r="E42" s="64">
        <v>6.13</v>
      </c>
      <c r="F42" s="64">
        <v>12.34</v>
      </c>
      <c r="G42" s="64">
        <v>86.74</v>
      </c>
      <c r="H42" s="64">
        <v>35.94</v>
      </c>
      <c r="I42" s="64">
        <v>3.96</v>
      </c>
      <c r="J42" s="64">
        <v>0.5</v>
      </c>
      <c r="K42" s="64">
        <v>248.77</v>
      </c>
      <c r="L42" s="64">
        <v>25.66</v>
      </c>
      <c r="M42" s="64">
        <v>34.03</v>
      </c>
      <c r="N42" s="64">
        <v>398.2</v>
      </c>
      <c r="O42" s="64">
        <v>0</v>
      </c>
      <c r="P42" s="64">
        <v>1.18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47" t="s">
        <v>1430</v>
      </c>
      <c r="B43" s="64">
        <v>22.79</v>
      </c>
      <c r="C43" s="64">
        <v>70.91</v>
      </c>
      <c r="D43" s="64">
        <v>55.33</v>
      </c>
      <c r="E43" s="64">
        <v>6.86</v>
      </c>
      <c r="F43" s="64">
        <v>13.37</v>
      </c>
      <c r="G43" s="64">
        <v>86.74</v>
      </c>
      <c r="H43" s="64">
        <v>35.94</v>
      </c>
      <c r="I43" s="64">
        <v>4</v>
      </c>
      <c r="J43" s="64">
        <v>0.63</v>
      </c>
      <c r="K43" s="64">
        <v>244.35</v>
      </c>
      <c r="L43" s="64">
        <v>26.55</v>
      </c>
      <c r="M43" s="64">
        <v>32.86</v>
      </c>
      <c r="N43" s="64">
        <v>441.5</v>
      </c>
      <c r="O43" s="64">
        <v>0</v>
      </c>
      <c r="P43" s="64">
        <v>1.1499999999999999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47" t="s">
        <v>1431</v>
      </c>
      <c r="B44" s="64">
        <v>20.440000000000001</v>
      </c>
      <c r="C44" s="64">
        <v>71.72</v>
      </c>
      <c r="D44" s="64">
        <v>53.86</v>
      </c>
      <c r="E44" s="64">
        <v>6.06</v>
      </c>
      <c r="F44" s="64">
        <v>12.8</v>
      </c>
      <c r="G44" s="64">
        <v>86.29</v>
      </c>
      <c r="H44" s="64">
        <v>36.15</v>
      </c>
      <c r="I44" s="64">
        <v>3.92</v>
      </c>
      <c r="J44" s="64">
        <v>0.75</v>
      </c>
      <c r="K44" s="64">
        <v>234.37</v>
      </c>
      <c r="L44" s="64">
        <v>26.44</v>
      </c>
      <c r="M44" s="64">
        <v>34</v>
      </c>
      <c r="N44" s="64">
        <v>488.8</v>
      </c>
      <c r="O44" s="64">
        <v>0</v>
      </c>
      <c r="P44" s="64">
        <v>1.1499999999999999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47" t="s">
        <v>1432</v>
      </c>
      <c r="B45" s="64">
        <v>20.079999999999998</v>
      </c>
      <c r="C45" s="64">
        <v>72.819999999999993</v>
      </c>
      <c r="D45" s="64">
        <v>54.14</v>
      </c>
      <c r="E45" s="64">
        <v>4.82</v>
      </c>
      <c r="F45" s="64">
        <v>10.6</v>
      </c>
      <c r="G45" s="64">
        <v>84.96</v>
      </c>
      <c r="H45" s="64">
        <v>36.729999999999997</v>
      </c>
      <c r="I45" s="64">
        <v>3.91</v>
      </c>
      <c r="J45" s="64">
        <v>0.97</v>
      </c>
      <c r="K45" s="64">
        <v>190.59</v>
      </c>
      <c r="L45" s="64">
        <v>26.71</v>
      </c>
      <c r="M45" s="64">
        <v>34.44</v>
      </c>
      <c r="N45" s="64">
        <v>534.1</v>
      </c>
      <c r="O45" s="64">
        <v>0</v>
      </c>
      <c r="P45" s="64">
        <v>1.1499999999999999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47" t="s">
        <v>1433</v>
      </c>
      <c r="B46" s="64">
        <v>20.13</v>
      </c>
      <c r="C46" s="64">
        <v>76.489999999999995</v>
      </c>
      <c r="D46" s="64">
        <v>56.1</v>
      </c>
      <c r="E46" s="64">
        <v>4.04</v>
      </c>
      <c r="F46" s="64">
        <v>7</v>
      </c>
      <c r="G46" s="64">
        <v>84.96</v>
      </c>
      <c r="H46" s="64">
        <v>36.729999999999997</v>
      </c>
      <c r="I46" s="64">
        <v>4.09</v>
      </c>
      <c r="J46" s="64">
        <v>0.76</v>
      </c>
      <c r="K46" s="64">
        <v>223.68</v>
      </c>
      <c r="L46" s="64">
        <v>27.61</v>
      </c>
      <c r="M46" s="64">
        <v>33.25</v>
      </c>
      <c r="N46" s="64">
        <v>564.9</v>
      </c>
      <c r="O46" s="64">
        <v>0</v>
      </c>
      <c r="P46" s="64">
        <v>1.1499999999999999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47" t="s">
        <v>1434</v>
      </c>
      <c r="B47" s="64">
        <v>17.54</v>
      </c>
      <c r="C47" s="64">
        <v>80.47</v>
      </c>
      <c r="D47" s="64">
        <v>56.11</v>
      </c>
      <c r="E47" s="64">
        <v>4.2300000000000004</v>
      </c>
      <c r="F47" s="64">
        <v>8.27</v>
      </c>
      <c r="G47" s="64">
        <v>84.96</v>
      </c>
      <c r="H47" s="64">
        <v>36.729999999999997</v>
      </c>
      <c r="I47" s="64">
        <v>3.9</v>
      </c>
      <c r="J47" s="64">
        <v>0.63</v>
      </c>
      <c r="K47" s="64">
        <v>271.08999999999997</v>
      </c>
      <c r="L47" s="64">
        <v>29.47</v>
      </c>
      <c r="M47" s="64">
        <v>30.77</v>
      </c>
      <c r="N47" s="64">
        <v>600.6</v>
      </c>
      <c r="O47" s="64">
        <v>0</v>
      </c>
      <c r="P47" s="64">
        <v>1.1399999999999999</v>
      </c>
      <c r="Q47" s="64">
        <v>9.59</v>
      </c>
      <c r="R47" s="198"/>
      <c r="S47" s="198"/>
      <c r="T47" s="198"/>
      <c r="U47" s="198"/>
    </row>
    <row r="48" spans="1:21" s="12" customFormat="1" x14ac:dyDescent="0.25">
      <c r="A48" s="247" t="s">
        <v>1435</v>
      </c>
      <c r="B48" s="64">
        <v>14.07</v>
      </c>
      <c r="C48" s="64">
        <v>82.53</v>
      </c>
      <c r="D48" s="64">
        <v>54.4</v>
      </c>
      <c r="E48" s="64">
        <v>4.4400000000000004</v>
      </c>
      <c r="F48" s="64">
        <v>9.14</v>
      </c>
      <c r="G48" s="64">
        <v>85.49</v>
      </c>
      <c r="H48" s="64">
        <v>36.86</v>
      </c>
      <c r="I48" s="64">
        <v>3.94</v>
      </c>
      <c r="J48" s="64">
        <v>0.87</v>
      </c>
      <c r="K48" s="64">
        <v>268.01</v>
      </c>
      <c r="L48" s="64">
        <v>30.19</v>
      </c>
      <c r="M48" s="64">
        <v>29.73</v>
      </c>
      <c r="N48" s="64">
        <v>643.6</v>
      </c>
      <c r="O48" s="64">
        <v>0</v>
      </c>
      <c r="P48" s="64">
        <v>1.1299999999999999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47" t="s">
        <v>1436</v>
      </c>
      <c r="B49" s="64">
        <v>9.5399999999999991</v>
      </c>
      <c r="C49" s="64">
        <v>84.53</v>
      </c>
      <c r="D49" s="64">
        <v>51.81</v>
      </c>
      <c r="E49" s="64">
        <v>4.46</v>
      </c>
      <c r="F49" s="64">
        <v>9.75</v>
      </c>
      <c r="G49" s="64">
        <v>86.94</v>
      </c>
      <c r="H49" s="64">
        <v>37.229999999999997</v>
      </c>
      <c r="I49" s="64">
        <v>3.94</v>
      </c>
      <c r="J49" s="64">
        <v>0.69</v>
      </c>
      <c r="K49" s="64">
        <v>250.21</v>
      </c>
      <c r="L49" s="64">
        <v>29.91</v>
      </c>
      <c r="M49" s="64">
        <v>28.35</v>
      </c>
      <c r="N49" s="64">
        <v>678.9</v>
      </c>
      <c r="O49" s="64">
        <v>0</v>
      </c>
      <c r="P49" s="64">
        <v>1.08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47" t="s">
        <v>1437</v>
      </c>
      <c r="B50" s="64">
        <v>5.77</v>
      </c>
      <c r="C50" s="64">
        <v>84.75</v>
      </c>
      <c r="D50" s="64">
        <v>48.91</v>
      </c>
      <c r="E50" s="64">
        <v>4.6399999999999997</v>
      </c>
      <c r="F50" s="64">
        <v>10.28</v>
      </c>
      <c r="G50" s="64">
        <v>86.94</v>
      </c>
      <c r="H50" s="64">
        <v>37.229999999999997</v>
      </c>
      <c r="I50" s="64">
        <v>4.08</v>
      </c>
      <c r="J50" s="64">
        <v>0.96</v>
      </c>
      <c r="K50" s="64">
        <v>262.87</v>
      </c>
      <c r="L50" s="64">
        <v>31.06</v>
      </c>
      <c r="M50" s="64">
        <v>27.76</v>
      </c>
      <c r="N50" s="64">
        <v>704.4</v>
      </c>
      <c r="O50" s="64">
        <v>0</v>
      </c>
      <c r="P50" s="64">
        <v>1.04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47" t="s">
        <v>1438</v>
      </c>
      <c r="B51" s="64">
        <v>4.0599999999999996</v>
      </c>
      <c r="C51" s="64">
        <v>82.6</v>
      </c>
      <c r="D51" s="64">
        <v>46.41</v>
      </c>
      <c r="E51" s="64">
        <v>4.68</v>
      </c>
      <c r="F51" s="64">
        <v>11.28</v>
      </c>
      <c r="G51" s="64">
        <v>86.94</v>
      </c>
      <c r="H51" s="64">
        <v>37.229999999999997</v>
      </c>
      <c r="I51" s="64">
        <v>4.13</v>
      </c>
      <c r="J51" s="64">
        <v>0.98</v>
      </c>
      <c r="K51" s="64">
        <v>272.72000000000003</v>
      </c>
      <c r="L51" s="64">
        <v>31.95</v>
      </c>
      <c r="M51" s="64">
        <v>26.75</v>
      </c>
      <c r="N51" s="64">
        <v>716</v>
      </c>
      <c r="O51" s="64">
        <v>0</v>
      </c>
      <c r="P51" s="64">
        <v>1.01</v>
      </c>
      <c r="Q51" s="64">
        <v>9.57</v>
      </c>
      <c r="R51" s="198"/>
      <c r="S51" s="198"/>
      <c r="T51" s="198"/>
      <c r="U51" s="198"/>
    </row>
    <row r="52" spans="1:21" s="12" customFormat="1" x14ac:dyDescent="0.25">
      <c r="A52" s="247" t="s">
        <v>1439</v>
      </c>
      <c r="B52" s="64">
        <v>3.56</v>
      </c>
      <c r="C52" s="64">
        <v>79.63</v>
      </c>
      <c r="D52" s="64">
        <v>44.46</v>
      </c>
      <c r="E52" s="64">
        <v>4.55</v>
      </c>
      <c r="F52" s="64">
        <v>11.71</v>
      </c>
      <c r="G52" s="64">
        <v>86.7</v>
      </c>
      <c r="H52" s="64">
        <v>36.29</v>
      </c>
      <c r="I52" s="64">
        <v>3.91</v>
      </c>
      <c r="J52" s="64">
        <v>0.99</v>
      </c>
      <c r="K52" s="64">
        <v>262.05</v>
      </c>
      <c r="L52" s="64">
        <v>32.369999999999997</v>
      </c>
      <c r="M52" s="64">
        <v>25.19</v>
      </c>
      <c r="N52" s="64">
        <v>723.1</v>
      </c>
      <c r="O52" s="64">
        <v>0</v>
      </c>
      <c r="P52" s="64">
        <v>0.95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47" t="s">
        <v>1440</v>
      </c>
      <c r="B53" s="64">
        <v>3.51</v>
      </c>
      <c r="C53" s="64">
        <v>76.709999999999994</v>
      </c>
      <c r="D53" s="64">
        <v>42.9</v>
      </c>
      <c r="E53" s="64">
        <v>4.91</v>
      </c>
      <c r="F53" s="64">
        <v>11.96</v>
      </c>
      <c r="G53" s="64">
        <v>86.04</v>
      </c>
      <c r="H53" s="64">
        <v>33.700000000000003</v>
      </c>
      <c r="I53" s="64">
        <v>4</v>
      </c>
      <c r="J53" s="64">
        <v>1.24</v>
      </c>
      <c r="K53" s="64">
        <v>283.08</v>
      </c>
      <c r="L53" s="64">
        <v>32.43</v>
      </c>
      <c r="M53" s="64">
        <v>25.03</v>
      </c>
      <c r="N53" s="64">
        <v>725.1</v>
      </c>
      <c r="O53" s="64">
        <v>0</v>
      </c>
      <c r="P53" s="64">
        <v>0.92</v>
      </c>
      <c r="Q53" s="64">
        <v>9.58</v>
      </c>
      <c r="R53" s="198"/>
      <c r="S53" s="198"/>
      <c r="T53" s="198"/>
      <c r="U53" s="198"/>
    </row>
    <row r="54" spans="1:21" s="12" customFormat="1" x14ac:dyDescent="0.25">
      <c r="A54" s="247" t="s">
        <v>1441</v>
      </c>
      <c r="B54" s="64">
        <v>3.33</v>
      </c>
      <c r="C54" s="64">
        <v>72.91</v>
      </c>
      <c r="D54" s="64">
        <v>40.770000000000003</v>
      </c>
      <c r="E54" s="64">
        <v>4.96</v>
      </c>
      <c r="F54" s="64">
        <v>13</v>
      </c>
      <c r="G54" s="64">
        <v>86.04</v>
      </c>
      <c r="H54" s="64">
        <v>33.700000000000003</v>
      </c>
      <c r="I54" s="64">
        <v>4.1500000000000004</v>
      </c>
      <c r="J54" s="64">
        <v>1.1100000000000001</v>
      </c>
      <c r="K54" s="64">
        <v>279.39</v>
      </c>
      <c r="L54" s="64">
        <v>33.159999999999997</v>
      </c>
      <c r="M54" s="64">
        <v>22.69</v>
      </c>
      <c r="N54" s="64">
        <v>717.2</v>
      </c>
      <c r="O54" s="64">
        <v>0</v>
      </c>
      <c r="P54" s="64">
        <v>0.85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47" t="s">
        <v>1442</v>
      </c>
      <c r="B55" s="64">
        <v>3.31</v>
      </c>
      <c r="C55" s="64">
        <v>69.849999999999994</v>
      </c>
      <c r="D55" s="64">
        <v>39.15</v>
      </c>
      <c r="E55" s="64">
        <v>5.0999999999999996</v>
      </c>
      <c r="F55" s="64">
        <v>14.31</v>
      </c>
      <c r="G55" s="64">
        <v>86.04</v>
      </c>
      <c r="H55" s="64">
        <v>33.700000000000003</v>
      </c>
      <c r="I55" s="64">
        <v>4.0199999999999996</v>
      </c>
      <c r="J55" s="64">
        <v>1.1299999999999999</v>
      </c>
      <c r="K55" s="64">
        <v>282.38</v>
      </c>
      <c r="L55" s="64">
        <v>32.94</v>
      </c>
      <c r="M55" s="64">
        <v>24.34</v>
      </c>
      <c r="N55" s="64">
        <v>699.3</v>
      </c>
      <c r="O55" s="64">
        <v>0</v>
      </c>
      <c r="P55" s="64">
        <v>0.81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47" t="s">
        <v>1443</v>
      </c>
      <c r="B56" s="64">
        <v>3.34</v>
      </c>
      <c r="C56" s="64">
        <v>68.25</v>
      </c>
      <c r="D56" s="64">
        <v>38.340000000000003</v>
      </c>
      <c r="E56" s="64">
        <v>5.12</v>
      </c>
      <c r="F56" s="64">
        <v>14.64</v>
      </c>
      <c r="G56" s="64">
        <v>85.09</v>
      </c>
      <c r="H56" s="64">
        <v>33.08</v>
      </c>
      <c r="I56" s="64">
        <v>4.09</v>
      </c>
      <c r="J56" s="64">
        <v>1.08</v>
      </c>
      <c r="K56" s="64">
        <v>282.77999999999997</v>
      </c>
      <c r="L56" s="64">
        <v>33.909999999999997</v>
      </c>
      <c r="M56" s="64">
        <v>20.99</v>
      </c>
      <c r="N56" s="64">
        <v>697.5</v>
      </c>
      <c r="O56" s="64">
        <v>0</v>
      </c>
      <c r="P56" s="64">
        <v>0.79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47" t="s">
        <v>1444</v>
      </c>
      <c r="B57" s="64">
        <v>3.3</v>
      </c>
      <c r="C57" s="64">
        <v>67.7</v>
      </c>
      <c r="D57" s="64">
        <v>38.01</v>
      </c>
      <c r="E57" s="64">
        <v>6.07</v>
      </c>
      <c r="F57" s="64">
        <v>14.8</v>
      </c>
      <c r="G57" s="64">
        <v>82.47</v>
      </c>
      <c r="H57" s="64">
        <v>31.4</v>
      </c>
      <c r="I57" s="64">
        <v>4.1100000000000003</v>
      </c>
      <c r="J57" s="64">
        <v>1.1499999999999999</v>
      </c>
      <c r="K57" s="64">
        <v>284.06</v>
      </c>
      <c r="L57" s="64">
        <v>34.49</v>
      </c>
      <c r="M57" s="64">
        <v>21.09</v>
      </c>
      <c r="N57" s="64">
        <v>687.2</v>
      </c>
      <c r="O57" s="64">
        <v>0</v>
      </c>
      <c r="P57" s="64">
        <v>0.82</v>
      </c>
      <c r="Q57" s="64">
        <v>9.48</v>
      </c>
      <c r="R57" s="198"/>
      <c r="S57" s="198"/>
      <c r="T57" s="198"/>
      <c r="U57" s="198"/>
    </row>
    <row r="58" spans="1:21" s="12" customFormat="1" x14ac:dyDescent="0.25">
      <c r="A58" s="247" t="s">
        <v>1445</v>
      </c>
      <c r="B58" s="64">
        <v>3.45</v>
      </c>
      <c r="C58" s="64">
        <v>68.400000000000006</v>
      </c>
      <c r="D58" s="64">
        <v>38.5</v>
      </c>
      <c r="E58" s="64">
        <v>6.85</v>
      </c>
      <c r="F58" s="64">
        <v>18.14</v>
      </c>
      <c r="G58" s="64">
        <v>82.47</v>
      </c>
      <c r="H58" s="64">
        <v>31.4</v>
      </c>
      <c r="I58" s="64">
        <v>4.0999999999999996</v>
      </c>
      <c r="J58" s="64">
        <v>0.91</v>
      </c>
      <c r="K58" s="64">
        <v>277.98</v>
      </c>
      <c r="L58" s="64">
        <v>34.270000000000003</v>
      </c>
      <c r="M58" s="64">
        <v>21.83</v>
      </c>
      <c r="N58" s="64">
        <v>693.7</v>
      </c>
      <c r="O58" s="64">
        <v>0</v>
      </c>
      <c r="P58" s="64">
        <v>0.85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47" t="s">
        <v>1446</v>
      </c>
      <c r="B59" s="64">
        <v>3.55</v>
      </c>
      <c r="C59" s="64">
        <v>69.08</v>
      </c>
      <c r="D59" s="64">
        <v>38.94</v>
      </c>
      <c r="E59" s="64">
        <v>7.01</v>
      </c>
      <c r="F59" s="64">
        <v>17.47</v>
      </c>
      <c r="G59" s="64">
        <v>82.47</v>
      </c>
      <c r="H59" s="64">
        <v>31.4</v>
      </c>
      <c r="I59" s="64">
        <v>4</v>
      </c>
      <c r="J59" s="64">
        <v>1.01</v>
      </c>
      <c r="K59" s="64">
        <v>272.18</v>
      </c>
      <c r="L59" s="64">
        <v>34.950000000000003</v>
      </c>
      <c r="M59" s="64">
        <v>21.61</v>
      </c>
      <c r="N59" s="64">
        <v>707</v>
      </c>
      <c r="O59" s="64">
        <v>0</v>
      </c>
      <c r="P59" s="64">
        <v>0.88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47" t="s">
        <v>1447</v>
      </c>
      <c r="B60" s="64">
        <v>3.38</v>
      </c>
      <c r="C60" s="64">
        <v>69.02</v>
      </c>
      <c r="D60" s="64">
        <v>38.78</v>
      </c>
      <c r="E60" s="64">
        <v>10.28</v>
      </c>
      <c r="F60" s="64">
        <v>22.25</v>
      </c>
      <c r="G60" s="64">
        <v>84.88</v>
      </c>
      <c r="H60" s="64">
        <v>31.42</v>
      </c>
      <c r="I60" s="64">
        <v>4.08</v>
      </c>
      <c r="J60" s="64">
        <v>0.94</v>
      </c>
      <c r="K60" s="64">
        <v>252.57</v>
      </c>
      <c r="L60" s="64">
        <v>33.75</v>
      </c>
      <c r="M60" s="64">
        <v>21.95</v>
      </c>
      <c r="N60" s="64">
        <v>706.7</v>
      </c>
      <c r="O60" s="64">
        <v>0</v>
      </c>
      <c r="P60" s="64">
        <v>0.88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47" t="s">
        <v>1448</v>
      </c>
      <c r="B61" s="64">
        <v>3.43</v>
      </c>
      <c r="C61" s="64">
        <v>68.45</v>
      </c>
      <c r="D61" s="64">
        <v>38.51</v>
      </c>
      <c r="E61" s="64">
        <v>7.27</v>
      </c>
      <c r="F61" s="64">
        <v>16.3</v>
      </c>
      <c r="G61" s="64">
        <v>91.9</v>
      </c>
      <c r="H61" s="64">
        <v>31.46</v>
      </c>
      <c r="I61" s="64">
        <v>3.88</v>
      </c>
      <c r="J61" s="64">
        <v>1.83</v>
      </c>
      <c r="K61" s="64">
        <v>305.5</v>
      </c>
      <c r="L61" s="64">
        <v>34.94</v>
      </c>
      <c r="M61" s="64">
        <v>20.91</v>
      </c>
      <c r="N61" s="64">
        <v>707.8</v>
      </c>
      <c r="O61" s="64">
        <v>0</v>
      </c>
      <c r="P61" s="64">
        <v>0.85</v>
      </c>
      <c r="Q61" s="64">
        <v>9.4499999999999993</v>
      </c>
      <c r="R61" s="198"/>
      <c r="S61" s="198"/>
      <c r="T61" s="198"/>
      <c r="U61" s="198"/>
    </row>
    <row r="62" spans="1:21" s="12" customFormat="1" x14ac:dyDescent="0.25">
      <c r="A62" s="247" t="s">
        <v>1449</v>
      </c>
      <c r="B62" s="64">
        <v>3.38</v>
      </c>
      <c r="C62" s="64">
        <v>64.52</v>
      </c>
      <c r="D62" s="64">
        <v>36.42</v>
      </c>
      <c r="E62" s="64">
        <v>5.38</v>
      </c>
      <c r="F62" s="64">
        <v>19.54</v>
      </c>
      <c r="G62" s="64">
        <v>91.9</v>
      </c>
      <c r="H62" s="64">
        <v>31.46</v>
      </c>
      <c r="I62" s="64">
        <v>3.98</v>
      </c>
      <c r="J62" s="64">
        <v>0.87</v>
      </c>
      <c r="K62" s="64">
        <v>262.08</v>
      </c>
      <c r="L62" s="64">
        <v>35.51</v>
      </c>
      <c r="M62" s="64">
        <v>16.11</v>
      </c>
      <c r="N62" s="64">
        <v>687.5</v>
      </c>
      <c r="O62" s="64">
        <v>0</v>
      </c>
      <c r="P62" s="64">
        <v>0.83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47" t="s">
        <v>1450</v>
      </c>
      <c r="B63" s="64">
        <v>4.62</v>
      </c>
      <c r="C63" s="64">
        <v>68.39</v>
      </c>
      <c r="D63" s="64">
        <v>39.44</v>
      </c>
      <c r="E63" s="64">
        <v>6.79</v>
      </c>
      <c r="F63" s="64">
        <v>15.92</v>
      </c>
      <c r="G63" s="64">
        <v>91.9</v>
      </c>
      <c r="H63" s="64">
        <v>31.46</v>
      </c>
      <c r="I63" s="64">
        <v>4.07</v>
      </c>
      <c r="J63" s="64">
        <v>1.04</v>
      </c>
      <c r="K63" s="64">
        <v>272.85000000000002</v>
      </c>
      <c r="L63" s="64">
        <v>35</v>
      </c>
      <c r="M63" s="64">
        <v>14.96</v>
      </c>
      <c r="N63" s="64">
        <v>660.4</v>
      </c>
      <c r="O63" s="64">
        <v>0</v>
      </c>
      <c r="P63" s="64">
        <v>0.83</v>
      </c>
      <c r="Q63" s="64">
        <v>9.44</v>
      </c>
      <c r="R63" s="198"/>
      <c r="S63" s="198"/>
      <c r="T63" s="198"/>
      <c r="U63" s="198"/>
    </row>
    <row r="64" spans="1:21" s="12" customFormat="1" x14ac:dyDescent="0.25">
      <c r="A64" s="247" t="s">
        <v>1451</v>
      </c>
      <c r="B64" s="64">
        <v>3.53</v>
      </c>
      <c r="C64" s="64">
        <v>65.31</v>
      </c>
      <c r="D64" s="64">
        <v>36.950000000000003</v>
      </c>
      <c r="E64" s="64">
        <v>5.61</v>
      </c>
      <c r="F64" s="64">
        <v>15.96</v>
      </c>
      <c r="G64" s="64">
        <v>88.61</v>
      </c>
      <c r="H64" s="64">
        <v>30.44</v>
      </c>
      <c r="I64" s="64">
        <v>4.1399999999999997</v>
      </c>
      <c r="J64" s="64">
        <v>1.04</v>
      </c>
      <c r="K64" s="64">
        <v>281.13</v>
      </c>
      <c r="L64" s="64">
        <v>34.659999999999997</v>
      </c>
      <c r="M64" s="64">
        <v>16.34</v>
      </c>
      <c r="N64" s="64">
        <v>622.1</v>
      </c>
      <c r="O64" s="64">
        <v>0</v>
      </c>
      <c r="P64" s="64">
        <v>0.79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47" t="s">
        <v>1452</v>
      </c>
      <c r="B65" s="64">
        <v>3.43</v>
      </c>
      <c r="C65" s="64">
        <v>62.7</v>
      </c>
      <c r="D65" s="64">
        <v>35.51</v>
      </c>
      <c r="E65" s="64">
        <v>5.86</v>
      </c>
      <c r="F65" s="64">
        <v>15.67</v>
      </c>
      <c r="G65" s="64">
        <v>79.569999999999993</v>
      </c>
      <c r="H65" s="64">
        <v>27.63</v>
      </c>
      <c r="I65" s="64">
        <v>3.93</v>
      </c>
      <c r="J65" s="64">
        <v>0.82</v>
      </c>
      <c r="K65" s="64">
        <v>266.56</v>
      </c>
      <c r="L65" s="64">
        <v>34.92</v>
      </c>
      <c r="M65" s="64">
        <v>14.88</v>
      </c>
      <c r="N65" s="64">
        <v>614.5</v>
      </c>
      <c r="O65" s="64">
        <v>0</v>
      </c>
      <c r="P65" s="64">
        <v>0.75</v>
      </c>
      <c r="Q65" s="64">
        <v>8.93</v>
      </c>
      <c r="R65" s="198"/>
      <c r="S65" s="198"/>
      <c r="T65" s="198"/>
      <c r="U65" s="198"/>
    </row>
    <row r="66" spans="1:21" s="12" customFormat="1" x14ac:dyDescent="0.25">
      <c r="A66" s="247" t="s">
        <v>1453</v>
      </c>
      <c r="B66" s="64">
        <v>3.57</v>
      </c>
      <c r="C66" s="64">
        <v>60.79</v>
      </c>
      <c r="D66" s="64">
        <v>34.630000000000003</v>
      </c>
      <c r="E66" s="64">
        <v>6.44</v>
      </c>
      <c r="F66" s="64">
        <v>20.25</v>
      </c>
      <c r="G66" s="64">
        <v>79.569999999999993</v>
      </c>
      <c r="H66" s="64">
        <v>27.63</v>
      </c>
      <c r="I66" s="64">
        <v>4.04</v>
      </c>
      <c r="J66" s="64">
        <v>0.94</v>
      </c>
      <c r="K66" s="64">
        <v>259.74</v>
      </c>
      <c r="L66" s="64">
        <v>34</v>
      </c>
      <c r="M66" s="64">
        <v>16.23</v>
      </c>
      <c r="N66" s="64">
        <v>569.29999999999995</v>
      </c>
      <c r="O66" s="64">
        <v>0</v>
      </c>
      <c r="P66" s="64">
        <v>0.74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47" t="s">
        <v>1454</v>
      </c>
      <c r="B67" s="64">
        <v>4.21</v>
      </c>
      <c r="C67" s="64">
        <v>62.36</v>
      </c>
      <c r="D67" s="64">
        <v>35.96</v>
      </c>
      <c r="E67" s="64">
        <v>6.32</v>
      </c>
      <c r="F67" s="64">
        <v>16.920000000000002</v>
      </c>
      <c r="G67" s="64">
        <v>79.569999999999993</v>
      </c>
      <c r="H67" s="64">
        <v>27.63</v>
      </c>
      <c r="I67" s="64">
        <v>4.01</v>
      </c>
      <c r="J67" s="64">
        <v>1</v>
      </c>
      <c r="K67" s="64">
        <v>286.2</v>
      </c>
      <c r="L67" s="64">
        <v>34.869999999999997</v>
      </c>
      <c r="M67" s="64">
        <v>14.41</v>
      </c>
      <c r="N67" s="64">
        <v>363.8</v>
      </c>
      <c r="O67" s="64">
        <v>0</v>
      </c>
      <c r="P67" s="64">
        <v>0.74</v>
      </c>
      <c r="Q67" s="64">
        <v>9.23</v>
      </c>
      <c r="R67" s="198"/>
      <c r="S67" s="198"/>
      <c r="T67" s="198"/>
      <c r="U67" s="198"/>
    </row>
    <row r="68" spans="1:21" s="12" customFormat="1" x14ac:dyDescent="0.25">
      <c r="A68" s="247" t="s">
        <v>1455</v>
      </c>
      <c r="B68" s="64">
        <v>3.57</v>
      </c>
      <c r="C68" s="64">
        <v>60.91</v>
      </c>
      <c r="D68" s="64">
        <v>34.69</v>
      </c>
      <c r="E68" s="64">
        <v>4.8899999999999997</v>
      </c>
      <c r="F68" s="64">
        <v>15.78</v>
      </c>
      <c r="G68" s="64">
        <v>76.34</v>
      </c>
      <c r="H68" s="64">
        <v>27.21</v>
      </c>
      <c r="I68" s="64">
        <v>4.01</v>
      </c>
      <c r="J68" s="64">
        <v>1.76</v>
      </c>
      <c r="K68" s="64">
        <v>300.49</v>
      </c>
      <c r="L68" s="64">
        <v>33.869999999999997</v>
      </c>
      <c r="M68" s="64">
        <v>19.14</v>
      </c>
      <c r="N68" s="64">
        <v>349.1</v>
      </c>
      <c r="O68" s="64">
        <v>0</v>
      </c>
      <c r="P68" s="64">
        <v>0.69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47" t="s">
        <v>1456</v>
      </c>
      <c r="B69" s="64">
        <v>3.72</v>
      </c>
      <c r="C69" s="64">
        <v>60.12</v>
      </c>
      <c r="D69" s="64">
        <v>34.39</v>
      </c>
      <c r="E69" s="64">
        <v>5.82</v>
      </c>
      <c r="F69" s="64">
        <v>16.48</v>
      </c>
      <c r="G69" s="64">
        <v>67.489999999999995</v>
      </c>
      <c r="H69" s="64">
        <v>26.06</v>
      </c>
      <c r="I69" s="64">
        <v>4.07</v>
      </c>
      <c r="J69" s="64">
        <v>0.87</v>
      </c>
      <c r="K69" s="64">
        <v>274.52</v>
      </c>
      <c r="L69" s="64">
        <v>33.33</v>
      </c>
      <c r="M69" s="64">
        <v>16.47</v>
      </c>
      <c r="N69" s="64">
        <v>255.4</v>
      </c>
      <c r="O69" s="64">
        <v>0</v>
      </c>
      <c r="P69" s="64">
        <v>0.67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47" t="s">
        <v>1457</v>
      </c>
      <c r="B70" s="64">
        <v>4.1500000000000004</v>
      </c>
      <c r="C70" s="64">
        <v>59.59</v>
      </c>
      <c r="D70" s="64">
        <v>34.46</v>
      </c>
      <c r="E70" s="64">
        <v>5.33</v>
      </c>
      <c r="F70" s="64">
        <v>15.27</v>
      </c>
      <c r="G70" s="64">
        <v>67.489999999999995</v>
      </c>
      <c r="H70" s="64">
        <v>26.06</v>
      </c>
      <c r="I70" s="64">
        <v>3.88</v>
      </c>
      <c r="J70" s="64">
        <v>1.1599999999999999</v>
      </c>
      <c r="K70" s="64">
        <v>298.14</v>
      </c>
      <c r="L70" s="64">
        <v>34.590000000000003</v>
      </c>
      <c r="M70" s="64">
        <v>10.9</v>
      </c>
      <c r="N70" s="64">
        <v>182</v>
      </c>
      <c r="O70" s="64">
        <v>0</v>
      </c>
      <c r="P70" s="64">
        <v>0.66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47" t="s">
        <v>1458</v>
      </c>
      <c r="B71" s="64">
        <v>5.25</v>
      </c>
      <c r="C71" s="64">
        <v>60.97</v>
      </c>
      <c r="D71" s="64">
        <v>36.07</v>
      </c>
      <c r="E71" s="64">
        <v>4.1900000000000004</v>
      </c>
      <c r="F71" s="64">
        <v>14.52</v>
      </c>
      <c r="G71" s="64">
        <v>67.489999999999995</v>
      </c>
      <c r="H71" s="64">
        <v>26.06</v>
      </c>
      <c r="I71" s="64">
        <v>3.88</v>
      </c>
      <c r="J71" s="64">
        <v>2.0099999999999998</v>
      </c>
      <c r="K71" s="64">
        <v>308.94</v>
      </c>
      <c r="L71" s="64">
        <v>33.590000000000003</v>
      </c>
      <c r="M71" s="64">
        <v>11.93</v>
      </c>
      <c r="N71" s="64">
        <v>183.7</v>
      </c>
      <c r="O71" s="64">
        <v>0</v>
      </c>
      <c r="P71" s="64">
        <v>0.62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47" t="s">
        <v>1459</v>
      </c>
      <c r="B72" s="64">
        <v>4.07</v>
      </c>
      <c r="C72" s="64">
        <v>58.5</v>
      </c>
      <c r="D72" s="64">
        <v>33.83</v>
      </c>
      <c r="E72" s="64">
        <v>3.42</v>
      </c>
      <c r="F72" s="64">
        <v>12.63</v>
      </c>
      <c r="G72" s="64">
        <v>64.53</v>
      </c>
      <c r="H72" s="64">
        <v>25.65</v>
      </c>
      <c r="I72" s="64">
        <v>4</v>
      </c>
      <c r="J72" s="64">
        <v>1.85</v>
      </c>
      <c r="K72" s="64">
        <v>304.81</v>
      </c>
      <c r="L72" s="64">
        <v>33.409999999999997</v>
      </c>
      <c r="M72" s="64">
        <v>10.99</v>
      </c>
      <c r="N72" s="64">
        <v>241.5</v>
      </c>
      <c r="O72" s="64">
        <v>0</v>
      </c>
      <c r="P72" s="64">
        <v>0.59</v>
      </c>
      <c r="Q72" s="64">
        <v>9.0500000000000007</v>
      </c>
      <c r="R72" s="198"/>
      <c r="S72" s="198"/>
      <c r="T72" s="198"/>
      <c r="U72" s="198"/>
    </row>
    <row r="73" spans="1:21" s="12" customFormat="1" x14ac:dyDescent="0.25">
      <c r="A73" s="247" t="s">
        <v>1460</v>
      </c>
      <c r="B73" s="64">
        <v>4.66</v>
      </c>
      <c r="C73" s="64">
        <v>54.97</v>
      </c>
      <c r="D73" s="64">
        <v>32.450000000000003</v>
      </c>
      <c r="E73" s="64">
        <v>3.83</v>
      </c>
      <c r="F73" s="64">
        <v>16.97</v>
      </c>
      <c r="G73" s="64">
        <v>56.39</v>
      </c>
      <c r="H73" s="64">
        <v>24.5</v>
      </c>
      <c r="I73" s="64">
        <v>4.1100000000000003</v>
      </c>
      <c r="J73" s="64">
        <v>0.98</v>
      </c>
      <c r="K73" s="64">
        <v>288.45</v>
      </c>
      <c r="L73" s="64">
        <v>33.56</v>
      </c>
      <c r="M73" s="64">
        <v>10.119999999999999</v>
      </c>
      <c r="N73" s="64">
        <v>268</v>
      </c>
      <c r="O73" s="64">
        <v>0</v>
      </c>
      <c r="P73" s="64">
        <v>0.56000000000000005</v>
      </c>
      <c r="Q73" s="64">
        <v>9.0299999999999994</v>
      </c>
      <c r="R73" s="198"/>
      <c r="S73" s="198"/>
      <c r="T73" s="198"/>
      <c r="U73" s="198"/>
    </row>
    <row r="74" spans="1:21" s="12" customFormat="1" x14ac:dyDescent="0.25">
      <c r="A74" s="247" t="s">
        <v>1461</v>
      </c>
      <c r="B74" s="64">
        <v>5.24</v>
      </c>
      <c r="C74" s="64">
        <v>54.46</v>
      </c>
      <c r="D74" s="64">
        <v>32.659999999999997</v>
      </c>
      <c r="E74" s="64">
        <v>3.97</v>
      </c>
      <c r="F74" s="64">
        <v>19.63</v>
      </c>
      <c r="G74" s="64">
        <v>56.39</v>
      </c>
      <c r="H74" s="64">
        <v>24.5</v>
      </c>
      <c r="I74" s="64">
        <v>3.99</v>
      </c>
      <c r="J74" s="64">
        <v>0.98</v>
      </c>
      <c r="K74" s="64">
        <v>286.20999999999998</v>
      </c>
      <c r="L74" s="64">
        <v>32.340000000000003</v>
      </c>
      <c r="M74" s="64">
        <v>14.66</v>
      </c>
      <c r="N74" s="64">
        <v>175.8</v>
      </c>
      <c r="O74" s="64">
        <v>0</v>
      </c>
      <c r="P74" s="64">
        <v>0.56999999999999995</v>
      </c>
      <c r="Q74" s="64">
        <v>9</v>
      </c>
      <c r="R74" s="198"/>
      <c r="S74" s="198"/>
      <c r="T74" s="198"/>
      <c r="U74" s="198"/>
    </row>
    <row r="75" spans="1:21" s="12" customFormat="1" x14ac:dyDescent="0.25">
      <c r="A75" s="247" t="s">
        <v>1462</v>
      </c>
      <c r="B75" s="64">
        <v>5.61</v>
      </c>
      <c r="C75" s="64">
        <v>56.89</v>
      </c>
      <c r="D75" s="64">
        <v>34.22</v>
      </c>
      <c r="E75" s="64">
        <v>4.26</v>
      </c>
      <c r="F75" s="64">
        <v>23.93</v>
      </c>
      <c r="G75" s="64">
        <v>56.39</v>
      </c>
      <c r="H75" s="64">
        <v>24.5</v>
      </c>
      <c r="I75" s="64">
        <v>3.83</v>
      </c>
      <c r="J75" s="64">
        <v>0.96</v>
      </c>
      <c r="K75" s="64">
        <v>296.5</v>
      </c>
      <c r="L75" s="64">
        <v>32.409999999999997</v>
      </c>
      <c r="M75" s="64">
        <v>11.69</v>
      </c>
      <c r="N75" s="64">
        <v>163</v>
      </c>
      <c r="O75" s="64">
        <v>0</v>
      </c>
      <c r="P75" s="64">
        <v>0.52</v>
      </c>
      <c r="Q75" s="64">
        <v>8.9700000000000006</v>
      </c>
      <c r="R75" s="198"/>
      <c r="S75" s="198"/>
      <c r="T75" s="198"/>
      <c r="U75" s="198"/>
    </row>
    <row r="76" spans="1:21" s="12" customFormat="1" x14ac:dyDescent="0.25">
      <c r="A76" s="247" t="s">
        <v>1463</v>
      </c>
      <c r="B76" s="64">
        <v>5.22</v>
      </c>
      <c r="C76" s="64">
        <v>60.61</v>
      </c>
      <c r="D76" s="64">
        <v>35.85</v>
      </c>
      <c r="E76" s="64">
        <v>4.7699999999999996</v>
      </c>
      <c r="F76" s="64">
        <v>21.66</v>
      </c>
      <c r="G76" s="64">
        <v>49.59</v>
      </c>
      <c r="H76" s="64">
        <v>23.57</v>
      </c>
      <c r="I76" s="64">
        <v>3.94</v>
      </c>
      <c r="J76" s="64">
        <v>0.82</v>
      </c>
      <c r="K76" s="64">
        <v>282.67</v>
      </c>
      <c r="L76" s="64">
        <v>32.29</v>
      </c>
      <c r="M76" s="64">
        <v>11.62</v>
      </c>
      <c r="N76" s="64">
        <v>118.9</v>
      </c>
      <c r="O76" s="64">
        <v>0</v>
      </c>
      <c r="P76" s="64">
        <v>0.56000000000000005</v>
      </c>
      <c r="Q76" s="64">
        <v>8.9700000000000006</v>
      </c>
      <c r="R76" s="198"/>
      <c r="S76" s="198"/>
      <c r="T76" s="198"/>
      <c r="U76" s="198"/>
    </row>
    <row r="77" spans="1:21" s="12" customFormat="1" x14ac:dyDescent="0.25">
      <c r="A77" s="247" t="s">
        <v>1464</v>
      </c>
      <c r="B77" s="64">
        <v>7.59</v>
      </c>
      <c r="C77" s="64">
        <v>64.260000000000005</v>
      </c>
      <c r="D77" s="64">
        <v>39.659999999999997</v>
      </c>
      <c r="E77" s="64">
        <v>4.9800000000000004</v>
      </c>
      <c r="F77" s="64">
        <v>24.27</v>
      </c>
      <c r="G77" s="64">
        <v>30.87</v>
      </c>
      <c r="H77" s="64">
        <v>20.99</v>
      </c>
      <c r="I77" s="64">
        <v>4.0599999999999996</v>
      </c>
      <c r="J77" s="64">
        <v>0.38</v>
      </c>
      <c r="K77" s="64">
        <v>285.91000000000003</v>
      </c>
      <c r="L77" s="64">
        <v>32</v>
      </c>
      <c r="M77" s="64">
        <v>11.61</v>
      </c>
      <c r="N77" s="64">
        <v>107.2</v>
      </c>
      <c r="O77" s="64">
        <v>0</v>
      </c>
      <c r="P77" s="64">
        <v>0.57999999999999996</v>
      </c>
      <c r="Q77" s="64">
        <v>8.9499999999999993</v>
      </c>
      <c r="R77" s="198"/>
      <c r="S77" s="198"/>
      <c r="T77" s="198"/>
      <c r="U77" s="198"/>
    </row>
    <row r="78" spans="1:21" s="12" customFormat="1" x14ac:dyDescent="0.25">
      <c r="A78" s="247" t="s">
        <v>1465</v>
      </c>
      <c r="B78" s="64">
        <v>7.66</v>
      </c>
      <c r="C78" s="64">
        <v>73.31</v>
      </c>
      <c r="D78" s="64">
        <v>44.44</v>
      </c>
      <c r="E78" s="64">
        <v>6.9</v>
      </c>
      <c r="F78" s="64">
        <v>31.91</v>
      </c>
      <c r="G78" s="64">
        <v>30.87</v>
      </c>
      <c r="H78" s="64">
        <v>20.99</v>
      </c>
      <c r="I78" s="64">
        <v>3.94</v>
      </c>
      <c r="J78" s="64">
        <v>0.35</v>
      </c>
      <c r="K78" s="64">
        <v>259.19</v>
      </c>
      <c r="L78" s="64">
        <v>31.58</v>
      </c>
      <c r="M78" s="64">
        <v>12.58</v>
      </c>
      <c r="N78" s="64">
        <v>96.5</v>
      </c>
      <c r="O78" s="64">
        <v>0</v>
      </c>
      <c r="P78" s="64">
        <v>0.76</v>
      </c>
      <c r="Q78" s="64">
        <v>8.9700000000000006</v>
      </c>
      <c r="R78" s="198"/>
      <c r="S78" s="198"/>
      <c r="T78" s="198"/>
      <c r="U78" s="198"/>
    </row>
    <row r="79" spans="1:21" s="12" customFormat="1" x14ac:dyDescent="0.25">
      <c r="A79" s="247" t="s">
        <v>1466</v>
      </c>
      <c r="B79" s="64">
        <v>5.75</v>
      </c>
      <c r="C79" s="64">
        <v>69.23</v>
      </c>
      <c r="D79" s="64">
        <v>40.78</v>
      </c>
      <c r="E79" s="64">
        <v>7.17</v>
      </c>
      <c r="F79" s="64">
        <v>34.19</v>
      </c>
      <c r="G79" s="64">
        <v>30.87</v>
      </c>
      <c r="H79" s="64">
        <v>20.99</v>
      </c>
      <c r="I79" s="64">
        <v>3.75</v>
      </c>
      <c r="J79" s="64">
        <v>0.65</v>
      </c>
      <c r="K79" s="64">
        <v>235.59</v>
      </c>
      <c r="L79" s="64">
        <v>30.98</v>
      </c>
      <c r="M79" s="64">
        <v>13.17</v>
      </c>
      <c r="N79" s="64">
        <v>85.3</v>
      </c>
      <c r="O79" s="64">
        <v>0</v>
      </c>
      <c r="P79" s="64">
        <v>0.7</v>
      </c>
      <c r="Q79" s="64">
        <v>8.99</v>
      </c>
      <c r="R79" s="198"/>
      <c r="S79" s="198"/>
      <c r="T79" s="198"/>
      <c r="U79" s="198"/>
    </row>
    <row r="80" spans="1:21" s="12" customFormat="1" x14ac:dyDescent="0.25">
      <c r="A80" s="247" t="s">
        <v>1467</v>
      </c>
      <c r="B80" s="64">
        <v>5.72</v>
      </c>
      <c r="C80" s="64">
        <v>75.62</v>
      </c>
      <c r="D80" s="64">
        <v>44.09</v>
      </c>
      <c r="E80" s="64">
        <v>9.17</v>
      </c>
      <c r="F80" s="64">
        <v>32.81</v>
      </c>
      <c r="G80" s="64">
        <v>37.78</v>
      </c>
      <c r="H80" s="64">
        <v>20.21</v>
      </c>
      <c r="I80" s="64">
        <v>3.93</v>
      </c>
      <c r="J80" s="64">
        <v>0.41</v>
      </c>
      <c r="K80" s="64">
        <v>269.20999999999998</v>
      </c>
      <c r="L80" s="64">
        <v>30.3</v>
      </c>
      <c r="M80" s="64">
        <v>14.03</v>
      </c>
      <c r="N80" s="64">
        <v>74.900000000000006</v>
      </c>
      <c r="O80" s="64">
        <v>0</v>
      </c>
      <c r="P80" s="64">
        <v>0.89</v>
      </c>
      <c r="Q80" s="64">
        <v>9</v>
      </c>
      <c r="R80" s="198"/>
      <c r="S80" s="198"/>
      <c r="T80" s="198"/>
      <c r="U80" s="198"/>
    </row>
    <row r="81" spans="1:26" s="12" customFormat="1" x14ac:dyDescent="0.25">
      <c r="A81" s="247" t="s">
        <v>1468</v>
      </c>
      <c r="B81" s="64">
        <v>20.7</v>
      </c>
      <c r="C81" s="64">
        <v>115.01</v>
      </c>
      <c r="D81" s="64">
        <v>76.69</v>
      </c>
      <c r="E81" s="64">
        <v>9.8699999999999992</v>
      </c>
      <c r="F81" s="64">
        <v>18.96</v>
      </c>
      <c r="G81" s="64">
        <v>56.79</v>
      </c>
      <c r="H81" s="64">
        <v>18.079999999999998</v>
      </c>
      <c r="I81" s="64">
        <v>4.0199999999999996</v>
      </c>
      <c r="J81" s="64">
        <v>0.69</v>
      </c>
      <c r="K81" s="64">
        <v>221.45</v>
      </c>
      <c r="L81" s="64">
        <v>29.31</v>
      </c>
      <c r="M81" s="64">
        <v>16.5</v>
      </c>
      <c r="N81" s="64">
        <v>67.8</v>
      </c>
      <c r="O81" s="64">
        <v>0</v>
      </c>
      <c r="P81" s="64">
        <v>1.28</v>
      </c>
      <c r="Q81" s="64">
        <v>9.0399999999999991</v>
      </c>
      <c r="R81" s="198"/>
      <c r="S81" s="198"/>
      <c r="T81" s="198"/>
      <c r="U81" s="198"/>
    </row>
    <row r="82" spans="1:26" s="12" customFormat="1" x14ac:dyDescent="0.25">
      <c r="A82" s="247" t="s">
        <v>1469</v>
      </c>
      <c r="B82" s="64">
        <v>30.52</v>
      </c>
      <c r="C82" s="64">
        <v>130.71</v>
      </c>
      <c r="D82" s="64">
        <v>92.77</v>
      </c>
      <c r="E82" s="64">
        <v>15.11</v>
      </c>
      <c r="F82" s="64">
        <v>10.55</v>
      </c>
      <c r="G82" s="64">
        <v>56.79</v>
      </c>
      <c r="H82" s="64">
        <v>18.079999999999998</v>
      </c>
      <c r="I82" s="64">
        <v>4.05</v>
      </c>
      <c r="J82" s="64">
        <v>0.81</v>
      </c>
      <c r="K82" s="64">
        <v>230.55</v>
      </c>
      <c r="L82" s="64">
        <v>28.35</v>
      </c>
      <c r="M82" s="64">
        <v>18.649999999999999</v>
      </c>
      <c r="N82" s="64">
        <v>65.8</v>
      </c>
      <c r="O82" s="64">
        <v>0</v>
      </c>
      <c r="P82" s="64">
        <v>1.07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47" t="s">
        <v>1470</v>
      </c>
      <c r="B83" s="64">
        <v>38.19</v>
      </c>
      <c r="C83" s="64">
        <v>124.71</v>
      </c>
      <c r="D83" s="64">
        <v>95.78</v>
      </c>
      <c r="E83" s="64">
        <v>14.41</v>
      </c>
      <c r="F83" s="64">
        <v>13.27</v>
      </c>
      <c r="G83" s="64">
        <v>56.79</v>
      </c>
      <c r="H83" s="64">
        <v>18.079999999999998</v>
      </c>
      <c r="I83" s="64">
        <v>3.97</v>
      </c>
      <c r="J83" s="64">
        <v>0.83</v>
      </c>
      <c r="K83" s="64">
        <v>225.72</v>
      </c>
      <c r="L83" s="64">
        <v>27.73</v>
      </c>
      <c r="M83" s="64">
        <v>19.25</v>
      </c>
      <c r="N83" s="64">
        <v>65.400000000000006</v>
      </c>
      <c r="O83" s="64">
        <v>0</v>
      </c>
      <c r="P83" s="64">
        <v>1.17</v>
      </c>
      <c r="Q83" s="64">
        <v>9.19</v>
      </c>
      <c r="R83" s="198"/>
      <c r="S83" s="198"/>
      <c r="T83" s="198"/>
      <c r="U83" s="198"/>
    </row>
    <row r="84" spans="1:26" s="12" customFormat="1" x14ac:dyDescent="0.25">
      <c r="A84" s="247" t="s">
        <v>1471</v>
      </c>
      <c r="B84" s="64">
        <v>79.31</v>
      </c>
      <c r="C84" s="64">
        <v>128.56</v>
      </c>
      <c r="D84" s="64">
        <v>130.77000000000001</v>
      </c>
      <c r="E84" s="64">
        <v>12.11</v>
      </c>
      <c r="F84" s="64">
        <v>9.93</v>
      </c>
      <c r="G84" s="64">
        <v>62.37</v>
      </c>
      <c r="H84" s="64">
        <v>19.190000000000001</v>
      </c>
      <c r="I84" s="64">
        <v>4.09</v>
      </c>
      <c r="J84" s="64">
        <v>0.31</v>
      </c>
      <c r="K84" s="64">
        <v>260.08</v>
      </c>
      <c r="L84" s="64">
        <v>27.02</v>
      </c>
      <c r="M84" s="64">
        <v>22.63</v>
      </c>
      <c r="N84" s="64">
        <v>65.7</v>
      </c>
      <c r="O84" s="64">
        <v>0</v>
      </c>
      <c r="P84" s="64">
        <v>1.88</v>
      </c>
      <c r="Q84" s="64">
        <v>9.33</v>
      </c>
      <c r="R84" s="198"/>
      <c r="S84" s="198"/>
      <c r="T84" s="198"/>
      <c r="U84" s="198"/>
    </row>
    <row r="85" spans="1:26" s="12" customFormat="1" x14ac:dyDescent="0.25">
      <c r="A85" s="247" t="s">
        <v>1472</v>
      </c>
      <c r="B85" s="64">
        <v>117.64</v>
      </c>
      <c r="C85" s="64">
        <v>133.51</v>
      </c>
      <c r="D85" s="64">
        <v>164.1</v>
      </c>
      <c r="E85" s="64">
        <v>9.84</v>
      </c>
      <c r="F85" s="64">
        <v>8.11</v>
      </c>
      <c r="G85" s="64">
        <v>77.7</v>
      </c>
      <c r="H85" s="64">
        <v>22.25</v>
      </c>
      <c r="I85" s="64">
        <v>3.75</v>
      </c>
      <c r="J85" s="64">
        <v>0.46</v>
      </c>
      <c r="K85" s="64">
        <v>353.96</v>
      </c>
      <c r="L85" s="64">
        <v>25.89</v>
      </c>
      <c r="M85" s="64">
        <v>26.57</v>
      </c>
      <c r="N85" s="64">
        <v>66</v>
      </c>
      <c r="O85" s="64">
        <v>0</v>
      </c>
      <c r="P85" s="64">
        <v>2.35</v>
      </c>
      <c r="Q85" s="64">
        <v>9.44</v>
      </c>
      <c r="R85" s="198"/>
      <c r="S85" s="198"/>
      <c r="T85" s="198"/>
      <c r="U85" s="198"/>
    </row>
    <row r="86" spans="1:26" s="12" customFormat="1" x14ac:dyDescent="0.25">
      <c r="A86" s="247" t="s">
        <v>1473</v>
      </c>
      <c r="B86" s="64">
        <v>91.66</v>
      </c>
      <c r="C86" s="64">
        <v>121.09</v>
      </c>
      <c r="D86" s="64">
        <v>136.77000000000001</v>
      </c>
      <c r="E86" s="64">
        <v>9.2899999999999991</v>
      </c>
      <c r="F86" s="64">
        <v>8.0399999999999991</v>
      </c>
      <c r="G86" s="64">
        <v>77.7</v>
      </c>
      <c r="H86" s="64">
        <v>22.25</v>
      </c>
      <c r="I86" s="64">
        <v>3.91</v>
      </c>
      <c r="J86" s="64">
        <v>0.19</v>
      </c>
      <c r="K86" s="64">
        <v>346.53</v>
      </c>
      <c r="L86" s="64">
        <v>25.19</v>
      </c>
      <c r="M86" s="64">
        <v>29.77</v>
      </c>
      <c r="N86" s="64">
        <v>65.599999999999994</v>
      </c>
      <c r="O86" s="64">
        <v>0</v>
      </c>
      <c r="P86" s="64">
        <v>2.34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47" t="s">
        <v>1474</v>
      </c>
      <c r="B87" s="64">
        <v>63.63</v>
      </c>
      <c r="C87" s="64">
        <v>116.01</v>
      </c>
      <c r="D87" s="64">
        <v>111.64</v>
      </c>
      <c r="E87" s="64">
        <v>9.2100000000000009</v>
      </c>
      <c r="F87" s="64">
        <v>9.1</v>
      </c>
      <c r="G87" s="64">
        <v>77.7</v>
      </c>
      <c r="H87" s="64">
        <v>22.25</v>
      </c>
      <c r="I87" s="64">
        <v>3.91</v>
      </c>
      <c r="J87" s="64">
        <v>0.55000000000000004</v>
      </c>
      <c r="K87" s="64">
        <v>323.27</v>
      </c>
      <c r="L87" s="64">
        <v>24.95</v>
      </c>
      <c r="M87" s="64">
        <v>28.25</v>
      </c>
      <c r="N87" s="64">
        <v>65.400000000000006</v>
      </c>
      <c r="O87" s="64">
        <v>0</v>
      </c>
      <c r="P87" s="64">
        <v>1.86</v>
      </c>
      <c r="Q87" s="64">
        <v>9.4700000000000006</v>
      </c>
      <c r="R87" s="198"/>
      <c r="S87" s="198"/>
      <c r="T87" s="198"/>
      <c r="U87" s="198"/>
    </row>
    <row r="88" spans="1:26" s="12" customFormat="1" x14ac:dyDescent="0.25">
      <c r="A88" s="247" t="s">
        <v>1475</v>
      </c>
      <c r="B88" s="64">
        <v>47.76</v>
      </c>
      <c r="C88" s="64">
        <v>119.77</v>
      </c>
      <c r="D88" s="64">
        <v>100.88</v>
      </c>
      <c r="E88" s="64">
        <v>8.6300000000000008</v>
      </c>
      <c r="F88" s="64">
        <v>8.82</v>
      </c>
      <c r="G88" s="64">
        <v>84.7</v>
      </c>
      <c r="H88" s="64">
        <v>20.170000000000002</v>
      </c>
      <c r="I88" s="64">
        <v>4.07</v>
      </c>
      <c r="J88" s="64">
        <v>0.44</v>
      </c>
      <c r="K88" s="64">
        <v>63.92</v>
      </c>
      <c r="L88" s="64">
        <v>24.49</v>
      </c>
      <c r="M88" s="64">
        <v>30.89</v>
      </c>
      <c r="N88" s="64">
        <v>65.599999999999994</v>
      </c>
      <c r="O88" s="64">
        <v>0</v>
      </c>
      <c r="P88" s="64">
        <v>2.0099999999999998</v>
      </c>
      <c r="Q88" s="64">
        <v>9.52</v>
      </c>
      <c r="R88" s="198"/>
      <c r="S88" s="198"/>
      <c r="T88" s="198"/>
      <c r="U88" s="198"/>
    </row>
    <row r="89" spans="1:26" s="12" customFormat="1" x14ac:dyDescent="0.25">
      <c r="A89" s="247" t="s">
        <v>1476</v>
      </c>
      <c r="B89" s="64">
        <v>77.010000000000005</v>
      </c>
      <c r="C89" s="64">
        <v>120.28</v>
      </c>
      <c r="D89" s="64">
        <v>124.6</v>
      </c>
      <c r="E89" s="64">
        <v>8.4499999999999993</v>
      </c>
      <c r="F89" s="64">
        <v>8.0299999999999994</v>
      </c>
      <c r="G89" s="64">
        <v>103.96</v>
      </c>
      <c r="H89" s="64">
        <v>14.46</v>
      </c>
      <c r="I89" s="64">
        <v>3.96</v>
      </c>
      <c r="J89" s="64">
        <v>0.19</v>
      </c>
      <c r="K89" s="64">
        <v>58.72</v>
      </c>
      <c r="L89" s="64">
        <v>24.05</v>
      </c>
      <c r="M89" s="64">
        <v>30.61</v>
      </c>
      <c r="N89" s="64">
        <v>65.400000000000006</v>
      </c>
      <c r="O89" s="64">
        <v>0</v>
      </c>
      <c r="P89" s="64">
        <v>2.2200000000000002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47" t="s">
        <v>1477</v>
      </c>
      <c r="B90" s="64">
        <v>120.61</v>
      </c>
      <c r="C90" s="64">
        <v>114.21</v>
      </c>
      <c r="D90" s="64">
        <v>156.38999999999999</v>
      </c>
      <c r="E90" s="64">
        <v>7.35</v>
      </c>
      <c r="F90" s="64">
        <v>8</v>
      </c>
      <c r="G90" s="64">
        <v>103.96</v>
      </c>
      <c r="H90" s="64">
        <v>14.46</v>
      </c>
      <c r="I90" s="64">
        <v>3.92</v>
      </c>
      <c r="J90" s="64">
        <v>0.11</v>
      </c>
      <c r="K90" s="64">
        <v>315.47000000000003</v>
      </c>
      <c r="L90" s="64">
        <v>24.17</v>
      </c>
      <c r="M90" s="64">
        <v>31.34</v>
      </c>
      <c r="N90" s="64">
        <v>65</v>
      </c>
      <c r="O90" s="64">
        <v>0</v>
      </c>
      <c r="P90" s="64">
        <v>2.12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47" t="s">
        <v>1478</v>
      </c>
      <c r="B91" s="64">
        <v>118.8</v>
      </c>
      <c r="C91" s="64">
        <v>132.72</v>
      </c>
      <c r="D91" s="64">
        <v>164.61</v>
      </c>
      <c r="E91" s="64">
        <v>8.75</v>
      </c>
      <c r="F91" s="64">
        <v>7.96</v>
      </c>
      <c r="G91" s="64">
        <v>103.96</v>
      </c>
      <c r="H91" s="64">
        <v>14.46</v>
      </c>
      <c r="I91" s="64">
        <v>3.9</v>
      </c>
      <c r="J91" s="64">
        <v>0.6</v>
      </c>
      <c r="K91" s="64">
        <v>126.88</v>
      </c>
      <c r="L91" s="64">
        <v>23.46</v>
      </c>
      <c r="M91" s="64">
        <v>32.22</v>
      </c>
      <c r="N91" s="64">
        <v>65.7</v>
      </c>
      <c r="O91" s="64">
        <v>0</v>
      </c>
      <c r="P91" s="64">
        <v>2.1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47" t="s">
        <v>1479</v>
      </c>
      <c r="B92" s="64">
        <v>130.94999999999999</v>
      </c>
      <c r="C92" s="64">
        <v>132.25</v>
      </c>
      <c r="D92" s="64">
        <v>174.11</v>
      </c>
      <c r="E92" s="64">
        <v>11.64</v>
      </c>
      <c r="F92" s="64">
        <v>9.68</v>
      </c>
      <c r="G92" s="64">
        <v>107.37</v>
      </c>
      <c r="H92" s="64">
        <v>13.19</v>
      </c>
      <c r="I92" s="64">
        <v>3.99</v>
      </c>
      <c r="J92" s="64">
        <v>0.11</v>
      </c>
      <c r="K92" s="64">
        <v>34.97</v>
      </c>
      <c r="L92" s="64">
        <v>23.19</v>
      </c>
      <c r="M92" s="64">
        <v>32.049999999999997</v>
      </c>
      <c r="N92" s="64">
        <v>65.5</v>
      </c>
      <c r="O92" s="64">
        <v>0</v>
      </c>
      <c r="P92" s="64">
        <v>1.95</v>
      </c>
      <c r="Q92" s="64">
        <v>9.57</v>
      </c>
      <c r="R92" s="198"/>
      <c r="S92" s="198"/>
      <c r="T92" s="198"/>
      <c r="U92" s="198"/>
    </row>
    <row r="93" spans="1:26" s="12" customFormat="1" x14ac:dyDescent="0.25">
      <c r="A93" s="247" t="s">
        <v>1480</v>
      </c>
      <c r="B93" s="64">
        <v>146.57</v>
      </c>
      <c r="C93" s="64">
        <v>132.29</v>
      </c>
      <c r="D93" s="64">
        <v>186.65</v>
      </c>
      <c r="E93" s="64">
        <v>10.38</v>
      </c>
      <c r="F93" s="64">
        <v>8.4700000000000006</v>
      </c>
      <c r="G93" s="64">
        <v>116.76</v>
      </c>
      <c r="H93" s="64">
        <v>9.69</v>
      </c>
      <c r="I93" s="64">
        <v>4.05</v>
      </c>
      <c r="J93" s="64">
        <v>0.17</v>
      </c>
      <c r="K93" s="64">
        <v>81.55</v>
      </c>
      <c r="L93" s="64">
        <v>22.61</v>
      </c>
      <c r="M93" s="64">
        <v>35.619999999999997</v>
      </c>
      <c r="N93" s="64">
        <v>65.7</v>
      </c>
      <c r="O93" s="64">
        <v>0</v>
      </c>
      <c r="P93" s="64">
        <v>2.62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47" t="s">
        <v>1481</v>
      </c>
      <c r="B94" s="64">
        <v>138.96</v>
      </c>
      <c r="C94" s="64">
        <v>126.35</v>
      </c>
      <c r="D94" s="64">
        <v>177.45</v>
      </c>
      <c r="E94" s="64">
        <v>10.08</v>
      </c>
      <c r="F94" s="64">
        <v>8.17</v>
      </c>
      <c r="G94" s="64">
        <v>116.76</v>
      </c>
      <c r="H94" s="64">
        <v>9.69</v>
      </c>
      <c r="I94" s="64">
        <v>3.96</v>
      </c>
      <c r="J94" s="64">
        <v>0.09</v>
      </c>
      <c r="K94" s="64">
        <v>82.76</v>
      </c>
      <c r="L94" s="64">
        <v>22.42</v>
      </c>
      <c r="M94" s="64">
        <v>36.96</v>
      </c>
      <c r="N94" s="64">
        <v>65.5</v>
      </c>
      <c r="O94" s="64">
        <v>0</v>
      </c>
      <c r="P94" s="64">
        <v>2.5299999999999998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47" t="s">
        <v>1482</v>
      </c>
      <c r="B95" s="64">
        <v>180.71</v>
      </c>
      <c r="C95" s="64">
        <v>125.07</v>
      </c>
      <c r="D95" s="64">
        <v>210.26</v>
      </c>
      <c r="E95" s="64">
        <v>10.039999999999999</v>
      </c>
      <c r="F95" s="64">
        <v>8.1199999999999992</v>
      </c>
      <c r="G95" s="64">
        <v>116.76</v>
      </c>
      <c r="H95" s="64">
        <v>9.69</v>
      </c>
      <c r="I95" s="64">
        <v>4.07</v>
      </c>
      <c r="J95" s="64">
        <v>0.15</v>
      </c>
      <c r="K95" s="64">
        <v>319.37</v>
      </c>
      <c r="L95" s="64">
        <v>22.34</v>
      </c>
      <c r="M95" s="64">
        <v>37.17</v>
      </c>
      <c r="N95" s="64">
        <v>65.3</v>
      </c>
      <c r="O95" s="64">
        <v>0</v>
      </c>
      <c r="P95" s="64">
        <v>2.69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47" t="s">
        <v>1483</v>
      </c>
      <c r="B96" s="64">
        <v>191.32</v>
      </c>
      <c r="C96" s="64">
        <v>131.62</v>
      </c>
      <c r="D96" s="64">
        <v>222.2</v>
      </c>
      <c r="E96" s="64">
        <v>10.029999999999999</v>
      </c>
      <c r="F96" s="64">
        <v>8.9</v>
      </c>
      <c r="G96" s="64">
        <v>122.86</v>
      </c>
      <c r="H96" s="64">
        <v>32.42</v>
      </c>
      <c r="I96" s="64">
        <v>3.95</v>
      </c>
      <c r="J96" s="64">
        <v>0.4</v>
      </c>
      <c r="K96" s="64">
        <v>55.78</v>
      </c>
      <c r="L96" s="64">
        <v>22.1</v>
      </c>
      <c r="M96" s="64">
        <v>39</v>
      </c>
      <c r="N96" s="64">
        <v>65.3</v>
      </c>
      <c r="O96" s="64">
        <v>0</v>
      </c>
      <c r="P96" s="64">
        <v>3.18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1484</v>
      </c>
      <c r="B97" s="64">
        <v>98.91</v>
      </c>
      <c r="C97" s="64">
        <v>111.13</v>
      </c>
      <c r="D97" s="64">
        <v>137.38</v>
      </c>
      <c r="E97" s="64">
        <v>8.99</v>
      </c>
      <c r="F97" s="64">
        <v>8.6300000000000008</v>
      </c>
      <c r="G97" s="64">
        <v>139.65</v>
      </c>
      <c r="H97" s="64">
        <v>94.94</v>
      </c>
      <c r="I97" s="64">
        <v>4.05</v>
      </c>
      <c r="J97" s="64">
        <v>0.12</v>
      </c>
      <c r="K97" s="64">
        <v>37.39</v>
      </c>
      <c r="L97" s="64">
        <v>22.55</v>
      </c>
      <c r="M97" s="64">
        <v>38.270000000000003</v>
      </c>
      <c r="N97" s="64">
        <v>65</v>
      </c>
      <c r="O97" s="64">
        <v>0</v>
      </c>
      <c r="P97" s="64">
        <v>2.15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47" t="s">
        <v>1485</v>
      </c>
      <c r="B98" s="64">
        <v>116.14</v>
      </c>
      <c r="C98" s="64">
        <v>104.33</v>
      </c>
      <c r="D98" s="64">
        <v>147.65</v>
      </c>
      <c r="E98" s="64">
        <v>7.81</v>
      </c>
      <c r="F98" s="64">
        <v>8.26</v>
      </c>
      <c r="G98" s="64">
        <v>139.65</v>
      </c>
      <c r="H98" s="64">
        <v>94.94</v>
      </c>
      <c r="I98" s="64">
        <v>4.07</v>
      </c>
      <c r="J98" s="64">
        <v>0.63</v>
      </c>
      <c r="K98" s="64">
        <v>243.49</v>
      </c>
      <c r="L98" s="64">
        <v>22.2</v>
      </c>
      <c r="M98" s="64">
        <v>39.93</v>
      </c>
      <c r="N98" s="64">
        <v>65.099999999999994</v>
      </c>
      <c r="O98" s="64">
        <v>0</v>
      </c>
      <c r="P98" s="64">
        <v>2.2200000000000002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47" t="s">
        <v>1486</v>
      </c>
      <c r="B99" s="64">
        <v>118.34</v>
      </c>
      <c r="C99" s="64">
        <v>99.23</v>
      </c>
      <c r="D99" s="64">
        <v>146.75</v>
      </c>
      <c r="E99" s="64">
        <v>6.79</v>
      </c>
      <c r="F99" s="64">
        <v>8.27</v>
      </c>
      <c r="G99" s="64">
        <v>139.65</v>
      </c>
      <c r="H99" s="64">
        <v>94.94</v>
      </c>
      <c r="I99" s="64">
        <v>3.9</v>
      </c>
      <c r="J99" s="64">
        <v>0.4</v>
      </c>
      <c r="K99" s="64">
        <v>227.18</v>
      </c>
      <c r="L99" s="64">
        <v>21.94</v>
      </c>
      <c r="M99" s="64">
        <v>41.12</v>
      </c>
      <c r="N99" s="64">
        <v>65.5</v>
      </c>
      <c r="O99" s="64">
        <v>0</v>
      </c>
      <c r="P99" s="64">
        <v>2.04</v>
      </c>
      <c r="Q99" s="64">
        <v>9.7799999999999994</v>
      </c>
      <c r="R99" s="198"/>
      <c r="S99" s="198"/>
      <c r="T99" s="198"/>
      <c r="U99" s="198"/>
    </row>
    <row r="100" spans="1:33" s="12" customFormat="1" x14ac:dyDescent="0.25">
      <c r="A100" s="247" t="s">
        <v>1487</v>
      </c>
      <c r="B100" s="64">
        <v>136.78</v>
      </c>
      <c r="C100" s="64">
        <v>105.44</v>
      </c>
      <c r="D100" s="64">
        <v>164.78</v>
      </c>
      <c r="E100" s="64">
        <v>7.23</v>
      </c>
      <c r="F100" s="64">
        <v>8.82</v>
      </c>
      <c r="G100" s="64">
        <v>139.61000000000001</v>
      </c>
      <c r="H100" s="64">
        <v>82.53</v>
      </c>
      <c r="I100" s="64">
        <v>4.05</v>
      </c>
      <c r="J100" s="64">
        <v>0.5</v>
      </c>
      <c r="K100" s="64">
        <v>279.85000000000002</v>
      </c>
      <c r="L100" s="64">
        <v>22.24</v>
      </c>
      <c r="M100" s="64">
        <v>40.97</v>
      </c>
      <c r="N100" s="64">
        <v>64.900000000000006</v>
      </c>
      <c r="O100" s="64">
        <v>0</v>
      </c>
      <c r="P100" s="64">
        <v>2.19</v>
      </c>
      <c r="Q100" s="64">
        <v>9.7799999999999994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1488</v>
      </c>
      <c r="B101" s="64">
        <v>159.15</v>
      </c>
      <c r="C101" s="64">
        <v>105.04</v>
      </c>
      <c r="D101" s="64">
        <v>182.51</v>
      </c>
      <c r="E101" s="64">
        <v>7.91</v>
      </c>
      <c r="F101" s="64">
        <v>8.9499999999999993</v>
      </c>
      <c r="G101" s="64">
        <v>139.49</v>
      </c>
      <c r="H101" s="64">
        <v>48.41</v>
      </c>
      <c r="I101" s="64">
        <v>3.92</v>
      </c>
      <c r="J101" s="64">
        <v>0.69</v>
      </c>
      <c r="K101" s="64">
        <v>345.42</v>
      </c>
      <c r="L101" s="64">
        <v>21.46</v>
      </c>
      <c r="M101" s="64">
        <v>44.69</v>
      </c>
      <c r="N101" s="64">
        <v>66</v>
      </c>
      <c r="O101" s="64">
        <v>0</v>
      </c>
      <c r="P101" s="64">
        <v>2.6</v>
      </c>
      <c r="Q101" s="64">
        <v>9.7799999999999994</v>
      </c>
      <c r="R101" s="198"/>
      <c r="S101" s="198"/>
      <c r="T101" s="198"/>
      <c r="U101" s="198"/>
    </row>
    <row r="102" spans="1:33" s="12" customFormat="1" x14ac:dyDescent="0.25">
      <c r="A102" s="247" t="s">
        <v>1489</v>
      </c>
      <c r="B102" s="64">
        <v>127.37</v>
      </c>
      <c r="C102" s="64">
        <v>101.07</v>
      </c>
      <c r="D102" s="64">
        <v>154.94999999999999</v>
      </c>
      <c r="E102" s="64">
        <v>6.95</v>
      </c>
      <c r="F102" s="64">
        <v>8.27</v>
      </c>
      <c r="G102" s="64">
        <v>139.49</v>
      </c>
      <c r="H102" s="64">
        <v>48.41</v>
      </c>
      <c r="I102" s="64">
        <v>3.99</v>
      </c>
      <c r="J102" s="64">
        <v>0.79</v>
      </c>
      <c r="K102" s="64">
        <v>219.44</v>
      </c>
      <c r="L102" s="64">
        <v>21.39</v>
      </c>
      <c r="M102" s="64">
        <v>41.88</v>
      </c>
      <c r="N102" s="64">
        <v>64</v>
      </c>
      <c r="O102" s="64">
        <v>0</v>
      </c>
      <c r="P102" s="64">
        <v>2.48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47" t="s">
        <v>1490</v>
      </c>
      <c r="B103" s="64">
        <v>97.99</v>
      </c>
      <c r="C103" s="64">
        <v>84.25</v>
      </c>
      <c r="D103" s="64">
        <v>122.59</v>
      </c>
      <c r="E103" s="64">
        <v>5.94</v>
      </c>
      <c r="F103" s="64">
        <v>8.66</v>
      </c>
      <c r="G103" s="64">
        <v>139.49</v>
      </c>
      <c r="H103" s="64">
        <v>48.41</v>
      </c>
      <c r="I103" s="64">
        <v>3.92</v>
      </c>
      <c r="J103" s="64">
        <v>0.75</v>
      </c>
      <c r="K103" s="64">
        <v>226.37</v>
      </c>
      <c r="L103" s="64">
        <v>22.08</v>
      </c>
      <c r="M103" s="64">
        <v>34.1</v>
      </c>
      <c r="N103" s="64">
        <v>64.900000000000006</v>
      </c>
      <c r="O103" s="64">
        <v>0</v>
      </c>
      <c r="P103" s="64">
        <v>2.06</v>
      </c>
      <c r="Q103" s="64">
        <v>9.8800000000000008</v>
      </c>
      <c r="R103" s="198"/>
      <c r="S103" s="198"/>
      <c r="T103" s="198"/>
      <c r="U103" s="198"/>
    </row>
    <row r="104" spans="1:33" s="12" customFormat="1" x14ac:dyDescent="0.25">
      <c r="A104" s="247" t="s">
        <v>1491</v>
      </c>
      <c r="B104" s="64">
        <v>89.09</v>
      </c>
      <c r="C104" s="64">
        <v>89.16</v>
      </c>
      <c r="D104" s="64">
        <v>118.03</v>
      </c>
      <c r="E104" s="64">
        <v>6.09</v>
      </c>
      <c r="F104" s="64">
        <v>9.86</v>
      </c>
      <c r="G104" s="64">
        <v>137.34</v>
      </c>
      <c r="H104" s="64">
        <v>46.79</v>
      </c>
      <c r="I104" s="64">
        <v>4.13</v>
      </c>
      <c r="J104" s="64">
        <v>0.43</v>
      </c>
      <c r="K104" s="64">
        <v>273.99</v>
      </c>
      <c r="L104" s="64">
        <v>21.36</v>
      </c>
      <c r="M104" s="64">
        <v>36.96</v>
      </c>
      <c r="N104" s="64">
        <v>65.900000000000006</v>
      </c>
      <c r="O104" s="64">
        <v>0</v>
      </c>
      <c r="P104" s="64">
        <v>2.0099999999999998</v>
      </c>
      <c r="Q104" s="64">
        <v>9.8800000000000008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</v>
      </c>
      <c r="C106" s="67">
        <f>MIN(C9:C104)</f>
        <v>54.46</v>
      </c>
      <c r="D106" s="67">
        <f t="shared" ref="D106:Q106" si="0">MIN(D9:D104)</f>
        <v>32.450000000000003</v>
      </c>
      <c r="E106" s="67">
        <f t="shared" si="0"/>
        <v>1.54</v>
      </c>
      <c r="F106" s="67">
        <f t="shared" si="0"/>
        <v>6.85</v>
      </c>
      <c r="G106" s="67">
        <f t="shared" si="0"/>
        <v>30.87</v>
      </c>
      <c r="H106" s="67">
        <f t="shared" si="0"/>
        <v>9.69</v>
      </c>
      <c r="I106" s="67">
        <f t="shared" si="0"/>
        <v>3.75</v>
      </c>
      <c r="J106" s="67">
        <f t="shared" si="0"/>
        <v>0.09</v>
      </c>
      <c r="K106" s="67">
        <f t="shared" si="0"/>
        <v>16.899999999999999</v>
      </c>
      <c r="L106" s="67">
        <f t="shared" si="0"/>
        <v>18.760000000000002</v>
      </c>
      <c r="M106" s="67">
        <f t="shared" si="0"/>
        <v>10.119999999999999</v>
      </c>
      <c r="N106" s="67">
        <f t="shared" si="0"/>
        <v>64</v>
      </c>
      <c r="O106" s="67">
        <f t="shared" si="0"/>
        <v>0</v>
      </c>
      <c r="P106" s="67">
        <f t="shared" si="0"/>
        <v>0.52</v>
      </c>
      <c r="Q106" s="67">
        <f t="shared" si="0"/>
        <v>8.93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191.32</v>
      </c>
      <c r="C107" s="66">
        <f t="shared" ref="C107:Q107" si="1">MAX(C9:C104)</f>
        <v>133.51</v>
      </c>
      <c r="D107" s="66">
        <f t="shared" si="1"/>
        <v>222.2</v>
      </c>
      <c r="E107" s="66">
        <f t="shared" si="1"/>
        <v>15.11</v>
      </c>
      <c r="F107" s="66">
        <f t="shared" si="1"/>
        <v>34.19</v>
      </c>
      <c r="G107" s="66">
        <f t="shared" si="1"/>
        <v>139.65</v>
      </c>
      <c r="H107" s="66">
        <f t="shared" si="1"/>
        <v>94.94</v>
      </c>
      <c r="I107" s="66">
        <f t="shared" si="1"/>
        <v>4.16</v>
      </c>
      <c r="J107" s="66">
        <f t="shared" si="1"/>
        <v>2.0099999999999998</v>
      </c>
      <c r="K107" s="66">
        <f t="shared" si="1"/>
        <v>358.64</v>
      </c>
      <c r="L107" s="66">
        <f t="shared" si="1"/>
        <v>35.51</v>
      </c>
      <c r="M107" s="66">
        <f t="shared" si="1"/>
        <v>49.13</v>
      </c>
      <c r="N107" s="66">
        <f t="shared" si="1"/>
        <v>725.1</v>
      </c>
      <c r="O107" s="66">
        <f t="shared" si="1"/>
        <v>0</v>
      </c>
      <c r="P107" s="66">
        <f t="shared" si="1"/>
        <v>3.18</v>
      </c>
      <c r="Q107" s="66">
        <f t="shared" si="1"/>
        <v>9.8800000000000008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47.852291666666666</v>
      </c>
      <c r="C108" s="67">
        <f t="shared" ref="C108:Q108" si="2">AVERAGE(C9:C104)</f>
        <v>82.08541666666666</v>
      </c>
      <c r="D108" s="67">
        <f t="shared" si="2"/>
        <v>81.261041666666671</v>
      </c>
      <c r="E108" s="67">
        <f t="shared" si="2"/>
        <v>5.682500000000001</v>
      </c>
      <c r="F108" s="67">
        <f t="shared" si="2"/>
        <v>12.439166666666663</v>
      </c>
      <c r="G108" s="67">
        <f t="shared" si="2"/>
        <v>86.759791666666615</v>
      </c>
      <c r="H108" s="67">
        <f t="shared" si="2"/>
        <v>31.00822916666667</v>
      </c>
      <c r="I108" s="67">
        <f t="shared" si="2"/>
        <v>3.9860416666666665</v>
      </c>
      <c r="J108" s="67">
        <f t="shared" si="2"/>
        <v>0.70989583333333295</v>
      </c>
      <c r="K108" s="67">
        <f t="shared" si="2"/>
        <v>244.35479166666656</v>
      </c>
      <c r="L108" s="67">
        <f t="shared" si="2"/>
        <v>26.015312499999997</v>
      </c>
      <c r="M108" s="67">
        <f t="shared" si="2"/>
        <v>31.39333333333332</v>
      </c>
      <c r="N108" s="67">
        <f t="shared" si="2"/>
        <v>244.87083333333342</v>
      </c>
      <c r="O108" s="67">
        <f t="shared" si="2"/>
        <v>0</v>
      </c>
      <c r="P108" s="67">
        <f t="shared" si="2"/>
        <v>1.3197916666666669</v>
      </c>
      <c r="Q108" s="67">
        <f t="shared" si="2"/>
        <v>9.5431250000000052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47.028263808036179</v>
      </c>
      <c r="C109" s="67">
        <f t="shared" ref="C109:Q109" si="3">STDEV(C9:C104)</f>
        <v>22.754434613090325</v>
      </c>
      <c r="D109" s="67">
        <f t="shared" si="3"/>
        <v>47.116362773550009</v>
      </c>
      <c r="E109" s="67">
        <f t="shared" si="3"/>
        <v>2.8345522249183293</v>
      </c>
      <c r="F109" s="67">
        <f t="shared" si="3"/>
        <v>5.6516182436475431</v>
      </c>
      <c r="G109" s="67">
        <f t="shared" si="3"/>
        <v>24.851581077698331</v>
      </c>
      <c r="H109" s="67">
        <f t="shared" si="3"/>
        <v>14.856446766146684</v>
      </c>
      <c r="I109" s="67">
        <f t="shared" si="3"/>
        <v>8.5734954692589363E-2</v>
      </c>
      <c r="J109" s="67">
        <f t="shared" si="3"/>
        <v>0.36458338095237836</v>
      </c>
      <c r="K109" s="67">
        <f t="shared" si="3"/>
        <v>74.343955702060072</v>
      </c>
      <c r="L109" s="67">
        <f t="shared" si="3"/>
        <v>5.8048092498919681</v>
      </c>
      <c r="M109" s="67">
        <f t="shared" si="3"/>
        <v>11.905631543775446</v>
      </c>
      <c r="N109" s="67">
        <f t="shared" si="3"/>
        <v>249.37349536986167</v>
      </c>
      <c r="O109" s="67">
        <f t="shared" si="3"/>
        <v>0</v>
      </c>
      <c r="P109" s="67">
        <f t="shared" si="3"/>
        <v>0.58924211656145431</v>
      </c>
      <c r="Q109" s="67">
        <f t="shared" si="3"/>
        <v>0.27274554364635795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1492</v>
      </c>
      <c r="B9" s="64">
        <v>80.260000000000005</v>
      </c>
      <c r="C9" s="64">
        <v>87.63</v>
      </c>
      <c r="D9" s="64">
        <v>110.14</v>
      </c>
      <c r="E9" s="64">
        <v>6.41</v>
      </c>
      <c r="F9" s="64">
        <v>10.78</v>
      </c>
      <c r="G9" s="64">
        <v>131.43</v>
      </c>
      <c r="H9" s="64">
        <v>42.32</v>
      </c>
      <c r="I9" s="64">
        <v>3.97</v>
      </c>
      <c r="J9" s="64">
        <v>0.31</v>
      </c>
      <c r="K9" s="64">
        <v>293.23</v>
      </c>
      <c r="L9" s="64">
        <v>20.97</v>
      </c>
      <c r="M9" s="64">
        <v>36.22</v>
      </c>
      <c r="N9" s="64">
        <v>65.2</v>
      </c>
      <c r="O9" s="64">
        <v>0</v>
      </c>
      <c r="P9" s="64">
        <v>2.13</v>
      </c>
      <c r="Q9" s="64">
        <v>9.89</v>
      </c>
      <c r="R9" s="198"/>
      <c r="S9" s="198"/>
      <c r="T9" s="198"/>
      <c r="U9" s="198"/>
    </row>
    <row r="10" spans="1:21" s="12" customFormat="1" x14ac:dyDescent="0.25">
      <c r="A10" s="247" t="s">
        <v>1493</v>
      </c>
      <c r="B10" s="64">
        <v>76.84</v>
      </c>
      <c r="C10" s="64">
        <v>88.85</v>
      </c>
      <c r="D10" s="64">
        <v>108.04</v>
      </c>
      <c r="E10" s="64">
        <v>6.83</v>
      </c>
      <c r="F10" s="64">
        <v>10.8</v>
      </c>
      <c r="G10" s="64">
        <v>131.43</v>
      </c>
      <c r="H10" s="64">
        <v>42.32</v>
      </c>
      <c r="I10" s="64">
        <v>4.1100000000000003</v>
      </c>
      <c r="J10" s="64">
        <v>0.34</v>
      </c>
      <c r="K10" s="64">
        <v>311.44</v>
      </c>
      <c r="L10" s="64">
        <v>21.03</v>
      </c>
      <c r="M10" s="64">
        <v>38.4</v>
      </c>
      <c r="N10" s="64">
        <v>65.5</v>
      </c>
      <c r="O10" s="64">
        <v>0</v>
      </c>
      <c r="P10" s="64">
        <v>2.16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47" t="s">
        <v>1494</v>
      </c>
      <c r="B11" s="64">
        <v>64.59</v>
      </c>
      <c r="C11" s="64">
        <v>91.95</v>
      </c>
      <c r="D11" s="64">
        <v>99.84</v>
      </c>
      <c r="E11" s="64">
        <v>6.88</v>
      </c>
      <c r="F11" s="64">
        <v>10.83</v>
      </c>
      <c r="G11" s="64">
        <v>131.43</v>
      </c>
      <c r="H11" s="64">
        <v>42.32</v>
      </c>
      <c r="I11" s="64">
        <v>4.1900000000000004</v>
      </c>
      <c r="J11" s="64">
        <v>0.52</v>
      </c>
      <c r="K11" s="64">
        <v>326.88</v>
      </c>
      <c r="L11" s="64">
        <v>20.51</v>
      </c>
      <c r="M11" s="64">
        <v>40.46</v>
      </c>
      <c r="N11" s="64">
        <v>65.8</v>
      </c>
      <c r="O11" s="64">
        <v>0</v>
      </c>
      <c r="P11" s="64">
        <v>2.29</v>
      </c>
      <c r="Q11" s="64">
        <v>9.86</v>
      </c>
      <c r="R11" s="198"/>
      <c r="S11" s="198"/>
      <c r="T11" s="198"/>
      <c r="U11" s="198"/>
    </row>
    <row r="12" spans="1:21" s="12" customFormat="1" x14ac:dyDescent="0.25">
      <c r="A12" s="247" t="s">
        <v>1495</v>
      </c>
      <c r="B12" s="64">
        <v>49.14</v>
      </c>
      <c r="C12" s="64">
        <v>89.94</v>
      </c>
      <c r="D12" s="64">
        <v>86.39</v>
      </c>
      <c r="E12" s="64">
        <v>8.1300000000000008</v>
      </c>
      <c r="F12" s="64">
        <v>16.13</v>
      </c>
      <c r="G12" s="64">
        <v>130.54</v>
      </c>
      <c r="H12" s="64">
        <v>40.15</v>
      </c>
      <c r="I12" s="64">
        <v>3.95</v>
      </c>
      <c r="J12" s="64">
        <v>0.66</v>
      </c>
      <c r="K12" s="64">
        <v>248.21</v>
      </c>
      <c r="L12" s="64">
        <v>20.47</v>
      </c>
      <c r="M12" s="64">
        <v>38.39</v>
      </c>
      <c r="N12" s="64">
        <v>65.3</v>
      </c>
      <c r="O12" s="64">
        <v>0</v>
      </c>
      <c r="P12" s="64">
        <v>2.59</v>
      </c>
      <c r="Q12" s="64">
        <v>9.81</v>
      </c>
      <c r="R12" s="198"/>
      <c r="S12" s="198"/>
      <c r="T12" s="198"/>
      <c r="U12" s="198"/>
    </row>
    <row r="13" spans="1:21" s="12" customFormat="1" x14ac:dyDescent="0.25">
      <c r="A13" s="247" t="s">
        <v>1496</v>
      </c>
      <c r="B13" s="64">
        <v>33.85</v>
      </c>
      <c r="C13" s="64">
        <v>76.599999999999994</v>
      </c>
      <c r="D13" s="64">
        <v>67.17</v>
      </c>
      <c r="E13" s="64">
        <v>11.62</v>
      </c>
      <c r="F13" s="64">
        <v>23.85</v>
      </c>
      <c r="G13" s="64">
        <v>128.08000000000001</v>
      </c>
      <c r="H13" s="64">
        <v>34.200000000000003</v>
      </c>
      <c r="I13" s="64">
        <v>4.0199999999999996</v>
      </c>
      <c r="J13" s="64">
        <v>0.28000000000000003</v>
      </c>
      <c r="K13" s="64">
        <v>263.36</v>
      </c>
      <c r="L13" s="64">
        <v>21.55</v>
      </c>
      <c r="M13" s="64">
        <v>32.57</v>
      </c>
      <c r="N13" s="64">
        <v>64.400000000000006</v>
      </c>
      <c r="O13" s="64">
        <v>0</v>
      </c>
      <c r="P13" s="64">
        <v>2.0299999999999998</v>
      </c>
      <c r="Q13" s="64">
        <v>9.83</v>
      </c>
      <c r="R13" s="198"/>
      <c r="S13" s="198"/>
      <c r="T13" s="198"/>
      <c r="U13" s="198"/>
    </row>
    <row r="14" spans="1:21" s="12" customFormat="1" x14ac:dyDescent="0.25">
      <c r="A14" s="247" t="s">
        <v>1497</v>
      </c>
      <c r="B14" s="64">
        <v>33.67</v>
      </c>
      <c r="C14" s="64">
        <v>69.75</v>
      </c>
      <c r="D14" s="64">
        <v>63.44</v>
      </c>
      <c r="E14" s="64">
        <v>11.15</v>
      </c>
      <c r="F14" s="64">
        <v>24.77</v>
      </c>
      <c r="G14" s="64">
        <v>128.08000000000001</v>
      </c>
      <c r="H14" s="64">
        <v>34.200000000000003</v>
      </c>
      <c r="I14" s="64">
        <v>3.93</v>
      </c>
      <c r="J14" s="64">
        <v>0.47</v>
      </c>
      <c r="K14" s="64">
        <v>263.83999999999997</v>
      </c>
      <c r="L14" s="64">
        <v>22.04</v>
      </c>
      <c r="M14" s="64">
        <v>31.63</v>
      </c>
      <c r="N14" s="64">
        <v>64.599999999999994</v>
      </c>
      <c r="O14" s="64">
        <v>0</v>
      </c>
      <c r="P14" s="64">
        <v>2.21</v>
      </c>
      <c r="Q14" s="64">
        <v>9.82</v>
      </c>
      <c r="R14" s="198"/>
      <c r="S14" s="198"/>
      <c r="T14" s="198"/>
      <c r="U14" s="198"/>
    </row>
    <row r="15" spans="1:21" s="12" customFormat="1" x14ac:dyDescent="0.25">
      <c r="A15" s="247" t="s">
        <v>1498</v>
      </c>
      <c r="B15" s="64">
        <v>31.34</v>
      </c>
      <c r="C15" s="64">
        <v>69.239999999999995</v>
      </c>
      <c r="D15" s="64">
        <v>61.31</v>
      </c>
      <c r="E15" s="64">
        <v>10.16</v>
      </c>
      <c r="F15" s="64">
        <v>24.52</v>
      </c>
      <c r="G15" s="64">
        <v>128.08000000000001</v>
      </c>
      <c r="H15" s="64">
        <v>34.200000000000003</v>
      </c>
      <c r="I15" s="64">
        <v>4.0999999999999996</v>
      </c>
      <c r="J15" s="64">
        <v>0.43</v>
      </c>
      <c r="K15" s="64">
        <v>247.19</v>
      </c>
      <c r="L15" s="64">
        <v>22.1</v>
      </c>
      <c r="M15" s="64">
        <v>33.96</v>
      </c>
      <c r="N15" s="64">
        <v>65.099999999999994</v>
      </c>
      <c r="O15" s="64">
        <v>0</v>
      </c>
      <c r="P15" s="64">
        <v>2.37</v>
      </c>
      <c r="Q15" s="64">
        <v>9.82</v>
      </c>
      <c r="R15" s="198"/>
      <c r="S15" s="198"/>
      <c r="T15" s="198"/>
      <c r="U15" s="198"/>
    </row>
    <row r="16" spans="1:21" s="12" customFormat="1" x14ac:dyDescent="0.25">
      <c r="A16" s="247" t="s">
        <v>1499</v>
      </c>
      <c r="B16" s="64">
        <v>32.299999999999997</v>
      </c>
      <c r="C16" s="64">
        <v>74.8</v>
      </c>
      <c r="D16" s="64">
        <v>64.98</v>
      </c>
      <c r="E16" s="64">
        <v>10.83</v>
      </c>
      <c r="F16" s="64">
        <v>19.559999999999999</v>
      </c>
      <c r="G16" s="64">
        <v>123.43</v>
      </c>
      <c r="H16" s="64">
        <v>27.61</v>
      </c>
      <c r="I16" s="64">
        <v>4.0599999999999996</v>
      </c>
      <c r="J16" s="64">
        <v>0.43</v>
      </c>
      <c r="K16" s="64">
        <v>302.14999999999998</v>
      </c>
      <c r="L16" s="64">
        <v>22.06</v>
      </c>
      <c r="M16" s="64">
        <v>36.72</v>
      </c>
      <c r="N16" s="64">
        <v>65.8</v>
      </c>
      <c r="O16" s="64">
        <v>0</v>
      </c>
      <c r="P16" s="64">
        <v>2.33</v>
      </c>
      <c r="Q16" s="64">
        <v>9.82</v>
      </c>
      <c r="R16" s="198"/>
      <c r="S16" s="198"/>
      <c r="T16" s="198"/>
      <c r="U16" s="198"/>
    </row>
    <row r="17" spans="1:21" s="12" customFormat="1" x14ac:dyDescent="0.25">
      <c r="A17" s="247" t="s">
        <v>1500</v>
      </c>
      <c r="B17" s="64">
        <v>26.42</v>
      </c>
      <c r="C17" s="64">
        <v>76.89</v>
      </c>
      <c r="D17" s="64">
        <v>61.36</v>
      </c>
      <c r="E17" s="64">
        <v>12.45</v>
      </c>
      <c r="F17" s="64">
        <v>20.97</v>
      </c>
      <c r="G17" s="64">
        <v>109.87</v>
      </c>
      <c r="H17" s="64">
        <v>2.74</v>
      </c>
      <c r="I17" s="64">
        <v>3.92</v>
      </c>
      <c r="J17" s="64">
        <v>0.32</v>
      </c>
      <c r="K17" s="64">
        <v>282.89</v>
      </c>
      <c r="L17" s="64">
        <v>21.57</v>
      </c>
      <c r="M17" s="64">
        <v>36.76</v>
      </c>
      <c r="N17" s="64">
        <v>65.7</v>
      </c>
      <c r="O17" s="64">
        <v>0</v>
      </c>
      <c r="P17" s="64">
        <v>2.42</v>
      </c>
      <c r="Q17" s="64">
        <v>9.8000000000000007</v>
      </c>
      <c r="R17" s="198"/>
      <c r="S17" s="198"/>
      <c r="T17" s="198"/>
      <c r="U17" s="198"/>
    </row>
    <row r="18" spans="1:21" s="12" customFormat="1" x14ac:dyDescent="0.25">
      <c r="A18" s="247" t="s">
        <v>1501</v>
      </c>
      <c r="B18" s="64">
        <v>26.86</v>
      </c>
      <c r="C18" s="64">
        <v>71.040000000000006</v>
      </c>
      <c r="D18" s="64">
        <v>58.66</v>
      </c>
      <c r="E18" s="64">
        <v>11.29</v>
      </c>
      <c r="F18" s="64">
        <v>20.27</v>
      </c>
      <c r="G18" s="64">
        <v>109.87</v>
      </c>
      <c r="H18" s="64">
        <v>2.74</v>
      </c>
      <c r="I18" s="64">
        <v>4.09</v>
      </c>
      <c r="J18" s="64">
        <v>0.25</v>
      </c>
      <c r="K18" s="64">
        <v>73.66</v>
      </c>
      <c r="L18" s="64">
        <v>21.34</v>
      </c>
      <c r="M18" s="64">
        <v>39.03</v>
      </c>
      <c r="N18" s="64">
        <v>65.900000000000006</v>
      </c>
      <c r="O18" s="64">
        <v>0</v>
      </c>
      <c r="P18" s="64">
        <v>2.4300000000000002</v>
      </c>
      <c r="Q18" s="64">
        <v>9.77</v>
      </c>
      <c r="R18" s="198"/>
      <c r="S18" s="198"/>
      <c r="T18" s="198"/>
      <c r="U18" s="198"/>
    </row>
    <row r="19" spans="1:21" s="12" customFormat="1" x14ac:dyDescent="0.25">
      <c r="A19" s="247" t="s">
        <v>1502</v>
      </c>
      <c r="B19" s="64">
        <v>28.93</v>
      </c>
      <c r="C19" s="64">
        <v>70.81</v>
      </c>
      <c r="D19" s="64">
        <v>60.19</v>
      </c>
      <c r="E19" s="64">
        <v>12.19</v>
      </c>
      <c r="F19" s="64">
        <v>17.43</v>
      </c>
      <c r="G19" s="64">
        <v>109.87</v>
      </c>
      <c r="H19" s="64">
        <v>2.74</v>
      </c>
      <c r="I19" s="64">
        <v>3.73</v>
      </c>
      <c r="J19" s="64">
        <v>0.44</v>
      </c>
      <c r="K19" s="64">
        <v>152.88</v>
      </c>
      <c r="L19" s="64">
        <v>21.29</v>
      </c>
      <c r="M19" s="64">
        <v>38.5</v>
      </c>
      <c r="N19" s="64">
        <v>65.900000000000006</v>
      </c>
      <c r="O19" s="64">
        <v>0</v>
      </c>
      <c r="P19" s="64">
        <v>2.25</v>
      </c>
      <c r="Q19" s="64">
        <v>9.75</v>
      </c>
      <c r="R19" s="198"/>
      <c r="S19" s="198"/>
      <c r="T19" s="198"/>
      <c r="U19" s="198"/>
    </row>
    <row r="20" spans="1:21" s="12" customFormat="1" x14ac:dyDescent="0.25">
      <c r="A20" s="247" t="s">
        <v>1503</v>
      </c>
      <c r="B20" s="64">
        <v>43.21</v>
      </c>
      <c r="C20" s="64">
        <v>71.680000000000007</v>
      </c>
      <c r="D20" s="64">
        <v>72.099999999999994</v>
      </c>
      <c r="E20" s="64">
        <v>7.56</v>
      </c>
      <c r="F20" s="64">
        <v>12.8</v>
      </c>
      <c r="G20" s="64">
        <v>105.31</v>
      </c>
      <c r="H20" s="64">
        <v>36.96</v>
      </c>
      <c r="I20" s="64">
        <v>3.91</v>
      </c>
      <c r="J20" s="64">
        <v>0.39</v>
      </c>
      <c r="K20" s="64">
        <v>235.11</v>
      </c>
      <c r="L20" s="64">
        <v>20.92</v>
      </c>
      <c r="M20" s="64">
        <v>41.4</v>
      </c>
      <c r="N20" s="64">
        <v>65.900000000000006</v>
      </c>
      <c r="O20" s="64">
        <v>0</v>
      </c>
      <c r="P20" s="64">
        <v>2.2200000000000002</v>
      </c>
      <c r="Q20" s="64">
        <v>9.75</v>
      </c>
      <c r="R20" s="198"/>
      <c r="S20" s="198"/>
      <c r="T20" s="198"/>
      <c r="U20" s="198"/>
    </row>
    <row r="21" spans="1:21" s="12" customFormat="1" x14ac:dyDescent="0.25">
      <c r="A21" s="247" t="s">
        <v>1504</v>
      </c>
      <c r="B21" s="64">
        <v>44.96</v>
      </c>
      <c r="C21" s="64">
        <v>71.510000000000005</v>
      </c>
      <c r="D21" s="64">
        <v>73.41</v>
      </c>
      <c r="E21" s="64">
        <v>4.5999999999999996</v>
      </c>
      <c r="F21" s="64">
        <v>9.39</v>
      </c>
      <c r="G21" s="64">
        <v>92.8</v>
      </c>
      <c r="H21" s="211" t="s">
        <v>42</v>
      </c>
      <c r="I21" s="64">
        <v>3.99</v>
      </c>
      <c r="J21" s="64">
        <v>0.62</v>
      </c>
      <c r="K21" s="64">
        <v>242.01</v>
      </c>
      <c r="L21" s="64">
        <v>20.49</v>
      </c>
      <c r="M21" s="64">
        <v>44.59</v>
      </c>
      <c r="N21" s="64">
        <v>65.900000000000006</v>
      </c>
      <c r="O21" s="64">
        <v>0</v>
      </c>
      <c r="P21" s="64">
        <v>2.2200000000000002</v>
      </c>
      <c r="Q21" s="64">
        <v>9.74</v>
      </c>
      <c r="R21" s="198"/>
      <c r="S21" s="198"/>
      <c r="T21" s="198"/>
      <c r="U21" s="198"/>
    </row>
    <row r="22" spans="1:21" s="12" customFormat="1" x14ac:dyDescent="0.25">
      <c r="A22" s="247" t="s">
        <v>1505</v>
      </c>
      <c r="B22" s="64">
        <v>41.6</v>
      </c>
      <c r="C22" s="64">
        <v>69.569999999999993</v>
      </c>
      <c r="D22" s="64">
        <v>69.709999999999994</v>
      </c>
      <c r="E22" s="64">
        <v>5.12</v>
      </c>
      <c r="F22" s="64">
        <v>9.68</v>
      </c>
      <c r="G22" s="64">
        <v>92.8</v>
      </c>
      <c r="H22" s="211" t="s">
        <v>42</v>
      </c>
      <c r="I22" s="64">
        <v>3.97</v>
      </c>
      <c r="J22" s="64">
        <v>0.89</v>
      </c>
      <c r="K22" s="64">
        <v>214.72</v>
      </c>
      <c r="L22" s="64">
        <v>20.93</v>
      </c>
      <c r="M22" s="64">
        <v>40.61</v>
      </c>
      <c r="N22" s="64">
        <v>64.8</v>
      </c>
      <c r="O22" s="64">
        <v>0</v>
      </c>
      <c r="P22" s="64">
        <v>2.27</v>
      </c>
      <c r="Q22" s="64">
        <v>9.7100000000000009</v>
      </c>
      <c r="R22" s="198"/>
      <c r="S22" s="198"/>
      <c r="T22" s="198"/>
      <c r="U22" s="198"/>
    </row>
    <row r="23" spans="1:21" s="12" customFormat="1" x14ac:dyDescent="0.25">
      <c r="A23" s="247" t="s">
        <v>1506</v>
      </c>
      <c r="B23" s="64">
        <v>38.83</v>
      </c>
      <c r="C23" s="64">
        <v>66.67</v>
      </c>
      <c r="D23" s="64">
        <v>65.97</v>
      </c>
      <c r="E23" s="64">
        <v>4.7699999999999996</v>
      </c>
      <c r="F23" s="64">
        <v>11.8</v>
      </c>
      <c r="G23" s="64">
        <v>92.8</v>
      </c>
      <c r="H23" s="211" t="s">
        <v>42</v>
      </c>
      <c r="I23" s="64">
        <v>4.0599999999999996</v>
      </c>
      <c r="J23" s="64">
        <v>0.8</v>
      </c>
      <c r="K23" s="64">
        <v>213.6</v>
      </c>
      <c r="L23" s="64">
        <v>21.28</v>
      </c>
      <c r="M23" s="64">
        <v>39.21</v>
      </c>
      <c r="N23" s="64">
        <v>65.400000000000006</v>
      </c>
      <c r="O23" s="64">
        <v>0</v>
      </c>
      <c r="P23" s="64">
        <v>2.15</v>
      </c>
      <c r="Q23" s="64">
        <v>9.69</v>
      </c>
      <c r="R23" s="198"/>
      <c r="S23" s="198"/>
      <c r="T23" s="198"/>
      <c r="U23" s="198"/>
    </row>
    <row r="24" spans="1:21" s="12" customFormat="1" x14ac:dyDescent="0.25">
      <c r="A24" s="247" t="s">
        <v>1507</v>
      </c>
      <c r="B24" s="64">
        <v>40.07</v>
      </c>
      <c r="C24" s="64">
        <v>69.319999999999993</v>
      </c>
      <c r="D24" s="64">
        <v>68.349999999999994</v>
      </c>
      <c r="E24" s="64">
        <v>4.71</v>
      </c>
      <c r="F24" s="64">
        <v>8.01</v>
      </c>
      <c r="G24" s="64">
        <v>93.43</v>
      </c>
      <c r="H24" s="211" t="s">
        <v>42</v>
      </c>
      <c r="I24" s="64">
        <v>3.89</v>
      </c>
      <c r="J24" s="64">
        <v>0.68</v>
      </c>
      <c r="K24" s="64">
        <v>270.27</v>
      </c>
      <c r="L24" s="64">
        <v>20.81</v>
      </c>
      <c r="M24" s="64">
        <v>43.13</v>
      </c>
      <c r="N24" s="64">
        <v>66.2</v>
      </c>
      <c r="O24" s="64">
        <v>0</v>
      </c>
      <c r="P24" s="64">
        <v>2.17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47" t="s">
        <v>1508</v>
      </c>
      <c r="B25" s="64">
        <v>39.270000000000003</v>
      </c>
      <c r="C25" s="64">
        <v>68.34</v>
      </c>
      <c r="D25" s="64">
        <v>67.19</v>
      </c>
      <c r="E25" s="64">
        <v>3.5</v>
      </c>
      <c r="F25" s="64">
        <v>8.4</v>
      </c>
      <c r="G25" s="64">
        <v>95.29</v>
      </c>
      <c r="H25" s="64">
        <v>52.45</v>
      </c>
      <c r="I25" s="64">
        <v>3.98</v>
      </c>
      <c r="J25" s="64">
        <v>0.87</v>
      </c>
      <c r="K25" s="64">
        <v>210.4</v>
      </c>
      <c r="L25" s="64">
        <v>20.45</v>
      </c>
      <c r="M25" s="64">
        <v>43.16</v>
      </c>
      <c r="N25" s="64">
        <v>65</v>
      </c>
      <c r="O25" s="64">
        <v>0</v>
      </c>
      <c r="P25" s="64">
        <v>2.1800000000000002</v>
      </c>
      <c r="Q25" s="64">
        <v>9.69</v>
      </c>
      <c r="R25" s="198"/>
      <c r="S25" s="198"/>
      <c r="T25" s="198"/>
      <c r="U25" s="198"/>
    </row>
    <row r="26" spans="1:21" s="12" customFormat="1" x14ac:dyDescent="0.25">
      <c r="A26" s="247" t="s">
        <v>1509</v>
      </c>
      <c r="B26" s="64">
        <v>35.11</v>
      </c>
      <c r="C26" s="64">
        <v>68.38</v>
      </c>
      <c r="D26" s="64">
        <v>63.88</v>
      </c>
      <c r="E26" s="64">
        <v>3.95</v>
      </c>
      <c r="F26" s="64">
        <v>11.27</v>
      </c>
      <c r="G26" s="64">
        <v>95.29</v>
      </c>
      <c r="H26" s="64">
        <v>52.45</v>
      </c>
      <c r="I26" s="64">
        <v>3.97</v>
      </c>
      <c r="J26" s="64">
        <v>0.28999999999999998</v>
      </c>
      <c r="K26" s="64">
        <v>291.24</v>
      </c>
      <c r="L26" s="64">
        <v>20.68</v>
      </c>
      <c r="M26" s="64">
        <v>42.51</v>
      </c>
      <c r="N26" s="64">
        <v>65.8</v>
      </c>
      <c r="O26" s="64">
        <v>0</v>
      </c>
      <c r="P26" s="64">
        <v>1.96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47" t="s">
        <v>1510</v>
      </c>
      <c r="B27" s="64">
        <v>32.619999999999997</v>
      </c>
      <c r="C27" s="64">
        <v>68</v>
      </c>
      <c r="D27" s="64">
        <v>61.69</v>
      </c>
      <c r="E27" s="64">
        <v>3.51</v>
      </c>
      <c r="F27" s="64">
        <v>9.86</v>
      </c>
      <c r="G27" s="64">
        <v>95.29</v>
      </c>
      <c r="H27" s="64">
        <v>52.45</v>
      </c>
      <c r="I27" s="64">
        <v>4.07</v>
      </c>
      <c r="J27" s="64">
        <v>0.67</v>
      </c>
      <c r="K27" s="64">
        <v>213.26</v>
      </c>
      <c r="L27" s="64">
        <v>20.28</v>
      </c>
      <c r="M27" s="64">
        <v>43.23</v>
      </c>
      <c r="N27" s="64">
        <v>65.599999999999994</v>
      </c>
      <c r="O27" s="64">
        <v>0</v>
      </c>
      <c r="P27" s="64">
        <v>2.0099999999999998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47" t="s">
        <v>1511</v>
      </c>
      <c r="B28" s="64">
        <v>30.9</v>
      </c>
      <c r="C28" s="64">
        <v>65.11</v>
      </c>
      <c r="D28" s="64">
        <v>58.8</v>
      </c>
      <c r="E28" s="64">
        <v>3.43</v>
      </c>
      <c r="F28" s="64">
        <v>10.19</v>
      </c>
      <c r="G28" s="64">
        <v>92.7</v>
      </c>
      <c r="H28" s="64">
        <v>48.69</v>
      </c>
      <c r="I28" s="64">
        <v>3.82</v>
      </c>
      <c r="J28" s="64">
        <v>0.57999999999999996</v>
      </c>
      <c r="K28" s="64">
        <v>264.2</v>
      </c>
      <c r="L28" s="64">
        <v>20.23</v>
      </c>
      <c r="M28" s="64">
        <v>41.76</v>
      </c>
      <c r="N28" s="64">
        <v>65.8</v>
      </c>
      <c r="O28" s="64">
        <v>0</v>
      </c>
      <c r="P28" s="64">
        <v>1.98</v>
      </c>
      <c r="Q28" s="64">
        <v>9.67</v>
      </c>
      <c r="R28" s="198"/>
      <c r="S28" s="198"/>
      <c r="T28" s="198"/>
      <c r="U28" s="198"/>
    </row>
    <row r="29" spans="1:21" s="12" customFormat="1" x14ac:dyDescent="0.25">
      <c r="A29" s="247" t="s">
        <v>1512</v>
      </c>
      <c r="B29" s="64">
        <v>31.83</v>
      </c>
      <c r="C29" s="64">
        <v>69.45</v>
      </c>
      <c r="D29" s="64">
        <v>61.81</v>
      </c>
      <c r="E29" s="64">
        <v>3.38</v>
      </c>
      <c r="F29" s="64">
        <v>7.98</v>
      </c>
      <c r="G29" s="64">
        <v>85.58</v>
      </c>
      <c r="H29" s="64">
        <v>38.340000000000003</v>
      </c>
      <c r="I29" s="64">
        <v>4</v>
      </c>
      <c r="J29" s="64">
        <v>0.59</v>
      </c>
      <c r="K29" s="64">
        <v>274.24</v>
      </c>
      <c r="L29" s="64">
        <v>19.829999999999998</v>
      </c>
      <c r="M29" s="64">
        <v>42.99</v>
      </c>
      <c r="N29" s="64">
        <v>65.7</v>
      </c>
      <c r="O29" s="64">
        <v>0</v>
      </c>
      <c r="P29" s="64">
        <v>1.98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47" t="s">
        <v>1513</v>
      </c>
      <c r="B30" s="64">
        <v>22.56</v>
      </c>
      <c r="C30" s="64">
        <v>61.41</v>
      </c>
      <c r="D30" s="64">
        <v>50.18</v>
      </c>
      <c r="E30" s="64">
        <v>3.86</v>
      </c>
      <c r="F30" s="64">
        <v>16.850000000000001</v>
      </c>
      <c r="G30" s="64">
        <v>85.58</v>
      </c>
      <c r="H30" s="64">
        <v>38.340000000000003</v>
      </c>
      <c r="I30" s="64">
        <v>3.98</v>
      </c>
      <c r="J30" s="64">
        <v>0.49</v>
      </c>
      <c r="K30" s="64">
        <v>221.81</v>
      </c>
      <c r="L30" s="64">
        <v>19.95</v>
      </c>
      <c r="M30" s="64">
        <v>42.69</v>
      </c>
      <c r="N30" s="64">
        <v>65.5</v>
      </c>
      <c r="O30" s="64">
        <v>0</v>
      </c>
      <c r="P30" s="64">
        <v>1.71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47" t="s">
        <v>1514</v>
      </c>
      <c r="B31" s="64">
        <v>29.51</v>
      </c>
      <c r="C31" s="64">
        <v>68.510000000000005</v>
      </c>
      <c r="D31" s="64">
        <v>59.46</v>
      </c>
      <c r="E31" s="64">
        <v>4.95</v>
      </c>
      <c r="F31" s="64">
        <v>14.06</v>
      </c>
      <c r="G31" s="64">
        <v>85.58</v>
      </c>
      <c r="H31" s="64">
        <v>38.340000000000003</v>
      </c>
      <c r="I31" s="64">
        <v>3.87</v>
      </c>
      <c r="J31" s="64">
        <v>0.55000000000000004</v>
      </c>
      <c r="K31" s="64">
        <v>243.51</v>
      </c>
      <c r="L31" s="64">
        <v>19.63</v>
      </c>
      <c r="M31" s="64">
        <v>44.84</v>
      </c>
      <c r="N31" s="64">
        <v>65.8</v>
      </c>
      <c r="O31" s="64">
        <v>0</v>
      </c>
      <c r="P31" s="64">
        <v>1.74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47" t="s">
        <v>1515</v>
      </c>
      <c r="B32" s="64">
        <v>21.22</v>
      </c>
      <c r="C32" s="64">
        <v>63.07</v>
      </c>
      <c r="D32" s="64">
        <v>49.97</v>
      </c>
      <c r="E32" s="64">
        <v>4.47</v>
      </c>
      <c r="F32" s="64">
        <v>14.04</v>
      </c>
      <c r="G32" s="64">
        <v>83.86</v>
      </c>
      <c r="H32" s="64">
        <v>36.5</v>
      </c>
      <c r="I32" s="64">
        <v>3.96</v>
      </c>
      <c r="J32" s="64">
        <v>0.65</v>
      </c>
      <c r="K32" s="64">
        <v>229.42</v>
      </c>
      <c r="L32" s="64">
        <v>19.23</v>
      </c>
      <c r="M32" s="64">
        <v>48.41</v>
      </c>
      <c r="N32" s="64">
        <v>66.2</v>
      </c>
      <c r="O32" s="64">
        <v>0</v>
      </c>
      <c r="P32" s="64">
        <v>1.7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47" t="s">
        <v>1516</v>
      </c>
      <c r="B33" s="64">
        <v>20.18</v>
      </c>
      <c r="C33" s="64">
        <v>58.87</v>
      </c>
      <c r="D33" s="64">
        <v>46.95</v>
      </c>
      <c r="E33" s="64">
        <v>4.92</v>
      </c>
      <c r="F33" s="64">
        <v>16.7</v>
      </c>
      <c r="G33" s="64">
        <v>79.13</v>
      </c>
      <c r="H33" s="64">
        <v>31.46</v>
      </c>
      <c r="I33" s="64">
        <v>3.99</v>
      </c>
      <c r="J33" s="64">
        <v>0.76</v>
      </c>
      <c r="K33" s="64">
        <v>226.61</v>
      </c>
      <c r="L33" s="64">
        <v>19.45</v>
      </c>
      <c r="M33" s="64">
        <v>45.95</v>
      </c>
      <c r="N33" s="64">
        <v>68.3</v>
      </c>
      <c r="O33" s="64">
        <v>0</v>
      </c>
      <c r="P33" s="64">
        <v>1.7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47" t="s">
        <v>1517</v>
      </c>
      <c r="B34" s="64">
        <v>19.71</v>
      </c>
      <c r="C34" s="64">
        <v>56.97</v>
      </c>
      <c r="D34" s="64">
        <v>45.57</v>
      </c>
      <c r="E34" s="64">
        <v>4.9000000000000004</v>
      </c>
      <c r="F34" s="64">
        <v>16.59</v>
      </c>
      <c r="G34" s="64">
        <v>79.13</v>
      </c>
      <c r="H34" s="64">
        <v>31.46</v>
      </c>
      <c r="I34" s="64">
        <v>4.0199999999999996</v>
      </c>
      <c r="J34" s="64">
        <v>0.76</v>
      </c>
      <c r="K34" s="64">
        <v>235.45</v>
      </c>
      <c r="L34" s="64">
        <v>19.59</v>
      </c>
      <c r="M34" s="64">
        <v>45.98</v>
      </c>
      <c r="N34" s="64">
        <v>77.599999999999994</v>
      </c>
      <c r="O34" s="64">
        <v>0</v>
      </c>
      <c r="P34" s="64">
        <v>1.65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47" t="s">
        <v>1518</v>
      </c>
      <c r="B35" s="64">
        <v>19.149999999999999</v>
      </c>
      <c r="C35" s="64">
        <v>57.68</v>
      </c>
      <c r="D35" s="64">
        <v>45.49</v>
      </c>
      <c r="E35" s="64">
        <v>4.9000000000000004</v>
      </c>
      <c r="F35" s="64">
        <v>15.41</v>
      </c>
      <c r="G35" s="64">
        <v>79.13</v>
      </c>
      <c r="H35" s="64">
        <v>31.46</v>
      </c>
      <c r="I35" s="64">
        <v>4.03</v>
      </c>
      <c r="J35" s="64">
        <v>0.76</v>
      </c>
      <c r="K35" s="64">
        <v>203.07</v>
      </c>
      <c r="L35" s="64">
        <v>19.68</v>
      </c>
      <c r="M35" s="64">
        <v>47.45</v>
      </c>
      <c r="N35" s="64">
        <v>96.6</v>
      </c>
      <c r="O35" s="64">
        <v>0</v>
      </c>
      <c r="P35" s="64">
        <v>1.61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47" t="s">
        <v>1519</v>
      </c>
      <c r="B36" s="64">
        <v>19.32</v>
      </c>
      <c r="C36" s="64">
        <v>60.42</v>
      </c>
      <c r="D36" s="64">
        <v>47.06</v>
      </c>
      <c r="E36" s="64">
        <v>5.21</v>
      </c>
      <c r="F36" s="64">
        <v>14.4</v>
      </c>
      <c r="G36" s="64">
        <v>78.8</v>
      </c>
      <c r="H36" s="64">
        <v>29.94</v>
      </c>
      <c r="I36" s="64">
        <v>3.97</v>
      </c>
      <c r="J36" s="64">
        <v>0.4</v>
      </c>
      <c r="K36" s="64">
        <v>302.45999999999998</v>
      </c>
      <c r="L36" s="64">
        <v>20.170000000000002</v>
      </c>
      <c r="M36" s="64">
        <v>47.4</v>
      </c>
      <c r="N36" s="64">
        <v>130.80000000000001</v>
      </c>
      <c r="O36" s="64">
        <v>0</v>
      </c>
      <c r="P36" s="64">
        <v>1.59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47" t="s">
        <v>1520</v>
      </c>
      <c r="B37" s="64">
        <v>18.91</v>
      </c>
      <c r="C37" s="64">
        <v>55.91</v>
      </c>
      <c r="D37" s="64">
        <v>44.38</v>
      </c>
      <c r="E37" s="64">
        <v>5.24</v>
      </c>
      <c r="F37" s="64">
        <v>12.14</v>
      </c>
      <c r="G37" s="64">
        <v>77.88</v>
      </c>
      <c r="H37" s="64">
        <v>25.75</v>
      </c>
      <c r="I37" s="64">
        <v>4.09</v>
      </c>
      <c r="J37" s="64">
        <v>0.55000000000000004</v>
      </c>
      <c r="K37" s="64">
        <v>221.87</v>
      </c>
      <c r="L37" s="64">
        <v>20.95</v>
      </c>
      <c r="M37" s="64">
        <v>46.26</v>
      </c>
      <c r="N37" s="64">
        <v>167.9</v>
      </c>
      <c r="O37" s="64">
        <v>0</v>
      </c>
      <c r="P37" s="64">
        <v>1.56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47" t="s">
        <v>1521</v>
      </c>
      <c r="B38" s="64">
        <v>23.71</v>
      </c>
      <c r="C38" s="64">
        <v>61.61</v>
      </c>
      <c r="D38" s="64">
        <v>51.2</v>
      </c>
      <c r="E38" s="64">
        <v>2.67</v>
      </c>
      <c r="F38" s="64">
        <v>6.71</v>
      </c>
      <c r="G38" s="64">
        <v>77.88</v>
      </c>
      <c r="H38" s="64">
        <v>25.75</v>
      </c>
      <c r="I38" s="64">
        <v>3.99</v>
      </c>
      <c r="J38" s="64">
        <v>0.63</v>
      </c>
      <c r="K38" s="64">
        <v>235.71</v>
      </c>
      <c r="L38" s="64">
        <v>21.8</v>
      </c>
      <c r="M38" s="64">
        <v>44.2</v>
      </c>
      <c r="N38" s="64">
        <v>207.2</v>
      </c>
      <c r="O38" s="64">
        <v>0</v>
      </c>
      <c r="P38" s="64">
        <v>1.78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47" t="s">
        <v>1522</v>
      </c>
      <c r="B39" s="64">
        <v>22.45</v>
      </c>
      <c r="C39" s="64">
        <v>64.819999999999993</v>
      </c>
      <c r="D39" s="64">
        <v>51.87</v>
      </c>
      <c r="E39" s="64">
        <v>2.78</v>
      </c>
      <c r="F39" s="64">
        <v>7.32</v>
      </c>
      <c r="G39" s="64">
        <v>77.88</v>
      </c>
      <c r="H39" s="64">
        <v>25.75</v>
      </c>
      <c r="I39" s="64">
        <v>4.01</v>
      </c>
      <c r="J39" s="64">
        <v>0.59</v>
      </c>
      <c r="K39" s="64">
        <v>242.96</v>
      </c>
      <c r="L39" s="64">
        <v>22.35</v>
      </c>
      <c r="M39" s="64">
        <v>42.61</v>
      </c>
      <c r="N39" s="64">
        <v>245</v>
      </c>
      <c r="O39" s="64">
        <v>0</v>
      </c>
      <c r="P39" s="64">
        <v>1.74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47" t="s">
        <v>1523</v>
      </c>
      <c r="B40" s="64">
        <v>19.82</v>
      </c>
      <c r="C40" s="64">
        <v>66.7</v>
      </c>
      <c r="D40" s="64">
        <v>50.74</v>
      </c>
      <c r="E40" s="64">
        <v>3.88</v>
      </c>
      <c r="F40" s="64">
        <v>8.01</v>
      </c>
      <c r="G40" s="64">
        <v>79.040000000000006</v>
      </c>
      <c r="H40" s="64">
        <v>27.11</v>
      </c>
      <c r="I40" s="64">
        <v>4.03</v>
      </c>
      <c r="J40" s="64">
        <v>0.61</v>
      </c>
      <c r="K40" s="64">
        <v>240.13</v>
      </c>
      <c r="L40" s="64">
        <v>23.42</v>
      </c>
      <c r="M40" s="64">
        <v>38.770000000000003</v>
      </c>
      <c r="N40" s="64">
        <v>289.2</v>
      </c>
      <c r="O40" s="64">
        <v>0</v>
      </c>
      <c r="P40" s="64">
        <v>1.7</v>
      </c>
      <c r="Q40" s="64">
        <v>9.59</v>
      </c>
      <c r="R40" s="198"/>
      <c r="S40" s="198"/>
      <c r="T40" s="198"/>
      <c r="U40" s="198"/>
    </row>
    <row r="41" spans="1:21" s="12" customFormat="1" x14ac:dyDescent="0.25">
      <c r="A41" s="247" t="s">
        <v>1524</v>
      </c>
      <c r="B41" s="64">
        <v>17.38</v>
      </c>
      <c r="C41" s="64">
        <v>67.66</v>
      </c>
      <c r="D41" s="64">
        <v>49.28</v>
      </c>
      <c r="E41" s="64">
        <v>4.07</v>
      </c>
      <c r="F41" s="64">
        <v>7.18</v>
      </c>
      <c r="G41" s="64">
        <v>82.24</v>
      </c>
      <c r="H41" s="64">
        <v>30.83</v>
      </c>
      <c r="I41" s="64">
        <v>4.1100000000000003</v>
      </c>
      <c r="J41" s="64">
        <v>0.69</v>
      </c>
      <c r="K41" s="64">
        <v>219.9</v>
      </c>
      <c r="L41" s="64">
        <v>23.14</v>
      </c>
      <c r="M41" s="64">
        <v>39.39</v>
      </c>
      <c r="N41" s="64">
        <v>343.1</v>
      </c>
      <c r="O41" s="64">
        <v>0</v>
      </c>
      <c r="P41" s="64">
        <v>1.66</v>
      </c>
      <c r="Q41" s="64">
        <v>9.58</v>
      </c>
      <c r="R41" s="198"/>
      <c r="S41" s="198"/>
      <c r="T41" s="198"/>
      <c r="U41" s="198"/>
    </row>
    <row r="42" spans="1:21" s="12" customFormat="1" x14ac:dyDescent="0.25">
      <c r="A42" s="247" t="s">
        <v>1525</v>
      </c>
      <c r="B42" s="64">
        <v>14.53</v>
      </c>
      <c r="C42" s="64">
        <v>67.94</v>
      </c>
      <c r="D42" s="64">
        <v>47.15</v>
      </c>
      <c r="E42" s="64">
        <v>3.8</v>
      </c>
      <c r="F42" s="64">
        <v>7.91</v>
      </c>
      <c r="G42" s="64">
        <v>82.24</v>
      </c>
      <c r="H42" s="64">
        <v>30.83</v>
      </c>
      <c r="I42" s="64">
        <v>3.97</v>
      </c>
      <c r="J42" s="64">
        <v>0.83</v>
      </c>
      <c r="K42" s="64">
        <v>202.64</v>
      </c>
      <c r="L42" s="64">
        <v>24.07</v>
      </c>
      <c r="M42" s="64">
        <v>38.44</v>
      </c>
      <c r="N42" s="64">
        <v>396.4</v>
      </c>
      <c r="O42" s="64">
        <v>0</v>
      </c>
      <c r="P42" s="64">
        <v>1.6</v>
      </c>
      <c r="Q42" s="64">
        <v>9.57</v>
      </c>
      <c r="R42" s="198"/>
      <c r="S42" s="198"/>
      <c r="T42" s="198"/>
      <c r="U42" s="198"/>
    </row>
    <row r="43" spans="1:21" s="12" customFormat="1" x14ac:dyDescent="0.25">
      <c r="A43" s="247" t="s">
        <v>1526</v>
      </c>
      <c r="B43" s="64">
        <v>11.96</v>
      </c>
      <c r="C43" s="64">
        <v>68.400000000000006</v>
      </c>
      <c r="D43" s="64">
        <v>45.33</v>
      </c>
      <c r="E43" s="64">
        <v>3.4</v>
      </c>
      <c r="F43" s="64">
        <v>8.89</v>
      </c>
      <c r="G43" s="64">
        <v>82.24</v>
      </c>
      <c r="H43" s="64">
        <v>30.83</v>
      </c>
      <c r="I43" s="64">
        <v>3.93</v>
      </c>
      <c r="J43" s="64">
        <v>0.93</v>
      </c>
      <c r="K43" s="64">
        <v>197.24</v>
      </c>
      <c r="L43" s="64">
        <v>24.44</v>
      </c>
      <c r="M43" s="64">
        <v>38.619999999999997</v>
      </c>
      <c r="N43" s="64">
        <v>443.6</v>
      </c>
      <c r="O43" s="64">
        <v>0</v>
      </c>
      <c r="P43" s="64">
        <v>1.56</v>
      </c>
      <c r="Q43" s="64">
        <v>9.58</v>
      </c>
      <c r="R43" s="198"/>
      <c r="S43" s="198"/>
      <c r="T43" s="198"/>
      <c r="U43" s="198"/>
    </row>
    <row r="44" spans="1:21" s="12" customFormat="1" x14ac:dyDescent="0.25">
      <c r="A44" s="247" t="s">
        <v>1527</v>
      </c>
      <c r="B44" s="64">
        <v>9.57</v>
      </c>
      <c r="C44" s="64">
        <v>68.8</v>
      </c>
      <c r="D44" s="64">
        <v>43.62</v>
      </c>
      <c r="E44" s="64">
        <v>3.7</v>
      </c>
      <c r="F44" s="64">
        <v>8.42</v>
      </c>
      <c r="G44" s="64">
        <v>78.989999999999995</v>
      </c>
      <c r="H44" s="64">
        <v>31.64</v>
      </c>
      <c r="I44" s="64">
        <v>4.0999999999999996</v>
      </c>
      <c r="J44" s="64">
        <v>0.62</v>
      </c>
      <c r="K44" s="64">
        <v>262.35000000000002</v>
      </c>
      <c r="L44" s="64">
        <v>26.94</v>
      </c>
      <c r="M44" s="64">
        <v>34.93</v>
      </c>
      <c r="N44" s="64">
        <v>477.4</v>
      </c>
      <c r="O44" s="64">
        <v>0</v>
      </c>
      <c r="P44" s="64">
        <v>1.51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47" t="s">
        <v>1528</v>
      </c>
      <c r="B45" s="64">
        <v>7.65</v>
      </c>
      <c r="C45" s="64">
        <v>69.12</v>
      </c>
      <c r="D45" s="64">
        <v>42.25</v>
      </c>
      <c r="E45" s="64">
        <v>3.74</v>
      </c>
      <c r="F45" s="64">
        <v>8.6</v>
      </c>
      <c r="G45" s="64">
        <v>69.52</v>
      </c>
      <c r="H45" s="64">
        <v>33.86</v>
      </c>
      <c r="I45" s="64">
        <v>4.07</v>
      </c>
      <c r="J45" s="64">
        <v>0.7</v>
      </c>
      <c r="K45" s="64">
        <v>267.57</v>
      </c>
      <c r="L45" s="64">
        <v>28.06</v>
      </c>
      <c r="M45" s="64">
        <v>34.26</v>
      </c>
      <c r="N45" s="64">
        <v>521.20000000000005</v>
      </c>
      <c r="O45" s="64">
        <v>0</v>
      </c>
      <c r="P45" s="64">
        <v>1.47</v>
      </c>
      <c r="Q45" s="64">
        <v>9.5</v>
      </c>
      <c r="R45" s="198"/>
      <c r="S45" s="198"/>
      <c r="T45" s="198"/>
      <c r="U45" s="198"/>
    </row>
    <row r="46" spans="1:21" s="12" customFormat="1" x14ac:dyDescent="0.25">
      <c r="A46" s="247" t="s">
        <v>1529</v>
      </c>
      <c r="B46" s="64">
        <v>6.08</v>
      </c>
      <c r="C46" s="64">
        <v>69</v>
      </c>
      <c r="D46" s="64">
        <v>40.92</v>
      </c>
      <c r="E46" s="64">
        <v>4.04</v>
      </c>
      <c r="F46" s="64">
        <v>9.1199999999999992</v>
      </c>
      <c r="G46" s="64">
        <v>69.52</v>
      </c>
      <c r="H46" s="64">
        <v>33.86</v>
      </c>
      <c r="I46" s="64">
        <v>3.98</v>
      </c>
      <c r="J46" s="64">
        <v>0.82</v>
      </c>
      <c r="K46" s="64">
        <v>249.8</v>
      </c>
      <c r="L46" s="64">
        <v>28.38</v>
      </c>
      <c r="M46" s="64">
        <v>34.119999999999997</v>
      </c>
      <c r="N46" s="64">
        <v>560.4</v>
      </c>
      <c r="O46" s="64">
        <v>0</v>
      </c>
      <c r="P46" s="64">
        <v>1.42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47" t="s">
        <v>1530</v>
      </c>
      <c r="B47" s="64">
        <v>4.66</v>
      </c>
      <c r="C47" s="64">
        <v>67.69</v>
      </c>
      <c r="D47" s="64">
        <v>39.11</v>
      </c>
      <c r="E47" s="64">
        <v>4.32</v>
      </c>
      <c r="F47" s="64">
        <v>10.9</v>
      </c>
      <c r="G47" s="64">
        <v>69.52</v>
      </c>
      <c r="H47" s="64">
        <v>33.86</v>
      </c>
      <c r="I47" s="64">
        <v>3.91</v>
      </c>
      <c r="J47" s="64">
        <v>0.83</v>
      </c>
      <c r="K47" s="64">
        <v>274.04000000000002</v>
      </c>
      <c r="L47" s="64">
        <v>30.37</v>
      </c>
      <c r="M47" s="64">
        <v>31.36</v>
      </c>
      <c r="N47" s="64">
        <v>593.20000000000005</v>
      </c>
      <c r="O47" s="64">
        <v>0</v>
      </c>
      <c r="P47" s="64">
        <v>1.34</v>
      </c>
      <c r="Q47" s="64">
        <v>9.42</v>
      </c>
      <c r="R47" s="198"/>
      <c r="S47" s="198"/>
      <c r="T47" s="198"/>
      <c r="U47" s="198"/>
    </row>
    <row r="48" spans="1:21" s="12" customFormat="1" x14ac:dyDescent="0.25">
      <c r="A48" s="247" t="s">
        <v>1531</v>
      </c>
      <c r="B48" s="64">
        <v>3.77</v>
      </c>
      <c r="C48" s="64">
        <v>65.14</v>
      </c>
      <c r="D48" s="64">
        <v>37.049999999999997</v>
      </c>
      <c r="E48" s="64">
        <v>4.38</v>
      </c>
      <c r="F48" s="64">
        <v>12.44</v>
      </c>
      <c r="G48" s="64">
        <v>69.88</v>
      </c>
      <c r="H48" s="64">
        <v>33.97</v>
      </c>
      <c r="I48" s="64">
        <v>4.1399999999999997</v>
      </c>
      <c r="J48" s="64">
        <v>0.94</v>
      </c>
      <c r="K48" s="64">
        <v>246.46</v>
      </c>
      <c r="L48" s="64">
        <v>29.75</v>
      </c>
      <c r="M48" s="64">
        <v>31.92</v>
      </c>
      <c r="N48" s="64">
        <v>630.70000000000005</v>
      </c>
      <c r="O48" s="64">
        <v>0</v>
      </c>
      <c r="P48" s="64">
        <v>1.23</v>
      </c>
      <c r="Q48" s="64">
        <v>9.39</v>
      </c>
      <c r="R48" s="198"/>
      <c r="S48" s="198"/>
      <c r="T48" s="198"/>
      <c r="U48" s="198"/>
    </row>
    <row r="49" spans="1:21" s="12" customFormat="1" x14ac:dyDescent="0.25">
      <c r="A49" s="247" t="s">
        <v>1532</v>
      </c>
      <c r="B49" s="64">
        <v>3.36</v>
      </c>
      <c r="C49" s="64">
        <v>63.5</v>
      </c>
      <c r="D49" s="64">
        <v>35.869999999999997</v>
      </c>
      <c r="E49" s="64">
        <v>4.5999999999999996</v>
      </c>
      <c r="F49" s="64">
        <v>13.73</v>
      </c>
      <c r="G49" s="64">
        <v>70.849999999999994</v>
      </c>
      <c r="H49" s="64">
        <v>34.29</v>
      </c>
      <c r="I49" s="64">
        <v>4.1100000000000003</v>
      </c>
      <c r="J49" s="64">
        <v>1</v>
      </c>
      <c r="K49" s="64">
        <v>248.06</v>
      </c>
      <c r="L49" s="64">
        <v>29.94</v>
      </c>
      <c r="M49" s="64">
        <v>31.41</v>
      </c>
      <c r="N49" s="64">
        <v>662.4</v>
      </c>
      <c r="O49" s="64">
        <v>0</v>
      </c>
      <c r="P49" s="64">
        <v>1.1299999999999999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47" t="s">
        <v>1533</v>
      </c>
      <c r="B50" s="64">
        <v>3.19</v>
      </c>
      <c r="C50" s="64">
        <v>61.52</v>
      </c>
      <c r="D50" s="64">
        <v>34.700000000000003</v>
      </c>
      <c r="E50" s="64">
        <v>4.92</v>
      </c>
      <c r="F50" s="64">
        <v>13.5</v>
      </c>
      <c r="G50" s="64">
        <v>70.849999999999994</v>
      </c>
      <c r="H50" s="64">
        <v>34.29</v>
      </c>
      <c r="I50" s="64">
        <v>3.89</v>
      </c>
      <c r="J50" s="64">
        <v>0.87</v>
      </c>
      <c r="K50" s="64">
        <v>259.76</v>
      </c>
      <c r="L50" s="64">
        <v>31.01</v>
      </c>
      <c r="M50" s="64">
        <v>29.34</v>
      </c>
      <c r="N50" s="64">
        <v>682.9</v>
      </c>
      <c r="O50" s="64">
        <v>0</v>
      </c>
      <c r="P50" s="64">
        <v>1.03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47" t="s">
        <v>1534</v>
      </c>
      <c r="B51" s="64">
        <v>3.19</v>
      </c>
      <c r="C51" s="64">
        <v>59.42</v>
      </c>
      <c r="D51" s="64">
        <v>33.6</v>
      </c>
      <c r="E51" s="64">
        <v>5.12</v>
      </c>
      <c r="F51" s="64">
        <v>14.33</v>
      </c>
      <c r="G51" s="64">
        <v>70.849999999999994</v>
      </c>
      <c r="H51" s="64">
        <v>34.29</v>
      </c>
      <c r="I51" s="64">
        <v>3.99</v>
      </c>
      <c r="J51" s="64">
        <v>1.18</v>
      </c>
      <c r="K51" s="64">
        <v>270.16000000000003</v>
      </c>
      <c r="L51" s="64">
        <v>31.78</v>
      </c>
      <c r="M51" s="64">
        <v>27.29</v>
      </c>
      <c r="N51" s="64">
        <v>697.7</v>
      </c>
      <c r="O51" s="64">
        <v>0</v>
      </c>
      <c r="P51" s="64">
        <v>0.95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47" t="s">
        <v>1535</v>
      </c>
      <c r="B52" s="64">
        <v>3.18</v>
      </c>
      <c r="C52" s="64">
        <v>58.54</v>
      </c>
      <c r="D52" s="64">
        <v>33.130000000000003</v>
      </c>
      <c r="E52" s="64">
        <v>4.34</v>
      </c>
      <c r="F52" s="64">
        <v>13.01</v>
      </c>
      <c r="G52" s="64">
        <v>69.430000000000007</v>
      </c>
      <c r="H52" s="64">
        <v>33.409999999999997</v>
      </c>
      <c r="I52" s="64">
        <v>4.24</v>
      </c>
      <c r="J52" s="64">
        <v>1.58</v>
      </c>
      <c r="K52" s="64">
        <v>293.89999999999998</v>
      </c>
      <c r="L52" s="64">
        <v>34.380000000000003</v>
      </c>
      <c r="M52" s="64">
        <v>22.22</v>
      </c>
      <c r="N52" s="64">
        <v>714.1</v>
      </c>
      <c r="O52" s="64">
        <v>0</v>
      </c>
      <c r="P52" s="64">
        <v>0.9</v>
      </c>
      <c r="Q52" s="64">
        <v>9.3800000000000008</v>
      </c>
      <c r="R52" s="198"/>
      <c r="S52" s="198"/>
      <c r="T52" s="198"/>
      <c r="U52" s="198"/>
    </row>
    <row r="53" spans="1:21" s="12" customFormat="1" x14ac:dyDescent="0.25">
      <c r="A53" s="247" t="s">
        <v>1536</v>
      </c>
      <c r="B53" s="64">
        <v>3.24</v>
      </c>
      <c r="C53" s="64">
        <v>57.09</v>
      </c>
      <c r="D53" s="64">
        <v>32.42</v>
      </c>
      <c r="E53" s="64">
        <v>6.25</v>
      </c>
      <c r="F53" s="64">
        <v>17.18</v>
      </c>
      <c r="G53" s="64">
        <v>65.55</v>
      </c>
      <c r="H53" s="64">
        <v>30.99</v>
      </c>
      <c r="I53" s="64">
        <v>4.04</v>
      </c>
      <c r="J53" s="64">
        <v>1.21</v>
      </c>
      <c r="K53" s="64">
        <v>291.08999999999997</v>
      </c>
      <c r="L53" s="64">
        <v>34.39</v>
      </c>
      <c r="M53" s="64">
        <v>20.309999999999999</v>
      </c>
      <c r="N53" s="64">
        <v>718.1</v>
      </c>
      <c r="O53" s="64">
        <v>0</v>
      </c>
      <c r="P53" s="64">
        <v>0.83</v>
      </c>
      <c r="Q53" s="64">
        <v>9.35</v>
      </c>
      <c r="R53" s="198"/>
      <c r="S53" s="198"/>
      <c r="T53" s="198"/>
      <c r="U53" s="198"/>
    </row>
    <row r="54" spans="1:21" s="12" customFormat="1" x14ac:dyDescent="0.25">
      <c r="A54" s="247" t="s">
        <v>1537</v>
      </c>
      <c r="B54" s="64">
        <v>3.44</v>
      </c>
      <c r="C54" s="64">
        <v>58.1</v>
      </c>
      <c r="D54" s="64">
        <v>33.119999999999997</v>
      </c>
      <c r="E54" s="64">
        <v>6.87</v>
      </c>
      <c r="F54" s="64">
        <v>15.74</v>
      </c>
      <c r="G54" s="64">
        <v>65.55</v>
      </c>
      <c r="H54" s="64">
        <v>30.99</v>
      </c>
      <c r="I54" s="64">
        <v>3.91</v>
      </c>
      <c r="J54" s="64">
        <v>1.0900000000000001</v>
      </c>
      <c r="K54" s="64">
        <v>285.35000000000002</v>
      </c>
      <c r="L54" s="64">
        <v>35.159999999999997</v>
      </c>
      <c r="M54" s="64">
        <v>20.010000000000002</v>
      </c>
      <c r="N54" s="64">
        <v>703.9</v>
      </c>
      <c r="O54" s="64">
        <v>0</v>
      </c>
      <c r="P54" s="64">
        <v>0.83</v>
      </c>
      <c r="Q54" s="64">
        <v>9.34</v>
      </c>
      <c r="R54" s="198"/>
      <c r="S54" s="198"/>
      <c r="T54" s="198"/>
      <c r="U54" s="198"/>
    </row>
    <row r="55" spans="1:21" s="12" customFormat="1" x14ac:dyDescent="0.25">
      <c r="A55" s="247" t="s">
        <v>1538</v>
      </c>
      <c r="B55" s="64">
        <v>3.41</v>
      </c>
      <c r="C55" s="64">
        <v>57.74</v>
      </c>
      <c r="D55" s="64">
        <v>32.9</v>
      </c>
      <c r="E55" s="64">
        <v>6.98</v>
      </c>
      <c r="F55" s="64">
        <v>17.23</v>
      </c>
      <c r="G55" s="64">
        <v>65.55</v>
      </c>
      <c r="H55" s="64">
        <v>30.99</v>
      </c>
      <c r="I55" s="64">
        <v>3.99</v>
      </c>
      <c r="J55" s="64">
        <v>1.23</v>
      </c>
      <c r="K55" s="64">
        <v>297.45</v>
      </c>
      <c r="L55" s="64">
        <v>35.909999999999997</v>
      </c>
      <c r="M55" s="64">
        <v>19.510000000000002</v>
      </c>
      <c r="N55" s="64">
        <v>702.5</v>
      </c>
      <c r="O55" s="64">
        <v>0</v>
      </c>
      <c r="P55" s="64">
        <v>0.84</v>
      </c>
      <c r="Q55" s="64">
        <v>9.3000000000000007</v>
      </c>
      <c r="R55" s="198"/>
      <c r="S55" s="198"/>
      <c r="T55" s="198"/>
      <c r="U55" s="198"/>
    </row>
    <row r="56" spans="1:21" s="12" customFormat="1" x14ac:dyDescent="0.25">
      <c r="A56" s="247" t="s">
        <v>1539</v>
      </c>
      <c r="B56" s="64">
        <v>3.38</v>
      </c>
      <c r="C56" s="64">
        <v>58.29</v>
      </c>
      <c r="D56" s="64">
        <v>33.159999999999997</v>
      </c>
      <c r="E56" s="64">
        <v>6.32</v>
      </c>
      <c r="F56" s="64">
        <v>12.45</v>
      </c>
      <c r="G56" s="64">
        <v>64.459999999999994</v>
      </c>
      <c r="H56" s="64">
        <v>29.12</v>
      </c>
      <c r="I56" s="64">
        <v>3.99</v>
      </c>
      <c r="J56" s="64">
        <v>1.1399999999999999</v>
      </c>
      <c r="K56" s="64">
        <v>295.11</v>
      </c>
      <c r="L56" s="64">
        <v>36.43</v>
      </c>
      <c r="M56" s="64">
        <v>18.3</v>
      </c>
      <c r="N56" s="64">
        <v>704.8</v>
      </c>
      <c r="O56" s="64">
        <v>0</v>
      </c>
      <c r="P56" s="64">
        <v>0.83</v>
      </c>
      <c r="Q56" s="64">
        <v>9.2799999999999994</v>
      </c>
      <c r="R56" s="198"/>
      <c r="S56" s="198"/>
      <c r="T56" s="198"/>
      <c r="U56" s="198"/>
    </row>
    <row r="57" spans="1:21" s="12" customFormat="1" x14ac:dyDescent="0.25">
      <c r="A57" s="247" t="s">
        <v>1540</v>
      </c>
      <c r="B57" s="64">
        <v>3.3</v>
      </c>
      <c r="C57" s="64">
        <v>58.31</v>
      </c>
      <c r="D57" s="64">
        <v>33.11</v>
      </c>
      <c r="E57" s="64">
        <v>5.25</v>
      </c>
      <c r="F57" s="64">
        <v>14.58</v>
      </c>
      <c r="G57" s="64">
        <v>61.46</v>
      </c>
      <c r="H57" s="64">
        <v>23.98</v>
      </c>
      <c r="I57" s="64">
        <v>4</v>
      </c>
      <c r="J57" s="64">
        <v>1.27</v>
      </c>
      <c r="K57" s="64">
        <v>297.94</v>
      </c>
      <c r="L57" s="64">
        <v>36.299999999999997</v>
      </c>
      <c r="M57" s="64">
        <v>18.16</v>
      </c>
      <c r="N57" s="64">
        <v>714.6</v>
      </c>
      <c r="O57" s="64">
        <v>0</v>
      </c>
      <c r="P57" s="64">
        <v>0.8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47" t="s">
        <v>1541</v>
      </c>
      <c r="B58" s="64">
        <v>3.32</v>
      </c>
      <c r="C58" s="64">
        <v>57.26</v>
      </c>
      <c r="D58" s="64">
        <v>32.58</v>
      </c>
      <c r="E58" s="64">
        <v>5.55</v>
      </c>
      <c r="F58" s="64">
        <v>11.79</v>
      </c>
      <c r="G58" s="64">
        <v>61.46</v>
      </c>
      <c r="H58" s="64">
        <v>23.98</v>
      </c>
      <c r="I58" s="64">
        <v>3.95</v>
      </c>
      <c r="J58" s="64">
        <v>1.85</v>
      </c>
      <c r="K58" s="64">
        <v>318.26</v>
      </c>
      <c r="L58" s="64">
        <v>37.4</v>
      </c>
      <c r="M58" s="64">
        <v>17.12</v>
      </c>
      <c r="N58" s="64">
        <v>729.7</v>
      </c>
      <c r="O58" s="64">
        <v>0</v>
      </c>
      <c r="P58" s="64">
        <v>0.75</v>
      </c>
      <c r="Q58" s="64">
        <v>9.24</v>
      </c>
      <c r="R58" s="198"/>
      <c r="S58" s="198"/>
      <c r="T58" s="198"/>
      <c r="U58" s="198"/>
    </row>
    <row r="59" spans="1:21" s="12" customFormat="1" x14ac:dyDescent="0.25">
      <c r="A59" s="247" t="s">
        <v>1542</v>
      </c>
      <c r="B59" s="64">
        <v>3.37</v>
      </c>
      <c r="C59" s="64">
        <v>56.09</v>
      </c>
      <c r="D59" s="64">
        <v>32.01</v>
      </c>
      <c r="E59" s="64">
        <v>5.65</v>
      </c>
      <c r="F59" s="64">
        <v>16.53</v>
      </c>
      <c r="G59" s="64">
        <v>61.46</v>
      </c>
      <c r="H59" s="64">
        <v>23.98</v>
      </c>
      <c r="I59" s="64">
        <v>4.01</v>
      </c>
      <c r="J59" s="64">
        <v>0.9</v>
      </c>
      <c r="K59" s="64">
        <v>292.89</v>
      </c>
      <c r="L59" s="64">
        <v>37.049999999999997</v>
      </c>
      <c r="M59" s="64">
        <v>16.86</v>
      </c>
      <c r="N59" s="64">
        <v>724</v>
      </c>
      <c r="O59" s="64">
        <v>0</v>
      </c>
      <c r="P59" s="64">
        <v>0.71</v>
      </c>
      <c r="Q59" s="64">
        <v>9.2200000000000006</v>
      </c>
      <c r="R59" s="198"/>
      <c r="S59" s="198"/>
      <c r="T59" s="198"/>
      <c r="U59" s="198"/>
    </row>
    <row r="60" spans="1:21" s="12" customFormat="1" x14ac:dyDescent="0.25">
      <c r="A60" s="247" t="s">
        <v>1543</v>
      </c>
      <c r="B60" s="64">
        <v>3.33</v>
      </c>
      <c r="C60" s="64">
        <v>54.62</v>
      </c>
      <c r="D60" s="64">
        <v>31.2</v>
      </c>
      <c r="E60" s="64">
        <v>5.29</v>
      </c>
      <c r="F60" s="64">
        <v>17.55</v>
      </c>
      <c r="G60" s="64">
        <v>59.59</v>
      </c>
      <c r="H60" s="64">
        <v>20.329999999999998</v>
      </c>
      <c r="I60" s="64">
        <v>4.09</v>
      </c>
      <c r="J60" s="64">
        <v>1.66</v>
      </c>
      <c r="K60" s="64">
        <v>318.55</v>
      </c>
      <c r="L60" s="64">
        <v>37.409999999999997</v>
      </c>
      <c r="M60" s="64">
        <v>16.010000000000002</v>
      </c>
      <c r="N60" s="64">
        <v>737</v>
      </c>
      <c r="O60" s="64">
        <v>0</v>
      </c>
      <c r="P60" s="64">
        <v>0.67</v>
      </c>
      <c r="Q60" s="64">
        <v>9.19</v>
      </c>
      <c r="R60" s="198"/>
      <c r="S60" s="198"/>
      <c r="T60" s="198"/>
      <c r="U60" s="198"/>
    </row>
    <row r="61" spans="1:21" s="12" customFormat="1" x14ac:dyDescent="0.25">
      <c r="A61" s="247" t="s">
        <v>1544</v>
      </c>
      <c r="B61" s="64">
        <v>3.45</v>
      </c>
      <c r="C61" s="64">
        <v>51.11</v>
      </c>
      <c r="D61" s="64">
        <v>29.47</v>
      </c>
      <c r="E61" s="64">
        <v>5.97</v>
      </c>
      <c r="F61" s="64">
        <v>19.510000000000002</v>
      </c>
      <c r="G61" s="64">
        <v>54.43</v>
      </c>
      <c r="H61" s="64">
        <v>10.29</v>
      </c>
      <c r="I61" s="64">
        <v>3.9</v>
      </c>
      <c r="J61" s="64">
        <v>1.42</v>
      </c>
      <c r="K61" s="64">
        <v>304.47000000000003</v>
      </c>
      <c r="L61" s="64">
        <v>38.130000000000003</v>
      </c>
      <c r="M61" s="64">
        <v>15.39</v>
      </c>
      <c r="N61" s="64">
        <v>724.5</v>
      </c>
      <c r="O61" s="64">
        <v>0</v>
      </c>
      <c r="P61" s="64">
        <v>0.76</v>
      </c>
      <c r="Q61" s="64">
        <v>9.15</v>
      </c>
      <c r="R61" s="198"/>
      <c r="S61" s="198"/>
      <c r="T61" s="198"/>
      <c r="U61" s="198"/>
    </row>
    <row r="62" spans="1:21" s="12" customFormat="1" x14ac:dyDescent="0.25">
      <c r="A62" s="247" t="s">
        <v>1545</v>
      </c>
      <c r="B62" s="64">
        <v>3.47</v>
      </c>
      <c r="C62" s="64">
        <v>51.25</v>
      </c>
      <c r="D62" s="64">
        <v>29.56</v>
      </c>
      <c r="E62" s="64">
        <v>5.94</v>
      </c>
      <c r="F62" s="64">
        <v>17.07</v>
      </c>
      <c r="G62" s="64">
        <v>54.43</v>
      </c>
      <c r="H62" s="64">
        <v>10.29</v>
      </c>
      <c r="I62" s="64">
        <v>3.94</v>
      </c>
      <c r="J62" s="64">
        <v>2.02</v>
      </c>
      <c r="K62" s="64">
        <v>317.51</v>
      </c>
      <c r="L62" s="64">
        <v>38.15</v>
      </c>
      <c r="M62" s="64">
        <v>14.48</v>
      </c>
      <c r="N62" s="64">
        <v>713.2</v>
      </c>
      <c r="O62" s="64">
        <v>0</v>
      </c>
      <c r="P62" s="64">
        <v>0.77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47" t="s">
        <v>1546</v>
      </c>
      <c r="B63" s="64">
        <v>3.57</v>
      </c>
      <c r="C63" s="64">
        <v>50.72</v>
      </c>
      <c r="D63" s="64">
        <v>29.36</v>
      </c>
      <c r="E63" s="64">
        <v>5.04</v>
      </c>
      <c r="F63" s="64">
        <v>18.25</v>
      </c>
      <c r="G63" s="64">
        <v>54.43</v>
      </c>
      <c r="H63" s="64">
        <v>10.29</v>
      </c>
      <c r="I63" s="64">
        <v>4.0199999999999996</v>
      </c>
      <c r="J63" s="64">
        <v>1.45</v>
      </c>
      <c r="K63" s="64">
        <v>315.19</v>
      </c>
      <c r="L63" s="64">
        <v>37.93</v>
      </c>
      <c r="M63" s="64">
        <v>14.27</v>
      </c>
      <c r="N63" s="64">
        <v>669.4</v>
      </c>
      <c r="O63" s="64">
        <v>0</v>
      </c>
      <c r="P63" s="64">
        <v>0.73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47" t="s">
        <v>1547</v>
      </c>
      <c r="B64" s="64">
        <v>3.45</v>
      </c>
      <c r="C64" s="64">
        <v>49.49</v>
      </c>
      <c r="D64" s="64">
        <v>28.62</v>
      </c>
      <c r="E64" s="64">
        <v>6.21</v>
      </c>
      <c r="F64" s="64">
        <v>19.27</v>
      </c>
      <c r="G64" s="64">
        <v>53.91</v>
      </c>
      <c r="H64" s="64">
        <v>12.35</v>
      </c>
      <c r="I64" s="64">
        <v>4.1100000000000003</v>
      </c>
      <c r="J64" s="64">
        <v>0.98</v>
      </c>
      <c r="K64" s="64">
        <v>280.77</v>
      </c>
      <c r="L64" s="64">
        <v>36.479999999999997</v>
      </c>
      <c r="M64" s="64">
        <v>14.92</v>
      </c>
      <c r="N64" s="64">
        <v>629.29999999999995</v>
      </c>
      <c r="O64" s="64">
        <v>0</v>
      </c>
      <c r="P64" s="64">
        <v>0.7</v>
      </c>
      <c r="Q64" s="64">
        <v>9.1</v>
      </c>
      <c r="R64" s="198"/>
      <c r="S64" s="198"/>
      <c r="T64" s="198"/>
      <c r="U64" s="198"/>
    </row>
    <row r="65" spans="1:21" s="12" customFormat="1" x14ac:dyDescent="0.25">
      <c r="A65" s="247" t="s">
        <v>1548</v>
      </c>
      <c r="B65" s="64">
        <v>3.55</v>
      </c>
      <c r="C65" s="64">
        <v>47.5</v>
      </c>
      <c r="D65" s="64">
        <v>27.66</v>
      </c>
      <c r="E65" s="64">
        <v>7.45</v>
      </c>
      <c r="F65" s="64">
        <v>26.53</v>
      </c>
      <c r="G65" s="64">
        <v>52.46</v>
      </c>
      <c r="H65" s="64">
        <v>17.989999999999998</v>
      </c>
      <c r="I65" s="64">
        <v>4.22</v>
      </c>
      <c r="J65" s="64">
        <v>1.21</v>
      </c>
      <c r="K65" s="64">
        <v>306.92</v>
      </c>
      <c r="L65" s="64">
        <v>36.54</v>
      </c>
      <c r="M65" s="64">
        <v>15.03</v>
      </c>
      <c r="N65" s="64">
        <v>617.79999999999995</v>
      </c>
      <c r="O65" s="64">
        <v>0</v>
      </c>
      <c r="P65" s="64">
        <v>0.66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47" t="s">
        <v>1549</v>
      </c>
      <c r="B66" s="64">
        <v>3.7</v>
      </c>
      <c r="C66" s="64">
        <v>46.78</v>
      </c>
      <c r="D66" s="64">
        <v>27.41</v>
      </c>
      <c r="E66" s="64">
        <v>10.75</v>
      </c>
      <c r="F66" s="64">
        <v>23.6</v>
      </c>
      <c r="G66" s="64">
        <v>52.46</v>
      </c>
      <c r="H66" s="64">
        <v>17.989999999999998</v>
      </c>
      <c r="I66" s="64">
        <v>3.93</v>
      </c>
      <c r="J66" s="64">
        <v>1.63</v>
      </c>
      <c r="K66" s="64">
        <v>312.33999999999997</v>
      </c>
      <c r="L66" s="64">
        <v>36.880000000000003</v>
      </c>
      <c r="M66" s="64">
        <v>15.43</v>
      </c>
      <c r="N66" s="64">
        <v>564.6</v>
      </c>
      <c r="O66" s="64">
        <v>0</v>
      </c>
      <c r="P66" s="64">
        <v>0.64</v>
      </c>
      <c r="Q66" s="64">
        <v>9.09</v>
      </c>
      <c r="R66" s="198"/>
      <c r="S66" s="198"/>
      <c r="T66" s="198"/>
      <c r="U66" s="198"/>
    </row>
    <row r="67" spans="1:21" s="12" customFormat="1" x14ac:dyDescent="0.25">
      <c r="A67" s="247" t="s">
        <v>1550</v>
      </c>
      <c r="B67" s="64">
        <v>3.61</v>
      </c>
      <c r="C67" s="64">
        <v>43.01</v>
      </c>
      <c r="D67" s="64">
        <v>25.37</v>
      </c>
      <c r="E67" s="64">
        <v>20.190000000000001</v>
      </c>
      <c r="F67" s="64">
        <v>39.39</v>
      </c>
      <c r="G67" s="64">
        <v>52.46</v>
      </c>
      <c r="H67" s="64">
        <v>17.989999999999998</v>
      </c>
      <c r="I67" s="64">
        <v>4.17</v>
      </c>
      <c r="J67" s="64">
        <v>0.7</v>
      </c>
      <c r="K67" s="64">
        <v>241.85</v>
      </c>
      <c r="L67" s="64">
        <v>35.25</v>
      </c>
      <c r="M67" s="64">
        <v>15.36</v>
      </c>
      <c r="N67" s="64">
        <v>319.2</v>
      </c>
      <c r="O67" s="64">
        <v>0</v>
      </c>
      <c r="P67" s="64">
        <v>0.65</v>
      </c>
      <c r="Q67" s="64">
        <v>9.07</v>
      </c>
      <c r="R67" s="198"/>
      <c r="S67" s="198"/>
      <c r="T67" s="198"/>
      <c r="U67" s="198"/>
    </row>
    <row r="68" spans="1:21" s="12" customFormat="1" x14ac:dyDescent="0.25">
      <c r="A68" s="247" t="s">
        <v>1551</v>
      </c>
      <c r="B68" s="64">
        <v>3.57</v>
      </c>
      <c r="C68" s="64">
        <v>46.6</v>
      </c>
      <c r="D68" s="64">
        <v>27.21</v>
      </c>
      <c r="E68" s="64">
        <v>9.1199999999999992</v>
      </c>
      <c r="F68" s="64">
        <v>20.2</v>
      </c>
      <c r="G68" s="64">
        <v>51.28</v>
      </c>
      <c r="H68" s="64">
        <v>19.62</v>
      </c>
      <c r="I68" s="64">
        <v>4.17</v>
      </c>
      <c r="J68" s="64">
        <v>0.69</v>
      </c>
      <c r="K68" s="64">
        <v>298.08999999999997</v>
      </c>
      <c r="L68" s="64">
        <v>34.97</v>
      </c>
      <c r="M68" s="64">
        <v>15.56</v>
      </c>
      <c r="N68" s="64">
        <v>322.89999999999998</v>
      </c>
      <c r="O68" s="64">
        <v>0</v>
      </c>
      <c r="P68" s="64">
        <v>0.69</v>
      </c>
      <c r="Q68" s="64">
        <v>9.0299999999999994</v>
      </c>
      <c r="R68" s="198"/>
      <c r="S68" s="198"/>
      <c r="T68" s="198"/>
      <c r="U68" s="198"/>
    </row>
    <row r="69" spans="1:21" s="12" customFormat="1" x14ac:dyDescent="0.25">
      <c r="A69" s="247" t="s">
        <v>1552</v>
      </c>
      <c r="B69" s="64">
        <v>3.52</v>
      </c>
      <c r="C69" s="64">
        <v>48.62</v>
      </c>
      <c r="D69" s="64">
        <v>28.23</v>
      </c>
      <c r="E69" s="64">
        <v>8.48</v>
      </c>
      <c r="F69" s="64">
        <v>25.07</v>
      </c>
      <c r="G69" s="64">
        <v>48.04</v>
      </c>
      <c r="H69" s="64">
        <v>24.1</v>
      </c>
      <c r="I69" s="64">
        <v>3.87</v>
      </c>
      <c r="J69" s="64">
        <v>0.75</v>
      </c>
      <c r="K69" s="64">
        <v>275.52999999999997</v>
      </c>
      <c r="L69" s="64">
        <v>34.799999999999997</v>
      </c>
      <c r="M69" s="64">
        <v>15.79</v>
      </c>
      <c r="N69" s="64">
        <v>220.3</v>
      </c>
      <c r="O69" s="64">
        <v>0</v>
      </c>
      <c r="P69" s="64">
        <v>0.69</v>
      </c>
      <c r="Q69" s="64">
        <v>9.02</v>
      </c>
      <c r="R69" s="198"/>
      <c r="S69" s="198"/>
      <c r="T69" s="198"/>
      <c r="U69" s="198"/>
    </row>
    <row r="70" spans="1:21" s="12" customFormat="1" x14ac:dyDescent="0.25">
      <c r="A70" s="247" t="s">
        <v>1553</v>
      </c>
      <c r="B70" s="64">
        <v>3.5</v>
      </c>
      <c r="C70" s="64">
        <v>44</v>
      </c>
      <c r="D70" s="64">
        <v>25.79</v>
      </c>
      <c r="E70" s="64">
        <v>20.81</v>
      </c>
      <c r="F70" s="64">
        <v>35.049999999999997</v>
      </c>
      <c r="G70" s="64">
        <v>48.04</v>
      </c>
      <c r="H70" s="64">
        <v>24.1</v>
      </c>
      <c r="I70" s="64">
        <v>4.0999999999999996</v>
      </c>
      <c r="J70" s="64">
        <v>0.73</v>
      </c>
      <c r="K70" s="64">
        <v>279.32</v>
      </c>
      <c r="L70" s="64">
        <v>34.33</v>
      </c>
      <c r="M70" s="64">
        <v>15.93</v>
      </c>
      <c r="N70" s="64">
        <v>199.3</v>
      </c>
      <c r="O70" s="64">
        <v>0</v>
      </c>
      <c r="P70" s="64">
        <v>0.68</v>
      </c>
      <c r="Q70" s="64">
        <v>9</v>
      </c>
      <c r="R70" s="198"/>
      <c r="S70" s="198"/>
      <c r="T70" s="198"/>
      <c r="U70" s="198"/>
    </row>
    <row r="71" spans="1:21" s="12" customFormat="1" x14ac:dyDescent="0.25">
      <c r="A71" s="247" t="s">
        <v>1554</v>
      </c>
      <c r="B71" s="64">
        <v>3.54</v>
      </c>
      <c r="C71" s="64">
        <v>43.79</v>
      </c>
      <c r="D71" s="64">
        <v>25.72</v>
      </c>
      <c r="E71" s="64">
        <v>9.19</v>
      </c>
      <c r="F71" s="64">
        <v>35.5</v>
      </c>
      <c r="G71" s="64">
        <v>48.04</v>
      </c>
      <c r="H71" s="64">
        <v>24.1</v>
      </c>
      <c r="I71" s="64">
        <v>4.03</v>
      </c>
      <c r="J71" s="64">
        <v>0.54</v>
      </c>
      <c r="K71" s="64">
        <v>239.55</v>
      </c>
      <c r="L71" s="64">
        <v>33.75</v>
      </c>
      <c r="M71" s="64">
        <v>15.52</v>
      </c>
      <c r="N71" s="64">
        <v>199.1</v>
      </c>
      <c r="O71" s="64">
        <v>0</v>
      </c>
      <c r="P71" s="64">
        <v>0.62</v>
      </c>
      <c r="Q71" s="64">
        <v>9.02</v>
      </c>
      <c r="R71" s="198"/>
      <c r="S71" s="198"/>
      <c r="T71" s="198"/>
      <c r="U71" s="198"/>
    </row>
    <row r="72" spans="1:21" s="12" customFormat="1" x14ac:dyDescent="0.25">
      <c r="A72" s="247" t="s">
        <v>1555</v>
      </c>
      <c r="B72" s="64">
        <v>3.61</v>
      </c>
      <c r="C72" s="64">
        <v>44.54</v>
      </c>
      <c r="D72" s="64">
        <v>26.17</v>
      </c>
      <c r="E72" s="64">
        <v>6.47</v>
      </c>
      <c r="F72" s="64">
        <v>22.17</v>
      </c>
      <c r="G72" s="64">
        <v>47.41</v>
      </c>
      <c r="H72" s="64">
        <v>21.98</v>
      </c>
      <c r="I72" s="64">
        <v>4.2</v>
      </c>
      <c r="J72" s="64">
        <v>0.72</v>
      </c>
      <c r="K72" s="64">
        <v>266.29000000000002</v>
      </c>
      <c r="L72" s="64">
        <v>33.61</v>
      </c>
      <c r="M72" s="64">
        <v>15.73</v>
      </c>
      <c r="N72" s="64">
        <v>228.2</v>
      </c>
      <c r="O72" s="64">
        <v>0</v>
      </c>
      <c r="P72" s="64">
        <v>0.65</v>
      </c>
      <c r="Q72" s="64">
        <v>9.01</v>
      </c>
      <c r="R72" s="198"/>
      <c r="S72" s="198"/>
      <c r="T72" s="198"/>
      <c r="U72" s="198"/>
    </row>
    <row r="73" spans="1:21" s="12" customFormat="1" x14ac:dyDescent="0.25">
      <c r="A73" s="247" t="s">
        <v>1556</v>
      </c>
      <c r="B73" s="64">
        <v>3.47</v>
      </c>
      <c r="C73" s="64">
        <v>38.18</v>
      </c>
      <c r="D73" s="64">
        <v>22.73</v>
      </c>
      <c r="E73" s="64">
        <v>14.26</v>
      </c>
      <c r="F73" s="64">
        <v>45.6</v>
      </c>
      <c r="G73" s="64">
        <v>45.67</v>
      </c>
      <c r="H73" s="64">
        <v>16.14</v>
      </c>
      <c r="I73" s="64">
        <v>4.1100000000000003</v>
      </c>
      <c r="J73" s="64">
        <v>0.84</v>
      </c>
      <c r="K73" s="64">
        <v>213.78</v>
      </c>
      <c r="L73" s="64">
        <v>33.24</v>
      </c>
      <c r="M73" s="64">
        <v>15.22</v>
      </c>
      <c r="N73" s="64">
        <v>232</v>
      </c>
      <c r="O73" s="64">
        <v>0</v>
      </c>
      <c r="P73" s="64">
        <v>0.53</v>
      </c>
      <c r="Q73" s="64">
        <v>8.98</v>
      </c>
      <c r="R73" s="198"/>
      <c r="S73" s="198"/>
      <c r="T73" s="198"/>
      <c r="U73" s="198"/>
    </row>
    <row r="74" spans="1:21" s="12" customFormat="1" x14ac:dyDescent="0.25">
      <c r="A74" s="247" t="s">
        <v>1557</v>
      </c>
      <c r="B74" s="64">
        <v>3.46</v>
      </c>
      <c r="C74" s="64">
        <v>37.869999999999997</v>
      </c>
      <c r="D74" s="64">
        <v>22.57</v>
      </c>
      <c r="E74" s="64">
        <v>13.53</v>
      </c>
      <c r="F74" s="64">
        <v>38</v>
      </c>
      <c r="G74" s="64">
        <v>45.67</v>
      </c>
      <c r="H74" s="64">
        <v>16.14</v>
      </c>
      <c r="I74" s="64">
        <v>4</v>
      </c>
      <c r="J74" s="64">
        <v>0.28999999999999998</v>
      </c>
      <c r="K74" s="64">
        <v>269.23</v>
      </c>
      <c r="L74" s="64">
        <v>33.03</v>
      </c>
      <c r="M74" s="64">
        <v>16.21</v>
      </c>
      <c r="N74" s="64">
        <v>185.4</v>
      </c>
      <c r="O74" s="64">
        <v>0</v>
      </c>
      <c r="P74" s="64">
        <v>0.59</v>
      </c>
      <c r="Q74" s="64">
        <v>8.9700000000000006</v>
      </c>
      <c r="R74" s="198"/>
      <c r="S74" s="198"/>
      <c r="T74" s="198"/>
      <c r="U74" s="198"/>
    </row>
    <row r="75" spans="1:21" s="12" customFormat="1" x14ac:dyDescent="0.25">
      <c r="A75" s="247" t="s">
        <v>1558</v>
      </c>
      <c r="B75" s="64">
        <v>3.43</v>
      </c>
      <c r="C75" s="64">
        <v>42.57</v>
      </c>
      <c r="D75" s="64">
        <v>24.99</v>
      </c>
      <c r="E75" s="64">
        <v>8.5500000000000007</v>
      </c>
      <c r="F75" s="64">
        <v>21.08</v>
      </c>
      <c r="G75" s="64">
        <v>45.67</v>
      </c>
      <c r="H75" s="64">
        <v>16.14</v>
      </c>
      <c r="I75" s="64">
        <v>3.92</v>
      </c>
      <c r="J75" s="64">
        <v>0.73</v>
      </c>
      <c r="K75" s="64">
        <v>278.43</v>
      </c>
      <c r="L75" s="64">
        <v>32.950000000000003</v>
      </c>
      <c r="M75" s="64">
        <v>15.87</v>
      </c>
      <c r="N75" s="64">
        <v>150</v>
      </c>
      <c r="O75" s="64">
        <v>0</v>
      </c>
      <c r="P75" s="64">
        <v>0.64</v>
      </c>
      <c r="Q75" s="64">
        <v>8.9600000000000009</v>
      </c>
      <c r="R75" s="198"/>
      <c r="S75" s="198"/>
      <c r="T75" s="198"/>
      <c r="U75" s="198"/>
    </row>
    <row r="76" spans="1:21" s="12" customFormat="1" x14ac:dyDescent="0.25">
      <c r="A76" s="247" t="s">
        <v>1559</v>
      </c>
      <c r="B76" s="64">
        <v>3.38</v>
      </c>
      <c r="C76" s="64">
        <v>41.71</v>
      </c>
      <c r="D76" s="64">
        <v>24.51</v>
      </c>
      <c r="E76" s="64">
        <v>7.81</v>
      </c>
      <c r="F76" s="64">
        <v>35.03</v>
      </c>
      <c r="G76" s="64">
        <v>45.27</v>
      </c>
      <c r="H76" s="64">
        <v>16.5</v>
      </c>
      <c r="I76" s="64">
        <v>3.98</v>
      </c>
      <c r="J76" s="64">
        <v>0.56999999999999995</v>
      </c>
      <c r="K76" s="64">
        <v>261.27</v>
      </c>
      <c r="L76" s="64">
        <v>32.369999999999997</v>
      </c>
      <c r="M76" s="64">
        <v>15.35</v>
      </c>
      <c r="N76" s="64">
        <v>119.1</v>
      </c>
      <c r="O76" s="64">
        <v>0</v>
      </c>
      <c r="P76" s="64">
        <v>0.59</v>
      </c>
      <c r="Q76" s="64">
        <v>8.93</v>
      </c>
      <c r="R76" s="198"/>
      <c r="S76" s="198"/>
      <c r="T76" s="198"/>
      <c r="U76" s="198"/>
    </row>
    <row r="77" spans="1:21" s="12" customFormat="1" x14ac:dyDescent="0.25">
      <c r="A77" s="247" t="s">
        <v>1560</v>
      </c>
      <c r="B77" s="64">
        <v>3.46</v>
      </c>
      <c r="C77" s="64">
        <v>38.479999999999997</v>
      </c>
      <c r="D77" s="64">
        <v>22.88</v>
      </c>
      <c r="E77" s="64">
        <v>7.35</v>
      </c>
      <c r="F77" s="64">
        <v>28.45</v>
      </c>
      <c r="G77" s="64">
        <v>44.15</v>
      </c>
      <c r="H77" s="64">
        <v>17.489999999999998</v>
      </c>
      <c r="I77" s="64">
        <v>4</v>
      </c>
      <c r="J77" s="64">
        <v>0.49</v>
      </c>
      <c r="K77" s="64">
        <v>273.19</v>
      </c>
      <c r="L77" s="64">
        <v>31.94</v>
      </c>
      <c r="M77" s="64">
        <v>16</v>
      </c>
      <c r="N77" s="64">
        <v>107.7</v>
      </c>
      <c r="O77" s="64">
        <v>0</v>
      </c>
      <c r="P77" s="64">
        <v>0.57999999999999996</v>
      </c>
      <c r="Q77" s="64">
        <v>8.93</v>
      </c>
      <c r="R77" s="198"/>
      <c r="S77" s="198"/>
      <c r="T77" s="198"/>
      <c r="U77" s="198"/>
    </row>
    <row r="78" spans="1:21" s="12" customFormat="1" x14ac:dyDescent="0.25">
      <c r="A78" s="247" t="s">
        <v>1561</v>
      </c>
      <c r="B78" s="64">
        <v>3.6</v>
      </c>
      <c r="C78" s="64">
        <v>40.85</v>
      </c>
      <c r="D78" s="64">
        <v>24.23</v>
      </c>
      <c r="E78" s="64">
        <v>5.75</v>
      </c>
      <c r="F78" s="64">
        <v>22.87</v>
      </c>
      <c r="G78" s="64">
        <v>44.15</v>
      </c>
      <c r="H78" s="64">
        <v>17.489999999999998</v>
      </c>
      <c r="I78" s="64">
        <v>4.0999999999999996</v>
      </c>
      <c r="J78" s="64">
        <v>0.56999999999999995</v>
      </c>
      <c r="K78" s="64">
        <v>292.33</v>
      </c>
      <c r="L78" s="64">
        <v>31.45</v>
      </c>
      <c r="M78" s="64">
        <v>16.59</v>
      </c>
      <c r="N78" s="64">
        <v>96.2</v>
      </c>
      <c r="O78" s="64">
        <v>0</v>
      </c>
      <c r="P78" s="64">
        <v>0.6</v>
      </c>
      <c r="Q78" s="64">
        <v>8.92</v>
      </c>
      <c r="R78" s="198"/>
      <c r="S78" s="198"/>
      <c r="T78" s="198"/>
      <c r="U78" s="198"/>
    </row>
    <row r="79" spans="1:21" s="12" customFormat="1" x14ac:dyDescent="0.25">
      <c r="A79" s="247" t="s">
        <v>1562</v>
      </c>
      <c r="B79" s="64">
        <v>3.65</v>
      </c>
      <c r="C79" s="64">
        <v>41.98</v>
      </c>
      <c r="D79" s="64">
        <v>24.86</v>
      </c>
      <c r="E79" s="64">
        <v>4.62</v>
      </c>
      <c r="F79" s="64">
        <v>23.12</v>
      </c>
      <c r="G79" s="64">
        <v>44.15</v>
      </c>
      <c r="H79" s="64">
        <v>17.489999999999998</v>
      </c>
      <c r="I79" s="64">
        <v>3.94</v>
      </c>
      <c r="J79" s="64">
        <v>0.38</v>
      </c>
      <c r="K79" s="64">
        <v>302.86</v>
      </c>
      <c r="L79" s="64">
        <v>30.95</v>
      </c>
      <c r="M79" s="64">
        <v>17.059999999999999</v>
      </c>
      <c r="N79" s="64">
        <v>84.7</v>
      </c>
      <c r="O79" s="64">
        <v>0</v>
      </c>
      <c r="P79" s="64">
        <v>0.6</v>
      </c>
      <c r="Q79" s="64">
        <v>8.8800000000000008</v>
      </c>
      <c r="R79" s="198"/>
      <c r="S79" s="198"/>
      <c r="T79" s="198"/>
      <c r="U79" s="198"/>
    </row>
    <row r="80" spans="1:21" s="12" customFormat="1" x14ac:dyDescent="0.25">
      <c r="A80" s="247" t="s">
        <v>1563</v>
      </c>
      <c r="B80" s="64">
        <v>4.12</v>
      </c>
      <c r="C80" s="64">
        <v>42.86</v>
      </c>
      <c r="D80" s="64">
        <v>25.7</v>
      </c>
      <c r="E80" s="64">
        <v>5.55</v>
      </c>
      <c r="F80" s="64">
        <v>27.12</v>
      </c>
      <c r="G80" s="64">
        <v>42.74</v>
      </c>
      <c r="H80" s="64">
        <v>18.32</v>
      </c>
      <c r="I80" s="64">
        <v>4.09</v>
      </c>
      <c r="J80" s="64">
        <v>0.71</v>
      </c>
      <c r="K80" s="64">
        <v>295.81</v>
      </c>
      <c r="L80" s="64">
        <v>30.25</v>
      </c>
      <c r="M80" s="64">
        <v>18.41</v>
      </c>
      <c r="N80" s="64">
        <v>74.400000000000006</v>
      </c>
      <c r="O80" s="64">
        <v>0</v>
      </c>
      <c r="P80" s="64">
        <v>0.57999999999999996</v>
      </c>
      <c r="Q80" s="64">
        <v>8.8699999999999992</v>
      </c>
      <c r="R80" s="198"/>
      <c r="S80" s="198"/>
      <c r="T80" s="198"/>
      <c r="U80" s="198"/>
    </row>
    <row r="81" spans="1:26" s="12" customFormat="1" x14ac:dyDescent="0.25">
      <c r="A81" s="247" t="s">
        <v>1564</v>
      </c>
      <c r="B81" s="64">
        <v>3.89</v>
      </c>
      <c r="C81" s="64">
        <v>41.32</v>
      </c>
      <c r="D81" s="64">
        <v>24.71</v>
      </c>
      <c r="E81" s="64">
        <v>4.71</v>
      </c>
      <c r="F81" s="64">
        <v>25.27</v>
      </c>
      <c r="G81" s="64">
        <v>38.869999999999997</v>
      </c>
      <c r="H81" s="64">
        <v>20.61</v>
      </c>
      <c r="I81" s="64">
        <v>4.05</v>
      </c>
      <c r="J81" s="64">
        <v>0.76</v>
      </c>
      <c r="K81" s="64">
        <v>294.43</v>
      </c>
      <c r="L81" s="64">
        <v>29.2</v>
      </c>
      <c r="M81" s="64">
        <v>19.37</v>
      </c>
      <c r="N81" s="64">
        <v>67.099999999999994</v>
      </c>
      <c r="O81" s="64">
        <v>0</v>
      </c>
      <c r="P81" s="64">
        <v>0.57999999999999996</v>
      </c>
      <c r="Q81" s="64">
        <v>8.85</v>
      </c>
      <c r="R81" s="198"/>
      <c r="S81" s="198"/>
      <c r="T81" s="198"/>
      <c r="U81" s="198"/>
    </row>
    <row r="82" spans="1:26" s="12" customFormat="1" x14ac:dyDescent="0.25">
      <c r="A82" s="247" t="s">
        <v>1565</v>
      </c>
      <c r="B82" s="64">
        <v>3.9</v>
      </c>
      <c r="C82" s="64">
        <v>40.98</v>
      </c>
      <c r="D82" s="64">
        <v>24.54</v>
      </c>
      <c r="E82" s="64">
        <v>4.0599999999999996</v>
      </c>
      <c r="F82" s="64">
        <v>23.07</v>
      </c>
      <c r="G82" s="64">
        <v>38.869999999999997</v>
      </c>
      <c r="H82" s="64">
        <v>20.61</v>
      </c>
      <c r="I82" s="64">
        <v>3.9</v>
      </c>
      <c r="J82" s="64">
        <v>0.86</v>
      </c>
      <c r="K82" s="64">
        <v>288.87</v>
      </c>
      <c r="L82" s="64">
        <v>28.58</v>
      </c>
      <c r="M82" s="64">
        <v>19.47</v>
      </c>
      <c r="N82" s="64">
        <v>64.8</v>
      </c>
      <c r="O82" s="64">
        <v>0</v>
      </c>
      <c r="P82" s="64">
        <v>0.62</v>
      </c>
      <c r="Q82" s="64">
        <v>8.8699999999999992</v>
      </c>
      <c r="R82" s="198"/>
      <c r="S82" s="198"/>
      <c r="T82" s="198"/>
      <c r="U82" s="198"/>
    </row>
    <row r="83" spans="1:26" s="12" customFormat="1" x14ac:dyDescent="0.25">
      <c r="A83" s="247" t="s">
        <v>1566</v>
      </c>
      <c r="B83" s="64">
        <v>5.18</v>
      </c>
      <c r="C83" s="64">
        <v>46.28</v>
      </c>
      <c r="D83" s="64">
        <v>28.34</v>
      </c>
      <c r="E83" s="64">
        <v>5.21</v>
      </c>
      <c r="F83" s="64">
        <v>33.06</v>
      </c>
      <c r="G83" s="64">
        <v>38.869999999999997</v>
      </c>
      <c r="H83" s="64">
        <v>20.61</v>
      </c>
      <c r="I83" s="64">
        <v>3.97</v>
      </c>
      <c r="J83" s="64">
        <v>0.78</v>
      </c>
      <c r="K83" s="64">
        <v>286.29000000000002</v>
      </c>
      <c r="L83" s="64">
        <v>27.98</v>
      </c>
      <c r="M83" s="64">
        <v>20.23</v>
      </c>
      <c r="N83" s="64">
        <v>64.8</v>
      </c>
      <c r="O83" s="64">
        <v>0</v>
      </c>
      <c r="P83" s="64">
        <v>0.64</v>
      </c>
      <c r="Q83" s="64">
        <v>8.8699999999999992</v>
      </c>
      <c r="R83" s="198"/>
      <c r="S83" s="198"/>
      <c r="T83" s="198"/>
      <c r="U83" s="198"/>
    </row>
    <row r="84" spans="1:26" s="12" customFormat="1" x14ac:dyDescent="0.25">
      <c r="A84" s="247" t="s">
        <v>1567</v>
      </c>
      <c r="B84" s="64">
        <v>4.51</v>
      </c>
      <c r="C84" s="64">
        <v>42.2</v>
      </c>
      <c r="D84" s="64">
        <v>25.66</v>
      </c>
      <c r="E84" s="64">
        <v>6.01</v>
      </c>
      <c r="F84" s="64">
        <v>36.03</v>
      </c>
      <c r="G84" s="64">
        <v>39.049999999999997</v>
      </c>
      <c r="H84" s="64">
        <v>18.63</v>
      </c>
      <c r="I84" s="64">
        <v>3.97</v>
      </c>
      <c r="J84" s="64">
        <v>0.86</v>
      </c>
      <c r="K84" s="64">
        <v>292.12</v>
      </c>
      <c r="L84" s="64">
        <v>27.53</v>
      </c>
      <c r="M84" s="64">
        <v>21.21</v>
      </c>
      <c r="N84" s="64">
        <v>64.7</v>
      </c>
      <c r="O84" s="64">
        <v>0</v>
      </c>
      <c r="P84" s="64">
        <v>0.72</v>
      </c>
      <c r="Q84" s="64">
        <v>8.8800000000000008</v>
      </c>
      <c r="R84" s="198"/>
      <c r="S84" s="198"/>
      <c r="T84" s="198"/>
      <c r="U84" s="198"/>
    </row>
    <row r="85" spans="1:26" s="12" customFormat="1" x14ac:dyDescent="0.25">
      <c r="A85" s="247" t="s">
        <v>1568</v>
      </c>
      <c r="B85" s="64">
        <v>4</v>
      </c>
      <c r="C85" s="64">
        <v>42.41</v>
      </c>
      <c r="D85" s="64">
        <v>25.36</v>
      </c>
      <c r="E85" s="64">
        <v>6.64</v>
      </c>
      <c r="F85" s="64">
        <v>33.74</v>
      </c>
      <c r="G85" s="64">
        <v>39.54</v>
      </c>
      <c r="H85" s="64">
        <v>13.17</v>
      </c>
      <c r="I85" s="64">
        <v>4.04</v>
      </c>
      <c r="J85" s="64">
        <v>0.65</v>
      </c>
      <c r="K85" s="64">
        <v>245.1</v>
      </c>
      <c r="L85" s="64">
        <v>26.76</v>
      </c>
      <c r="M85" s="64">
        <v>22.49</v>
      </c>
      <c r="N85" s="64">
        <v>65</v>
      </c>
      <c r="O85" s="64">
        <v>0</v>
      </c>
      <c r="P85" s="64">
        <v>0.63</v>
      </c>
      <c r="Q85" s="64">
        <v>8.9</v>
      </c>
      <c r="R85" s="198"/>
      <c r="S85" s="198"/>
      <c r="T85" s="198"/>
      <c r="U85" s="198"/>
    </row>
    <row r="86" spans="1:26" s="12" customFormat="1" x14ac:dyDescent="0.25">
      <c r="A86" s="247" t="s">
        <v>1569</v>
      </c>
      <c r="B86" s="64">
        <v>3.62</v>
      </c>
      <c r="C86" s="64">
        <v>42.63</v>
      </c>
      <c r="D86" s="64">
        <v>25.18</v>
      </c>
      <c r="E86" s="64">
        <v>7.6</v>
      </c>
      <c r="F86" s="64">
        <v>31.89</v>
      </c>
      <c r="G86" s="64">
        <v>39.54</v>
      </c>
      <c r="H86" s="64">
        <v>13.17</v>
      </c>
      <c r="I86" s="64">
        <v>4.0999999999999996</v>
      </c>
      <c r="J86" s="64">
        <v>0.45</v>
      </c>
      <c r="K86" s="64">
        <v>234.17</v>
      </c>
      <c r="L86" s="64">
        <v>26.79</v>
      </c>
      <c r="M86" s="64">
        <v>22.69</v>
      </c>
      <c r="N86" s="64">
        <v>65.099999999999994</v>
      </c>
      <c r="O86" s="64">
        <v>0</v>
      </c>
      <c r="P86" s="64">
        <v>0.68</v>
      </c>
      <c r="Q86" s="64">
        <v>8.91</v>
      </c>
      <c r="R86" s="198"/>
      <c r="S86" s="198"/>
      <c r="T86" s="198"/>
      <c r="U86" s="198"/>
    </row>
    <row r="87" spans="1:26" s="12" customFormat="1" x14ac:dyDescent="0.25">
      <c r="A87" s="247" t="s">
        <v>1570</v>
      </c>
      <c r="B87" s="64">
        <v>13.72</v>
      </c>
      <c r="C87" s="64">
        <v>74.150000000000006</v>
      </c>
      <c r="D87" s="64">
        <v>49.74</v>
      </c>
      <c r="E87" s="64">
        <v>8.6300000000000008</v>
      </c>
      <c r="F87" s="64">
        <v>22.77</v>
      </c>
      <c r="G87" s="64">
        <v>39.54</v>
      </c>
      <c r="H87" s="64">
        <v>13.17</v>
      </c>
      <c r="I87" s="64">
        <v>4</v>
      </c>
      <c r="J87" s="64">
        <v>0.59</v>
      </c>
      <c r="K87" s="64">
        <v>110.08</v>
      </c>
      <c r="L87" s="64">
        <v>26.42</v>
      </c>
      <c r="M87" s="64">
        <v>23.92</v>
      </c>
      <c r="N87" s="64">
        <v>64.900000000000006</v>
      </c>
      <c r="O87" s="64">
        <v>0</v>
      </c>
      <c r="P87" s="64">
        <v>0.76</v>
      </c>
      <c r="Q87" s="64">
        <v>8.92</v>
      </c>
      <c r="R87" s="198"/>
      <c r="S87" s="198"/>
      <c r="T87" s="198"/>
      <c r="U87" s="198"/>
    </row>
    <row r="88" spans="1:26" s="12" customFormat="1" x14ac:dyDescent="0.25">
      <c r="A88" s="247" t="s">
        <v>1571</v>
      </c>
      <c r="B88" s="64">
        <v>34.33</v>
      </c>
      <c r="C88" s="64">
        <v>115.15</v>
      </c>
      <c r="D88" s="64">
        <v>87.69</v>
      </c>
      <c r="E88" s="64">
        <v>8.4600000000000009</v>
      </c>
      <c r="F88" s="64">
        <v>9.58</v>
      </c>
      <c r="G88" s="64">
        <v>39.79</v>
      </c>
      <c r="H88" s="64">
        <v>10.78</v>
      </c>
      <c r="I88" s="64">
        <v>3.98</v>
      </c>
      <c r="J88" s="64">
        <v>0.39</v>
      </c>
      <c r="K88" s="64">
        <v>297.55</v>
      </c>
      <c r="L88" s="64">
        <v>25.96</v>
      </c>
      <c r="M88" s="64">
        <v>27.76</v>
      </c>
      <c r="N88" s="64">
        <v>64.900000000000006</v>
      </c>
      <c r="O88" s="64">
        <v>0</v>
      </c>
      <c r="P88" s="64">
        <v>1.1000000000000001</v>
      </c>
      <c r="Q88" s="64">
        <v>8.94</v>
      </c>
      <c r="R88" s="198"/>
      <c r="S88" s="198"/>
      <c r="T88" s="198"/>
      <c r="U88" s="198"/>
    </row>
    <row r="89" spans="1:26" s="12" customFormat="1" x14ac:dyDescent="0.25">
      <c r="A89" s="247" t="s">
        <v>1572</v>
      </c>
      <c r="B89" s="64">
        <v>25.82</v>
      </c>
      <c r="C89" s="64">
        <v>90.65</v>
      </c>
      <c r="D89" s="64">
        <v>68.069999999999993</v>
      </c>
      <c r="E89" s="64">
        <v>8.0299999999999994</v>
      </c>
      <c r="F89" s="64">
        <v>11.83</v>
      </c>
      <c r="G89" s="64">
        <v>40.5</v>
      </c>
      <c r="H89" s="64">
        <v>4.21</v>
      </c>
      <c r="I89" s="64">
        <v>4.0199999999999996</v>
      </c>
      <c r="J89" s="64">
        <v>0.8</v>
      </c>
      <c r="K89" s="64">
        <v>344.67</v>
      </c>
      <c r="L89" s="64">
        <v>24.93</v>
      </c>
      <c r="M89" s="64">
        <v>35.229999999999997</v>
      </c>
      <c r="N89" s="64">
        <v>65.599999999999994</v>
      </c>
      <c r="O89" s="64">
        <v>0</v>
      </c>
      <c r="P89" s="64">
        <v>1.55</v>
      </c>
      <c r="Q89" s="64">
        <v>9.01</v>
      </c>
      <c r="R89" s="198"/>
      <c r="S89" s="198"/>
      <c r="T89" s="198"/>
      <c r="U89" s="198"/>
    </row>
    <row r="90" spans="1:26" s="12" customFormat="1" x14ac:dyDescent="0.25">
      <c r="A90" s="247" t="s">
        <v>1573</v>
      </c>
      <c r="B90" s="64">
        <v>11.74</v>
      </c>
      <c r="C90" s="64">
        <v>70.09</v>
      </c>
      <c r="D90" s="64">
        <v>46.03</v>
      </c>
      <c r="E90" s="64">
        <v>8.39</v>
      </c>
      <c r="F90" s="64">
        <v>16.68</v>
      </c>
      <c r="G90" s="64">
        <v>40.5</v>
      </c>
      <c r="H90" s="64">
        <v>4.21</v>
      </c>
      <c r="I90" s="64">
        <v>3.96</v>
      </c>
      <c r="J90" s="64">
        <v>0.17</v>
      </c>
      <c r="K90" s="64">
        <v>255.5</v>
      </c>
      <c r="L90" s="64">
        <v>24.09</v>
      </c>
      <c r="M90" s="64">
        <v>33.36</v>
      </c>
      <c r="N90" s="64">
        <v>64.900000000000006</v>
      </c>
      <c r="O90" s="64">
        <v>0</v>
      </c>
      <c r="P90" s="64">
        <v>1.24</v>
      </c>
      <c r="Q90" s="64">
        <v>9.07</v>
      </c>
      <c r="R90" s="198"/>
      <c r="S90" s="198"/>
      <c r="T90" s="198"/>
      <c r="U90" s="198"/>
    </row>
    <row r="91" spans="1:26" s="12" customFormat="1" x14ac:dyDescent="0.25">
      <c r="A91" s="247" t="s">
        <v>1574</v>
      </c>
      <c r="B91" s="64">
        <v>13.11</v>
      </c>
      <c r="C91" s="64">
        <v>71.08</v>
      </c>
      <c r="D91" s="64">
        <v>47.65</v>
      </c>
      <c r="E91" s="64">
        <v>7.27</v>
      </c>
      <c r="F91" s="64">
        <v>14.12</v>
      </c>
      <c r="G91" s="64">
        <v>40.5</v>
      </c>
      <c r="H91" s="64">
        <v>4.21</v>
      </c>
      <c r="I91" s="64">
        <v>3.98</v>
      </c>
      <c r="J91" s="64">
        <v>0.46</v>
      </c>
      <c r="K91" s="64">
        <v>330.64</v>
      </c>
      <c r="L91" s="64">
        <v>24.15</v>
      </c>
      <c r="M91" s="64">
        <v>35.24</v>
      </c>
      <c r="N91" s="64">
        <v>65.099999999999994</v>
      </c>
      <c r="O91" s="64">
        <v>0</v>
      </c>
      <c r="P91" s="64">
        <v>1.35</v>
      </c>
      <c r="Q91" s="64">
        <v>9.1199999999999992</v>
      </c>
      <c r="R91" s="198"/>
      <c r="S91" s="198"/>
      <c r="T91" s="198"/>
      <c r="U91" s="198"/>
    </row>
    <row r="92" spans="1:26" s="12" customFormat="1" x14ac:dyDescent="0.25">
      <c r="A92" s="247" t="s">
        <v>1575</v>
      </c>
      <c r="B92" s="64">
        <v>23.77</v>
      </c>
      <c r="C92" s="64">
        <v>82.78</v>
      </c>
      <c r="D92" s="64">
        <v>62.31</v>
      </c>
      <c r="E92" s="64">
        <v>7.1</v>
      </c>
      <c r="F92" s="64">
        <v>10.119999999999999</v>
      </c>
      <c r="G92" s="64">
        <v>45.95</v>
      </c>
      <c r="H92" s="64">
        <v>9.16</v>
      </c>
      <c r="I92" s="64">
        <v>4.0999999999999996</v>
      </c>
      <c r="J92" s="64">
        <v>0.23</v>
      </c>
      <c r="K92" s="64">
        <v>290.10000000000002</v>
      </c>
      <c r="L92" s="64">
        <v>23.35</v>
      </c>
      <c r="M92" s="64">
        <v>37.85</v>
      </c>
      <c r="N92" s="64">
        <v>64.900000000000006</v>
      </c>
      <c r="O92" s="64">
        <v>0</v>
      </c>
      <c r="P92" s="64">
        <v>1.51</v>
      </c>
      <c r="Q92" s="64">
        <v>9.16</v>
      </c>
      <c r="R92" s="198"/>
      <c r="S92" s="198"/>
      <c r="T92" s="198"/>
      <c r="U92" s="198"/>
    </row>
    <row r="93" spans="1:26" s="12" customFormat="1" x14ac:dyDescent="0.25">
      <c r="A93" s="247" t="s">
        <v>1576</v>
      </c>
      <c r="B93" s="64">
        <v>39.29</v>
      </c>
      <c r="C93" s="64">
        <v>84.96</v>
      </c>
      <c r="D93" s="64">
        <v>75.900000000000006</v>
      </c>
      <c r="E93" s="64">
        <v>6.82</v>
      </c>
      <c r="F93" s="64">
        <v>8.8699999999999992</v>
      </c>
      <c r="G93" s="64">
        <v>60.93</v>
      </c>
      <c r="H93" s="64">
        <v>22.74</v>
      </c>
      <c r="I93" s="64">
        <v>3.94</v>
      </c>
      <c r="J93" s="64">
        <v>0.26</v>
      </c>
      <c r="K93" s="64">
        <v>304.29000000000002</v>
      </c>
      <c r="L93" s="64">
        <v>22.91</v>
      </c>
      <c r="M93" s="64">
        <v>40.14</v>
      </c>
      <c r="N93" s="64">
        <v>64.900000000000006</v>
      </c>
      <c r="O93" s="64">
        <v>0</v>
      </c>
      <c r="P93" s="64">
        <v>1.62</v>
      </c>
      <c r="Q93" s="64">
        <v>9.2100000000000009</v>
      </c>
      <c r="R93" s="198"/>
      <c r="S93" s="198"/>
      <c r="T93" s="198"/>
      <c r="U93" s="198"/>
    </row>
    <row r="94" spans="1:26" s="12" customFormat="1" x14ac:dyDescent="0.25">
      <c r="A94" s="247" t="s">
        <v>1577</v>
      </c>
      <c r="B94" s="64">
        <v>34.54</v>
      </c>
      <c r="C94" s="64">
        <v>87.81</v>
      </c>
      <c r="D94" s="64">
        <v>73.58</v>
      </c>
      <c r="E94" s="64">
        <v>6.93</v>
      </c>
      <c r="F94" s="64">
        <v>7.84</v>
      </c>
      <c r="G94" s="64">
        <v>60.93</v>
      </c>
      <c r="H94" s="64">
        <v>22.74</v>
      </c>
      <c r="I94" s="64">
        <v>4.0999999999999996</v>
      </c>
      <c r="J94" s="64">
        <v>0.59</v>
      </c>
      <c r="K94" s="64">
        <v>17.190000000000001</v>
      </c>
      <c r="L94" s="64">
        <v>22.51</v>
      </c>
      <c r="M94" s="64">
        <v>40.380000000000003</v>
      </c>
      <c r="N94" s="64">
        <v>64.900000000000006</v>
      </c>
      <c r="O94" s="64">
        <v>0</v>
      </c>
      <c r="P94" s="64">
        <v>1.67</v>
      </c>
      <c r="Q94" s="64">
        <v>9.32</v>
      </c>
      <c r="R94" s="198"/>
      <c r="S94" s="198"/>
      <c r="T94" s="198"/>
      <c r="U94" s="198"/>
    </row>
    <row r="95" spans="1:26" s="12" customFormat="1" x14ac:dyDescent="0.25">
      <c r="A95" s="247" t="s">
        <v>1578</v>
      </c>
      <c r="B95" s="64">
        <v>38.08</v>
      </c>
      <c r="C95" s="64">
        <v>81.400000000000006</v>
      </c>
      <c r="D95" s="64">
        <v>73.069999999999993</v>
      </c>
      <c r="E95" s="64">
        <v>6.33</v>
      </c>
      <c r="F95" s="64">
        <v>7.95</v>
      </c>
      <c r="G95" s="64">
        <v>60.93</v>
      </c>
      <c r="H95" s="64">
        <v>22.74</v>
      </c>
      <c r="I95" s="64">
        <v>4.1399999999999997</v>
      </c>
      <c r="J95" s="64">
        <v>0.46</v>
      </c>
      <c r="K95" s="64">
        <v>320.54000000000002</v>
      </c>
      <c r="L95" s="64">
        <v>22.44</v>
      </c>
      <c r="M95" s="64">
        <v>43.47</v>
      </c>
      <c r="N95" s="64">
        <v>64.599999999999994</v>
      </c>
      <c r="O95" s="64">
        <v>0</v>
      </c>
      <c r="P95" s="64">
        <v>1.61</v>
      </c>
      <c r="Q95" s="64">
        <v>9.4700000000000006</v>
      </c>
      <c r="R95" s="198"/>
      <c r="S95" s="198"/>
      <c r="T95" s="198"/>
      <c r="U95" s="198"/>
    </row>
    <row r="96" spans="1:26" s="12" customFormat="1" x14ac:dyDescent="0.25">
      <c r="A96" s="247" t="s">
        <v>1579</v>
      </c>
      <c r="B96" s="64">
        <v>22</v>
      </c>
      <c r="C96" s="64">
        <v>82.89</v>
      </c>
      <c r="D96" s="64">
        <v>60.95</v>
      </c>
      <c r="E96" s="64">
        <v>8.6</v>
      </c>
      <c r="F96" s="64">
        <v>11.03</v>
      </c>
      <c r="G96" s="64">
        <v>63.63</v>
      </c>
      <c r="H96" s="64">
        <v>23.13</v>
      </c>
      <c r="I96" s="64">
        <v>4.03</v>
      </c>
      <c r="J96" s="64">
        <v>0.19</v>
      </c>
      <c r="K96" s="64">
        <v>69.92</v>
      </c>
      <c r="L96" s="64">
        <v>22.25</v>
      </c>
      <c r="M96" s="64">
        <v>39.99</v>
      </c>
      <c r="N96" s="64">
        <v>64.599999999999994</v>
      </c>
      <c r="O96" s="64">
        <v>0</v>
      </c>
      <c r="P96" s="64">
        <v>1.56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1580</v>
      </c>
      <c r="B97" s="64">
        <v>23.25</v>
      </c>
      <c r="C97" s="64">
        <v>78.36</v>
      </c>
      <c r="D97" s="64">
        <v>59.59</v>
      </c>
      <c r="E97" s="64">
        <v>8.07</v>
      </c>
      <c r="F97" s="64">
        <v>11.33</v>
      </c>
      <c r="G97" s="64">
        <v>71.069999999999993</v>
      </c>
      <c r="H97" s="64">
        <v>24.21</v>
      </c>
      <c r="I97" s="64">
        <v>3.87</v>
      </c>
      <c r="J97" s="64">
        <v>0.18</v>
      </c>
      <c r="K97" s="64">
        <v>75.11</v>
      </c>
      <c r="L97" s="64">
        <v>22.61</v>
      </c>
      <c r="M97" s="64">
        <v>38.06</v>
      </c>
      <c r="N97" s="64">
        <v>64.599999999999994</v>
      </c>
      <c r="O97" s="64">
        <v>0</v>
      </c>
      <c r="P97" s="64">
        <v>1.66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47" t="s">
        <v>1581</v>
      </c>
      <c r="B98" s="64">
        <v>19.53</v>
      </c>
      <c r="C98" s="64">
        <v>82.69</v>
      </c>
      <c r="D98" s="64">
        <v>58.86</v>
      </c>
      <c r="E98" s="64">
        <v>7.05</v>
      </c>
      <c r="F98" s="64">
        <v>12.35</v>
      </c>
      <c r="G98" s="64">
        <v>71.069999999999993</v>
      </c>
      <c r="H98" s="64">
        <v>24.21</v>
      </c>
      <c r="I98" s="64">
        <v>4</v>
      </c>
      <c r="J98" s="64">
        <v>0.36</v>
      </c>
      <c r="K98" s="64">
        <v>126.05</v>
      </c>
      <c r="L98" s="64">
        <v>22.49</v>
      </c>
      <c r="M98" s="64">
        <v>36.39</v>
      </c>
      <c r="N98" s="64">
        <v>64.5</v>
      </c>
      <c r="O98" s="64">
        <v>0</v>
      </c>
      <c r="P98" s="64">
        <v>1.45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47" t="s">
        <v>1582</v>
      </c>
      <c r="B99" s="64">
        <v>19.78</v>
      </c>
      <c r="C99" s="64">
        <v>77.319999999999993</v>
      </c>
      <c r="D99" s="64">
        <v>56.26</v>
      </c>
      <c r="E99" s="64">
        <v>6.23</v>
      </c>
      <c r="F99" s="64">
        <v>11.92</v>
      </c>
      <c r="G99" s="64">
        <v>71.069999999999993</v>
      </c>
      <c r="H99" s="64">
        <v>24.21</v>
      </c>
      <c r="I99" s="64">
        <v>4.1100000000000003</v>
      </c>
      <c r="J99" s="64">
        <v>0.3</v>
      </c>
      <c r="K99" s="64">
        <v>259.87</v>
      </c>
      <c r="L99" s="64">
        <v>22.56</v>
      </c>
      <c r="M99" s="64">
        <v>37.4</v>
      </c>
      <c r="N99" s="64">
        <v>64.5</v>
      </c>
      <c r="O99" s="64">
        <v>0</v>
      </c>
      <c r="P99" s="64">
        <v>1.32</v>
      </c>
      <c r="Q99" s="64">
        <v>9.5399999999999991</v>
      </c>
      <c r="R99" s="198"/>
      <c r="S99" s="198"/>
      <c r="T99" s="198"/>
      <c r="U99" s="198"/>
    </row>
    <row r="100" spans="1:33" s="12" customFormat="1" x14ac:dyDescent="0.25">
      <c r="A100" s="247" t="s">
        <v>1583</v>
      </c>
      <c r="B100" s="64">
        <v>47.49</v>
      </c>
      <c r="C100" s="64">
        <v>99.02</v>
      </c>
      <c r="D100" s="64">
        <v>89.82</v>
      </c>
      <c r="E100" s="64">
        <v>5.82</v>
      </c>
      <c r="F100" s="64">
        <v>8.09</v>
      </c>
      <c r="G100" s="64">
        <v>69.7</v>
      </c>
      <c r="H100" s="64">
        <v>23.46</v>
      </c>
      <c r="I100" s="64">
        <v>4.1100000000000003</v>
      </c>
      <c r="J100" s="64">
        <v>0.01</v>
      </c>
      <c r="K100" s="64">
        <v>125.72</v>
      </c>
      <c r="L100" s="64">
        <v>22.06</v>
      </c>
      <c r="M100" s="64">
        <v>37.24</v>
      </c>
      <c r="N100" s="64">
        <v>65.099999999999994</v>
      </c>
      <c r="O100" s="64">
        <v>0</v>
      </c>
      <c r="P100" s="64">
        <v>1.27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1584</v>
      </c>
      <c r="B101" s="64">
        <v>25.93</v>
      </c>
      <c r="C101" s="64">
        <v>93.84</v>
      </c>
      <c r="D101" s="64">
        <v>69.819999999999993</v>
      </c>
      <c r="E101" s="64">
        <v>6.85</v>
      </c>
      <c r="F101" s="64">
        <v>9.43</v>
      </c>
      <c r="G101" s="64">
        <v>65.930000000000007</v>
      </c>
      <c r="H101" s="64">
        <v>21.39</v>
      </c>
      <c r="I101" s="64">
        <v>4.0999999999999996</v>
      </c>
      <c r="J101" s="64">
        <v>0.31</v>
      </c>
      <c r="K101" s="64">
        <v>189.6</v>
      </c>
      <c r="L101" s="64">
        <v>21.92</v>
      </c>
      <c r="M101" s="64">
        <v>37.32</v>
      </c>
      <c r="N101" s="64">
        <v>64.599999999999994</v>
      </c>
      <c r="O101" s="64">
        <v>0</v>
      </c>
      <c r="P101" s="64">
        <v>1.1100000000000001</v>
      </c>
      <c r="Q101" s="64">
        <v>9.56</v>
      </c>
      <c r="R101" s="198"/>
      <c r="S101" s="198"/>
      <c r="T101" s="198"/>
      <c r="U101" s="198"/>
    </row>
    <row r="102" spans="1:33" s="12" customFormat="1" x14ac:dyDescent="0.25">
      <c r="A102" s="247" t="s">
        <v>1585</v>
      </c>
      <c r="B102" s="64">
        <v>16.04</v>
      </c>
      <c r="C102" s="64">
        <v>82.66</v>
      </c>
      <c r="D102" s="64">
        <v>56.05</v>
      </c>
      <c r="E102" s="64">
        <v>7.31</v>
      </c>
      <c r="F102" s="64">
        <v>13.42</v>
      </c>
      <c r="G102" s="64">
        <v>65.930000000000007</v>
      </c>
      <c r="H102" s="64">
        <v>21.39</v>
      </c>
      <c r="I102" s="64">
        <v>4</v>
      </c>
      <c r="J102" s="64">
        <v>0.56999999999999995</v>
      </c>
      <c r="K102" s="64">
        <v>349.2</v>
      </c>
      <c r="L102" s="64">
        <v>21.55</v>
      </c>
      <c r="M102" s="64">
        <v>41.49</v>
      </c>
      <c r="N102" s="64">
        <v>65.2</v>
      </c>
      <c r="O102" s="64">
        <v>0</v>
      </c>
      <c r="P102" s="64">
        <v>1.33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47" t="s">
        <v>1586</v>
      </c>
      <c r="B103" s="64">
        <v>17.22</v>
      </c>
      <c r="C103" s="64">
        <v>78.27</v>
      </c>
      <c r="D103" s="64">
        <v>54.7</v>
      </c>
      <c r="E103" s="64">
        <v>6.61</v>
      </c>
      <c r="F103" s="64">
        <v>9.5299999999999994</v>
      </c>
      <c r="G103" s="64">
        <v>65.930000000000007</v>
      </c>
      <c r="H103" s="64">
        <v>21.39</v>
      </c>
      <c r="I103" s="64">
        <v>3.98</v>
      </c>
      <c r="J103" s="64">
        <v>0.66</v>
      </c>
      <c r="K103" s="64">
        <v>205.74</v>
      </c>
      <c r="L103" s="64">
        <v>21.55</v>
      </c>
      <c r="M103" s="64">
        <v>39.96</v>
      </c>
      <c r="N103" s="64">
        <v>63.4</v>
      </c>
      <c r="O103" s="64">
        <v>0</v>
      </c>
      <c r="P103" s="64">
        <v>1.28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47" t="s">
        <v>1587</v>
      </c>
      <c r="B104" s="64">
        <v>15.31</v>
      </c>
      <c r="C104" s="64">
        <v>55.78</v>
      </c>
      <c r="D104" s="64">
        <v>41.42</v>
      </c>
      <c r="E104" s="64">
        <v>5.14</v>
      </c>
      <c r="F104" s="64">
        <v>16.239999999999998</v>
      </c>
      <c r="G104" s="64">
        <v>64.87</v>
      </c>
      <c r="H104" s="64">
        <v>20.170000000000002</v>
      </c>
      <c r="I104" s="64">
        <v>4.0999999999999996</v>
      </c>
      <c r="J104" s="64">
        <v>0.83</v>
      </c>
      <c r="K104" s="64">
        <v>211.09</v>
      </c>
      <c r="L104" s="64">
        <v>22.08</v>
      </c>
      <c r="M104" s="64">
        <v>37.6</v>
      </c>
      <c r="N104" s="64">
        <v>64.2</v>
      </c>
      <c r="O104" s="64">
        <v>0</v>
      </c>
      <c r="P104" s="64">
        <v>1.07</v>
      </c>
      <c r="Q104" s="64">
        <v>9.59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3.18</v>
      </c>
      <c r="C106" s="67">
        <f>MIN(C9:C104)</f>
        <v>37.869999999999997</v>
      </c>
      <c r="D106" s="67">
        <f t="shared" ref="D106:Q106" si="0">MIN(D9:D104)</f>
        <v>22.57</v>
      </c>
      <c r="E106" s="67">
        <f t="shared" si="0"/>
        <v>2.67</v>
      </c>
      <c r="F106" s="67">
        <f t="shared" si="0"/>
        <v>6.71</v>
      </c>
      <c r="G106" s="67">
        <f t="shared" si="0"/>
        <v>38.869999999999997</v>
      </c>
      <c r="H106" s="67">
        <f t="shared" si="0"/>
        <v>2.74</v>
      </c>
      <c r="I106" s="67">
        <f t="shared" si="0"/>
        <v>3.73</v>
      </c>
      <c r="J106" s="67">
        <f t="shared" si="0"/>
        <v>0.01</v>
      </c>
      <c r="K106" s="67">
        <f t="shared" si="0"/>
        <v>17.190000000000001</v>
      </c>
      <c r="L106" s="67">
        <f t="shared" si="0"/>
        <v>19.23</v>
      </c>
      <c r="M106" s="67">
        <f t="shared" si="0"/>
        <v>14.27</v>
      </c>
      <c r="N106" s="67">
        <f t="shared" si="0"/>
        <v>63.4</v>
      </c>
      <c r="O106" s="67">
        <f t="shared" si="0"/>
        <v>0</v>
      </c>
      <c r="P106" s="67">
        <f t="shared" si="0"/>
        <v>0.53</v>
      </c>
      <c r="Q106" s="67">
        <f t="shared" si="0"/>
        <v>8.85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80.260000000000005</v>
      </c>
      <c r="C107" s="66">
        <f t="shared" ref="C107:Q107" si="1">MAX(C9:C104)</f>
        <v>115.15</v>
      </c>
      <c r="D107" s="66">
        <f t="shared" si="1"/>
        <v>110.14</v>
      </c>
      <c r="E107" s="66">
        <f t="shared" si="1"/>
        <v>20.81</v>
      </c>
      <c r="F107" s="66">
        <f t="shared" si="1"/>
        <v>45.6</v>
      </c>
      <c r="G107" s="66">
        <f t="shared" si="1"/>
        <v>131.43</v>
      </c>
      <c r="H107" s="66">
        <f t="shared" si="1"/>
        <v>52.45</v>
      </c>
      <c r="I107" s="66">
        <f t="shared" si="1"/>
        <v>4.24</v>
      </c>
      <c r="J107" s="66">
        <f t="shared" si="1"/>
        <v>2.02</v>
      </c>
      <c r="K107" s="66">
        <f t="shared" si="1"/>
        <v>349.2</v>
      </c>
      <c r="L107" s="66">
        <f t="shared" si="1"/>
        <v>38.15</v>
      </c>
      <c r="M107" s="66">
        <f t="shared" si="1"/>
        <v>48.41</v>
      </c>
      <c r="N107" s="66">
        <f t="shared" si="1"/>
        <v>737</v>
      </c>
      <c r="O107" s="66">
        <f t="shared" si="1"/>
        <v>0</v>
      </c>
      <c r="P107" s="66">
        <f t="shared" si="1"/>
        <v>2.59</v>
      </c>
      <c r="Q107" s="66">
        <f t="shared" si="1"/>
        <v>9.89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18.2459375</v>
      </c>
      <c r="C108" s="67">
        <f t="shared" ref="C108:Q108" si="2">AVERAGE(C9:C104)</f>
        <v>63.670416666666625</v>
      </c>
      <c r="D108" s="67">
        <f t="shared" si="2"/>
        <v>47.897395833333327</v>
      </c>
      <c r="E108" s="67">
        <f t="shared" si="2"/>
        <v>6.7265625000000009</v>
      </c>
      <c r="F108" s="67">
        <f t="shared" si="2"/>
        <v>16.996249999999989</v>
      </c>
      <c r="G108" s="67">
        <f t="shared" si="2"/>
        <v>71.11322916666667</v>
      </c>
      <c r="H108" s="67">
        <f t="shared" si="2"/>
        <v>25.110652173913035</v>
      </c>
      <c r="I108" s="67">
        <f t="shared" si="2"/>
        <v>4.0150000000000023</v>
      </c>
      <c r="J108" s="67">
        <f t="shared" si="2"/>
        <v>0.70895833333333336</v>
      </c>
      <c r="K108" s="67">
        <f t="shared" si="2"/>
        <v>253.48822916666657</v>
      </c>
      <c r="L108" s="67">
        <f t="shared" si="2"/>
        <v>26.760729166666678</v>
      </c>
      <c r="M108" s="67">
        <f t="shared" si="2"/>
        <v>30.851562499999986</v>
      </c>
      <c r="N108" s="67">
        <f t="shared" si="2"/>
        <v>242.99270833333333</v>
      </c>
      <c r="O108" s="67">
        <f t="shared" si="2"/>
        <v>0</v>
      </c>
      <c r="P108" s="67">
        <f t="shared" si="2"/>
        <v>1.3351041666666668</v>
      </c>
      <c r="Q108" s="67">
        <f t="shared" si="2"/>
        <v>9.3799999999999972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16.931654228140722</v>
      </c>
      <c r="C109" s="67">
        <f t="shared" ref="C109:Q109" si="3">STDEV(C9:C104)</f>
        <v>15.872510822946921</v>
      </c>
      <c r="D109" s="67">
        <f t="shared" si="3"/>
        <v>20.424812167907387</v>
      </c>
      <c r="E109" s="67">
        <f t="shared" si="3"/>
        <v>3.1584285993362657</v>
      </c>
      <c r="F109" s="67">
        <f t="shared" si="3"/>
        <v>8.6167102343735777</v>
      </c>
      <c r="G109" s="67">
        <f t="shared" si="3"/>
        <v>25.409378065455329</v>
      </c>
      <c r="H109" s="67">
        <f t="shared" si="3"/>
        <v>11.229668201761083</v>
      </c>
      <c r="I109" s="67">
        <f t="shared" si="3"/>
        <v>9.0227781927624373E-2</v>
      </c>
      <c r="J109" s="67">
        <f t="shared" si="3"/>
        <v>0.37606124687809672</v>
      </c>
      <c r="K109" s="67">
        <f t="shared" si="3"/>
        <v>61.110446638934889</v>
      </c>
      <c r="L109" s="67">
        <f t="shared" si="3"/>
        <v>6.1489545957515039</v>
      </c>
      <c r="M109" s="67">
        <f t="shared" si="3"/>
        <v>11.17430438933569</v>
      </c>
      <c r="N109" s="67">
        <f t="shared" si="3"/>
        <v>250.45068397624041</v>
      </c>
      <c r="O109" s="67">
        <f t="shared" si="3"/>
        <v>0</v>
      </c>
      <c r="P109" s="67">
        <f t="shared" si="3"/>
        <v>0.60305711485059987</v>
      </c>
      <c r="Q109" s="67">
        <f t="shared" si="3"/>
        <v>0.31666685133881972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1588</v>
      </c>
      <c r="B9" s="64">
        <v>12.97</v>
      </c>
      <c r="C9" s="64">
        <v>55.03</v>
      </c>
      <c r="D9" s="64">
        <v>39.15</v>
      </c>
      <c r="E9" s="64">
        <v>6.84</v>
      </c>
      <c r="F9" s="64">
        <v>16.940000000000001</v>
      </c>
      <c r="G9" s="64">
        <v>61.96</v>
      </c>
      <c r="H9" s="64">
        <v>16.829999999999998</v>
      </c>
      <c r="I9" s="64">
        <v>4.1500000000000004</v>
      </c>
      <c r="J9" s="64">
        <v>0.7</v>
      </c>
      <c r="K9" s="64">
        <v>326.75</v>
      </c>
      <c r="L9" s="64">
        <v>21.21</v>
      </c>
      <c r="M9" s="64">
        <v>41.79</v>
      </c>
      <c r="N9" s="64">
        <v>65.400000000000006</v>
      </c>
      <c r="O9" s="64">
        <v>0</v>
      </c>
      <c r="P9" s="64">
        <v>1.08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47" t="s">
        <v>1589</v>
      </c>
      <c r="B10" s="64">
        <v>11.91</v>
      </c>
      <c r="C10" s="64">
        <v>54.99</v>
      </c>
      <c r="D10" s="64">
        <v>38.28</v>
      </c>
      <c r="E10" s="64">
        <v>6.75</v>
      </c>
      <c r="F10" s="64">
        <v>14.75</v>
      </c>
      <c r="G10" s="64">
        <v>61.96</v>
      </c>
      <c r="H10" s="64">
        <v>16.829999999999998</v>
      </c>
      <c r="I10" s="64">
        <v>4.01</v>
      </c>
      <c r="J10" s="64">
        <v>0.36</v>
      </c>
      <c r="K10" s="64">
        <v>347.21</v>
      </c>
      <c r="L10" s="64">
        <v>20.36</v>
      </c>
      <c r="M10" s="64">
        <v>44.77</v>
      </c>
      <c r="N10" s="64">
        <v>65.400000000000006</v>
      </c>
      <c r="O10" s="64">
        <v>0</v>
      </c>
      <c r="P10" s="64">
        <v>1.06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47" t="s">
        <v>1590</v>
      </c>
      <c r="B11" s="64">
        <v>11.78</v>
      </c>
      <c r="C11" s="64">
        <v>52.57</v>
      </c>
      <c r="D11" s="64">
        <v>36.909999999999997</v>
      </c>
      <c r="E11" s="64">
        <v>6.46</v>
      </c>
      <c r="F11" s="64">
        <v>14.97</v>
      </c>
      <c r="G11" s="64">
        <v>61.96</v>
      </c>
      <c r="H11" s="64">
        <v>16.829999999999998</v>
      </c>
      <c r="I11" s="64">
        <v>3.86</v>
      </c>
      <c r="J11" s="64">
        <v>0.02</v>
      </c>
      <c r="K11" s="64">
        <v>284.10000000000002</v>
      </c>
      <c r="L11" s="64">
        <v>20.260000000000002</v>
      </c>
      <c r="M11" s="64">
        <v>44.92</v>
      </c>
      <c r="N11" s="64">
        <v>64.7</v>
      </c>
      <c r="O11" s="64">
        <v>0</v>
      </c>
      <c r="P11" s="64">
        <v>1.03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47" t="s">
        <v>1591</v>
      </c>
      <c r="B12" s="64">
        <v>17.04</v>
      </c>
      <c r="C12" s="64">
        <v>57.79</v>
      </c>
      <c r="D12" s="64">
        <v>43.86</v>
      </c>
      <c r="E12" s="64">
        <v>4.83</v>
      </c>
      <c r="F12" s="64">
        <v>9.4499999999999993</v>
      </c>
      <c r="G12" s="64">
        <v>60.43</v>
      </c>
      <c r="H12" s="64">
        <v>17.78</v>
      </c>
      <c r="I12" s="64">
        <v>4.0999999999999996</v>
      </c>
      <c r="J12" s="64">
        <v>0.44</v>
      </c>
      <c r="K12" s="64">
        <v>311.92</v>
      </c>
      <c r="L12" s="64">
        <v>20.09</v>
      </c>
      <c r="M12" s="64">
        <v>48.31</v>
      </c>
      <c r="N12" s="64">
        <v>64.900000000000006</v>
      </c>
      <c r="O12" s="64">
        <v>0</v>
      </c>
      <c r="P12" s="64">
        <v>1.1499999999999999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47" t="s">
        <v>1592</v>
      </c>
      <c r="B13" s="64">
        <v>16.739999999999998</v>
      </c>
      <c r="C13" s="64">
        <v>57.15</v>
      </c>
      <c r="D13" s="64">
        <v>43.29</v>
      </c>
      <c r="E13" s="64">
        <v>4.5999999999999996</v>
      </c>
      <c r="F13" s="64">
        <v>9.73</v>
      </c>
      <c r="G13" s="64">
        <v>56.24</v>
      </c>
      <c r="H13" s="64">
        <v>20.37</v>
      </c>
      <c r="I13" s="64">
        <v>3.91</v>
      </c>
      <c r="J13" s="64">
        <v>0.78</v>
      </c>
      <c r="K13" s="64">
        <v>321.42</v>
      </c>
      <c r="L13" s="64">
        <v>19.68</v>
      </c>
      <c r="M13" s="64">
        <v>47.14</v>
      </c>
      <c r="N13" s="64">
        <v>64.7</v>
      </c>
      <c r="O13" s="64">
        <v>0</v>
      </c>
      <c r="P13" s="64">
        <v>0.97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47" t="s">
        <v>1593</v>
      </c>
      <c r="B14" s="64">
        <v>15.7</v>
      </c>
      <c r="C14" s="64">
        <v>55.39</v>
      </c>
      <c r="D14" s="64">
        <v>41.53</v>
      </c>
      <c r="E14" s="64">
        <v>4.18</v>
      </c>
      <c r="F14" s="64">
        <v>11.44</v>
      </c>
      <c r="G14" s="64">
        <v>56.24</v>
      </c>
      <c r="H14" s="64">
        <v>20.37</v>
      </c>
      <c r="I14" s="64">
        <v>4.08</v>
      </c>
      <c r="J14" s="64">
        <v>0.77</v>
      </c>
      <c r="K14" s="64">
        <v>196.15</v>
      </c>
      <c r="L14" s="64">
        <v>20.23</v>
      </c>
      <c r="M14" s="64">
        <v>41.17</v>
      </c>
      <c r="N14" s="64">
        <v>63.6</v>
      </c>
      <c r="O14" s="64">
        <v>0</v>
      </c>
      <c r="P14" s="64">
        <v>1.03</v>
      </c>
      <c r="Q14" s="64">
        <v>9.57</v>
      </c>
      <c r="R14" s="198"/>
      <c r="S14" s="198"/>
      <c r="T14" s="198"/>
      <c r="U14" s="198"/>
    </row>
    <row r="15" spans="1:21" s="12" customFormat="1" x14ac:dyDescent="0.25">
      <c r="A15" s="247" t="s">
        <v>1594</v>
      </c>
      <c r="B15" s="64">
        <v>14.32</v>
      </c>
      <c r="C15" s="64">
        <v>54.61</v>
      </c>
      <c r="D15" s="64">
        <v>40.020000000000003</v>
      </c>
      <c r="E15" s="64">
        <v>4.63</v>
      </c>
      <c r="F15" s="64">
        <v>13.92</v>
      </c>
      <c r="G15" s="64">
        <v>56.24</v>
      </c>
      <c r="H15" s="64">
        <v>20.37</v>
      </c>
      <c r="I15" s="64">
        <v>3.96</v>
      </c>
      <c r="J15" s="64">
        <v>0.81</v>
      </c>
      <c r="K15" s="64">
        <v>230.13</v>
      </c>
      <c r="L15" s="64">
        <v>20.79</v>
      </c>
      <c r="M15" s="64">
        <v>39.04</v>
      </c>
      <c r="N15" s="64">
        <v>64.5</v>
      </c>
      <c r="O15" s="64">
        <v>0</v>
      </c>
      <c r="P15" s="64">
        <v>0.97</v>
      </c>
      <c r="Q15" s="64">
        <v>9.57</v>
      </c>
      <c r="R15" s="198"/>
      <c r="S15" s="198"/>
      <c r="T15" s="198"/>
      <c r="U15" s="198"/>
    </row>
    <row r="16" spans="1:21" s="12" customFormat="1" x14ac:dyDescent="0.25">
      <c r="A16" s="247" t="s">
        <v>1595</v>
      </c>
      <c r="B16" s="64">
        <v>11.62</v>
      </c>
      <c r="C16" s="64">
        <v>50.57</v>
      </c>
      <c r="D16" s="64">
        <v>35.74</v>
      </c>
      <c r="E16" s="64">
        <v>4.5599999999999996</v>
      </c>
      <c r="F16" s="64">
        <v>13.96</v>
      </c>
      <c r="G16" s="64">
        <v>54.39</v>
      </c>
      <c r="H16" s="64">
        <v>19.190000000000001</v>
      </c>
      <c r="I16" s="64">
        <v>4.1500000000000004</v>
      </c>
      <c r="J16" s="64">
        <v>0.53</v>
      </c>
      <c r="K16" s="64">
        <v>208.79</v>
      </c>
      <c r="L16" s="64">
        <v>20.73</v>
      </c>
      <c r="M16" s="64">
        <v>39.65</v>
      </c>
      <c r="N16" s="64">
        <v>64.400000000000006</v>
      </c>
      <c r="O16" s="64">
        <v>0</v>
      </c>
      <c r="P16" s="64">
        <v>0.94</v>
      </c>
      <c r="Q16" s="64">
        <v>9.58</v>
      </c>
      <c r="R16" s="198"/>
      <c r="S16" s="198"/>
      <c r="T16" s="198"/>
      <c r="U16" s="198"/>
    </row>
    <row r="17" spans="1:21" s="12" customFormat="1" x14ac:dyDescent="0.25">
      <c r="A17" s="247" t="s">
        <v>1596</v>
      </c>
      <c r="B17" s="64">
        <v>11.72</v>
      </c>
      <c r="C17" s="64">
        <v>54.45</v>
      </c>
      <c r="D17" s="64">
        <v>37.85</v>
      </c>
      <c r="E17" s="64">
        <v>3.97</v>
      </c>
      <c r="F17" s="64">
        <v>9.6300000000000008</v>
      </c>
      <c r="G17" s="64">
        <v>48.99</v>
      </c>
      <c r="H17" s="64">
        <v>15.75</v>
      </c>
      <c r="I17" s="64">
        <v>3.97</v>
      </c>
      <c r="J17" s="64">
        <v>0.53</v>
      </c>
      <c r="K17" s="64">
        <v>319.45</v>
      </c>
      <c r="L17" s="64">
        <v>20.010000000000002</v>
      </c>
      <c r="M17" s="64">
        <v>47.29</v>
      </c>
      <c r="N17" s="64">
        <v>65.5</v>
      </c>
      <c r="O17" s="64">
        <v>0</v>
      </c>
      <c r="P17" s="64">
        <v>0.97</v>
      </c>
      <c r="Q17" s="64">
        <v>9.5299999999999994</v>
      </c>
      <c r="R17" s="198"/>
      <c r="S17" s="198"/>
      <c r="T17" s="198"/>
      <c r="U17" s="198"/>
    </row>
    <row r="18" spans="1:21" s="12" customFormat="1" x14ac:dyDescent="0.25">
      <c r="A18" s="247" t="s">
        <v>1597</v>
      </c>
      <c r="B18" s="64">
        <v>11.08</v>
      </c>
      <c r="C18" s="64">
        <v>54.23</v>
      </c>
      <c r="D18" s="64">
        <v>37.22</v>
      </c>
      <c r="E18" s="64">
        <v>3.62</v>
      </c>
      <c r="F18" s="64">
        <v>10.42</v>
      </c>
      <c r="G18" s="64">
        <v>48.99</v>
      </c>
      <c r="H18" s="64">
        <v>15.75</v>
      </c>
      <c r="I18" s="64">
        <v>3.96</v>
      </c>
      <c r="J18" s="64">
        <v>0.15</v>
      </c>
      <c r="K18" s="64">
        <v>31.73</v>
      </c>
      <c r="L18" s="64">
        <v>19.48</v>
      </c>
      <c r="M18" s="64">
        <v>46.47</v>
      </c>
      <c r="N18" s="64">
        <v>64.8</v>
      </c>
      <c r="O18" s="64">
        <v>0</v>
      </c>
      <c r="P18" s="64">
        <v>0.95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47" t="s">
        <v>1598</v>
      </c>
      <c r="B19" s="64">
        <v>11.06</v>
      </c>
      <c r="C19" s="64">
        <v>56.52</v>
      </c>
      <c r="D19" s="64">
        <v>38.4</v>
      </c>
      <c r="E19" s="64">
        <v>3.61</v>
      </c>
      <c r="F19" s="64">
        <v>9.57</v>
      </c>
      <c r="G19" s="64">
        <v>48.99</v>
      </c>
      <c r="H19" s="64">
        <v>15.75</v>
      </c>
      <c r="I19" s="64">
        <v>3.84</v>
      </c>
      <c r="J19" s="64">
        <v>0.16</v>
      </c>
      <c r="K19" s="64">
        <v>118.08</v>
      </c>
      <c r="L19" s="64">
        <v>19.329999999999998</v>
      </c>
      <c r="M19" s="64">
        <v>47.98</v>
      </c>
      <c r="N19" s="64">
        <v>65</v>
      </c>
      <c r="O19" s="64">
        <v>0</v>
      </c>
      <c r="P19" s="64">
        <v>0.94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47" t="s">
        <v>1599</v>
      </c>
      <c r="B20" s="64">
        <v>10.210000000000001</v>
      </c>
      <c r="C20" s="64">
        <v>56.69</v>
      </c>
      <c r="D20" s="64">
        <v>37.799999999999997</v>
      </c>
      <c r="E20" s="64">
        <v>3.62</v>
      </c>
      <c r="F20" s="64">
        <v>10.37</v>
      </c>
      <c r="G20" s="64">
        <v>48.48</v>
      </c>
      <c r="H20" s="64">
        <v>13.48</v>
      </c>
      <c r="I20" s="64">
        <v>4.04</v>
      </c>
      <c r="J20" s="64">
        <v>0.22</v>
      </c>
      <c r="K20" s="64">
        <v>46.11</v>
      </c>
      <c r="L20" s="64">
        <v>19.03</v>
      </c>
      <c r="M20" s="64">
        <v>49.43</v>
      </c>
      <c r="N20" s="64">
        <v>65.099999999999994</v>
      </c>
      <c r="O20" s="64">
        <v>0</v>
      </c>
      <c r="P20" s="64">
        <v>0.9</v>
      </c>
      <c r="Q20" s="64">
        <v>9.3800000000000008</v>
      </c>
      <c r="R20" s="198"/>
      <c r="S20" s="198"/>
      <c r="T20" s="198"/>
      <c r="U20" s="198"/>
    </row>
    <row r="21" spans="1:21" s="12" customFormat="1" x14ac:dyDescent="0.25">
      <c r="A21" s="247" t="s">
        <v>1600</v>
      </c>
      <c r="B21" s="64">
        <v>9.44</v>
      </c>
      <c r="C21" s="64">
        <v>55.17</v>
      </c>
      <c r="D21" s="64">
        <v>36.4</v>
      </c>
      <c r="E21" s="64">
        <v>3.28</v>
      </c>
      <c r="F21" s="64">
        <v>8.59</v>
      </c>
      <c r="G21" s="64">
        <v>47.07</v>
      </c>
      <c r="H21" s="64">
        <v>7.25</v>
      </c>
      <c r="I21" s="64">
        <v>4.12</v>
      </c>
      <c r="J21" s="64">
        <v>0.24</v>
      </c>
      <c r="K21" s="64">
        <v>1.75</v>
      </c>
      <c r="L21" s="64">
        <v>18.989999999999998</v>
      </c>
      <c r="M21" s="64">
        <v>50.54</v>
      </c>
      <c r="N21" s="64">
        <v>64.900000000000006</v>
      </c>
      <c r="O21" s="64">
        <v>0</v>
      </c>
      <c r="P21" s="64">
        <v>0.9</v>
      </c>
      <c r="Q21" s="64">
        <v>9.39</v>
      </c>
      <c r="R21" s="198"/>
      <c r="S21" s="198"/>
      <c r="T21" s="198"/>
      <c r="U21" s="198"/>
    </row>
    <row r="22" spans="1:21" s="12" customFormat="1" x14ac:dyDescent="0.25">
      <c r="A22" s="247" t="s">
        <v>1601</v>
      </c>
      <c r="B22" s="64">
        <v>8.86</v>
      </c>
      <c r="C22" s="64">
        <v>56.05</v>
      </c>
      <c r="D22" s="64">
        <v>36.39</v>
      </c>
      <c r="E22" s="64">
        <v>3.42</v>
      </c>
      <c r="F22" s="64">
        <v>10.62</v>
      </c>
      <c r="G22" s="64">
        <v>47.07</v>
      </c>
      <c r="H22" s="64">
        <v>7.25</v>
      </c>
      <c r="I22" s="64">
        <v>3.94</v>
      </c>
      <c r="J22" s="64">
        <v>0.47</v>
      </c>
      <c r="K22" s="64">
        <v>221.76</v>
      </c>
      <c r="L22" s="64">
        <v>18.84</v>
      </c>
      <c r="M22" s="64">
        <v>51.6</v>
      </c>
      <c r="N22" s="64">
        <v>64.8</v>
      </c>
      <c r="O22" s="64">
        <v>0</v>
      </c>
      <c r="P22" s="64">
        <v>0.84</v>
      </c>
      <c r="Q22" s="64">
        <v>9.36</v>
      </c>
      <c r="R22" s="198"/>
      <c r="S22" s="198"/>
      <c r="T22" s="198"/>
      <c r="U22" s="198"/>
    </row>
    <row r="23" spans="1:21" s="12" customFormat="1" x14ac:dyDescent="0.25">
      <c r="A23" s="247" t="s">
        <v>1602</v>
      </c>
      <c r="B23" s="64">
        <v>8.08</v>
      </c>
      <c r="C23" s="64">
        <v>51.42</v>
      </c>
      <c r="D23" s="64">
        <v>33.35</v>
      </c>
      <c r="E23" s="64">
        <v>3.72</v>
      </c>
      <c r="F23" s="64">
        <v>12.94</v>
      </c>
      <c r="G23" s="64">
        <v>47.07</v>
      </c>
      <c r="H23" s="64">
        <v>7.25</v>
      </c>
      <c r="I23" s="64">
        <v>4.03</v>
      </c>
      <c r="J23" s="64">
        <v>0.56999999999999995</v>
      </c>
      <c r="K23" s="64">
        <v>192.92</v>
      </c>
      <c r="L23" s="64">
        <v>19.7</v>
      </c>
      <c r="M23" s="64">
        <v>45.59</v>
      </c>
      <c r="N23" s="64">
        <v>63.5</v>
      </c>
      <c r="O23" s="64">
        <v>0</v>
      </c>
      <c r="P23" s="64">
        <v>0.86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47" t="s">
        <v>1603</v>
      </c>
      <c r="B24" s="64">
        <v>8.32</v>
      </c>
      <c r="C24" s="64">
        <v>46.32</v>
      </c>
      <c r="D24" s="64">
        <v>30.87</v>
      </c>
      <c r="E24" s="64">
        <v>4.7300000000000004</v>
      </c>
      <c r="F24" s="64">
        <v>14.91</v>
      </c>
      <c r="G24" s="64">
        <v>44.82</v>
      </c>
      <c r="H24" s="64">
        <v>6.31</v>
      </c>
      <c r="I24" s="64">
        <v>3.97</v>
      </c>
      <c r="J24" s="64">
        <v>0.61</v>
      </c>
      <c r="K24" s="64">
        <v>344.64</v>
      </c>
      <c r="L24" s="64">
        <v>19.25</v>
      </c>
      <c r="M24" s="64">
        <v>47.98</v>
      </c>
      <c r="N24" s="64">
        <v>65.400000000000006</v>
      </c>
      <c r="O24" s="64">
        <v>0</v>
      </c>
      <c r="P24" s="64">
        <v>0.82</v>
      </c>
      <c r="Q24" s="64">
        <v>9.3699999999999992</v>
      </c>
      <c r="R24" s="198"/>
      <c r="S24" s="198"/>
      <c r="T24" s="198"/>
      <c r="U24" s="198"/>
    </row>
    <row r="25" spans="1:21" s="12" customFormat="1" x14ac:dyDescent="0.25">
      <c r="A25" s="247" t="s">
        <v>1604</v>
      </c>
      <c r="B25" s="64">
        <v>7.52</v>
      </c>
      <c r="C25" s="64">
        <v>46.48</v>
      </c>
      <c r="D25" s="64">
        <v>30.31</v>
      </c>
      <c r="E25" s="64">
        <v>4.3499999999999996</v>
      </c>
      <c r="F25" s="64">
        <v>13.12</v>
      </c>
      <c r="G25" s="64">
        <v>38.28</v>
      </c>
      <c r="H25" s="64">
        <v>3.73</v>
      </c>
      <c r="I25" s="64">
        <v>3.94</v>
      </c>
      <c r="J25" s="64">
        <v>0.42</v>
      </c>
      <c r="K25" s="64">
        <v>345.46</v>
      </c>
      <c r="L25" s="64">
        <v>18.55</v>
      </c>
      <c r="M25" s="64">
        <v>52.8</v>
      </c>
      <c r="N25" s="64">
        <v>65.400000000000006</v>
      </c>
      <c r="O25" s="64">
        <v>0</v>
      </c>
      <c r="P25" s="64">
        <v>0.81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47" t="s">
        <v>1605</v>
      </c>
      <c r="B26" s="64">
        <v>8.18</v>
      </c>
      <c r="C26" s="64">
        <v>52.96</v>
      </c>
      <c r="D26" s="64">
        <v>34.229999999999997</v>
      </c>
      <c r="E26" s="64">
        <v>4.41</v>
      </c>
      <c r="F26" s="64">
        <v>10.27</v>
      </c>
      <c r="G26" s="64">
        <v>38.28</v>
      </c>
      <c r="H26" s="64">
        <v>3.73</v>
      </c>
      <c r="I26" s="64">
        <v>4</v>
      </c>
      <c r="J26" s="64">
        <v>0.12</v>
      </c>
      <c r="K26" s="64">
        <v>218.35</v>
      </c>
      <c r="L26" s="64">
        <v>18.600000000000001</v>
      </c>
      <c r="M26" s="64">
        <v>54.19</v>
      </c>
      <c r="N26" s="64">
        <v>64.7</v>
      </c>
      <c r="O26" s="64">
        <v>0</v>
      </c>
      <c r="P26" s="64">
        <v>0.83</v>
      </c>
      <c r="Q26" s="64">
        <v>9.35</v>
      </c>
      <c r="R26" s="198"/>
      <c r="S26" s="198"/>
      <c r="T26" s="198"/>
      <c r="U26" s="198"/>
    </row>
    <row r="27" spans="1:21" s="12" customFormat="1" x14ac:dyDescent="0.25">
      <c r="A27" s="247" t="s">
        <v>1606</v>
      </c>
      <c r="B27" s="64">
        <v>9.51</v>
      </c>
      <c r="C27" s="64">
        <v>55.78</v>
      </c>
      <c r="D27" s="64">
        <v>36.770000000000003</v>
      </c>
      <c r="E27" s="64">
        <v>4.37</v>
      </c>
      <c r="F27" s="64">
        <v>9.74</v>
      </c>
      <c r="G27" s="64">
        <v>38.28</v>
      </c>
      <c r="H27" s="64">
        <v>3.73</v>
      </c>
      <c r="I27" s="64">
        <v>4.05</v>
      </c>
      <c r="J27" s="64">
        <v>0.48</v>
      </c>
      <c r="K27" s="64">
        <v>301.08999999999997</v>
      </c>
      <c r="L27" s="64">
        <v>18.59</v>
      </c>
      <c r="M27" s="64">
        <v>56.64</v>
      </c>
      <c r="N27" s="64">
        <v>65.099999999999994</v>
      </c>
      <c r="O27" s="64">
        <v>0</v>
      </c>
      <c r="P27" s="64">
        <v>0.8</v>
      </c>
      <c r="Q27" s="64">
        <v>9.34</v>
      </c>
      <c r="R27" s="198"/>
      <c r="S27" s="198"/>
      <c r="T27" s="198"/>
      <c r="U27" s="198"/>
    </row>
    <row r="28" spans="1:21" s="12" customFormat="1" x14ac:dyDescent="0.25">
      <c r="A28" s="247" t="s">
        <v>1607</v>
      </c>
      <c r="B28" s="64">
        <v>10.19</v>
      </c>
      <c r="C28" s="64">
        <v>55.35</v>
      </c>
      <c r="D28" s="64">
        <v>37.090000000000003</v>
      </c>
      <c r="E28" s="64">
        <v>3.79</v>
      </c>
      <c r="F28" s="64">
        <v>8.5399999999999991</v>
      </c>
      <c r="G28" s="64">
        <v>38.51</v>
      </c>
      <c r="H28" s="64">
        <v>4.62</v>
      </c>
      <c r="I28" s="64">
        <v>3.79</v>
      </c>
      <c r="J28" s="64">
        <v>0.13</v>
      </c>
      <c r="K28" s="64">
        <v>14.08</v>
      </c>
      <c r="L28" s="64">
        <v>18.170000000000002</v>
      </c>
      <c r="M28" s="64">
        <v>59.6</v>
      </c>
      <c r="N28" s="64">
        <v>64.900000000000006</v>
      </c>
      <c r="O28" s="64">
        <v>0</v>
      </c>
      <c r="P28" s="64">
        <v>0.85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47" t="s">
        <v>1608</v>
      </c>
      <c r="B29" s="64">
        <v>9.9700000000000006</v>
      </c>
      <c r="C29" s="64">
        <v>58.66</v>
      </c>
      <c r="D29" s="64">
        <v>38.65</v>
      </c>
      <c r="E29" s="64">
        <v>3.64</v>
      </c>
      <c r="F29" s="64">
        <v>7.63</v>
      </c>
      <c r="G29" s="64">
        <v>39.17</v>
      </c>
      <c r="H29" s="64">
        <v>7.08</v>
      </c>
      <c r="I29" s="64">
        <v>4.07</v>
      </c>
      <c r="J29" s="64">
        <v>0.04</v>
      </c>
      <c r="K29" s="64">
        <v>282.45999999999998</v>
      </c>
      <c r="L29" s="64">
        <v>18.27</v>
      </c>
      <c r="M29" s="64">
        <v>57.4</v>
      </c>
      <c r="N29" s="64">
        <v>64.900000000000006</v>
      </c>
      <c r="O29" s="64">
        <v>0</v>
      </c>
      <c r="P29" s="64">
        <v>0.83</v>
      </c>
      <c r="Q29" s="64">
        <v>9.34</v>
      </c>
      <c r="R29" s="198"/>
      <c r="S29" s="198"/>
      <c r="T29" s="198"/>
      <c r="U29" s="198"/>
    </row>
    <row r="30" spans="1:21" s="12" customFormat="1" x14ac:dyDescent="0.25">
      <c r="A30" s="247" t="s">
        <v>1609</v>
      </c>
      <c r="B30" s="64">
        <v>10.77</v>
      </c>
      <c r="C30" s="64">
        <v>58.19</v>
      </c>
      <c r="D30" s="64">
        <v>39.04</v>
      </c>
      <c r="E30" s="64">
        <v>2.95</v>
      </c>
      <c r="F30" s="64">
        <v>7.39</v>
      </c>
      <c r="G30" s="64">
        <v>39.17</v>
      </c>
      <c r="H30" s="64">
        <v>7.08</v>
      </c>
      <c r="I30" s="64">
        <v>4</v>
      </c>
      <c r="J30" s="64">
        <v>0.33</v>
      </c>
      <c r="K30" s="64">
        <v>113.25</v>
      </c>
      <c r="L30" s="64">
        <v>18.23</v>
      </c>
      <c r="M30" s="64">
        <v>57.71</v>
      </c>
      <c r="N30" s="64">
        <v>64.8</v>
      </c>
      <c r="O30" s="64">
        <v>0</v>
      </c>
      <c r="P30" s="64">
        <v>0.87</v>
      </c>
      <c r="Q30" s="64">
        <v>9.35</v>
      </c>
      <c r="R30" s="198"/>
      <c r="S30" s="198"/>
      <c r="T30" s="198"/>
      <c r="U30" s="198"/>
    </row>
    <row r="31" spans="1:21" s="12" customFormat="1" x14ac:dyDescent="0.25">
      <c r="A31" s="247" t="s">
        <v>1610</v>
      </c>
      <c r="B31" s="64">
        <v>11.67</v>
      </c>
      <c r="C31" s="64">
        <v>59.42</v>
      </c>
      <c r="D31" s="64">
        <v>40.409999999999997</v>
      </c>
      <c r="E31" s="64">
        <v>3.33</v>
      </c>
      <c r="F31" s="64">
        <v>7.13</v>
      </c>
      <c r="G31" s="64">
        <v>39.17</v>
      </c>
      <c r="H31" s="64">
        <v>7.08</v>
      </c>
      <c r="I31" s="64">
        <v>4.1100000000000003</v>
      </c>
      <c r="J31" s="64">
        <v>0.19</v>
      </c>
      <c r="K31" s="64">
        <v>125.65</v>
      </c>
      <c r="L31" s="64">
        <v>18.28</v>
      </c>
      <c r="M31" s="64">
        <v>57.55</v>
      </c>
      <c r="N31" s="64">
        <v>64.8</v>
      </c>
      <c r="O31" s="64">
        <v>0</v>
      </c>
      <c r="P31" s="64">
        <v>0.85</v>
      </c>
      <c r="Q31" s="64">
        <v>9.3699999999999992</v>
      </c>
      <c r="R31" s="198"/>
      <c r="S31" s="198"/>
      <c r="T31" s="198"/>
      <c r="U31" s="198"/>
    </row>
    <row r="32" spans="1:21" s="12" customFormat="1" x14ac:dyDescent="0.25">
      <c r="A32" s="247" t="s">
        <v>1611</v>
      </c>
      <c r="B32" s="64">
        <v>12.39</v>
      </c>
      <c r="C32" s="64">
        <v>59.69</v>
      </c>
      <c r="D32" s="64">
        <v>41.12</v>
      </c>
      <c r="E32" s="64">
        <v>2.84</v>
      </c>
      <c r="F32" s="64">
        <v>7.13</v>
      </c>
      <c r="G32" s="64">
        <v>39.76</v>
      </c>
      <c r="H32" s="64">
        <v>10.11</v>
      </c>
      <c r="I32" s="64">
        <v>4.0999999999999996</v>
      </c>
      <c r="J32" s="64">
        <v>0.57999999999999996</v>
      </c>
      <c r="K32" s="64">
        <v>168.88</v>
      </c>
      <c r="L32" s="64">
        <v>19.28</v>
      </c>
      <c r="M32" s="64">
        <v>51.75</v>
      </c>
      <c r="N32" s="64">
        <v>63.8</v>
      </c>
      <c r="O32" s="64">
        <v>0</v>
      </c>
      <c r="P32" s="64">
        <v>0.85</v>
      </c>
      <c r="Q32" s="64">
        <v>9.39</v>
      </c>
      <c r="R32" s="198"/>
      <c r="S32" s="198"/>
      <c r="T32" s="198"/>
      <c r="U32" s="198"/>
    </row>
    <row r="33" spans="1:21" s="12" customFormat="1" x14ac:dyDescent="0.25">
      <c r="A33" s="247" t="s">
        <v>1612</v>
      </c>
      <c r="B33" s="64">
        <v>13.24</v>
      </c>
      <c r="C33" s="64">
        <v>59.39</v>
      </c>
      <c r="D33" s="64">
        <v>41.65</v>
      </c>
      <c r="E33" s="64">
        <v>2.59</v>
      </c>
      <c r="F33" s="64">
        <v>6.83</v>
      </c>
      <c r="G33" s="64">
        <v>41.38</v>
      </c>
      <c r="H33" s="64">
        <v>18.46</v>
      </c>
      <c r="I33" s="64">
        <v>4</v>
      </c>
      <c r="J33" s="64">
        <v>0.22</v>
      </c>
      <c r="K33" s="64">
        <v>153.41999999999999</v>
      </c>
      <c r="L33" s="64">
        <v>19.38</v>
      </c>
      <c r="M33" s="64">
        <v>55.01</v>
      </c>
      <c r="N33" s="64">
        <v>68</v>
      </c>
      <c r="O33" s="64">
        <v>0</v>
      </c>
      <c r="P33" s="64">
        <v>0.86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47" t="s">
        <v>1613</v>
      </c>
      <c r="B34" s="64">
        <v>17.62</v>
      </c>
      <c r="C34" s="64">
        <v>61.2</v>
      </c>
      <c r="D34" s="64">
        <v>46.1</v>
      </c>
      <c r="E34" s="64">
        <v>2.8</v>
      </c>
      <c r="F34" s="64">
        <v>7.28</v>
      </c>
      <c r="G34" s="64">
        <v>41.38</v>
      </c>
      <c r="H34" s="64">
        <v>18.46</v>
      </c>
      <c r="I34" s="64">
        <v>3.86</v>
      </c>
      <c r="J34" s="64">
        <v>0.56000000000000005</v>
      </c>
      <c r="K34" s="64">
        <v>341.8</v>
      </c>
      <c r="L34" s="64">
        <v>18.73</v>
      </c>
      <c r="M34" s="64">
        <v>61.2</v>
      </c>
      <c r="N34" s="64">
        <v>79</v>
      </c>
      <c r="O34" s="64">
        <v>0</v>
      </c>
      <c r="P34" s="64">
        <v>0.89</v>
      </c>
      <c r="Q34" s="64">
        <v>9.4499999999999993</v>
      </c>
      <c r="R34" s="198"/>
      <c r="S34" s="198"/>
      <c r="T34" s="198"/>
      <c r="U34" s="198"/>
    </row>
    <row r="35" spans="1:21" s="12" customFormat="1" x14ac:dyDescent="0.25">
      <c r="A35" s="247" t="s">
        <v>1614</v>
      </c>
      <c r="B35" s="64">
        <v>18.309999999999999</v>
      </c>
      <c r="C35" s="64">
        <v>62.11</v>
      </c>
      <c r="D35" s="64">
        <v>47.14</v>
      </c>
      <c r="E35" s="64">
        <v>2.58</v>
      </c>
      <c r="F35" s="64">
        <v>6.58</v>
      </c>
      <c r="G35" s="64">
        <v>41.38</v>
      </c>
      <c r="H35" s="64">
        <v>18.46</v>
      </c>
      <c r="I35" s="64">
        <v>3.97</v>
      </c>
      <c r="J35" s="64">
        <v>0.31</v>
      </c>
      <c r="K35" s="64">
        <v>317.70999999999998</v>
      </c>
      <c r="L35" s="64">
        <v>18.43</v>
      </c>
      <c r="M35" s="64">
        <v>61.95</v>
      </c>
      <c r="N35" s="64">
        <v>98.6</v>
      </c>
      <c r="O35" s="64">
        <v>0</v>
      </c>
      <c r="P35" s="64">
        <v>0.9</v>
      </c>
      <c r="Q35" s="64">
        <v>9.51</v>
      </c>
      <c r="R35" s="198"/>
      <c r="S35" s="198"/>
      <c r="T35" s="198"/>
      <c r="U35" s="198"/>
    </row>
    <row r="36" spans="1:21" s="12" customFormat="1" x14ac:dyDescent="0.25">
      <c r="A36" s="247" t="s">
        <v>1615</v>
      </c>
      <c r="B36" s="64">
        <v>29.72</v>
      </c>
      <c r="C36" s="64">
        <v>66.959999999999994</v>
      </c>
      <c r="D36" s="64">
        <v>58.82</v>
      </c>
      <c r="E36" s="64">
        <v>3.05</v>
      </c>
      <c r="F36" s="64">
        <v>6.25</v>
      </c>
      <c r="G36" s="64">
        <v>43.46</v>
      </c>
      <c r="H36" s="64">
        <v>19.309999999999999</v>
      </c>
      <c r="I36" s="64">
        <v>3.97</v>
      </c>
      <c r="J36" s="64">
        <v>0.17</v>
      </c>
      <c r="K36" s="64">
        <v>348.34</v>
      </c>
      <c r="L36" s="64">
        <v>19.25</v>
      </c>
      <c r="M36" s="64">
        <v>57.85</v>
      </c>
      <c r="N36" s="64">
        <v>131.4</v>
      </c>
      <c r="O36" s="64">
        <v>0</v>
      </c>
      <c r="P36" s="64">
        <v>1</v>
      </c>
      <c r="Q36" s="64">
        <v>9.5399999999999991</v>
      </c>
      <c r="R36" s="198"/>
      <c r="S36" s="198"/>
      <c r="T36" s="198"/>
      <c r="U36" s="198"/>
    </row>
    <row r="37" spans="1:21" s="12" customFormat="1" x14ac:dyDescent="0.25">
      <c r="A37" s="247" t="s">
        <v>1616</v>
      </c>
      <c r="B37" s="64">
        <v>24.73</v>
      </c>
      <c r="C37" s="64">
        <v>66.61</v>
      </c>
      <c r="D37" s="64">
        <v>54.63</v>
      </c>
      <c r="E37" s="64">
        <v>3.54</v>
      </c>
      <c r="F37" s="64">
        <v>7.33</v>
      </c>
      <c r="G37" s="64">
        <v>49.19</v>
      </c>
      <c r="H37" s="64">
        <v>21.63</v>
      </c>
      <c r="I37" s="64">
        <v>3.98</v>
      </c>
      <c r="J37" s="64">
        <v>0.44</v>
      </c>
      <c r="K37" s="64">
        <v>274.27</v>
      </c>
      <c r="L37" s="64">
        <v>20.86</v>
      </c>
      <c r="M37" s="64">
        <v>55.12</v>
      </c>
      <c r="N37" s="64">
        <v>167.9</v>
      </c>
      <c r="O37" s="64">
        <v>0</v>
      </c>
      <c r="P37" s="64">
        <v>0.94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47" t="s">
        <v>1617</v>
      </c>
      <c r="B38" s="64">
        <v>22.19</v>
      </c>
      <c r="C38" s="64">
        <v>65.930000000000007</v>
      </c>
      <c r="D38" s="64">
        <v>52.24</v>
      </c>
      <c r="E38" s="64">
        <v>3.44</v>
      </c>
      <c r="F38" s="64">
        <v>8.6300000000000008</v>
      </c>
      <c r="G38" s="64">
        <v>49.19</v>
      </c>
      <c r="H38" s="64">
        <v>21.63</v>
      </c>
      <c r="I38" s="64">
        <v>4.1100000000000003</v>
      </c>
      <c r="J38" s="64">
        <v>0.42</v>
      </c>
      <c r="K38" s="64">
        <v>327.29000000000002</v>
      </c>
      <c r="L38" s="64">
        <v>22.41</v>
      </c>
      <c r="M38" s="64">
        <v>47.53</v>
      </c>
      <c r="N38" s="64">
        <v>211.2</v>
      </c>
      <c r="O38" s="64">
        <v>0</v>
      </c>
      <c r="P38" s="64">
        <v>0.95</v>
      </c>
      <c r="Q38" s="64">
        <v>9.5500000000000007</v>
      </c>
      <c r="R38" s="198"/>
      <c r="S38" s="198"/>
      <c r="T38" s="198"/>
      <c r="U38" s="198"/>
    </row>
    <row r="39" spans="1:21" s="12" customFormat="1" x14ac:dyDescent="0.25">
      <c r="A39" s="247" t="s">
        <v>1618</v>
      </c>
      <c r="B39" s="64">
        <v>20.45</v>
      </c>
      <c r="C39" s="64">
        <v>66.3</v>
      </c>
      <c r="D39" s="64">
        <v>51.04</v>
      </c>
      <c r="E39" s="64">
        <v>4.12</v>
      </c>
      <c r="F39" s="64">
        <v>10.23</v>
      </c>
      <c r="G39" s="64">
        <v>49.19</v>
      </c>
      <c r="H39" s="64">
        <v>21.63</v>
      </c>
      <c r="I39" s="64">
        <v>3.96</v>
      </c>
      <c r="J39" s="64">
        <v>0.67</v>
      </c>
      <c r="K39" s="64">
        <v>157.04</v>
      </c>
      <c r="L39" s="64">
        <v>23.86</v>
      </c>
      <c r="M39" s="64">
        <v>42.49</v>
      </c>
      <c r="N39" s="64">
        <v>253.1</v>
      </c>
      <c r="O39" s="64">
        <v>0</v>
      </c>
      <c r="P39" s="64">
        <v>0.95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47" t="s">
        <v>1619</v>
      </c>
      <c r="B40" s="64">
        <v>19.82</v>
      </c>
      <c r="C40" s="64">
        <v>71.83</v>
      </c>
      <c r="D40" s="64">
        <v>53.43</v>
      </c>
      <c r="E40" s="64">
        <v>6.25</v>
      </c>
      <c r="F40" s="64">
        <v>12.2</v>
      </c>
      <c r="G40" s="64">
        <v>50.24</v>
      </c>
      <c r="H40" s="64">
        <v>21.49</v>
      </c>
      <c r="I40" s="64">
        <v>4.05</v>
      </c>
      <c r="J40" s="64">
        <v>0.3</v>
      </c>
      <c r="K40" s="64">
        <v>171.25</v>
      </c>
      <c r="L40" s="64">
        <v>25.01</v>
      </c>
      <c r="M40" s="64">
        <v>39.11</v>
      </c>
      <c r="N40" s="64">
        <v>292.7</v>
      </c>
      <c r="O40" s="64">
        <v>0</v>
      </c>
      <c r="P40" s="64">
        <v>1.04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47" t="s">
        <v>1620</v>
      </c>
      <c r="B41" s="64">
        <v>17.87</v>
      </c>
      <c r="C41" s="64">
        <v>62.57</v>
      </c>
      <c r="D41" s="64">
        <v>47.02</v>
      </c>
      <c r="E41" s="64">
        <v>4.88</v>
      </c>
      <c r="F41" s="64">
        <v>10.72</v>
      </c>
      <c r="G41" s="64">
        <v>53.13</v>
      </c>
      <c r="H41" s="64">
        <v>21.11</v>
      </c>
      <c r="I41" s="64">
        <v>4.0199999999999996</v>
      </c>
      <c r="J41" s="64">
        <v>1.07</v>
      </c>
      <c r="K41" s="64">
        <v>192.75</v>
      </c>
      <c r="L41" s="64">
        <v>23.87</v>
      </c>
      <c r="M41" s="64">
        <v>39.86</v>
      </c>
      <c r="N41" s="64">
        <v>336.5</v>
      </c>
      <c r="O41" s="64">
        <v>0</v>
      </c>
      <c r="P41" s="64">
        <v>0.95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47" t="s">
        <v>1621</v>
      </c>
      <c r="B42" s="64">
        <v>16.850000000000001</v>
      </c>
      <c r="C42" s="64">
        <v>60.65</v>
      </c>
      <c r="D42" s="64">
        <v>45.2</v>
      </c>
      <c r="E42" s="64">
        <v>4.3899999999999997</v>
      </c>
      <c r="F42" s="64">
        <v>10.210000000000001</v>
      </c>
      <c r="G42" s="64">
        <v>53.13</v>
      </c>
      <c r="H42" s="64">
        <v>21.11</v>
      </c>
      <c r="I42" s="64">
        <v>4.01</v>
      </c>
      <c r="J42" s="64">
        <v>0.6</v>
      </c>
      <c r="K42" s="64">
        <v>206.08</v>
      </c>
      <c r="L42" s="64">
        <v>24.3</v>
      </c>
      <c r="M42" s="64">
        <v>40.21</v>
      </c>
      <c r="N42" s="64">
        <v>367</v>
      </c>
      <c r="O42" s="64">
        <v>0</v>
      </c>
      <c r="P42" s="64">
        <v>0.93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47" t="s">
        <v>1622</v>
      </c>
      <c r="B43" s="64">
        <v>12.36</v>
      </c>
      <c r="C43" s="64">
        <v>55.62</v>
      </c>
      <c r="D43" s="64">
        <v>38.97</v>
      </c>
      <c r="E43" s="64">
        <v>5.82</v>
      </c>
      <c r="F43" s="64">
        <v>16.53</v>
      </c>
      <c r="G43" s="64">
        <v>53.13</v>
      </c>
      <c r="H43" s="64">
        <v>21.11</v>
      </c>
      <c r="I43" s="64">
        <v>3.78</v>
      </c>
      <c r="J43" s="64">
        <v>0.94</v>
      </c>
      <c r="K43" s="64">
        <v>184.03</v>
      </c>
      <c r="L43" s="64">
        <v>25.38</v>
      </c>
      <c r="M43" s="64">
        <v>36.4</v>
      </c>
      <c r="N43" s="64">
        <v>409.5</v>
      </c>
      <c r="O43" s="64">
        <v>0</v>
      </c>
      <c r="P43" s="64">
        <v>0.88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47" t="s">
        <v>1623</v>
      </c>
      <c r="B44" s="64">
        <v>11.8</v>
      </c>
      <c r="C44" s="64">
        <v>55.89</v>
      </c>
      <c r="D44" s="64">
        <v>38.67</v>
      </c>
      <c r="E44" s="64">
        <v>6.31</v>
      </c>
      <c r="F44" s="64">
        <v>16.600000000000001</v>
      </c>
      <c r="G44" s="64">
        <v>52.76</v>
      </c>
      <c r="H44" s="64">
        <v>18.739999999999998</v>
      </c>
      <c r="I44" s="64">
        <v>4.05</v>
      </c>
      <c r="J44" s="64">
        <v>0.92</v>
      </c>
      <c r="K44" s="64">
        <v>193.79</v>
      </c>
      <c r="L44" s="64">
        <v>26.21</v>
      </c>
      <c r="M44" s="64">
        <v>34.53</v>
      </c>
      <c r="N44" s="64">
        <v>456.7</v>
      </c>
      <c r="O44" s="64">
        <v>0</v>
      </c>
      <c r="P44" s="64">
        <v>0.88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47" t="s">
        <v>1624</v>
      </c>
      <c r="B45" s="64">
        <v>11.56</v>
      </c>
      <c r="C45" s="64">
        <v>59.92</v>
      </c>
      <c r="D45" s="64">
        <v>40.58</v>
      </c>
      <c r="E45" s="64">
        <v>6.82</v>
      </c>
      <c r="F45" s="64">
        <v>15.53</v>
      </c>
      <c r="G45" s="64">
        <v>51.74</v>
      </c>
      <c r="H45" s="64">
        <v>12.24</v>
      </c>
      <c r="I45" s="64">
        <v>4.04</v>
      </c>
      <c r="J45" s="64">
        <v>0.6</v>
      </c>
      <c r="K45" s="64">
        <v>223.44</v>
      </c>
      <c r="L45" s="64">
        <v>27.46</v>
      </c>
      <c r="M45" s="64">
        <v>32.96</v>
      </c>
      <c r="N45" s="64">
        <v>492.9</v>
      </c>
      <c r="O45" s="64">
        <v>0</v>
      </c>
      <c r="P45" s="64">
        <v>0.94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47" t="s">
        <v>1625</v>
      </c>
      <c r="B46" s="64">
        <v>10.31</v>
      </c>
      <c r="C46" s="64">
        <v>61.65</v>
      </c>
      <c r="D46" s="64">
        <v>40.47</v>
      </c>
      <c r="E46" s="64">
        <v>7.45</v>
      </c>
      <c r="F46" s="64">
        <v>13.15</v>
      </c>
      <c r="G46" s="64">
        <v>51.74</v>
      </c>
      <c r="H46" s="64">
        <v>12.24</v>
      </c>
      <c r="I46" s="64">
        <v>3.93</v>
      </c>
      <c r="J46" s="64">
        <v>0.61</v>
      </c>
      <c r="K46" s="64">
        <v>251.43</v>
      </c>
      <c r="L46" s="64">
        <v>28.28</v>
      </c>
      <c r="M46" s="64">
        <v>32.26</v>
      </c>
      <c r="N46" s="64">
        <v>523.79999999999995</v>
      </c>
      <c r="O46" s="64">
        <v>0</v>
      </c>
      <c r="P46" s="64">
        <v>0.98</v>
      </c>
      <c r="Q46" s="64">
        <v>9.51</v>
      </c>
      <c r="R46" s="198"/>
      <c r="S46" s="198"/>
      <c r="T46" s="198"/>
      <c r="U46" s="198"/>
    </row>
    <row r="47" spans="1:21" s="12" customFormat="1" x14ac:dyDescent="0.25">
      <c r="A47" s="247" t="s">
        <v>1626</v>
      </c>
      <c r="B47" s="64">
        <v>9.5500000000000007</v>
      </c>
      <c r="C47" s="64">
        <v>66.27</v>
      </c>
      <c r="D47" s="64">
        <v>42.28</v>
      </c>
      <c r="E47" s="64">
        <v>5.28</v>
      </c>
      <c r="F47" s="64">
        <v>8.6199999999999992</v>
      </c>
      <c r="G47" s="64">
        <v>51.74</v>
      </c>
      <c r="H47" s="64">
        <v>12.24</v>
      </c>
      <c r="I47" s="64">
        <v>4.08</v>
      </c>
      <c r="J47" s="64">
        <v>0.73</v>
      </c>
      <c r="K47" s="64">
        <v>209.11</v>
      </c>
      <c r="L47" s="64">
        <v>28.75</v>
      </c>
      <c r="M47" s="64">
        <v>32.020000000000003</v>
      </c>
      <c r="N47" s="64">
        <v>544.6</v>
      </c>
      <c r="O47" s="64">
        <v>0</v>
      </c>
      <c r="P47" s="64">
        <v>0.96</v>
      </c>
      <c r="Q47" s="64">
        <v>9.4600000000000009</v>
      </c>
      <c r="R47" s="198"/>
      <c r="S47" s="198"/>
      <c r="T47" s="198"/>
      <c r="U47" s="198"/>
    </row>
    <row r="48" spans="1:21" s="12" customFormat="1" x14ac:dyDescent="0.25">
      <c r="A48" s="247" t="s">
        <v>1627</v>
      </c>
      <c r="B48" s="64">
        <v>7.76</v>
      </c>
      <c r="C48" s="64">
        <v>69.08</v>
      </c>
      <c r="D48" s="64">
        <v>42.31</v>
      </c>
      <c r="E48" s="64">
        <v>6.22</v>
      </c>
      <c r="F48" s="64">
        <v>11</v>
      </c>
      <c r="G48" s="64">
        <v>54.44</v>
      </c>
      <c r="H48" s="64">
        <v>16.72</v>
      </c>
      <c r="I48" s="64">
        <v>4.01</v>
      </c>
      <c r="J48" s="64">
        <v>0.78</v>
      </c>
      <c r="K48" s="64">
        <v>238.25</v>
      </c>
      <c r="L48" s="64">
        <v>29.15</v>
      </c>
      <c r="M48" s="64">
        <v>31.19</v>
      </c>
      <c r="N48" s="64">
        <v>573.5</v>
      </c>
      <c r="O48" s="64">
        <v>0</v>
      </c>
      <c r="P48" s="64">
        <v>1.06</v>
      </c>
      <c r="Q48" s="64">
        <v>9.39</v>
      </c>
      <c r="R48" s="198"/>
      <c r="S48" s="198"/>
      <c r="T48" s="198"/>
      <c r="U48" s="198"/>
    </row>
    <row r="49" spans="1:21" s="12" customFormat="1" x14ac:dyDescent="0.25">
      <c r="A49" s="247" t="s">
        <v>1628</v>
      </c>
      <c r="B49" s="64">
        <v>5.76</v>
      </c>
      <c r="C49" s="64">
        <v>70.36</v>
      </c>
      <c r="D49" s="64">
        <v>41.38</v>
      </c>
      <c r="E49" s="64">
        <v>6.52</v>
      </c>
      <c r="F49" s="64">
        <v>10.06</v>
      </c>
      <c r="G49" s="64">
        <v>62.28</v>
      </c>
      <c r="H49" s="64">
        <v>29.04</v>
      </c>
      <c r="I49" s="64">
        <v>4.01</v>
      </c>
      <c r="J49" s="64">
        <v>0.74</v>
      </c>
      <c r="K49" s="64">
        <v>272.95999999999998</v>
      </c>
      <c r="L49" s="64">
        <v>30.42</v>
      </c>
      <c r="M49" s="64">
        <v>29.86</v>
      </c>
      <c r="N49" s="64">
        <v>614.79999999999995</v>
      </c>
      <c r="O49" s="64">
        <v>0</v>
      </c>
      <c r="P49" s="64">
        <v>1.06</v>
      </c>
      <c r="Q49" s="64">
        <v>9.3000000000000007</v>
      </c>
      <c r="R49" s="198"/>
      <c r="S49" s="198"/>
      <c r="T49" s="198"/>
      <c r="U49" s="198"/>
    </row>
    <row r="50" spans="1:21" s="12" customFormat="1" x14ac:dyDescent="0.25">
      <c r="A50" s="247" t="s">
        <v>1629</v>
      </c>
      <c r="B50" s="64">
        <v>4.92</v>
      </c>
      <c r="C50" s="64">
        <v>70.08</v>
      </c>
      <c r="D50" s="64">
        <v>40.56</v>
      </c>
      <c r="E50" s="64">
        <v>7.45</v>
      </c>
      <c r="F50" s="64">
        <v>14.74</v>
      </c>
      <c r="G50" s="64">
        <v>62.28</v>
      </c>
      <c r="H50" s="64">
        <v>29.04</v>
      </c>
      <c r="I50" s="64">
        <v>4.07</v>
      </c>
      <c r="J50" s="64">
        <v>0.82</v>
      </c>
      <c r="K50" s="64">
        <v>298.97000000000003</v>
      </c>
      <c r="L50" s="64">
        <v>34.06</v>
      </c>
      <c r="M50" s="64">
        <v>25.95</v>
      </c>
      <c r="N50" s="64">
        <v>641.4</v>
      </c>
      <c r="O50" s="64">
        <v>0</v>
      </c>
      <c r="P50" s="64">
        <v>1.1100000000000001</v>
      </c>
      <c r="Q50" s="64">
        <v>9.27</v>
      </c>
      <c r="R50" s="198"/>
      <c r="S50" s="198"/>
      <c r="T50" s="198"/>
      <c r="U50" s="198"/>
    </row>
    <row r="51" spans="1:21" s="12" customFormat="1" x14ac:dyDescent="0.25">
      <c r="A51" s="247" t="s">
        <v>1630</v>
      </c>
      <c r="B51" s="64">
        <v>4.07</v>
      </c>
      <c r="C51" s="64">
        <v>69.540000000000006</v>
      </c>
      <c r="D51" s="64">
        <v>39.6</v>
      </c>
      <c r="E51" s="64">
        <v>5.04</v>
      </c>
      <c r="F51" s="64">
        <v>12.31</v>
      </c>
      <c r="G51" s="64">
        <v>62.28</v>
      </c>
      <c r="H51" s="64">
        <v>29.04</v>
      </c>
      <c r="I51" s="64">
        <v>4.1100000000000003</v>
      </c>
      <c r="J51" s="64">
        <v>0.96</v>
      </c>
      <c r="K51" s="64">
        <v>274</v>
      </c>
      <c r="L51" s="64">
        <v>33.67</v>
      </c>
      <c r="M51" s="64">
        <v>26.34</v>
      </c>
      <c r="N51" s="64">
        <v>675</v>
      </c>
      <c r="O51" s="64">
        <v>0</v>
      </c>
      <c r="P51" s="64">
        <v>1.07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47" t="s">
        <v>1631</v>
      </c>
      <c r="B52" s="64">
        <v>3.48</v>
      </c>
      <c r="C52" s="64">
        <v>67.319999999999993</v>
      </c>
      <c r="D52" s="64">
        <v>37.96</v>
      </c>
      <c r="E52" s="64">
        <v>4.34</v>
      </c>
      <c r="F52" s="64">
        <v>12.34</v>
      </c>
      <c r="G52" s="64">
        <v>63.05</v>
      </c>
      <c r="H52" s="64">
        <v>25.56</v>
      </c>
      <c r="I52" s="64">
        <v>4.1399999999999997</v>
      </c>
      <c r="J52" s="64">
        <v>0.8</v>
      </c>
      <c r="K52" s="64">
        <v>283.58999999999997</v>
      </c>
      <c r="L52" s="64">
        <v>33.549999999999997</v>
      </c>
      <c r="M52" s="64">
        <v>26.13</v>
      </c>
      <c r="N52" s="64">
        <v>675.4</v>
      </c>
      <c r="O52" s="64">
        <v>0</v>
      </c>
      <c r="P52" s="64">
        <v>1.02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47" t="s">
        <v>1632</v>
      </c>
      <c r="B53" s="64">
        <v>3.26</v>
      </c>
      <c r="C53" s="64">
        <v>63.8</v>
      </c>
      <c r="D53" s="64">
        <v>35.950000000000003</v>
      </c>
      <c r="E53" s="64">
        <v>4.82</v>
      </c>
      <c r="F53" s="64">
        <v>13.81</v>
      </c>
      <c r="G53" s="64">
        <v>65.150000000000006</v>
      </c>
      <c r="H53" s="64">
        <v>15.97</v>
      </c>
      <c r="I53" s="64">
        <v>3.87</v>
      </c>
      <c r="J53" s="64">
        <v>0.9</v>
      </c>
      <c r="K53" s="64">
        <v>262.62</v>
      </c>
      <c r="L53" s="64">
        <v>32.770000000000003</v>
      </c>
      <c r="M53" s="64">
        <v>27.83</v>
      </c>
      <c r="N53" s="64">
        <v>688</v>
      </c>
      <c r="O53" s="64">
        <v>0</v>
      </c>
      <c r="P53" s="64">
        <v>0.96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47" t="s">
        <v>1633</v>
      </c>
      <c r="B54" s="64">
        <v>3.19</v>
      </c>
      <c r="C54" s="64">
        <v>61.22</v>
      </c>
      <c r="D54" s="64">
        <v>34.54</v>
      </c>
      <c r="E54" s="64">
        <v>5.0599999999999996</v>
      </c>
      <c r="F54" s="64">
        <v>12.26</v>
      </c>
      <c r="G54" s="64">
        <v>65.150000000000006</v>
      </c>
      <c r="H54" s="64">
        <v>15.97</v>
      </c>
      <c r="I54" s="64">
        <v>4.24</v>
      </c>
      <c r="J54" s="64">
        <v>1.1399999999999999</v>
      </c>
      <c r="K54" s="64">
        <v>287.33</v>
      </c>
      <c r="L54" s="64">
        <v>32.950000000000003</v>
      </c>
      <c r="M54" s="64">
        <v>29.31</v>
      </c>
      <c r="N54" s="64">
        <v>683.8</v>
      </c>
      <c r="O54" s="64">
        <v>0</v>
      </c>
      <c r="P54" s="64">
        <v>0.93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47" t="s">
        <v>1634</v>
      </c>
      <c r="B55" s="64">
        <v>3.23</v>
      </c>
      <c r="C55" s="64">
        <v>60.12</v>
      </c>
      <c r="D55" s="64">
        <v>34</v>
      </c>
      <c r="E55" s="64">
        <v>5.44</v>
      </c>
      <c r="F55" s="64">
        <v>15.39</v>
      </c>
      <c r="G55" s="64">
        <v>65.150000000000006</v>
      </c>
      <c r="H55" s="64">
        <v>15.97</v>
      </c>
      <c r="I55" s="64">
        <v>3.85</v>
      </c>
      <c r="J55" s="64">
        <v>0.95</v>
      </c>
      <c r="K55" s="64">
        <v>279.22000000000003</v>
      </c>
      <c r="L55" s="64">
        <v>32.299999999999997</v>
      </c>
      <c r="M55" s="64">
        <v>31.36</v>
      </c>
      <c r="N55" s="64">
        <v>685.8</v>
      </c>
      <c r="O55" s="64">
        <v>0</v>
      </c>
      <c r="P55" s="64">
        <v>0.9</v>
      </c>
      <c r="Q55" s="64">
        <v>9.1999999999999993</v>
      </c>
      <c r="R55" s="198"/>
      <c r="S55" s="198"/>
      <c r="T55" s="198"/>
      <c r="U55" s="198"/>
    </row>
    <row r="56" spans="1:21" s="12" customFormat="1" x14ac:dyDescent="0.25">
      <c r="A56" s="247" t="s">
        <v>1635</v>
      </c>
      <c r="B56" s="64">
        <v>3.16</v>
      </c>
      <c r="C56" s="64">
        <v>58.82</v>
      </c>
      <c r="D56" s="64">
        <v>33.26</v>
      </c>
      <c r="E56" s="64">
        <v>5.77</v>
      </c>
      <c r="F56" s="64">
        <v>14.09</v>
      </c>
      <c r="G56" s="64">
        <v>65.36</v>
      </c>
      <c r="H56" s="64">
        <v>15.09</v>
      </c>
      <c r="I56" s="64">
        <v>4.1100000000000003</v>
      </c>
      <c r="J56" s="64">
        <v>1.53</v>
      </c>
      <c r="K56" s="64">
        <v>296.27999999999997</v>
      </c>
      <c r="L56" s="64">
        <v>32.1</v>
      </c>
      <c r="M56" s="64">
        <v>34.659999999999997</v>
      </c>
      <c r="N56" s="64">
        <v>697</v>
      </c>
      <c r="O56" s="64">
        <v>0</v>
      </c>
      <c r="P56" s="64">
        <v>0.87</v>
      </c>
      <c r="Q56" s="64">
        <v>9.19</v>
      </c>
      <c r="R56" s="198"/>
      <c r="S56" s="198"/>
      <c r="T56" s="198"/>
      <c r="U56" s="198"/>
    </row>
    <row r="57" spans="1:21" s="12" customFormat="1" x14ac:dyDescent="0.25">
      <c r="A57" s="247" t="s">
        <v>1636</v>
      </c>
      <c r="B57" s="64">
        <v>3.19</v>
      </c>
      <c r="C57" s="64">
        <v>57.67</v>
      </c>
      <c r="D57" s="64">
        <v>32.69</v>
      </c>
      <c r="E57" s="64">
        <v>4.8899999999999997</v>
      </c>
      <c r="F57" s="64">
        <v>14.17</v>
      </c>
      <c r="G57" s="64">
        <v>65.959999999999994</v>
      </c>
      <c r="H57" s="64">
        <v>12.68</v>
      </c>
      <c r="I57" s="64">
        <v>3.89</v>
      </c>
      <c r="J57" s="64">
        <v>1.46</v>
      </c>
      <c r="K57" s="64">
        <v>293.19</v>
      </c>
      <c r="L57" s="64">
        <v>32.119999999999997</v>
      </c>
      <c r="M57" s="64">
        <v>34.46</v>
      </c>
      <c r="N57" s="64">
        <v>697</v>
      </c>
      <c r="O57" s="64">
        <v>0</v>
      </c>
      <c r="P57" s="64">
        <v>0.83</v>
      </c>
      <c r="Q57" s="64">
        <v>9.18</v>
      </c>
      <c r="R57" s="198"/>
      <c r="S57" s="198"/>
      <c r="T57" s="198"/>
      <c r="U57" s="198"/>
    </row>
    <row r="58" spans="1:21" s="12" customFormat="1" x14ac:dyDescent="0.25">
      <c r="A58" s="247" t="s">
        <v>1637</v>
      </c>
      <c r="B58" s="64">
        <v>3.27</v>
      </c>
      <c r="C58" s="64">
        <v>56.39</v>
      </c>
      <c r="D58" s="64">
        <v>32.08</v>
      </c>
      <c r="E58" s="64">
        <v>5.15</v>
      </c>
      <c r="F58" s="64">
        <v>15.99</v>
      </c>
      <c r="G58" s="64">
        <v>65.959999999999994</v>
      </c>
      <c r="H58" s="64">
        <v>12.68</v>
      </c>
      <c r="I58" s="64">
        <v>3.95</v>
      </c>
      <c r="J58" s="64">
        <v>1.49</v>
      </c>
      <c r="K58" s="64">
        <v>304.51</v>
      </c>
      <c r="L58" s="64">
        <v>32.36</v>
      </c>
      <c r="M58" s="64">
        <v>34.590000000000003</v>
      </c>
      <c r="N58" s="64">
        <v>695.3</v>
      </c>
      <c r="O58" s="64">
        <v>0</v>
      </c>
      <c r="P58" s="64">
        <v>0.79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47" t="s">
        <v>1638</v>
      </c>
      <c r="B59" s="64">
        <v>3.28</v>
      </c>
      <c r="C59" s="64">
        <v>56.5</v>
      </c>
      <c r="D59" s="64">
        <v>32.15</v>
      </c>
      <c r="E59" s="64">
        <v>5.51</v>
      </c>
      <c r="F59" s="64">
        <v>14.26</v>
      </c>
      <c r="G59" s="64">
        <v>65.959999999999994</v>
      </c>
      <c r="H59" s="64">
        <v>12.68</v>
      </c>
      <c r="I59" s="64">
        <v>3.95</v>
      </c>
      <c r="J59" s="64">
        <v>1.39</v>
      </c>
      <c r="K59" s="64">
        <v>295.95999999999998</v>
      </c>
      <c r="L59" s="64">
        <v>32.72</v>
      </c>
      <c r="M59" s="64">
        <v>33.9</v>
      </c>
      <c r="N59" s="64">
        <v>693.7</v>
      </c>
      <c r="O59" s="64">
        <v>0</v>
      </c>
      <c r="P59" s="64">
        <v>0.77</v>
      </c>
      <c r="Q59" s="64">
        <v>9.18</v>
      </c>
      <c r="R59" s="198"/>
      <c r="S59" s="198"/>
      <c r="T59" s="198"/>
      <c r="U59" s="198"/>
    </row>
    <row r="60" spans="1:21" s="12" customFormat="1" x14ac:dyDescent="0.25">
      <c r="A60" s="247" t="s">
        <v>1639</v>
      </c>
      <c r="B60" s="64">
        <v>3.18</v>
      </c>
      <c r="C60" s="64">
        <v>54.92</v>
      </c>
      <c r="D60" s="64">
        <v>31.24</v>
      </c>
      <c r="E60" s="64">
        <v>5.33</v>
      </c>
      <c r="F60" s="64">
        <v>17.11</v>
      </c>
      <c r="G60" s="64">
        <v>64.319999999999993</v>
      </c>
      <c r="H60" s="64">
        <v>13.82</v>
      </c>
      <c r="I60" s="64">
        <v>4.04</v>
      </c>
      <c r="J60" s="64">
        <v>1.07</v>
      </c>
      <c r="K60" s="64">
        <v>248.83</v>
      </c>
      <c r="L60" s="64">
        <v>32.92</v>
      </c>
      <c r="M60" s="64">
        <v>29.43</v>
      </c>
      <c r="N60" s="64">
        <v>696</v>
      </c>
      <c r="O60" s="64">
        <v>0</v>
      </c>
      <c r="P60" s="64">
        <v>0.73</v>
      </c>
      <c r="Q60" s="64">
        <v>9.17</v>
      </c>
      <c r="R60" s="198"/>
      <c r="S60" s="198"/>
      <c r="T60" s="198"/>
      <c r="U60" s="198"/>
    </row>
    <row r="61" spans="1:21" s="12" customFormat="1" x14ac:dyDescent="0.25">
      <c r="A61" s="247" t="s">
        <v>1640</v>
      </c>
      <c r="B61" s="64">
        <v>3.16</v>
      </c>
      <c r="C61" s="64">
        <v>53.03</v>
      </c>
      <c r="D61" s="64">
        <v>30.24</v>
      </c>
      <c r="E61" s="64">
        <v>5.37</v>
      </c>
      <c r="F61" s="64">
        <v>21.21</v>
      </c>
      <c r="G61" s="64">
        <v>59.83</v>
      </c>
      <c r="H61" s="64">
        <v>16.96</v>
      </c>
      <c r="I61" s="64">
        <v>3.97</v>
      </c>
      <c r="J61" s="64">
        <v>0.95</v>
      </c>
      <c r="K61" s="64">
        <v>286.12</v>
      </c>
      <c r="L61" s="64">
        <v>32.83</v>
      </c>
      <c r="M61" s="64">
        <v>31.89</v>
      </c>
      <c r="N61" s="64">
        <v>682.3</v>
      </c>
      <c r="O61" s="64">
        <v>0</v>
      </c>
      <c r="P61" s="64">
        <v>0.69</v>
      </c>
      <c r="Q61" s="64">
        <v>9.17</v>
      </c>
      <c r="R61" s="198"/>
      <c r="S61" s="198"/>
      <c r="T61" s="198"/>
      <c r="U61" s="198"/>
    </row>
    <row r="62" spans="1:21" s="12" customFormat="1" x14ac:dyDescent="0.25">
      <c r="A62" s="247" t="s">
        <v>1641</v>
      </c>
      <c r="B62" s="64">
        <v>3.15</v>
      </c>
      <c r="C62" s="64">
        <v>53.88</v>
      </c>
      <c r="D62" s="64">
        <v>30.68</v>
      </c>
      <c r="E62" s="64">
        <v>4.87</v>
      </c>
      <c r="F62" s="64">
        <v>20.92</v>
      </c>
      <c r="G62" s="64">
        <v>59.83</v>
      </c>
      <c r="H62" s="64">
        <v>16.96</v>
      </c>
      <c r="I62" s="64">
        <v>3.97</v>
      </c>
      <c r="J62" s="64">
        <v>0.81</v>
      </c>
      <c r="K62" s="64">
        <v>264.52</v>
      </c>
      <c r="L62" s="64">
        <v>33.17</v>
      </c>
      <c r="M62" s="64">
        <v>29.17</v>
      </c>
      <c r="N62" s="64">
        <v>666.4</v>
      </c>
      <c r="O62" s="64">
        <v>0</v>
      </c>
      <c r="P62" s="64">
        <v>0.69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47" t="s">
        <v>1642</v>
      </c>
      <c r="B63" s="64">
        <v>3.1</v>
      </c>
      <c r="C63" s="64">
        <v>51.85</v>
      </c>
      <c r="D63" s="64">
        <v>29.58</v>
      </c>
      <c r="E63" s="64">
        <v>6.22</v>
      </c>
      <c r="F63" s="64">
        <v>21.62</v>
      </c>
      <c r="G63" s="64">
        <v>59.83</v>
      </c>
      <c r="H63" s="64">
        <v>16.96</v>
      </c>
      <c r="I63" s="64">
        <v>4.0199999999999996</v>
      </c>
      <c r="J63" s="64">
        <v>0.91</v>
      </c>
      <c r="K63" s="64">
        <v>289.61</v>
      </c>
      <c r="L63" s="64">
        <v>33.14</v>
      </c>
      <c r="M63" s="64">
        <v>31.04</v>
      </c>
      <c r="N63" s="64">
        <v>628.5</v>
      </c>
      <c r="O63" s="64">
        <v>0</v>
      </c>
      <c r="P63" s="64">
        <v>0.66</v>
      </c>
      <c r="Q63" s="64">
        <v>9.18</v>
      </c>
      <c r="R63" s="198"/>
      <c r="S63" s="198"/>
      <c r="T63" s="198"/>
      <c r="U63" s="198"/>
    </row>
    <row r="64" spans="1:21" s="12" customFormat="1" x14ac:dyDescent="0.25">
      <c r="A64" s="247" t="s">
        <v>1643</v>
      </c>
      <c r="B64" s="64">
        <v>3.72</v>
      </c>
      <c r="C64" s="64">
        <v>48.82</v>
      </c>
      <c r="D64" s="64">
        <v>28.49</v>
      </c>
      <c r="E64" s="64">
        <v>7.49</v>
      </c>
      <c r="F64" s="64">
        <v>29.54</v>
      </c>
      <c r="G64" s="64">
        <v>59.76</v>
      </c>
      <c r="H64" s="64">
        <v>18.649999999999999</v>
      </c>
      <c r="I64" s="64">
        <v>4.1100000000000003</v>
      </c>
      <c r="J64" s="64">
        <v>1.01</v>
      </c>
      <c r="K64" s="64">
        <v>311.99</v>
      </c>
      <c r="L64" s="64">
        <v>32.89</v>
      </c>
      <c r="M64" s="64">
        <v>33.65</v>
      </c>
      <c r="N64" s="64">
        <v>588.6</v>
      </c>
      <c r="O64" s="64">
        <v>0</v>
      </c>
      <c r="P64" s="64">
        <v>0.66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47" t="s">
        <v>1644</v>
      </c>
      <c r="B65" s="64">
        <v>3.47</v>
      </c>
      <c r="C65" s="64">
        <v>51.82</v>
      </c>
      <c r="D65" s="64">
        <v>29.85</v>
      </c>
      <c r="E65" s="64">
        <v>5.95</v>
      </c>
      <c r="F65" s="64">
        <v>15.82</v>
      </c>
      <c r="G65" s="64">
        <v>59.56</v>
      </c>
      <c r="H65" s="64">
        <v>23.3</v>
      </c>
      <c r="I65" s="64">
        <v>3.94</v>
      </c>
      <c r="J65" s="64">
        <v>1.24</v>
      </c>
      <c r="K65" s="64">
        <v>296.89999999999998</v>
      </c>
      <c r="L65" s="64">
        <v>32.72</v>
      </c>
      <c r="M65" s="64">
        <v>31.66</v>
      </c>
      <c r="N65" s="64">
        <v>594.1</v>
      </c>
      <c r="O65" s="64">
        <v>0</v>
      </c>
      <c r="P65" s="64">
        <v>0.67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47" t="s">
        <v>1645</v>
      </c>
      <c r="B66" s="64">
        <v>3.22</v>
      </c>
      <c r="C66" s="64">
        <v>48.04</v>
      </c>
      <c r="D66" s="64">
        <v>27.68</v>
      </c>
      <c r="E66" s="64">
        <v>6.08</v>
      </c>
      <c r="F66" s="64">
        <v>25.59</v>
      </c>
      <c r="G66" s="64">
        <v>59.56</v>
      </c>
      <c r="H66" s="64">
        <v>23.3</v>
      </c>
      <c r="I66" s="64">
        <v>4.01</v>
      </c>
      <c r="J66" s="64">
        <v>0.81</v>
      </c>
      <c r="K66" s="64">
        <v>268.20999999999998</v>
      </c>
      <c r="L66" s="64">
        <v>34.35</v>
      </c>
      <c r="M66" s="64">
        <v>22.3</v>
      </c>
      <c r="N66" s="64">
        <v>574.9</v>
      </c>
      <c r="O66" s="64">
        <v>0</v>
      </c>
      <c r="P66" s="64">
        <v>0.63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47" t="s">
        <v>1646</v>
      </c>
      <c r="B67" s="64">
        <v>4.22</v>
      </c>
      <c r="C67" s="64">
        <v>48.86</v>
      </c>
      <c r="D67" s="64">
        <v>28.91</v>
      </c>
      <c r="E67" s="64">
        <v>8.2200000000000006</v>
      </c>
      <c r="F67" s="64">
        <v>31.01</v>
      </c>
      <c r="G67" s="64">
        <v>59.56</v>
      </c>
      <c r="H67" s="64">
        <v>23.3</v>
      </c>
      <c r="I67" s="64">
        <v>4</v>
      </c>
      <c r="J67" s="64">
        <v>0.75</v>
      </c>
      <c r="K67" s="64">
        <v>322.91000000000003</v>
      </c>
      <c r="L67" s="64">
        <v>35.28</v>
      </c>
      <c r="M67" s="64">
        <v>20.12</v>
      </c>
      <c r="N67" s="64">
        <v>352.7</v>
      </c>
      <c r="O67" s="64">
        <v>0</v>
      </c>
      <c r="P67" s="64">
        <v>0.56000000000000005</v>
      </c>
      <c r="Q67" s="64">
        <v>9.1199999999999992</v>
      </c>
      <c r="R67" s="198"/>
      <c r="S67" s="198"/>
      <c r="T67" s="198"/>
      <c r="U67" s="198"/>
    </row>
    <row r="68" spans="1:21" s="12" customFormat="1" x14ac:dyDescent="0.25">
      <c r="A68" s="247" t="s">
        <v>1647</v>
      </c>
      <c r="B68" s="64">
        <v>4.66</v>
      </c>
      <c r="C68" s="64">
        <v>48.21</v>
      </c>
      <c r="D68" s="64">
        <v>28.92</v>
      </c>
      <c r="E68" s="64">
        <v>6.84</v>
      </c>
      <c r="F68" s="64">
        <v>18.420000000000002</v>
      </c>
      <c r="G68" s="64">
        <v>57.47</v>
      </c>
      <c r="H68" s="64">
        <v>24.08</v>
      </c>
      <c r="I68" s="64">
        <v>3.87</v>
      </c>
      <c r="J68" s="64">
        <v>1.45</v>
      </c>
      <c r="K68" s="64">
        <v>308.73</v>
      </c>
      <c r="L68" s="64">
        <v>36.18</v>
      </c>
      <c r="M68" s="64">
        <v>16.670000000000002</v>
      </c>
      <c r="N68" s="64">
        <v>309.10000000000002</v>
      </c>
      <c r="O68" s="64">
        <v>0</v>
      </c>
      <c r="P68" s="64">
        <v>0.59</v>
      </c>
      <c r="Q68" s="64">
        <v>9.1</v>
      </c>
      <c r="R68" s="198"/>
      <c r="S68" s="198"/>
      <c r="T68" s="198"/>
      <c r="U68" s="198"/>
    </row>
    <row r="69" spans="1:21" s="12" customFormat="1" x14ac:dyDescent="0.25">
      <c r="A69" s="247" t="s">
        <v>1648</v>
      </c>
      <c r="B69" s="64">
        <v>3.9</v>
      </c>
      <c r="C69" s="64">
        <v>46.48</v>
      </c>
      <c r="D69" s="64">
        <v>27.41</v>
      </c>
      <c r="E69" s="64">
        <v>7.01</v>
      </c>
      <c r="F69" s="64">
        <v>25.22</v>
      </c>
      <c r="G69" s="64">
        <v>51.73</v>
      </c>
      <c r="H69" s="64">
        <v>26.21</v>
      </c>
      <c r="I69" s="64">
        <v>3.9</v>
      </c>
      <c r="J69" s="64">
        <v>0.81</v>
      </c>
      <c r="K69" s="64">
        <v>269.82</v>
      </c>
      <c r="L69" s="64">
        <v>35.49</v>
      </c>
      <c r="M69" s="64">
        <v>15.29</v>
      </c>
      <c r="N69" s="64">
        <v>217.1</v>
      </c>
      <c r="O69" s="64">
        <v>0</v>
      </c>
      <c r="P69" s="64">
        <v>0.56000000000000005</v>
      </c>
      <c r="Q69" s="64">
        <v>9.09</v>
      </c>
      <c r="R69" s="198"/>
      <c r="S69" s="198"/>
      <c r="T69" s="198"/>
      <c r="U69" s="198"/>
    </row>
    <row r="70" spans="1:21" s="12" customFormat="1" x14ac:dyDescent="0.25">
      <c r="A70" s="247" t="s">
        <v>1649</v>
      </c>
      <c r="B70" s="64">
        <v>4.4000000000000004</v>
      </c>
      <c r="C70" s="64">
        <v>52.26</v>
      </c>
      <c r="D70" s="64">
        <v>30.83</v>
      </c>
      <c r="E70" s="64">
        <v>8.91</v>
      </c>
      <c r="F70" s="64">
        <v>21.87</v>
      </c>
      <c r="G70" s="64">
        <v>51.73</v>
      </c>
      <c r="H70" s="64">
        <v>26.21</v>
      </c>
      <c r="I70" s="64">
        <v>4.08</v>
      </c>
      <c r="J70" s="64">
        <v>1.39</v>
      </c>
      <c r="K70" s="64">
        <v>308.99</v>
      </c>
      <c r="L70" s="64">
        <v>33.14</v>
      </c>
      <c r="M70" s="64">
        <v>26.07</v>
      </c>
      <c r="N70" s="64">
        <v>216.4</v>
      </c>
      <c r="O70" s="64">
        <v>0</v>
      </c>
      <c r="P70" s="64">
        <v>0.62</v>
      </c>
      <c r="Q70" s="64">
        <v>9.0500000000000007</v>
      </c>
      <c r="R70" s="198"/>
      <c r="S70" s="198"/>
      <c r="T70" s="198"/>
      <c r="U70" s="198"/>
    </row>
    <row r="71" spans="1:21" s="12" customFormat="1" x14ac:dyDescent="0.25">
      <c r="A71" s="247" t="s">
        <v>1650</v>
      </c>
      <c r="B71" s="64">
        <v>4.54</v>
      </c>
      <c r="C71" s="64">
        <v>54.68</v>
      </c>
      <c r="D71" s="64">
        <v>32.21</v>
      </c>
      <c r="E71" s="64">
        <v>8.91</v>
      </c>
      <c r="F71" s="64">
        <v>25.34</v>
      </c>
      <c r="G71" s="64">
        <v>51.73</v>
      </c>
      <c r="H71" s="64">
        <v>26.21</v>
      </c>
      <c r="I71" s="64">
        <v>4.1100000000000003</v>
      </c>
      <c r="J71" s="64">
        <v>1.24</v>
      </c>
      <c r="K71" s="64">
        <v>317.61</v>
      </c>
      <c r="L71" s="64">
        <v>31.41</v>
      </c>
      <c r="M71" s="64">
        <v>30.31</v>
      </c>
      <c r="N71" s="64">
        <v>249.7</v>
      </c>
      <c r="O71" s="64">
        <v>0</v>
      </c>
      <c r="P71" s="64">
        <v>0.61</v>
      </c>
      <c r="Q71" s="64">
        <v>9.0299999999999994</v>
      </c>
      <c r="R71" s="198"/>
      <c r="S71" s="198"/>
      <c r="T71" s="198"/>
      <c r="U71" s="198"/>
    </row>
    <row r="72" spans="1:21" s="12" customFormat="1" x14ac:dyDescent="0.25">
      <c r="A72" s="247" t="s">
        <v>1651</v>
      </c>
      <c r="B72" s="64">
        <v>4.71</v>
      </c>
      <c r="C72" s="64">
        <v>50.54</v>
      </c>
      <c r="D72" s="64">
        <v>30.18</v>
      </c>
      <c r="E72" s="64">
        <v>5.01</v>
      </c>
      <c r="F72" s="64">
        <v>22.93</v>
      </c>
      <c r="G72" s="64">
        <v>50.12</v>
      </c>
      <c r="H72" s="64">
        <v>23.77</v>
      </c>
      <c r="I72" s="64">
        <v>4.0199999999999996</v>
      </c>
      <c r="J72" s="64">
        <v>0.71</v>
      </c>
      <c r="K72" s="64">
        <v>264.43</v>
      </c>
      <c r="L72" s="64">
        <v>32.97</v>
      </c>
      <c r="M72" s="64">
        <v>17.96</v>
      </c>
      <c r="N72" s="64">
        <v>215.8</v>
      </c>
      <c r="O72" s="64">
        <v>0</v>
      </c>
      <c r="P72" s="64">
        <v>0.57999999999999996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47" t="s">
        <v>1652</v>
      </c>
      <c r="B73" s="64">
        <v>3.93</v>
      </c>
      <c r="C73" s="64">
        <v>42.85</v>
      </c>
      <c r="D73" s="64">
        <v>25.54</v>
      </c>
      <c r="E73" s="64">
        <v>8.57</v>
      </c>
      <c r="F73" s="64">
        <v>32.15</v>
      </c>
      <c r="G73" s="64">
        <v>45.68</v>
      </c>
      <c r="H73" s="64">
        <v>17.04</v>
      </c>
      <c r="I73" s="64">
        <v>4.12</v>
      </c>
      <c r="J73" s="64">
        <v>0.4</v>
      </c>
      <c r="K73" s="64">
        <v>240.06</v>
      </c>
      <c r="L73" s="64">
        <v>33.520000000000003</v>
      </c>
      <c r="M73" s="64">
        <v>16.850000000000001</v>
      </c>
      <c r="N73" s="64">
        <v>219.6</v>
      </c>
      <c r="O73" s="64">
        <v>0</v>
      </c>
      <c r="P73" s="64">
        <v>0.51</v>
      </c>
      <c r="Q73" s="64">
        <v>9.02</v>
      </c>
      <c r="R73" s="198"/>
      <c r="S73" s="198"/>
      <c r="T73" s="198"/>
      <c r="U73" s="198"/>
    </row>
    <row r="74" spans="1:21" s="12" customFormat="1" x14ac:dyDescent="0.25">
      <c r="A74" s="247" t="s">
        <v>1653</v>
      </c>
      <c r="B74" s="64">
        <v>3.57</v>
      </c>
      <c r="C74" s="64">
        <v>41.59</v>
      </c>
      <c r="D74" s="64">
        <v>24.59</v>
      </c>
      <c r="E74" s="64">
        <v>7.78</v>
      </c>
      <c r="F74" s="64">
        <v>35.06</v>
      </c>
      <c r="G74" s="64">
        <v>45.68</v>
      </c>
      <c r="H74" s="64">
        <v>17.04</v>
      </c>
      <c r="I74" s="64">
        <v>3.99</v>
      </c>
      <c r="J74" s="64">
        <v>0.6</v>
      </c>
      <c r="K74" s="64">
        <v>258.22000000000003</v>
      </c>
      <c r="L74" s="64">
        <v>33.43</v>
      </c>
      <c r="M74" s="64">
        <v>17.88</v>
      </c>
      <c r="N74" s="64">
        <v>204.4</v>
      </c>
      <c r="O74" s="64">
        <v>0</v>
      </c>
      <c r="P74" s="64">
        <v>0.49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47" t="s">
        <v>1654</v>
      </c>
      <c r="B75" s="64">
        <v>6.4</v>
      </c>
      <c r="C75" s="64">
        <v>53.2</v>
      </c>
      <c r="D75" s="64">
        <v>32.93</v>
      </c>
      <c r="E75" s="64">
        <v>11.24</v>
      </c>
      <c r="F75" s="64">
        <v>36.36</v>
      </c>
      <c r="G75" s="64">
        <v>45.68</v>
      </c>
      <c r="H75" s="64">
        <v>17.04</v>
      </c>
      <c r="I75" s="64">
        <v>3.95</v>
      </c>
      <c r="J75" s="64">
        <v>0.75</v>
      </c>
      <c r="K75" s="64">
        <v>283.02</v>
      </c>
      <c r="L75" s="64">
        <v>33.229999999999997</v>
      </c>
      <c r="M75" s="64">
        <v>18.739999999999998</v>
      </c>
      <c r="N75" s="64">
        <v>143.6</v>
      </c>
      <c r="O75" s="64">
        <v>0</v>
      </c>
      <c r="P75" s="64">
        <v>0.56999999999999995</v>
      </c>
      <c r="Q75" s="64">
        <v>9.01</v>
      </c>
      <c r="R75" s="198"/>
      <c r="S75" s="198"/>
      <c r="T75" s="198"/>
      <c r="U75" s="198"/>
    </row>
    <row r="76" spans="1:21" s="12" customFormat="1" x14ac:dyDescent="0.25">
      <c r="A76" s="247" t="s">
        <v>1655</v>
      </c>
      <c r="B76" s="64">
        <v>5.19</v>
      </c>
      <c r="C76" s="64">
        <v>46.51</v>
      </c>
      <c r="D76" s="64">
        <v>28.46</v>
      </c>
      <c r="E76" s="64">
        <v>12.84</v>
      </c>
      <c r="F76" s="64">
        <v>40.83</v>
      </c>
      <c r="G76" s="64">
        <v>45.33</v>
      </c>
      <c r="H76" s="64">
        <v>22.69</v>
      </c>
      <c r="I76" s="64">
        <v>4.03</v>
      </c>
      <c r="J76" s="64">
        <v>0.62</v>
      </c>
      <c r="K76" s="64">
        <v>285.12</v>
      </c>
      <c r="L76" s="64">
        <v>32.76</v>
      </c>
      <c r="M76" s="64">
        <v>18.239999999999998</v>
      </c>
      <c r="N76" s="64">
        <v>119.5</v>
      </c>
      <c r="O76" s="64">
        <v>0</v>
      </c>
      <c r="P76" s="64">
        <v>0.57999999999999996</v>
      </c>
      <c r="Q76" s="64">
        <v>8.99</v>
      </c>
      <c r="R76" s="198"/>
      <c r="S76" s="198"/>
      <c r="T76" s="198"/>
      <c r="U76" s="198"/>
    </row>
    <row r="77" spans="1:21" s="12" customFormat="1" x14ac:dyDescent="0.25">
      <c r="A77" s="247" t="s">
        <v>1656</v>
      </c>
      <c r="B77" s="64">
        <v>5.99</v>
      </c>
      <c r="C77" s="64">
        <v>62.03</v>
      </c>
      <c r="D77" s="64">
        <v>37.21</v>
      </c>
      <c r="E77" s="64">
        <v>18.29</v>
      </c>
      <c r="F77" s="64">
        <v>40.380000000000003</v>
      </c>
      <c r="G77" s="64">
        <v>44.35</v>
      </c>
      <c r="H77" s="64">
        <v>38.25</v>
      </c>
      <c r="I77" s="64">
        <v>4.1100000000000003</v>
      </c>
      <c r="J77" s="64">
        <v>0.48</v>
      </c>
      <c r="K77" s="64">
        <v>295.16000000000003</v>
      </c>
      <c r="L77" s="64">
        <v>32.33</v>
      </c>
      <c r="M77" s="64">
        <v>18.41</v>
      </c>
      <c r="N77" s="64">
        <v>104.9</v>
      </c>
      <c r="O77" s="64">
        <v>0</v>
      </c>
      <c r="P77" s="64">
        <v>0.71</v>
      </c>
      <c r="Q77" s="64">
        <v>8.98</v>
      </c>
      <c r="R77" s="198"/>
      <c r="S77" s="198"/>
      <c r="T77" s="198"/>
      <c r="U77" s="198"/>
    </row>
    <row r="78" spans="1:21" s="12" customFormat="1" x14ac:dyDescent="0.25">
      <c r="A78" s="247" t="s">
        <v>1657</v>
      </c>
      <c r="B78" s="64">
        <v>5.24</v>
      </c>
      <c r="C78" s="64">
        <v>55.32</v>
      </c>
      <c r="D78" s="64">
        <v>33.11</v>
      </c>
      <c r="E78" s="64">
        <v>13.57</v>
      </c>
      <c r="F78" s="64">
        <v>40.630000000000003</v>
      </c>
      <c r="G78" s="64">
        <v>44.35</v>
      </c>
      <c r="H78" s="64">
        <v>38.25</v>
      </c>
      <c r="I78" s="64">
        <v>3.99</v>
      </c>
      <c r="J78" s="64">
        <v>0.54</v>
      </c>
      <c r="K78" s="64">
        <v>291.79000000000002</v>
      </c>
      <c r="L78" s="64">
        <v>31.78</v>
      </c>
      <c r="M78" s="64">
        <v>18.93</v>
      </c>
      <c r="N78" s="64">
        <v>93.9</v>
      </c>
      <c r="O78" s="64">
        <v>0</v>
      </c>
      <c r="P78" s="64">
        <v>0.76</v>
      </c>
      <c r="Q78" s="64">
        <v>8.98</v>
      </c>
      <c r="R78" s="198"/>
      <c r="S78" s="198"/>
      <c r="T78" s="198"/>
      <c r="U78" s="198"/>
    </row>
    <row r="79" spans="1:21" s="12" customFormat="1" x14ac:dyDescent="0.25">
      <c r="A79" s="247" t="s">
        <v>1658</v>
      </c>
      <c r="B79" s="64">
        <v>7.52</v>
      </c>
      <c r="C79" s="64">
        <v>71.09</v>
      </c>
      <c r="D79" s="64">
        <v>43.17</v>
      </c>
      <c r="E79" s="64">
        <v>10.47</v>
      </c>
      <c r="F79" s="64">
        <v>34.57</v>
      </c>
      <c r="G79" s="64">
        <v>44.35</v>
      </c>
      <c r="H79" s="64">
        <v>38.25</v>
      </c>
      <c r="I79" s="64">
        <v>3.98</v>
      </c>
      <c r="J79" s="64">
        <v>0.67</v>
      </c>
      <c r="K79" s="64">
        <v>294.22000000000003</v>
      </c>
      <c r="L79" s="64">
        <v>31.04</v>
      </c>
      <c r="M79" s="64">
        <v>19.73</v>
      </c>
      <c r="N79" s="64">
        <v>79.900000000000006</v>
      </c>
      <c r="O79" s="64">
        <v>0</v>
      </c>
      <c r="P79" s="64">
        <v>0.92</v>
      </c>
      <c r="Q79" s="64">
        <v>9</v>
      </c>
      <c r="R79" s="198"/>
      <c r="S79" s="198"/>
      <c r="T79" s="198"/>
      <c r="U79" s="198"/>
    </row>
    <row r="80" spans="1:21" s="12" customFormat="1" x14ac:dyDescent="0.25">
      <c r="A80" s="247" t="s">
        <v>1659</v>
      </c>
      <c r="B80" s="64">
        <v>15.87</v>
      </c>
      <c r="C80" s="64">
        <v>95.23</v>
      </c>
      <c r="D80" s="64">
        <v>62.48</v>
      </c>
      <c r="E80" s="64">
        <v>10.07</v>
      </c>
      <c r="F80" s="64">
        <v>25.99</v>
      </c>
      <c r="G80" s="64">
        <v>44.11</v>
      </c>
      <c r="H80" s="64">
        <v>35.72</v>
      </c>
      <c r="I80" s="64">
        <v>4.1399999999999997</v>
      </c>
      <c r="J80" s="64">
        <v>0.68</v>
      </c>
      <c r="K80" s="64">
        <v>299.69</v>
      </c>
      <c r="L80" s="64">
        <v>30.02</v>
      </c>
      <c r="M80" s="64">
        <v>22.18</v>
      </c>
      <c r="N80" s="64">
        <v>70.3</v>
      </c>
      <c r="O80" s="64">
        <v>0</v>
      </c>
      <c r="P80" s="64">
        <v>1.37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47" t="s">
        <v>1660</v>
      </c>
      <c r="B81" s="64">
        <v>20.85</v>
      </c>
      <c r="C81" s="64">
        <v>106.89</v>
      </c>
      <c r="D81" s="64">
        <v>72.569999999999993</v>
      </c>
      <c r="E81" s="64">
        <v>8.81</v>
      </c>
      <c r="F81" s="64">
        <v>20.12</v>
      </c>
      <c r="G81" s="64">
        <v>43.45</v>
      </c>
      <c r="H81" s="64">
        <v>28.76</v>
      </c>
      <c r="I81" s="64">
        <v>3.96</v>
      </c>
      <c r="J81" s="64">
        <v>0.73</v>
      </c>
      <c r="K81" s="64">
        <v>304.5</v>
      </c>
      <c r="L81" s="64">
        <v>29.05</v>
      </c>
      <c r="M81" s="64">
        <v>24.52</v>
      </c>
      <c r="N81" s="64">
        <v>65.900000000000006</v>
      </c>
      <c r="O81" s="64">
        <v>0</v>
      </c>
      <c r="P81" s="64">
        <v>1.43</v>
      </c>
      <c r="Q81" s="64">
        <v>9.06</v>
      </c>
      <c r="R81" s="198"/>
      <c r="S81" s="198"/>
      <c r="T81" s="198"/>
      <c r="U81" s="198"/>
    </row>
    <row r="82" spans="1:26" s="12" customFormat="1" x14ac:dyDescent="0.25">
      <c r="A82" s="247" t="s">
        <v>1661</v>
      </c>
      <c r="B82" s="64">
        <v>16.079999999999998</v>
      </c>
      <c r="C82" s="64">
        <v>98.65</v>
      </c>
      <c r="D82" s="64">
        <v>64.44</v>
      </c>
      <c r="E82" s="64">
        <v>8.15</v>
      </c>
      <c r="F82" s="64">
        <v>19.53</v>
      </c>
      <c r="G82" s="64">
        <v>43.45</v>
      </c>
      <c r="H82" s="64">
        <v>28.76</v>
      </c>
      <c r="I82" s="64">
        <v>4.0599999999999996</v>
      </c>
      <c r="J82" s="64">
        <v>0.7</v>
      </c>
      <c r="K82" s="64">
        <v>302.93</v>
      </c>
      <c r="L82" s="64">
        <v>28.38</v>
      </c>
      <c r="M82" s="64">
        <v>24.94</v>
      </c>
      <c r="N82" s="64">
        <v>63.9</v>
      </c>
      <c r="O82" s="64">
        <v>0</v>
      </c>
      <c r="P82" s="64">
        <v>1.48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47" t="s">
        <v>1662</v>
      </c>
      <c r="B83" s="64">
        <v>13.81</v>
      </c>
      <c r="C83" s="64">
        <v>91.06</v>
      </c>
      <c r="D83" s="64">
        <v>58.65</v>
      </c>
      <c r="E83" s="64">
        <v>8.8800000000000008</v>
      </c>
      <c r="F83" s="64">
        <v>21.07</v>
      </c>
      <c r="G83" s="64">
        <v>43.45</v>
      </c>
      <c r="H83" s="64">
        <v>28.76</v>
      </c>
      <c r="I83" s="64">
        <v>3.96</v>
      </c>
      <c r="J83" s="64">
        <v>0.67</v>
      </c>
      <c r="K83" s="64">
        <v>333.61</v>
      </c>
      <c r="L83" s="64">
        <v>28</v>
      </c>
      <c r="M83" s="64">
        <v>27.38</v>
      </c>
      <c r="N83" s="64">
        <v>63.9</v>
      </c>
      <c r="O83" s="64">
        <v>0</v>
      </c>
      <c r="P83" s="64">
        <v>1.39</v>
      </c>
      <c r="Q83" s="64">
        <v>9.1300000000000008</v>
      </c>
      <c r="R83" s="198"/>
      <c r="S83" s="198"/>
      <c r="T83" s="198"/>
      <c r="U83" s="198"/>
    </row>
    <row r="84" spans="1:26" s="12" customFormat="1" x14ac:dyDescent="0.25">
      <c r="A84" s="247" t="s">
        <v>1663</v>
      </c>
      <c r="B84" s="64">
        <v>18.23</v>
      </c>
      <c r="C84" s="64">
        <v>104.48</v>
      </c>
      <c r="D84" s="64">
        <v>69.209999999999994</v>
      </c>
      <c r="E84" s="64">
        <v>8.4600000000000009</v>
      </c>
      <c r="F84" s="64">
        <v>15.04</v>
      </c>
      <c r="G84" s="64">
        <v>46.58</v>
      </c>
      <c r="H84" s="64">
        <v>27.79</v>
      </c>
      <c r="I84" s="64">
        <v>3.86</v>
      </c>
      <c r="J84" s="64">
        <v>0.46</v>
      </c>
      <c r="K84" s="64">
        <v>338.75</v>
      </c>
      <c r="L84" s="64">
        <v>27.23</v>
      </c>
      <c r="M84" s="64">
        <v>31.12</v>
      </c>
      <c r="N84" s="64">
        <v>63.8</v>
      </c>
      <c r="O84" s="64">
        <v>0</v>
      </c>
      <c r="P84" s="64">
        <v>2.04</v>
      </c>
      <c r="Q84" s="64">
        <v>9.18</v>
      </c>
      <c r="R84" s="198"/>
      <c r="S84" s="198"/>
      <c r="T84" s="198"/>
      <c r="U84" s="198"/>
    </row>
    <row r="85" spans="1:26" s="12" customFormat="1" x14ac:dyDescent="0.25">
      <c r="A85" s="247" t="s">
        <v>1664</v>
      </c>
      <c r="B85" s="64">
        <v>37.869999999999997</v>
      </c>
      <c r="C85" s="64">
        <v>112.38</v>
      </c>
      <c r="D85" s="64">
        <v>89.08</v>
      </c>
      <c r="E85" s="64">
        <v>9.25</v>
      </c>
      <c r="F85" s="64">
        <v>12.47</v>
      </c>
      <c r="G85" s="64">
        <v>55.19</v>
      </c>
      <c r="H85" s="64">
        <v>25.12</v>
      </c>
      <c r="I85" s="64">
        <v>4.1100000000000003</v>
      </c>
      <c r="J85" s="64">
        <v>0.5</v>
      </c>
      <c r="K85" s="64">
        <v>332.74</v>
      </c>
      <c r="L85" s="64">
        <v>26.82</v>
      </c>
      <c r="M85" s="64">
        <v>31.46</v>
      </c>
      <c r="N85" s="64">
        <v>63.5</v>
      </c>
      <c r="O85" s="64">
        <v>0</v>
      </c>
      <c r="P85" s="64">
        <v>2.31</v>
      </c>
      <c r="Q85" s="64">
        <v>9.24</v>
      </c>
      <c r="R85" s="198"/>
      <c r="S85" s="198"/>
      <c r="T85" s="198"/>
      <c r="U85" s="198"/>
    </row>
    <row r="86" spans="1:26" s="12" customFormat="1" x14ac:dyDescent="0.25">
      <c r="A86" s="247" t="s">
        <v>1665</v>
      </c>
      <c r="B86" s="64">
        <v>10.57</v>
      </c>
      <c r="C86" s="64">
        <v>96.85</v>
      </c>
      <c r="D86" s="64">
        <v>59.08</v>
      </c>
      <c r="E86" s="64">
        <v>9.57</v>
      </c>
      <c r="F86" s="64">
        <v>17.32</v>
      </c>
      <c r="G86" s="64">
        <v>55.19</v>
      </c>
      <c r="H86" s="64">
        <v>25.12</v>
      </c>
      <c r="I86" s="64">
        <v>4.12</v>
      </c>
      <c r="J86" s="64">
        <v>0.36</v>
      </c>
      <c r="K86" s="64">
        <v>63.66</v>
      </c>
      <c r="L86" s="64">
        <v>26.64</v>
      </c>
      <c r="M86" s="64">
        <v>31.14</v>
      </c>
      <c r="N86" s="64">
        <v>63.3</v>
      </c>
      <c r="O86" s="64">
        <v>0</v>
      </c>
      <c r="P86" s="64">
        <v>1.8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47" t="s">
        <v>1666</v>
      </c>
      <c r="B87" s="64">
        <v>107.61</v>
      </c>
      <c r="C87" s="64">
        <v>132.52000000000001</v>
      </c>
      <c r="D87" s="64">
        <v>155.53</v>
      </c>
      <c r="E87" s="64">
        <v>8.65</v>
      </c>
      <c r="F87" s="64">
        <v>9.41</v>
      </c>
      <c r="G87" s="64">
        <v>55.19</v>
      </c>
      <c r="H87" s="64">
        <v>25.12</v>
      </c>
      <c r="I87" s="64">
        <v>3.94</v>
      </c>
      <c r="J87" s="64">
        <v>0.7</v>
      </c>
      <c r="K87" s="64">
        <v>96.29</v>
      </c>
      <c r="L87" s="64">
        <v>26.53</v>
      </c>
      <c r="M87" s="64">
        <v>32.14</v>
      </c>
      <c r="N87" s="64">
        <v>63.2</v>
      </c>
      <c r="O87" s="64">
        <v>0</v>
      </c>
      <c r="P87" s="64">
        <v>1.8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47" t="s">
        <v>1667</v>
      </c>
      <c r="B88" s="64">
        <v>67.72</v>
      </c>
      <c r="C88" s="64">
        <v>129.13</v>
      </c>
      <c r="D88" s="64">
        <v>121.77</v>
      </c>
      <c r="E88" s="64">
        <v>8.92</v>
      </c>
      <c r="F88" s="64">
        <v>8.42</v>
      </c>
      <c r="G88" s="64">
        <v>58.24</v>
      </c>
      <c r="H88" s="64">
        <v>56.08</v>
      </c>
      <c r="I88" s="64">
        <v>3.95</v>
      </c>
      <c r="J88" s="64">
        <v>0.6</v>
      </c>
      <c r="K88" s="64">
        <v>195.16</v>
      </c>
      <c r="L88" s="64">
        <v>26.26</v>
      </c>
      <c r="M88" s="64">
        <v>33.520000000000003</v>
      </c>
      <c r="N88" s="64">
        <v>63.1</v>
      </c>
      <c r="O88" s="64">
        <v>0</v>
      </c>
      <c r="P88" s="64">
        <v>1.59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47" t="s">
        <v>1668</v>
      </c>
      <c r="B89" s="64">
        <v>130.41</v>
      </c>
      <c r="C89" s="64">
        <v>135.56</v>
      </c>
      <c r="D89" s="64">
        <v>175.4</v>
      </c>
      <c r="E89" s="64">
        <v>9.17</v>
      </c>
      <c r="F89" s="64">
        <v>7.96</v>
      </c>
      <c r="G89" s="64">
        <v>66.62</v>
      </c>
      <c r="H89" s="211" t="s">
        <v>42</v>
      </c>
      <c r="I89" s="64">
        <v>3.85</v>
      </c>
      <c r="J89" s="64">
        <v>0.28999999999999998</v>
      </c>
      <c r="K89" s="64">
        <v>38.51</v>
      </c>
      <c r="L89" s="64">
        <v>25.88</v>
      </c>
      <c r="M89" s="64">
        <v>34.700000000000003</v>
      </c>
      <c r="N89" s="64">
        <v>63.5</v>
      </c>
      <c r="O89" s="64">
        <v>0</v>
      </c>
      <c r="P89" s="64">
        <v>1.81</v>
      </c>
      <c r="Q89" s="64">
        <v>9.51</v>
      </c>
      <c r="R89" s="198"/>
      <c r="S89" s="198"/>
      <c r="T89" s="198"/>
      <c r="U89" s="198"/>
    </row>
    <row r="90" spans="1:26" s="12" customFormat="1" x14ac:dyDescent="0.25">
      <c r="A90" s="247" t="s">
        <v>1669</v>
      </c>
      <c r="B90" s="64">
        <v>54.4</v>
      </c>
      <c r="C90" s="64">
        <v>121.89</v>
      </c>
      <c r="D90" s="64">
        <v>107.31</v>
      </c>
      <c r="E90" s="64">
        <v>8.93</v>
      </c>
      <c r="F90" s="64">
        <v>8.5399999999999991</v>
      </c>
      <c r="G90" s="64">
        <v>66.62</v>
      </c>
      <c r="H90" s="211" t="s">
        <v>42</v>
      </c>
      <c r="I90" s="64">
        <v>3.91</v>
      </c>
      <c r="J90" s="64">
        <v>0.39</v>
      </c>
      <c r="K90" s="64">
        <v>40.04</v>
      </c>
      <c r="L90" s="64">
        <v>25.48</v>
      </c>
      <c r="M90" s="64">
        <v>36.869999999999997</v>
      </c>
      <c r="N90" s="64">
        <v>63.6</v>
      </c>
      <c r="O90" s="64">
        <v>0</v>
      </c>
      <c r="P90" s="64">
        <v>1.77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47" t="s">
        <v>1670</v>
      </c>
      <c r="B91" s="64">
        <v>93.4</v>
      </c>
      <c r="C91" s="64">
        <v>114.31</v>
      </c>
      <c r="D91" s="64">
        <v>134.62</v>
      </c>
      <c r="E91" s="64">
        <v>8.99</v>
      </c>
      <c r="F91" s="64">
        <v>8.73</v>
      </c>
      <c r="G91" s="64">
        <v>66.62</v>
      </c>
      <c r="H91" s="211" t="s">
        <v>42</v>
      </c>
      <c r="I91" s="64">
        <v>3.88</v>
      </c>
      <c r="J91" s="64">
        <v>0.68</v>
      </c>
      <c r="K91" s="64">
        <v>342.13</v>
      </c>
      <c r="L91" s="64">
        <v>24.82</v>
      </c>
      <c r="M91" s="64">
        <v>47.77</v>
      </c>
      <c r="N91" s="64">
        <v>63.9</v>
      </c>
      <c r="O91" s="64">
        <v>0</v>
      </c>
      <c r="P91" s="64">
        <v>2.73</v>
      </c>
      <c r="Q91" s="64">
        <v>9.52</v>
      </c>
      <c r="R91" s="198"/>
      <c r="S91" s="198"/>
      <c r="T91" s="198"/>
      <c r="U91" s="198"/>
    </row>
    <row r="92" spans="1:26" s="12" customFormat="1" x14ac:dyDescent="0.25">
      <c r="A92" s="247" t="s">
        <v>1671</v>
      </c>
      <c r="B92" s="64">
        <v>105.76</v>
      </c>
      <c r="C92" s="64">
        <v>116.86</v>
      </c>
      <c r="D92" s="64">
        <v>145.87</v>
      </c>
      <c r="E92" s="64">
        <v>9.08</v>
      </c>
      <c r="F92" s="64">
        <v>8.57</v>
      </c>
      <c r="G92" s="64">
        <v>72.739999999999995</v>
      </c>
      <c r="H92" s="211" t="s">
        <v>42</v>
      </c>
      <c r="I92" s="64">
        <v>3.88</v>
      </c>
      <c r="J92" s="64">
        <v>0.63</v>
      </c>
      <c r="K92" s="64">
        <v>340.76</v>
      </c>
      <c r="L92" s="64">
        <v>24.48</v>
      </c>
      <c r="M92" s="64">
        <v>46.7</v>
      </c>
      <c r="N92" s="64">
        <v>63.5</v>
      </c>
      <c r="O92" s="64">
        <v>0</v>
      </c>
      <c r="P92" s="64">
        <v>3.22</v>
      </c>
      <c r="Q92" s="64">
        <v>9.5399999999999991</v>
      </c>
      <c r="R92" s="198"/>
      <c r="S92" s="198"/>
      <c r="T92" s="198"/>
      <c r="U92" s="198"/>
    </row>
    <row r="93" spans="1:26" s="12" customFormat="1" x14ac:dyDescent="0.25">
      <c r="A93" s="247" t="s">
        <v>1672</v>
      </c>
      <c r="B93" s="64">
        <v>125.92</v>
      </c>
      <c r="C93" s="64">
        <v>125.61</v>
      </c>
      <c r="D93" s="64">
        <v>166.61</v>
      </c>
      <c r="E93" s="64">
        <v>10.02</v>
      </c>
      <c r="F93" s="64">
        <v>8.6199999999999992</v>
      </c>
      <c r="G93" s="64">
        <v>89.58</v>
      </c>
      <c r="H93" s="64">
        <v>19.78</v>
      </c>
      <c r="I93" s="64">
        <v>3.96</v>
      </c>
      <c r="J93" s="64">
        <v>0.4</v>
      </c>
      <c r="K93" s="64">
        <v>93.88</v>
      </c>
      <c r="L93" s="64">
        <v>24.18</v>
      </c>
      <c r="M93" s="64">
        <v>45.92</v>
      </c>
      <c r="N93" s="64">
        <v>63.5</v>
      </c>
      <c r="O93" s="64">
        <v>0</v>
      </c>
      <c r="P93" s="64">
        <v>3.16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47" t="s">
        <v>1673</v>
      </c>
      <c r="B94" s="64">
        <v>112.16</v>
      </c>
      <c r="C94" s="64">
        <v>123.64</v>
      </c>
      <c r="D94" s="64">
        <v>154.55000000000001</v>
      </c>
      <c r="E94" s="64">
        <v>9.49</v>
      </c>
      <c r="F94" s="64">
        <v>8.7200000000000006</v>
      </c>
      <c r="G94" s="64">
        <v>89.58</v>
      </c>
      <c r="H94" s="64">
        <v>19.78</v>
      </c>
      <c r="I94" s="64">
        <v>4.01</v>
      </c>
      <c r="J94" s="64">
        <v>0.17</v>
      </c>
      <c r="K94" s="64">
        <v>182.57</v>
      </c>
      <c r="L94" s="64">
        <v>23.9</v>
      </c>
      <c r="M94" s="64">
        <v>46.56</v>
      </c>
      <c r="N94" s="64">
        <v>63.3</v>
      </c>
      <c r="O94" s="64">
        <v>0</v>
      </c>
      <c r="P94" s="64">
        <v>2.82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47" t="s">
        <v>1674</v>
      </c>
      <c r="B95" s="64">
        <v>186.98</v>
      </c>
      <c r="C95" s="64">
        <v>135.56</v>
      </c>
      <c r="D95" s="64">
        <v>220.77</v>
      </c>
      <c r="E95" s="64">
        <v>10.09</v>
      </c>
      <c r="F95" s="64">
        <v>8.2899999999999991</v>
      </c>
      <c r="G95" s="64">
        <v>89.58</v>
      </c>
      <c r="H95" s="64">
        <v>19.78</v>
      </c>
      <c r="I95" s="64">
        <v>3.93</v>
      </c>
      <c r="J95" s="64">
        <v>0.28000000000000003</v>
      </c>
      <c r="K95" s="64">
        <v>37.090000000000003</v>
      </c>
      <c r="L95" s="64">
        <v>23.78</v>
      </c>
      <c r="M95" s="64">
        <v>46.66</v>
      </c>
      <c r="N95" s="64">
        <v>63.4</v>
      </c>
      <c r="O95" s="64">
        <v>0</v>
      </c>
      <c r="P95" s="64">
        <v>3.2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47" t="s">
        <v>1675</v>
      </c>
      <c r="B96" s="64">
        <v>195.8</v>
      </c>
      <c r="C96" s="64">
        <v>129.22999999999999</v>
      </c>
      <c r="D96" s="64">
        <v>224.54</v>
      </c>
      <c r="E96" s="64">
        <v>10.59</v>
      </c>
      <c r="F96" s="64">
        <v>8.42</v>
      </c>
      <c r="G96" s="64">
        <v>94.46</v>
      </c>
      <c r="H96" s="64">
        <v>14.95</v>
      </c>
      <c r="I96" s="64">
        <v>4.05</v>
      </c>
      <c r="J96" s="64">
        <v>0.77</v>
      </c>
      <c r="K96" s="64">
        <v>345.93</v>
      </c>
      <c r="L96" s="64">
        <v>23.65</v>
      </c>
      <c r="M96" s="64">
        <v>51.06</v>
      </c>
      <c r="N96" s="64">
        <v>63.3</v>
      </c>
      <c r="O96" s="64">
        <v>0</v>
      </c>
      <c r="P96" s="64">
        <v>3.61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1676</v>
      </c>
      <c r="B97" s="64">
        <v>38.130000000000003</v>
      </c>
      <c r="C97" s="64">
        <v>121.04</v>
      </c>
      <c r="D97" s="64">
        <v>93.82</v>
      </c>
      <c r="E97" s="64">
        <v>10.15</v>
      </c>
      <c r="F97" s="64">
        <v>10.88</v>
      </c>
      <c r="G97" s="64">
        <v>107.86</v>
      </c>
      <c r="H97" s="64">
        <v>1.66</v>
      </c>
      <c r="I97" s="64">
        <v>3.84</v>
      </c>
      <c r="J97" s="64">
        <v>0.45</v>
      </c>
      <c r="K97" s="64">
        <v>311.45</v>
      </c>
      <c r="L97" s="64">
        <v>23.47</v>
      </c>
      <c r="M97" s="64">
        <v>48.43</v>
      </c>
      <c r="N97" s="64">
        <v>63.3</v>
      </c>
      <c r="O97" s="64">
        <v>0</v>
      </c>
      <c r="P97" s="64">
        <v>2.4500000000000002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47" t="s">
        <v>1677</v>
      </c>
      <c r="B98" s="64">
        <v>212.87</v>
      </c>
      <c r="C98" s="64">
        <v>137.12</v>
      </c>
      <c r="D98" s="64">
        <v>242.35</v>
      </c>
      <c r="E98" s="64">
        <v>10.55</v>
      </c>
      <c r="F98" s="64">
        <v>9.48</v>
      </c>
      <c r="G98" s="64">
        <v>107.86</v>
      </c>
      <c r="H98" s="64">
        <v>1.66</v>
      </c>
      <c r="I98" s="64">
        <v>3.87</v>
      </c>
      <c r="J98" s="64">
        <v>0.54</v>
      </c>
      <c r="K98" s="64">
        <v>118.94</v>
      </c>
      <c r="L98" s="64">
        <v>23.83</v>
      </c>
      <c r="M98" s="64">
        <v>46.94</v>
      </c>
      <c r="N98" s="64">
        <v>62.9</v>
      </c>
      <c r="O98" s="64">
        <v>0</v>
      </c>
      <c r="P98" s="64">
        <v>2.35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47" t="s">
        <v>1678</v>
      </c>
      <c r="B99" s="64">
        <v>76.37</v>
      </c>
      <c r="C99" s="64">
        <v>114.18</v>
      </c>
      <c r="D99" s="64">
        <v>120.9</v>
      </c>
      <c r="E99" s="64">
        <v>9.98</v>
      </c>
      <c r="F99" s="64">
        <v>9.17</v>
      </c>
      <c r="G99" s="64">
        <v>107.86</v>
      </c>
      <c r="H99" s="64">
        <v>1.66</v>
      </c>
      <c r="I99" s="64">
        <v>4.07</v>
      </c>
      <c r="J99" s="64">
        <v>0.68</v>
      </c>
      <c r="K99" s="64">
        <v>228.17</v>
      </c>
      <c r="L99" s="64">
        <v>24.08</v>
      </c>
      <c r="M99" s="64">
        <v>44.91</v>
      </c>
      <c r="N99" s="64">
        <v>62.8</v>
      </c>
      <c r="O99" s="64">
        <v>0</v>
      </c>
      <c r="P99" s="64">
        <v>1.83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47" t="s">
        <v>1679</v>
      </c>
      <c r="B100" s="64">
        <v>54.64</v>
      </c>
      <c r="C100" s="64">
        <v>93.09</v>
      </c>
      <c r="D100" s="64">
        <v>92.45</v>
      </c>
      <c r="E100" s="64">
        <v>8.23</v>
      </c>
      <c r="F100" s="64">
        <v>9.2799999999999994</v>
      </c>
      <c r="G100" s="64">
        <v>107.48</v>
      </c>
      <c r="H100" s="64">
        <v>14.8</v>
      </c>
      <c r="I100" s="64">
        <v>3.89</v>
      </c>
      <c r="J100" s="64">
        <v>0.69</v>
      </c>
      <c r="K100" s="64">
        <v>221.82</v>
      </c>
      <c r="L100" s="64">
        <v>24.13</v>
      </c>
      <c r="M100" s="64">
        <v>43.41</v>
      </c>
      <c r="N100" s="64">
        <v>62.9</v>
      </c>
      <c r="O100" s="64">
        <v>0</v>
      </c>
      <c r="P100" s="64">
        <v>1.73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1680</v>
      </c>
      <c r="B101" s="64">
        <v>40</v>
      </c>
      <c r="C101" s="64">
        <v>78.180000000000007</v>
      </c>
      <c r="D101" s="64">
        <v>72.930000000000007</v>
      </c>
      <c r="E101" s="64">
        <v>8.4499999999999993</v>
      </c>
      <c r="F101" s="64">
        <v>11.96</v>
      </c>
      <c r="G101" s="64">
        <v>106.41</v>
      </c>
      <c r="H101" s="64">
        <v>50.94</v>
      </c>
      <c r="I101" s="64">
        <v>4.07</v>
      </c>
      <c r="J101" s="64">
        <v>0.81</v>
      </c>
      <c r="K101" s="64">
        <v>210.29</v>
      </c>
      <c r="L101" s="64">
        <v>24.08</v>
      </c>
      <c r="M101" s="64">
        <v>42.19</v>
      </c>
      <c r="N101" s="64">
        <v>62.6</v>
      </c>
      <c r="O101" s="64">
        <v>0</v>
      </c>
      <c r="P101" s="64">
        <v>1.45</v>
      </c>
      <c r="Q101" s="64">
        <v>9.76</v>
      </c>
      <c r="R101" s="198"/>
      <c r="S101" s="198"/>
      <c r="T101" s="198"/>
      <c r="U101" s="198"/>
    </row>
    <row r="102" spans="1:33" s="12" customFormat="1" x14ac:dyDescent="0.25">
      <c r="A102" s="247" t="s">
        <v>1681</v>
      </c>
      <c r="B102" s="64">
        <v>33.72</v>
      </c>
      <c r="C102" s="64">
        <v>73.010000000000005</v>
      </c>
      <c r="D102" s="64">
        <v>65.19</v>
      </c>
      <c r="E102" s="64">
        <v>9.32</v>
      </c>
      <c r="F102" s="64">
        <v>14.78</v>
      </c>
      <c r="G102" s="64">
        <v>106.41</v>
      </c>
      <c r="H102" s="64">
        <v>50.94</v>
      </c>
      <c r="I102" s="64">
        <v>3.96</v>
      </c>
      <c r="J102" s="64">
        <v>0.5</v>
      </c>
      <c r="K102" s="64">
        <v>256.14</v>
      </c>
      <c r="L102" s="64">
        <v>23.73</v>
      </c>
      <c r="M102" s="64">
        <v>43.08</v>
      </c>
      <c r="N102" s="64">
        <v>63.6</v>
      </c>
      <c r="O102" s="64">
        <v>0</v>
      </c>
      <c r="P102" s="64">
        <v>1.33</v>
      </c>
      <c r="Q102" s="64">
        <v>9.76</v>
      </c>
      <c r="R102" s="198"/>
      <c r="S102" s="198"/>
      <c r="T102" s="198"/>
      <c r="U102" s="198"/>
    </row>
    <row r="103" spans="1:33" s="12" customFormat="1" x14ac:dyDescent="0.25">
      <c r="A103" s="247" t="s">
        <v>1682</v>
      </c>
      <c r="B103" s="64">
        <v>63.86</v>
      </c>
      <c r="C103" s="64">
        <v>85.83</v>
      </c>
      <c r="D103" s="64">
        <v>96.06</v>
      </c>
      <c r="E103" s="64">
        <v>8.07</v>
      </c>
      <c r="F103" s="64">
        <v>10</v>
      </c>
      <c r="G103" s="64">
        <v>106.41</v>
      </c>
      <c r="H103" s="64">
        <v>50.94</v>
      </c>
      <c r="I103" s="64">
        <v>4.13</v>
      </c>
      <c r="J103" s="64">
        <v>0.57999999999999996</v>
      </c>
      <c r="K103" s="64">
        <v>284.14999999999998</v>
      </c>
      <c r="L103" s="64">
        <v>23.05</v>
      </c>
      <c r="M103" s="64">
        <v>46.95</v>
      </c>
      <c r="N103" s="64">
        <v>63.8</v>
      </c>
      <c r="O103" s="64">
        <v>0</v>
      </c>
      <c r="P103" s="64">
        <v>1.67</v>
      </c>
      <c r="Q103" s="64">
        <v>9.76</v>
      </c>
      <c r="R103" s="198"/>
      <c r="S103" s="198"/>
      <c r="T103" s="198"/>
      <c r="U103" s="198"/>
    </row>
    <row r="104" spans="1:33" s="12" customFormat="1" x14ac:dyDescent="0.25">
      <c r="A104" s="247" t="s">
        <v>1683</v>
      </c>
      <c r="B104" s="64">
        <v>59.86</v>
      </c>
      <c r="C104" s="64">
        <v>89.52</v>
      </c>
      <c r="D104" s="64">
        <v>94.77</v>
      </c>
      <c r="E104" s="64">
        <v>5.74</v>
      </c>
      <c r="F104" s="64">
        <v>7.66</v>
      </c>
      <c r="G104" s="64">
        <v>103.03</v>
      </c>
      <c r="H104" s="64">
        <v>41.66</v>
      </c>
      <c r="I104" s="64">
        <v>3.86</v>
      </c>
      <c r="J104" s="64">
        <v>0.43</v>
      </c>
      <c r="K104" s="64">
        <v>344.55</v>
      </c>
      <c r="L104" s="64">
        <v>22.29</v>
      </c>
      <c r="M104" s="64">
        <v>50.18</v>
      </c>
      <c r="N104" s="64">
        <v>63.8</v>
      </c>
      <c r="O104" s="64">
        <v>0</v>
      </c>
      <c r="P104" s="64">
        <v>1.56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</v>
      </c>
      <c r="C106" s="67">
        <f>MIN(C9:C104)</f>
        <v>41.59</v>
      </c>
      <c r="D106" s="67">
        <f t="shared" ref="D106:Q106" si="0">MIN(D9:D104)</f>
        <v>24.59</v>
      </c>
      <c r="E106" s="67">
        <f t="shared" si="0"/>
        <v>2.58</v>
      </c>
      <c r="F106" s="67">
        <f t="shared" si="0"/>
        <v>6.25</v>
      </c>
      <c r="G106" s="67">
        <f t="shared" si="0"/>
        <v>38.28</v>
      </c>
      <c r="H106" s="67">
        <f t="shared" si="0"/>
        <v>1.66</v>
      </c>
      <c r="I106" s="67">
        <f t="shared" si="0"/>
        <v>3.78</v>
      </c>
      <c r="J106" s="67">
        <f t="shared" si="0"/>
        <v>0.02</v>
      </c>
      <c r="K106" s="67">
        <f t="shared" si="0"/>
        <v>1.75</v>
      </c>
      <c r="L106" s="67">
        <f t="shared" si="0"/>
        <v>18.170000000000002</v>
      </c>
      <c r="M106" s="67">
        <f t="shared" si="0"/>
        <v>15.29</v>
      </c>
      <c r="N106" s="67">
        <f t="shared" si="0"/>
        <v>62.6</v>
      </c>
      <c r="O106" s="67">
        <f t="shared" si="0"/>
        <v>0</v>
      </c>
      <c r="P106" s="67">
        <f t="shared" si="0"/>
        <v>0.49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212.87</v>
      </c>
      <c r="C107" s="66">
        <f t="shared" ref="C107:Q107" si="1">MAX(C9:C104)</f>
        <v>137.12</v>
      </c>
      <c r="D107" s="66">
        <f t="shared" si="1"/>
        <v>242.35</v>
      </c>
      <c r="E107" s="66">
        <f t="shared" si="1"/>
        <v>18.29</v>
      </c>
      <c r="F107" s="66">
        <f t="shared" si="1"/>
        <v>40.83</v>
      </c>
      <c r="G107" s="66">
        <f t="shared" si="1"/>
        <v>107.86</v>
      </c>
      <c r="H107" s="66">
        <f t="shared" si="1"/>
        <v>56.08</v>
      </c>
      <c r="I107" s="66">
        <f t="shared" si="1"/>
        <v>4.24</v>
      </c>
      <c r="J107" s="66">
        <f t="shared" si="1"/>
        <v>1.53</v>
      </c>
      <c r="K107" s="66">
        <f t="shared" si="1"/>
        <v>348.34</v>
      </c>
      <c r="L107" s="66">
        <f t="shared" si="1"/>
        <v>36.18</v>
      </c>
      <c r="M107" s="66">
        <f t="shared" si="1"/>
        <v>61.95</v>
      </c>
      <c r="N107" s="66">
        <f t="shared" si="1"/>
        <v>697</v>
      </c>
      <c r="O107" s="66">
        <f t="shared" si="1"/>
        <v>0</v>
      </c>
      <c r="P107" s="66">
        <f t="shared" si="1"/>
        <v>3.61</v>
      </c>
      <c r="Q107" s="66">
        <f t="shared" si="1"/>
        <v>9.76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26.626666666666669</v>
      </c>
      <c r="C108" s="67">
        <f t="shared" ref="C108:Q108" si="2">AVERAGE(C9:C104)</f>
        <v>71.011250000000047</v>
      </c>
      <c r="D108" s="67">
        <f t="shared" si="2"/>
        <v>58.453958333333333</v>
      </c>
      <c r="E108" s="67">
        <f t="shared" si="2"/>
        <v>6.610520833333335</v>
      </c>
      <c r="F108" s="67">
        <f t="shared" si="2"/>
        <v>14.971666666666669</v>
      </c>
      <c r="G108" s="67">
        <f t="shared" si="2"/>
        <v>58.872291666666634</v>
      </c>
      <c r="H108" s="67">
        <f t="shared" si="2"/>
        <v>19.922717391304342</v>
      </c>
      <c r="I108" s="67">
        <f t="shared" si="2"/>
        <v>3.9961458333333328</v>
      </c>
      <c r="J108" s="67">
        <f t="shared" si="2"/>
        <v>0.64656250000000026</v>
      </c>
      <c r="K108" s="67">
        <f t="shared" si="2"/>
        <v>243.54968749999998</v>
      </c>
      <c r="L108" s="67">
        <f t="shared" si="2"/>
        <v>26.090000000000003</v>
      </c>
      <c r="M108" s="67">
        <f t="shared" si="2"/>
        <v>38.129791666666641</v>
      </c>
      <c r="N108" s="67">
        <f t="shared" si="2"/>
        <v>235.00624999999994</v>
      </c>
      <c r="O108" s="67">
        <f t="shared" si="2"/>
        <v>0</v>
      </c>
      <c r="P108" s="67">
        <f t="shared" si="2"/>
        <v>1.1688541666666665</v>
      </c>
      <c r="Q108" s="67">
        <f t="shared" si="2"/>
        <v>9.3707291666666652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41.977776643479167</v>
      </c>
      <c r="C109" s="67">
        <f t="shared" ref="C109:Q109" si="3">STDEV(C9:C104)</f>
        <v>26.086685583585279</v>
      </c>
      <c r="D109" s="67">
        <f t="shared" si="3"/>
        <v>45.581508565579917</v>
      </c>
      <c r="E109" s="67">
        <f t="shared" si="3"/>
        <v>2.8035381291622681</v>
      </c>
      <c r="F109" s="67">
        <f t="shared" si="3"/>
        <v>8.2769107721313784</v>
      </c>
      <c r="G109" s="67">
        <f t="shared" si="3"/>
        <v>18.346158151054748</v>
      </c>
      <c r="H109" s="67">
        <f t="shared" si="3"/>
        <v>10.874739870907904</v>
      </c>
      <c r="I109" s="67">
        <f t="shared" si="3"/>
        <v>9.3294889482269008E-2</v>
      </c>
      <c r="J109" s="67">
        <f t="shared" si="3"/>
        <v>0.33537984160932294</v>
      </c>
      <c r="K109" s="67">
        <f t="shared" si="3"/>
        <v>89.255903929191788</v>
      </c>
      <c r="L109" s="67">
        <f t="shared" si="3"/>
        <v>5.634805371878187</v>
      </c>
      <c r="M109" s="67">
        <f t="shared" si="3"/>
        <v>12.181482320928314</v>
      </c>
      <c r="N109" s="67">
        <f t="shared" si="3"/>
        <v>237.74383773628935</v>
      </c>
      <c r="O109" s="67">
        <f t="shared" si="3"/>
        <v>0</v>
      </c>
      <c r="P109" s="67">
        <f t="shared" si="3"/>
        <v>0.65561681650772152</v>
      </c>
      <c r="Q109" s="67">
        <f t="shared" si="3"/>
        <v>0.22461309326632467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1684</v>
      </c>
      <c r="B9" s="64">
        <v>55.68</v>
      </c>
      <c r="C9" s="64">
        <v>80.63</v>
      </c>
      <c r="D9" s="64">
        <v>86.78</v>
      </c>
      <c r="E9" s="64">
        <v>6.51</v>
      </c>
      <c r="F9" s="64">
        <v>9.68</v>
      </c>
      <c r="G9" s="64">
        <v>93.73</v>
      </c>
      <c r="H9" s="64">
        <v>16.170000000000002</v>
      </c>
      <c r="I9" s="64">
        <v>4.16</v>
      </c>
      <c r="J9" s="64">
        <v>0.63</v>
      </c>
      <c r="K9" s="64">
        <v>290.17</v>
      </c>
      <c r="L9" s="64">
        <v>22.19</v>
      </c>
      <c r="M9" s="64">
        <v>50.5</v>
      </c>
      <c r="N9" s="64">
        <v>63.2</v>
      </c>
      <c r="O9" s="64">
        <v>0</v>
      </c>
      <c r="P9" s="64">
        <v>1.61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47" t="s">
        <v>1685</v>
      </c>
      <c r="B10" s="64">
        <v>43.45</v>
      </c>
      <c r="C10" s="64">
        <v>75.41</v>
      </c>
      <c r="D10" s="64">
        <v>74.239999999999995</v>
      </c>
      <c r="E10" s="64">
        <v>6.37</v>
      </c>
      <c r="F10" s="64">
        <v>10.74</v>
      </c>
      <c r="G10" s="64">
        <v>93.73</v>
      </c>
      <c r="H10" s="64">
        <v>16.170000000000002</v>
      </c>
      <c r="I10" s="64">
        <v>4.12</v>
      </c>
      <c r="J10" s="64">
        <v>0.51</v>
      </c>
      <c r="K10" s="64">
        <v>320.08</v>
      </c>
      <c r="L10" s="64">
        <v>22.14</v>
      </c>
      <c r="M10" s="64">
        <v>51.74</v>
      </c>
      <c r="N10" s="64">
        <v>63.3</v>
      </c>
      <c r="O10" s="64">
        <v>0</v>
      </c>
      <c r="P10" s="64">
        <v>1.47</v>
      </c>
      <c r="Q10" s="64">
        <v>9.7100000000000009</v>
      </c>
      <c r="R10" s="198"/>
      <c r="S10" s="198"/>
      <c r="T10" s="198"/>
      <c r="U10" s="198"/>
    </row>
    <row r="11" spans="1:21" s="12" customFormat="1" x14ac:dyDescent="0.25">
      <c r="A11" s="247" t="s">
        <v>1686</v>
      </c>
      <c r="B11" s="64">
        <v>37.61</v>
      </c>
      <c r="C11" s="64">
        <v>68.95</v>
      </c>
      <c r="D11" s="64">
        <v>66.19</v>
      </c>
      <c r="E11" s="64">
        <v>6.3</v>
      </c>
      <c r="F11" s="64">
        <v>15.46</v>
      </c>
      <c r="G11" s="64">
        <v>93.73</v>
      </c>
      <c r="H11" s="64">
        <v>16.170000000000002</v>
      </c>
      <c r="I11" s="64">
        <v>3.84</v>
      </c>
      <c r="J11" s="64">
        <v>0.49</v>
      </c>
      <c r="K11" s="64">
        <v>272.74</v>
      </c>
      <c r="L11" s="64">
        <v>22.22</v>
      </c>
      <c r="M11" s="64">
        <v>47.37</v>
      </c>
      <c r="N11" s="64">
        <v>62.9</v>
      </c>
      <c r="O11" s="64">
        <v>0</v>
      </c>
      <c r="P11" s="64">
        <v>1.33</v>
      </c>
      <c r="Q11" s="64">
        <v>9.73</v>
      </c>
      <c r="R11" s="198"/>
      <c r="S11" s="198"/>
      <c r="T11" s="198"/>
      <c r="U11" s="198"/>
    </row>
    <row r="12" spans="1:21" s="12" customFormat="1" x14ac:dyDescent="0.25">
      <c r="A12" s="247" t="s">
        <v>1687</v>
      </c>
      <c r="B12" s="64">
        <v>38.07</v>
      </c>
      <c r="C12" s="64">
        <v>62.48</v>
      </c>
      <c r="D12" s="64">
        <v>63.17</v>
      </c>
      <c r="E12" s="64">
        <v>6.39</v>
      </c>
      <c r="F12" s="64">
        <v>16.510000000000002</v>
      </c>
      <c r="G12" s="64">
        <v>89.38</v>
      </c>
      <c r="H12" s="64">
        <v>22.16</v>
      </c>
      <c r="I12" s="64">
        <v>4.01</v>
      </c>
      <c r="J12" s="64">
        <v>0.43</v>
      </c>
      <c r="K12" s="64">
        <v>197.65</v>
      </c>
      <c r="L12" s="64">
        <v>22.41</v>
      </c>
      <c r="M12" s="64">
        <v>46.03</v>
      </c>
      <c r="N12" s="64">
        <v>62.6</v>
      </c>
      <c r="O12" s="64">
        <v>0</v>
      </c>
      <c r="P12" s="64">
        <v>1.34</v>
      </c>
      <c r="Q12" s="64">
        <v>9.73</v>
      </c>
      <c r="R12" s="198"/>
      <c r="S12" s="198"/>
      <c r="T12" s="198"/>
      <c r="U12" s="198"/>
    </row>
    <row r="13" spans="1:21" s="12" customFormat="1" x14ac:dyDescent="0.25">
      <c r="A13" s="247" t="s">
        <v>1688</v>
      </c>
      <c r="B13" s="64">
        <v>37.85</v>
      </c>
      <c r="C13" s="64">
        <v>62.17</v>
      </c>
      <c r="D13" s="64">
        <v>62.84</v>
      </c>
      <c r="E13" s="64">
        <v>5.63</v>
      </c>
      <c r="F13" s="64">
        <v>15.47</v>
      </c>
      <c r="G13" s="64">
        <v>77.430000000000007</v>
      </c>
      <c r="H13" s="64">
        <v>38.630000000000003</v>
      </c>
      <c r="I13" s="64">
        <v>3.95</v>
      </c>
      <c r="J13" s="64">
        <v>0.27</v>
      </c>
      <c r="K13" s="64">
        <v>248.28</v>
      </c>
      <c r="L13" s="64">
        <v>22.47</v>
      </c>
      <c r="M13" s="64">
        <v>46.39</v>
      </c>
      <c r="N13" s="64">
        <v>63</v>
      </c>
      <c r="O13" s="64">
        <v>0</v>
      </c>
      <c r="P13" s="64">
        <v>1.31</v>
      </c>
      <c r="Q13" s="64">
        <v>9.7100000000000009</v>
      </c>
      <c r="R13" s="198"/>
      <c r="S13" s="198"/>
      <c r="T13" s="198"/>
      <c r="U13" s="198"/>
    </row>
    <row r="14" spans="1:21" s="12" customFormat="1" x14ac:dyDescent="0.25">
      <c r="A14" s="247" t="s">
        <v>1689</v>
      </c>
      <c r="B14" s="64">
        <v>22.57</v>
      </c>
      <c r="C14" s="64">
        <v>47.71</v>
      </c>
      <c r="D14" s="64">
        <v>43.03</v>
      </c>
      <c r="E14" s="64">
        <v>6.98</v>
      </c>
      <c r="F14" s="64">
        <v>23.97</v>
      </c>
      <c r="G14" s="64">
        <v>77.430000000000007</v>
      </c>
      <c r="H14" s="64">
        <v>38.630000000000003</v>
      </c>
      <c r="I14" s="64">
        <v>3.89</v>
      </c>
      <c r="J14" s="64">
        <v>0.54</v>
      </c>
      <c r="K14" s="64">
        <v>215.31</v>
      </c>
      <c r="L14" s="64">
        <v>22.58</v>
      </c>
      <c r="M14" s="64">
        <v>44.87</v>
      </c>
      <c r="N14" s="64">
        <v>62.7</v>
      </c>
      <c r="O14" s="64">
        <v>0</v>
      </c>
      <c r="P14" s="64">
        <v>1.1499999999999999</v>
      </c>
      <c r="Q14" s="64">
        <v>9.6999999999999993</v>
      </c>
      <c r="R14" s="198"/>
      <c r="S14" s="198"/>
      <c r="T14" s="198"/>
      <c r="U14" s="198"/>
    </row>
    <row r="15" spans="1:21" s="12" customFormat="1" x14ac:dyDescent="0.25">
      <c r="A15" s="247" t="s">
        <v>1690</v>
      </c>
      <c r="B15" s="64">
        <v>19.829999999999998</v>
      </c>
      <c r="C15" s="64">
        <v>43.78</v>
      </c>
      <c r="D15" s="64">
        <v>38.770000000000003</v>
      </c>
      <c r="E15" s="64">
        <v>7.55</v>
      </c>
      <c r="F15" s="64">
        <v>26.65</v>
      </c>
      <c r="G15" s="64">
        <v>77.430000000000007</v>
      </c>
      <c r="H15" s="64">
        <v>38.630000000000003</v>
      </c>
      <c r="I15" s="64">
        <v>4.07</v>
      </c>
      <c r="J15" s="64">
        <v>0.48</v>
      </c>
      <c r="K15" s="64">
        <v>238.41</v>
      </c>
      <c r="L15" s="64">
        <v>22.38</v>
      </c>
      <c r="M15" s="64">
        <v>45.08</v>
      </c>
      <c r="N15" s="64">
        <v>63.2</v>
      </c>
      <c r="O15" s="64">
        <v>0</v>
      </c>
      <c r="P15" s="64">
        <v>1.1499999999999999</v>
      </c>
      <c r="Q15" s="64">
        <v>9.7100000000000009</v>
      </c>
      <c r="R15" s="198"/>
      <c r="S15" s="198"/>
      <c r="T15" s="198"/>
      <c r="U15" s="198"/>
    </row>
    <row r="16" spans="1:21" s="12" customFormat="1" x14ac:dyDescent="0.25">
      <c r="A16" s="247" t="s">
        <v>1691</v>
      </c>
      <c r="B16" s="64">
        <v>16.63</v>
      </c>
      <c r="C16" s="64">
        <v>41.47</v>
      </c>
      <c r="D16" s="64">
        <v>35.01</v>
      </c>
      <c r="E16" s="64">
        <v>7.94</v>
      </c>
      <c r="F16" s="64">
        <v>26.11</v>
      </c>
      <c r="G16" s="64">
        <v>77.42</v>
      </c>
      <c r="H16" s="64">
        <v>31.9</v>
      </c>
      <c r="I16" s="64">
        <v>4.01</v>
      </c>
      <c r="J16" s="64">
        <v>0.67</v>
      </c>
      <c r="K16" s="64">
        <v>320.56</v>
      </c>
      <c r="L16" s="64">
        <v>21.87</v>
      </c>
      <c r="M16" s="64">
        <v>47.97</v>
      </c>
      <c r="N16" s="64">
        <v>63.6</v>
      </c>
      <c r="O16" s="64">
        <v>0</v>
      </c>
      <c r="P16" s="64">
        <v>1.18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47" t="s">
        <v>1692</v>
      </c>
      <c r="B17" s="64">
        <v>16.809999999999999</v>
      </c>
      <c r="C17" s="64">
        <v>44.33</v>
      </c>
      <c r="D17" s="64">
        <v>36.64</v>
      </c>
      <c r="E17" s="64">
        <v>7.39</v>
      </c>
      <c r="F17" s="64">
        <v>23.38</v>
      </c>
      <c r="G17" s="64">
        <v>77.39</v>
      </c>
      <c r="H17" s="64">
        <v>13.39</v>
      </c>
      <c r="I17" s="64">
        <v>3.99</v>
      </c>
      <c r="J17" s="64">
        <v>0.79</v>
      </c>
      <c r="K17" s="64">
        <v>345.45</v>
      </c>
      <c r="L17" s="64">
        <v>21.14</v>
      </c>
      <c r="M17" s="64">
        <v>52.51</v>
      </c>
      <c r="N17" s="64">
        <v>63.8</v>
      </c>
      <c r="O17" s="64">
        <v>0</v>
      </c>
      <c r="P17" s="64">
        <v>1.1399999999999999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47" t="s">
        <v>1693</v>
      </c>
      <c r="B18" s="64">
        <v>36.130000000000003</v>
      </c>
      <c r="C18" s="64">
        <v>60.81</v>
      </c>
      <c r="D18" s="64">
        <v>60.74</v>
      </c>
      <c r="E18" s="64">
        <v>7.18</v>
      </c>
      <c r="F18" s="64">
        <v>18.78</v>
      </c>
      <c r="G18" s="64">
        <v>77.39</v>
      </c>
      <c r="H18" s="64">
        <v>13.39</v>
      </c>
      <c r="I18" s="64">
        <v>3.89</v>
      </c>
      <c r="J18" s="64">
        <v>0.31</v>
      </c>
      <c r="K18" s="64">
        <v>14.04</v>
      </c>
      <c r="L18" s="64">
        <v>20.7</v>
      </c>
      <c r="M18" s="64">
        <v>54.36</v>
      </c>
      <c r="N18" s="64">
        <v>63.6</v>
      </c>
      <c r="O18" s="64">
        <v>0</v>
      </c>
      <c r="P18" s="64">
        <v>1.1499999999999999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47" t="s">
        <v>1694</v>
      </c>
      <c r="B19" s="64">
        <v>19.079999999999998</v>
      </c>
      <c r="C19" s="64">
        <v>65.849999999999994</v>
      </c>
      <c r="D19" s="64">
        <v>49.7</v>
      </c>
      <c r="E19" s="64">
        <v>6.41</v>
      </c>
      <c r="F19" s="64">
        <v>14.66</v>
      </c>
      <c r="G19" s="64">
        <v>77.39</v>
      </c>
      <c r="H19" s="64">
        <v>13.39</v>
      </c>
      <c r="I19" s="64">
        <v>4.1399999999999997</v>
      </c>
      <c r="J19" s="64">
        <v>0.1</v>
      </c>
      <c r="K19" s="64">
        <v>218.51</v>
      </c>
      <c r="L19" s="64">
        <v>20.51</v>
      </c>
      <c r="M19" s="64">
        <v>56.91</v>
      </c>
      <c r="N19" s="64">
        <v>63.4</v>
      </c>
      <c r="O19" s="64">
        <v>0</v>
      </c>
      <c r="P19" s="64">
        <v>1.1499999999999999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47" t="s">
        <v>1695</v>
      </c>
      <c r="B20" s="64">
        <v>18.3</v>
      </c>
      <c r="C20" s="64">
        <v>52.94</v>
      </c>
      <c r="D20" s="64">
        <v>42.34</v>
      </c>
      <c r="E20" s="64">
        <v>5.98</v>
      </c>
      <c r="F20" s="64">
        <v>17.510000000000002</v>
      </c>
      <c r="G20" s="64">
        <v>75.599999999999994</v>
      </c>
      <c r="H20" s="64">
        <v>21.76</v>
      </c>
      <c r="I20" s="64">
        <v>4</v>
      </c>
      <c r="J20" s="64">
        <v>0.34</v>
      </c>
      <c r="K20" s="64">
        <v>221.26</v>
      </c>
      <c r="L20" s="64">
        <v>20.91</v>
      </c>
      <c r="M20" s="64">
        <v>56.99</v>
      </c>
      <c r="N20" s="64">
        <v>62.5</v>
      </c>
      <c r="O20" s="64">
        <v>0</v>
      </c>
      <c r="P20" s="64">
        <v>1.1499999999999999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47" t="s">
        <v>1696</v>
      </c>
      <c r="B21" s="64">
        <v>24.58</v>
      </c>
      <c r="C21" s="64">
        <v>54.71</v>
      </c>
      <c r="D21" s="64">
        <v>48.29</v>
      </c>
      <c r="E21" s="64">
        <v>6</v>
      </c>
      <c r="F21" s="64">
        <v>14.96</v>
      </c>
      <c r="G21" s="64">
        <v>70.39</v>
      </c>
      <c r="H21" s="64">
        <v>44.76</v>
      </c>
      <c r="I21" s="64">
        <v>3.92</v>
      </c>
      <c r="J21" s="64">
        <v>0.73</v>
      </c>
      <c r="K21" s="64">
        <v>353.08</v>
      </c>
      <c r="L21" s="64">
        <v>20.68</v>
      </c>
      <c r="M21" s="64">
        <v>58.58</v>
      </c>
      <c r="N21" s="64">
        <v>63.6</v>
      </c>
      <c r="O21" s="64">
        <v>0</v>
      </c>
      <c r="P21" s="64">
        <v>1.22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47" t="s">
        <v>1697</v>
      </c>
      <c r="B22" s="64">
        <v>29.09</v>
      </c>
      <c r="C22" s="64">
        <v>60.09</v>
      </c>
      <c r="D22" s="64">
        <v>54.72</v>
      </c>
      <c r="E22" s="64">
        <v>4.2</v>
      </c>
      <c r="F22" s="64">
        <v>8.93</v>
      </c>
      <c r="G22" s="64">
        <v>70.39</v>
      </c>
      <c r="H22" s="64">
        <v>44.76</v>
      </c>
      <c r="I22" s="64">
        <v>3.97</v>
      </c>
      <c r="J22" s="64">
        <v>0.14000000000000001</v>
      </c>
      <c r="K22" s="64">
        <v>254.88</v>
      </c>
      <c r="L22" s="64">
        <v>20.12</v>
      </c>
      <c r="M22" s="64">
        <v>60.19</v>
      </c>
      <c r="N22" s="64">
        <v>63.5</v>
      </c>
      <c r="O22" s="64">
        <v>0</v>
      </c>
      <c r="P22" s="64">
        <v>1.33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47" t="s">
        <v>1698</v>
      </c>
      <c r="B23" s="64">
        <v>25.89</v>
      </c>
      <c r="C23" s="64">
        <v>61</v>
      </c>
      <c r="D23" s="64">
        <v>52.63</v>
      </c>
      <c r="E23" s="64">
        <v>4.57</v>
      </c>
      <c r="F23" s="64">
        <v>10.75</v>
      </c>
      <c r="G23" s="64">
        <v>70.39</v>
      </c>
      <c r="H23" s="64">
        <v>44.76</v>
      </c>
      <c r="I23" s="64">
        <v>4.01</v>
      </c>
      <c r="J23" s="64">
        <v>0.34</v>
      </c>
      <c r="K23" s="64">
        <v>173.95</v>
      </c>
      <c r="L23" s="64">
        <v>20.54</v>
      </c>
      <c r="M23" s="64">
        <v>58.55</v>
      </c>
      <c r="N23" s="64">
        <v>62.9</v>
      </c>
      <c r="O23" s="64">
        <v>0</v>
      </c>
      <c r="P23" s="64">
        <v>1.28</v>
      </c>
      <c r="Q23" s="64">
        <v>9.6</v>
      </c>
      <c r="R23" s="198"/>
      <c r="S23" s="198"/>
      <c r="T23" s="198"/>
      <c r="U23" s="198"/>
    </row>
    <row r="24" spans="1:21" s="12" customFormat="1" x14ac:dyDescent="0.25">
      <c r="A24" s="247" t="s">
        <v>1699</v>
      </c>
      <c r="B24" s="64">
        <v>29.66</v>
      </c>
      <c r="C24" s="64">
        <v>64.23</v>
      </c>
      <c r="D24" s="64">
        <v>57.34</v>
      </c>
      <c r="E24" s="64">
        <v>4.0599999999999996</v>
      </c>
      <c r="F24" s="64">
        <v>8.68</v>
      </c>
      <c r="G24" s="64">
        <v>70.84</v>
      </c>
      <c r="H24" s="64">
        <v>40.799999999999997</v>
      </c>
      <c r="I24" s="64">
        <v>4</v>
      </c>
      <c r="J24" s="64">
        <v>0.45</v>
      </c>
      <c r="K24" s="64">
        <v>339.54</v>
      </c>
      <c r="L24" s="64">
        <v>20.079999999999998</v>
      </c>
      <c r="M24" s="64">
        <v>63.88</v>
      </c>
      <c r="N24" s="64">
        <v>63.7</v>
      </c>
      <c r="O24" s="64">
        <v>0</v>
      </c>
      <c r="P24" s="64">
        <v>1.29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47" t="s">
        <v>1700</v>
      </c>
      <c r="B25" s="64">
        <v>33.69</v>
      </c>
      <c r="C25" s="64">
        <v>68.37</v>
      </c>
      <c r="D25" s="64">
        <v>62.74</v>
      </c>
      <c r="E25" s="64">
        <v>3.62</v>
      </c>
      <c r="F25" s="64">
        <v>6.32</v>
      </c>
      <c r="G25" s="64">
        <v>72.069999999999993</v>
      </c>
      <c r="H25" s="64">
        <v>29.92</v>
      </c>
      <c r="I25" s="64">
        <v>4.0999999999999996</v>
      </c>
      <c r="J25" s="64">
        <v>0.32</v>
      </c>
      <c r="K25" s="64">
        <v>268.16000000000003</v>
      </c>
      <c r="L25" s="64">
        <v>19.649999999999999</v>
      </c>
      <c r="M25" s="64">
        <v>68.16</v>
      </c>
      <c r="N25" s="64">
        <v>63.4</v>
      </c>
      <c r="O25" s="64">
        <v>0</v>
      </c>
      <c r="P25" s="64">
        <v>1.31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47" t="s">
        <v>1701</v>
      </c>
      <c r="B26" s="64">
        <v>22.06</v>
      </c>
      <c r="C26" s="64">
        <v>68.14</v>
      </c>
      <c r="D26" s="64">
        <v>53.29</v>
      </c>
      <c r="E26" s="64">
        <v>3.86</v>
      </c>
      <c r="F26" s="64">
        <v>7.76</v>
      </c>
      <c r="G26" s="64">
        <v>72.069999999999993</v>
      </c>
      <c r="H26" s="64">
        <v>29.92</v>
      </c>
      <c r="I26" s="64">
        <v>3.95</v>
      </c>
      <c r="J26" s="64">
        <v>0.41</v>
      </c>
      <c r="K26" s="64">
        <v>266.60000000000002</v>
      </c>
      <c r="L26" s="64">
        <v>19.8</v>
      </c>
      <c r="M26" s="64">
        <v>73.41</v>
      </c>
      <c r="N26" s="64">
        <v>63.4</v>
      </c>
      <c r="O26" s="64">
        <v>0</v>
      </c>
      <c r="P26" s="64">
        <v>1.23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47" t="s">
        <v>1702</v>
      </c>
      <c r="B27" s="64">
        <v>31.26</v>
      </c>
      <c r="C27" s="64">
        <v>71.58</v>
      </c>
      <c r="D27" s="64">
        <v>62.46</v>
      </c>
      <c r="E27" s="64">
        <v>3.62</v>
      </c>
      <c r="F27" s="64">
        <v>7.55</v>
      </c>
      <c r="G27" s="64">
        <v>72.069999999999993</v>
      </c>
      <c r="H27" s="64">
        <v>29.92</v>
      </c>
      <c r="I27" s="64">
        <v>4.08</v>
      </c>
      <c r="J27" s="64">
        <v>0.57999999999999996</v>
      </c>
      <c r="K27" s="64">
        <v>330.11</v>
      </c>
      <c r="L27" s="64">
        <v>19.71</v>
      </c>
      <c r="M27" s="64">
        <v>67.14</v>
      </c>
      <c r="N27" s="64">
        <v>63.4</v>
      </c>
      <c r="O27" s="64">
        <v>0</v>
      </c>
      <c r="P27" s="64">
        <v>1.27</v>
      </c>
      <c r="Q27" s="64">
        <v>9.57</v>
      </c>
      <c r="R27" s="198"/>
      <c r="S27" s="198"/>
      <c r="T27" s="198"/>
      <c r="U27" s="198"/>
    </row>
    <row r="28" spans="1:21" s="12" customFormat="1" x14ac:dyDescent="0.25">
      <c r="A28" s="247" t="s">
        <v>1703</v>
      </c>
      <c r="B28" s="64">
        <v>33.18</v>
      </c>
      <c r="C28" s="64">
        <v>76.27</v>
      </c>
      <c r="D28" s="64">
        <v>66.459999999999994</v>
      </c>
      <c r="E28" s="64">
        <v>3.73</v>
      </c>
      <c r="F28" s="64">
        <v>7.8</v>
      </c>
      <c r="G28" s="64">
        <v>73.58</v>
      </c>
      <c r="H28" s="64">
        <v>30.36</v>
      </c>
      <c r="I28" s="64">
        <v>3.98</v>
      </c>
      <c r="J28" s="64">
        <v>0.34</v>
      </c>
      <c r="K28" s="64">
        <v>165.07</v>
      </c>
      <c r="L28" s="64">
        <v>19.760000000000002</v>
      </c>
      <c r="M28" s="64">
        <v>64.16</v>
      </c>
      <c r="N28" s="64">
        <v>62.9</v>
      </c>
      <c r="O28" s="64">
        <v>0</v>
      </c>
      <c r="P28" s="64">
        <v>1.26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47" t="s">
        <v>1704</v>
      </c>
      <c r="B29" s="64">
        <v>36.08</v>
      </c>
      <c r="C29" s="64">
        <v>71.19</v>
      </c>
      <c r="D29" s="64">
        <v>66.13</v>
      </c>
      <c r="E29" s="64">
        <v>3.4</v>
      </c>
      <c r="F29" s="64">
        <v>7.35</v>
      </c>
      <c r="G29" s="64">
        <v>77.73</v>
      </c>
      <c r="H29" s="64">
        <v>31.59</v>
      </c>
      <c r="I29" s="64">
        <v>4.05</v>
      </c>
      <c r="J29" s="64">
        <v>0.83</v>
      </c>
      <c r="K29" s="64">
        <v>228.9</v>
      </c>
      <c r="L29" s="64">
        <v>20.22</v>
      </c>
      <c r="M29" s="64">
        <v>62.4</v>
      </c>
      <c r="N29" s="64">
        <v>62.7</v>
      </c>
      <c r="O29" s="64">
        <v>0</v>
      </c>
      <c r="P29" s="64">
        <v>1.3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47" t="s">
        <v>1705</v>
      </c>
      <c r="B30" s="64">
        <v>51.55</v>
      </c>
      <c r="C30" s="64">
        <v>77.47</v>
      </c>
      <c r="D30" s="64">
        <v>81.81</v>
      </c>
      <c r="E30" s="64">
        <v>3.59</v>
      </c>
      <c r="F30" s="64">
        <v>6.45</v>
      </c>
      <c r="G30" s="64">
        <v>77.73</v>
      </c>
      <c r="H30" s="64">
        <v>31.59</v>
      </c>
      <c r="I30" s="64">
        <v>4.08</v>
      </c>
      <c r="J30" s="64">
        <v>0.64</v>
      </c>
      <c r="K30" s="64">
        <v>347.79</v>
      </c>
      <c r="L30" s="64">
        <v>19.95</v>
      </c>
      <c r="M30" s="64">
        <v>65.14</v>
      </c>
      <c r="N30" s="64">
        <v>63.8</v>
      </c>
      <c r="O30" s="64">
        <v>0</v>
      </c>
      <c r="P30" s="64">
        <v>1.3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47" t="s">
        <v>1706</v>
      </c>
      <c r="B31" s="64">
        <v>60.7</v>
      </c>
      <c r="C31" s="64">
        <v>80.02</v>
      </c>
      <c r="D31" s="64">
        <v>90.49</v>
      </c>
      <c r="E31" s="64">
        <v>3.75</v>
      </c>
      <c r="F31" s="64">
        <v>7</v>
      </c>
      <c r="G31" s="64">
        <v>77.73</v>
      </c>
      <c r="H31" s="64">
        <v>31.59</v>
      </c>
      <c r="I31" s="64">
        <v>3.84</v>
      </c>
      <c r="J31" s="64">
        <v>0.21</v>
      </c>
      <c r="K31" s="64">
        <v>147.35</v>
      </c>
      <c r="L31" s="64">
        <v>19.57</v>
      </c>
      <c r="M31" s="64">
        <v>66.05</v>
      </c>
      <c r="N31" s="64">
        <v>63.5</v>
      </c>
      <c r="O31" s="64">
        <v>0</v>
      </c>
      <c r="P31" s="64">
        <v>1.33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47" t="s">
        <v>1707</v>
      </c>
      <c r="B32" s="64">
        <v>84.58</v>
      </c>
      <c r="C32" s="64">
        <v>79.819999999999993</v>
      </c>
      <c r="D32" s="64">
        <v>109.53</v>
      </c>
      <c r="E32" s="64">
        <v>4.5999999999999996</v>
      </c>
      <c r="F32" s="64">
        <v>8.3699999999999992</v>
      </c>
      <c r="G32" s="64">
        <v>81.8</v>
      </c>
      <c r="H32" s="64">
        <v>32.68</v>
      </c>
      <c r="I32" s="64">
        <v>3.95</v>
      </c>
      <c r="J32" s="64">
        <v>0.28000000000000003</v>
      </c>
      <c r="K32" s="64">
        <v>319.86</v>
      </c>
      <c r="L32" s="64">
        <v>19.54</v>
      </c>
      <c r="M32" s="64">
        <v>68.209999999999994</v>
      </c>
      <c r="N32" s="64">
        <v>63.8</v>
      </c>
      <c r="O32" s="64">
        <v>0</v>
      </c>
      <c r="P32" s="64">
        <v>1.39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47" t="s">
        <v>1708</v>
      </c>
      <c r="B33" s="64">
        <v>92.9</v>
      </c>
      <c r="C33" s="64">
        <v>81.37</v>
      </c>
      <c r="D33" s="64">
        <v>117.01</v>
      </c>
      <c r="E33" s="64">
        <v>4.58</v>
      </c>
      <c r="F33" s="64">
        <v>8.17</v>
      </c>
      <c r="G33" s="64">
        <v>93</v>
      </c>
      <c r="H33" s="64">
        <v>35.67</v>
      </c>
      <c r="I33" s="64">
        <v>4.1500000000000004</v>
      </c>
      <c r="J33" s="64">
        <v>7.0000000000000007E-2</v>
      </c>
      <c r="K33" s="64">
        <v>339.95</v>
      </c>
      <c r="L33" s="64">
        <v>19.36</v>
      </c>
      <c r="M33" s="64">
        <v>70.25</v>
      </c>
      <c r="N33" s="64">
        <v>67.5</v>
      </c>
      <c r="O33" s="64">
        <v>0</v>
      </c>
      <c r="P33" s="64">
        <v>1.45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47" t="s">
        <v>1709</v>
      </c>
      <c r="B34" s="64">
        <v>83.52</v>
      </c>
      <c r="C34" s="64">
        <v>81.459999999999994</v>
      </c>
      <c r="D34" s="64">
        <v>109.54</v>
      </c>
      <c r="E34" s="64">
        <v>4.75</v>
      </c>
      <c r="F34" s="64">
        <v>8.9700000000000006</v>
      </c>
      <c r="G34" s="64">
        <v>93</v>
      </c>
      <c r="H34" s="64">
        <v>35.67</v>
      </c>
      <c r="I34" s="64">
        <v>4.16</v>
      </c>
      <c r="J34" s="64">
        <v>0.33</v>
      </c>
      <c r="K34" s="64">
        <v>248.81</v>
      </c>
      <c r="L34" s="64">
        <v>19.579999999999998</v>
      </c>
      <c r="M34" s="64">
        <v>68.31</v>
      </c>
      <c r="N34" s="64">
        <v>77.900000000000006</v>
      </c>
      <c r="O34" s="64">
        <v>0</v>
      </c>
      <c r="P34" s="64">
        <v>1.5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47" t="s">
        <v>1710</v>
      </c>
      <c r="B35" s="64">
        <v>144.61000000000001</v>
      </c>
      <c r="C35" s="64">
        <v>93.32</v>
      </c>
      <c r="D35" s="64">
        <v>164.73</v>
      </c>
      <c r="E35" s="64">
        <v>5.44</v>
      </c>
      <c r="F35" s="64">
        <v>8.35</v>
      </c>
      <c r="G35" s="64">
        <v>93</v>
      </c>
      <c r="H35" s="64">
        <v>35.67</v>
      </c>
      <c r="I35" s="64">
        <v>3.94</v>
      </c>
      <c r="J35" s="64">
        <v>0.34</v>
      </c>
      <c r="K35" s="64">
        <v>295.89999999999998</v>
      </c>
      <c r="L35" s="64">
        <v>19.899999999999999</v>
      </c>
      <c r="M35" s="64">
        <v>68.34</v>
      </c>
      <c r="N35" s="64">
        <v>93.9</v>
      </c>
      <c r="O35" s="64">
        <v>0</v>
      </c>
      <c r="P35" s="64">
        <v>1.56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47" t="s">
        <v>1711</v>
      </c>
      <c r="B36" s="64">
        <v>118.48</v>
      </c>
      <c r="C36" s="64">
        <v>94.41</v>
      </c>
      <c r="D36" s="64">
        <v>144.34</v>
      </c>
      <c r="E36" s="64">
        <v>5.28</v>
      </c>
      <c r="F36" s="64">
        <v>8.93</v>
      </c>
      <c r="G36" s="64">
        <v>96.39</v>
      </c>
      <c r="H36" s="64">
        <v>36.880000000000003</v>
      </c>
      <c r="I36" s="64">
        <v>4.1100000000000003</v>
      </c>
      <c r="J36" s="64">
        <v>0.37</v>
      </c>
      <c r="K36" s="64">
        <v>331.45</v>
      </c>
      <c r="L36" s="64">
        <v>20.56</v>
      </c>
      <c r="M36" s="64">
        <v>68.37</v>
      </c>
      <c r="N36" s="64">
        <v>120</v>
      </c>
      <c r="O36" s="64">
        <v>0</v>
      </c>
      <c r="P36" s="64">
        <v>1.7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47" t="s">
        <v>1712</v>
      </c>
      <c r="B37" s="64">
        <v>121.67</v>
      </c>
      <c r="C37" s="64">
        <v>96.5</v>
      </c>
      <c r="D37" s="64">
        <v>147.99</v>
      </c>
      <c r="E37" s="64">
        <v>5.99</v>
      </c>
      <c r="F37" s="64">
        <v>9.4600000000000009</v>
      </c>
      <c r="G37" s="64">
        <v>106.27</v>
      </c>
      <c r="H37" s="64">
        <v>40.19</v>
      </c>
      <c r="I37" s="64">
        <v>3.94</v>
      </c>
      <c r="J37" s="64">
        <v>0.2</v>
      </c>
      <c r="K37" s="64">
        <v>5.24</v>
      </c>
      <c r="L37" s="64">
        <v>21.61</v>
      </c>
      <c r="M37" s="64">
        <v>64.84</v>
      </c>
      <c r="N37" s="64">
        <v>150.1</v>
      </c>
      <c r="O37" s="64">
        <v>0</v>
      </c>
      <c r="P37" s="64">
        <v>1.54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47" t="s">
        <v>1713</v>
      </c>
      <c r="B38" s="64">
        <v>81.12</v>
      </c>
      <c r="C38" s="64">
        <v>91.31</v>
      </c>
      <c r="D38" s="64">
        <v>112.76</v>
      </c>
      <c r="E38" s="64">
        <v>6</v>
      </c>
      <c r="F38" s="64">
        <v>8.85</v>
      </c>
      <c r="G38" s="64">
        <v>106.27</v>
      </c>
      <c r="H38" s="64">
        <v>40.19</v>
      </c>
      <c r="I38" s="64">
        <v>3.82</v>
      </c>
      <c r="J38" s="64">
        <v>0.38</v>
      </c>
      <c r="K38" s="64">
        <v>216.2</v>
      </c>
      <c r="L38" s="64">
        <v>22.71</v>
      </c>
      <c r="M38" s="64">
        <v>58.56</v>
      </c>
      <c r="N38" s="64">
        <v>184.5</v>
      </c>
      <c r="O38" s="64">
        <v>0</v>
      </c>
      <c r="P38" s="64">
        <v>1.47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47" t="s">
        <v>1714</v>
      </c>
      <c r="B39" s="64">
        <v>66.22</v>
      </c>
      <c r="C39" s="64">
        <v>79.760000000000005</v>
      </c>
      <c r="D39" s="64">
        <v>94.77</v>
      </c>
      <c r="E39" s="64">
        <v>5.93</v>
      </c>
      <c r="F39" s="64">
        <v>8.31</v>
      </c>
      <c r="G39" s="64">
        <v>106.27</v>
      </c>
      <c r="H39" s="64">
        <v>40.19</v>
      </c>
      <c r="I39" s="64">
        <v>3.94</v>
      </c>
      <c r="J39" s="64">
        <v>0.64</v>
      </c>
      <c r="K39" s="64">
        <v>172.08</v>
      </c>
      <c r="L39" s="64">
        <v>24.05</v>
      </c>
      <c r="M39" s="64">
        <v>49.52</v>
      </c>
      <c r="N39" s="64">
        <v>217.7</v>
      </c>
      <c r="O39" s="64">
        <v>0</v>
      </c>
      <c r="P39" s="64">
        <v>1.32</v>
      </c>
      <c r="Q39" s="64">
        <v>9.69</v>
      </c>
      <c r="R39" s="198"/>
      <c r="S39" s="198"/>
      <c r="T39" s="198"/>
      <c r="U39" s="198"/>
    </row>
    <row r="40" spans="1:21" s="12" customFormat="1" x14ac:dyDescent="0.25">
      <c r="A40" s="247" t="s">
        <v>1715</v>
      </c>
      <c r="B40" s="64">
        <v>57.43</v>
      </c>
      <c r="C40" s="64">
        <v>74.08</v>
      </c>
      <c r="D40" s="64">
        <v>84.76</v>
      </c>
      <c r="E40" s="64">
        <v>6.46</v>
      </c>
      <c r="F40" s="64">
        <v>11.09</v>
      </c>
      <c r="G40" s="64">
        <v>105.88</v>
      </c>
      <c r="H40" s="64">
        <v>37.590000000000003</v>
      </c>
      <c r="I40" s="64">
        <v>3.9</v>
      </c>
      <c r="J40" s="64">
        <v>0.72</v>
      </c>
      <c r="K40" s="64">
        <v>160.75</v>
      </c>
      <c r="L40" s="64">
        <v>24.8</v>
      </c>
      <c r="M40" s="64">
        <v>46.33</v>
      </c>
      <c r="N40" s="64">
        <v>253.1</v>
      </c>
      <c r="O40" s="64">
        <v>0</v>
      </c>
      <c r="P40" s="64">
        <v>1.29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47" t="s">
        <v>1716</v>
      </c>
      <c r="B41" s="64">
        <v>59.03</v>
      </c>
      <c r="C41" s="64">
        <v>73.45</v>
      </c>
      <c r="D41" s="64">
        <v>85.71</v>
      </c>
      <c r="E41" s="64">
        <v>5.82</v>
      </c>
      <c r="F41" s="64">
        <v>9.5500000000000007</v>
      </c>
      <c r="G41" s="64">
        <v>104.8</v>
      </c>
      <c r="H41" s="64">
        <v>30.45</v>
      </c>
      <c r="I41" s="64">
        <v>4.0599999999999996</v>
      </c>
      <c r="J41" s="64">
        <v>0.64</v>
      </c>
      <c r="K41" s="64">
        <v>236.56</v>
      </c>
      <c r="L41" s="64">
        <v>25.27</v>
      </c>
      <c r="M41" s="64">
        <v>43.78</v>
      </c>
      <c r="N41" s="64">
        <v>285</v>
      </c>
      <c r="O41" s="64">
        <v>0</v>
      </c>
      <c r="P41" s="64">
        <v>1.3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47" t="s">
        <v>1717</v>
      </c>
      <c r="B42" s="64">
        <v>57.11</v>
      </c>
      <c r="C42" s="64">
        <v>74.760000000000005</v>
      </c>
      <c r="D42" s="64">
        <v>84.85</v>
      </c>
      <c r="E42" s="64">
        <v>5.19</v>
      </c>
      <c r="F42" s="64">
        <v>7.73</v>
      </c>
      <c r="G42" s="64">
        <v>104.8</v>
      </c>
      <c r="H42" s="64">
        <v>30.45</v>
      </c>
      <c r="I42" s="64">
        <v>4.07</v>
      </c>
      <c r="J42" s="64">
        <v>0.81</v>
      </c>
      <c r="K42" s="64">
        <v>293.87</v>
      </c>
      <c r="L42" s="64">
        <v>26.65</v>
      </c>
      <c r="M42" s="64">
        <v>41.67</v>
      </c>
      <c r="N42" s="64">
        <v>319.89999999999998</v>
      </c>
      <c r="O42" s="64">
        <v>0</v>
      </c>
      <c r="P42" s="64">
        <v>1.29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47" t="s">
        <v>1718</v>
      </c>
      <c r="B43" s="64">
        <v>53.12</v>
      </c>
      <c r="C43" s="64">
        <v>74.709999999999994</v>
      </c>
      <c r="D43" s="64">
        <v>81.63</v>
      </c>
      <c r="E43" s="64">
        <v>4.28</v>
      </c>
      <c r="F43" s="64">
        <v>7.64</v>
      </c>
      <c r="G43" s="64">
        <v>104.8</v>
      </c>
      <c r="H43" s="64">
        <v>30.45</v>
      </c>
      <c r="I43" s="64">
        <v>4.07</v>
      </c>
      <c r="J43" s="64">
        <v>1.03</v>
      </c>
      <c r="K43" s="64">
        <v>280.60000000000002</v>
      </c>
      <c r="L43" s="64">
        <v>27.63</v>
      </c>
      <c r="M43" s="64">
        <v>40.32</v>
      </c>
      <c r="N43" s="64">
        <v>352.5</v>
      </c>
      <c r="O43" s="64">
        <v>0</v>
      </c>
      <c r="P43" s="64">
        <v>1.27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47" t="s">
        <v>1719</v>
      </c>
      <c r="B44" s="64">
        <v>44.44</v>
      </c>
      <c r="C44" s="64">
        <v>74.77</v>
      </c>
      <c r="D44" s="64">
        <v>74.7</v>
      </c>
      <c r="E44" s="64">
        <v>4.4000000000000004</v>
      </c>
      <c r="F44" s="64">
        <v>7.49</v>
      </c>
      <c r="G44" s="64">
        <v>102.04</v>
      </c>
      <c r="H44" s="64">
        <v>32.72</v>
      </c>
      <c r="I44" s="64">
        <v>3.79</v>
      </c>
      <c r="J44" s="64">
        <v>0.49</v>
      </c>
      <c r="K44" s="64">
        <v>241.86</v>
      </c>
      <c r="L44" s="64">
        <v>26.79</v>
      </c>
      <c r="M44" s="64">
        <v>42.7</v>
      </c>
      <c r="N44" s="64">
        <v>385.5</v>
      </c>
      <c r="O44" s="64">
        <v>0</v>
      </c>
      <c r="P44" s="64">
        <v>1.24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47" t="s">
        <v>1720</v>
      </c>
      <c r="B45" s="64">
        <v>42.01</v>
      </c>
      <c r="C45" s="64">
        <v>78.09</v>
      </c>
      <c r="D45" s="64">
        <v>74.489999999999995</v>
      </c>
      <c r="E45" s="64">
        <v>4.0199999999999996</v>
      </c>
      <c r="F45" s="64">
        <v>7.06</v>
      </c>
      <c r="G45" s="64">
        <v>94.44</v>
      </c>
      <c r="H45" s="64">
        <v>38.97</v>
      </c>
      <c r="I45" s="64">
        <v>3.94</v>
      </c>
      <c r="J45" s="64">
        <v>0.78</v>
      </c>
      <c r="K45" s="64">
        <v>256.94</v>
      </c>
      <c r="L45" s="64">
        <v>26.46</v>
      </c>
      <c r="M45" s="64">
        <v>44.29</v>
      </c>
      <c r="N45" s="64">
        <v>431.4</v>
      </c>
      <c r="O45" s="64">
        <v>0</v>
      </c>
      <c r="P45" s="64">
        <v>1.23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47" t="s">
        <v>1721</v>
      </c>
      <c r="B46" s="64">
        <v>35.770000000000003</v>
      </c>
      <c r="C46" s="64">
        <v>77.930000000000007</v>
      </c>
      <c r="D46" s="64">
        <v>69.400000000000006</v>
      </c>
      <c r="E46" s="64">
        <v>3.68</v>
      </c>
      <c r="F46" s="64">
        <v>7.67</v>
      </c>
      <c r="G46" s="64">
        <v>94.44</v>
      </c>
      <c r="H46" s="64">
        <v>38.97</v>
      </c>
      <c r="I46" s="64">
        <v>3.94</v>
      </c>
      <c r="J46" s="64">
        <v>0.93</v>
      </c>
      <c r="K46" s="64">
        <v>272.11</v>
      </c>
      <c r="L46" s="64">
        <v>27.92</v>
      </c>
      <c r="M46" s="64">
        <v>41.37</v>
      </c>
      <c r="N46" s="64">
        <v>474.1</v>
      </c>
      <c r="O46" s="64">
        <v>0</v>
      </c>
      <c r="P46" s="64">
        <v>1.21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47" t="s">
        <v>1722</v>
      </c>
      <c r="B47" s="64">
        <v>30.94</v>
      </c>
      <c r="C47" s="64">
        <v>80.2</v>
      </c>
      <c r="D47" s="64">
        <v>66.72</v>
      </c>
      <c r="E47" s="64">
        <v>3.58</v>
      </c>
      <c r="F47" s="64">
        <v>7.33</v>
      </c>
      <c r="G47" s="64">
        <v>94.44</v>
      </c>
      <c r="H47" s="64">
        <v>38.97</v>
      </c>
      <c r="I47" s="64">
        <v>4.0199999999999996</v>
      </c>
      <c r="J47" s="64">
        <v>1.1399999999999999</v>
      </c>
      <c r="K47" s="64">
        <v>271.5</v>
      </c>
      <c r="L47" s="64">
        <v>29.1</v>
      </c>
      <c r="M47" s="64">
        <v>37.86</v>
      </c>
      <c r="N47" s="64">
        <v>513.9</v>
      </c>
      <c r="O47" s="64">
        <v>0</v>
      </c>
      <c r="P47" s="64">
        <v>1.17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47" t="s">
        <v>1723</v>
      </c>
      <c r="B48" s="64">
        <v>23.53</v>
      </c>
      <c r="C48" s="64">
        <v>81.58</v>
      </c>
      <c r="D48" s="64">
        <v>61.49</v>
      </c>
      <c r="E48" s="64">
        <v>3.61</v>
      </c>
      <c r="F48" s="64">
        <v>8.42</v>
      </c>
      <c r="G48" s="64">
        <v>91.37</v>
      </c>
      <c r="H48" s="64">
        <v>36.520000000000003</v>
      </c>
      <c r="I48" s="64">
        <v>4.16</v>
      </c>
      <c r="J48" s="64">
        <v>1.07</v>
      </c>
      <c r="K48" s="64">
        <v>283.08</v>
      </c>
      <c r="L48" s="64">
        <v>29.44</v>
      </c>
      <c r="M48" s="64">
        <v>35.08</v>
      </c>
      <c r="N48" s="64">
        <v>551.6</v>
      </c>
      <c r="O48" s="64">
        <v>0</v>
      </c>
      <c r="P48" s="64">
        <v>1.07</v>
      </c>
      <c r="Q48" s="64">
        <v>9.5399999999999991</v>
      </c>
      <c r="R48" s="198"/>
      <c r="S48" s="198"/>
      <c r="T48" s="198"/>
      <c r="U48" s="198"/>
    </row>
    <row r="49" spans="1:21" s="12" customFormat="1" x14ac:dyDescent="0.25">
      <c r="A49" s="247" t="s">
        <v>1724</v>
      </c>
      <c r="B49" s="64">
        <v>15.15</v>
      </c>
      <c r="C49" s="64">
        <v>83.58</v>
      </c>
      <c r="D49" s="64">
        <v>55.81</v>
      </c>
      <c r="E49" s="64">
        <v>3.45</v>
      </c>
      <c r="F49" s="64">
        <v>8.24</v>
      </c>
      <c r="G49" s="64">
        <v>82.91</v>
      </c>
      <c r="H49" s="64">
        <v>29.8</v>
      </c>
      <c r="I49" s="64">
        <v>4.01</v>
      </c>
      <c r="J49" s="64">
        <v>1.1299999999999999</v>
      </c>
      <c r="K49" s="64">
        <v>288.74</v>
      </c>
      <c r="L49" s="64">
        <v>29.9</v>
      </c>
      <c r="M49" s="64">
        <v>33.69</v>
      </c>
      <c r="N49" s="64">
        <v>578.29999999999995</v>
      </c>
      <c r="O49" s="64">
        <v>0</v>
      </c>
      <c r="P49" s="64">
        <v>0.98</v>
      </c>
      <c r="Q49" s="64">
        <v>9.52</v>
      </c>
      <c r="R49" s="198"/>
      <c r="S49" s="198"/>
      <c r="T49" s="198"/>
      <c r="U49" s="198"/>
    </row>
    <row r="50" spans="1:21" s="12" customFormat="1" x14ac:dyDescent="0.25">
      <c r="A50" s="247" t="s">
        <v>1725</v>
      </c>
      <c r="B50" s="64">
        <v>8.99</v>
      </c>
      <c r="C50" s="64">
        <v>84.33</v>
      </c>
      <c r="D50" s="64">
        <v>51.27</v>
      </c>
      <c r="E50" s="64">
        <v>3.47</v>
      </c>
      <c r="F50" s="64">
        <v>9.25</v>
      </c>
      <c r="G50" s="64">
        <v>82.91</v>
      </c>
      <c r="H50" s="64">
        <v>29.8</v>
      </c>
      <c r="I50" s="64">
        <v>4.01</v>
      </c>
      <c r="J50" s="64">
        <v>1.1100000000000001</v>
      </c>
      <c r="K50" s="64">
        <v>263.97000000000003</v>
      </c>
      <c r="L50" s="64">
        <v>30.34</v>
      </c>
      <c r="M50" s="64">
        <v>28.77</v>
      </c>
      <c r="N50" s="64">
        <v>611.4</v>
      </c>
      <c r="O50" s="64">
        <v>0</v>
      </c>
      <c r="P50" s="64">
        <v>0.9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47" t="s">
        <v>1726</v>
      </c>
      <c r="B51" s="64">
        <v>5.21</v>
      </c>
      <c r="C51" s="64">
        <v>81.88</v>
      </c>
      <c r="D51" s="64">
        <v>46.96</v>
      </c>
      <c r="E51" s="64">
        <v>3.58</v>
      </c>
      <c r="F51" s="64">
        <v>10.44</v>
      </c>
      <c r="G51" s="64">
        <v>82.91</v>
      </c>
      <c r="H51" s="64">
        <v>29.8</v>
      </c>
      <c r="I51" s="64">
        <v>4.03</v>
      </c>
      <c r="J51" s="64">
        <v>1.22</v>
      </c>
      <c r="K51" s="64">
        <v>278.02999999999997</v>
      </c>
      <c r="L51" s="64">
        <v>30.21</v>
      </c>
      <c r="M51" s="64">
        <v>26.84</v>
      </c>
      <c r="N51" s="64">
        <v>631.6</v>
      </c>
      <c r="O51" s="64">
        <v>0</v>
      </c>
      <c r="P51" s="64">
        <v>0.79</v>
      </c>
      <c r="Q51" s="64">
        <v>9.36</v>
      </c>
      <c r="R51" s="198"/>
      <c r="S51" s="198"/>
      <c r="T51" s="198"/>
      <c r="U51" s="198"/>
    </row>
    <row r="52" spans="1:21" s="12" customFormat="1" x14ac:dyDescent="0.25">
      <c r="A52" s="247" t="s">
        <v>1727</v>
      </c>
      <c r="B52" s="64">
        <v>3.63</v>
      </c>
      <c r="C52" s="64">
        <v>77.12</v>
      </c>
      <c r="D52" s="64">
        <v>43.2</v>
      </c>
      <c r="E52" s="64">
        <v>3.45</v>
      </c>
      <c r="F52" s="64">
        <v>12.32</v>
      </c>
      <c r="G52" s="64">
        <v>84.16</v>
      </c>
      <c r="H52" s="64">
        <v>29.29</v>
      </c>
      <c r="I52" s="64">
        <v>4.0199999999999996</v>
      </c>
      <c r="J52" s="64">
        <v>1</v>
      </c>
      <c r="K52" s="64">
        <v>257.36</v>
      </c>
      <c r="L52" s="64">
        <v>30.74</v>
      </c>
      <c r="M52" s="64">
        <v>26.38</v>
      </c>
      <c r="N52" s="64">
        <v>652.70000000000005</v>
      </c>
      <c r="O52" s="64">
        <v>0</v>
      </c>
      <c r="P52" s="64">
        <v>0.71</v>
      </c>
      <c r="Q52" s="64">
        <v>9.26</v>
      </c>
      <c r="R52" s="198"/>
      <c r="S52" s="198"/>
      <c r="T52" s="198"/>
      <c r="U52" s="198"/>
    </row>
    <row r="53" spans="1:21" s="12" customFormat="1" x14ac:dyDescent="0.25">
      <c r="A53" s="247" t="s">
        <v>1728</v>
      </c>
      <c r="B53" s="64">
        <v>3.21</v>
      </c>
      <c r="C53" s="64">
        <v>72.150000000000006</v>
      </c>
      <c r="D53" s="64">
        <v>40.270000000000003</v>
      </c>
      <c r="E53" s="64">
        <v>3.94</v>
      </c>
      <c r="F53" s="64">
        <v>14.91</v>
      </c>
      <c r="G53" s="64">
        <v>87.59</v>
      </c>
      <c r="H53" s="64">
        <v>27.91</v>
      </c>
      <c r="I53" s="64">
        <v>3.84</v>
      </c>
      <c r="J53" s="64">
        <v>1.34</v>
      </c>
      <c r="K53" s="64">
        <v>275.64</v>
      </c>
      <c r="L53" s="64">
        <v>31.5</v>
      </c>
      <c r="M53" s="64">
        <v>25.41</v>
      </c>
      <c r="N53" s="64">
        <v>655.4</v>
      </c>
      <c r="O53" s="64">
        <v>0</v>
      </c>
      <c r="P53" s="64">
        <v>0.65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47" t="s">
        <v>1729</v>
      </c>
      <c r="B54" s="64">
        <v>3.11</v>
      </c>
      <c r="C54" s="64">
        <v>68.11</v>
      </c>
      <c r="D54" s="64">
        <v>38.08</v>
      </c>
      <c r="E54" s="64">
        <v>4.1399999999999997</v>
      </c>
      <c r="F54" s="64">
        <v>14.96</v>
      </c>
      <c r="G54" s="64">
        <v>87.59</v>
      </c>
      <c r="H54" s="64">
        <v>27.91</v>
      </c>
      <c r="I54" s="64">
        <v>3.86</v>
      </c>
      <c r="J54" s="64">
        <v>1.5</v>
      </c>
      <c r="K54" s="64">
        <v>276.36</v>
      </c>
      <c r="L54" s="64">
        <v>31.95</v>
      </c>
      <c r="M54" s="64">
        <v>24.45</v>
      </c>
      <c r="N54" s="64">
        <v>663.1</v>
      </c>
      <c r="O54" s="64">
        <v>0</v>
      </c>
      <c r="P54" s="64">
        <v>0.59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47" t="s">
        <v>1730</v>
      </c>
      <c r="B55" s="64">
        <v>3.02</v>
      </c>
      <c r="C55" s="64">
        <v>64.11</v>
      </c>
      <c r="D55" s="64">
        <v>35.92</v>
      </c>
      <c r="E55" s="64">
        <v>4.7300000000000004</v>
      </c>
      <c r="F55" s="64">
        <v>16.649999999999999</v>
      </c>
      <c r="G55" s="64">
        <v>87.59</v>
      </c>
      <c r="H55" s="64">
        <v>27.91</v>
      </c>
      <c r="I55" s="64">
        <v>4.03</v>
      </c>
      <c r="J55" s="64">
        <v>1.22</v>
      </c>
      <c r="K55" s="64">
        <v>272.85000000000002</v>
      </c>
      <c r="L55" s="64">
        <v>31.88</v>
      </c>
      <c r="M55" s="64">
        <v>24.02</v>
      </c>
      <c r="N55" s="64">
        <v>659.5</v>
      </c>
      <c r="O55" s="64">
        <v>0</v>
      </c>
      <c r="P55" s="64">
        <v>0.54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47" t="s">
        <v>1731</v>
      </c>
      <c r="B56" s="64">
        <v>2.95</v>
      </c>
      <c r="C56" s="64">
        <v>62.15</v>
      </c>
      <c r="D56" s="64">
        <v>34.840000000000003</v>
      </c>
      <c r="E56" s="64">
        <v>4.59</v>
      </c>
      <c r="F56" s="64">
        <v>16.78</v>
      </c>
      <c r="G56" s="64">
        <v>88.15</v>
      </c>
      <c r="H56" s="64">
        <v>31.64</v>
      </c>
      <c r="I56" s="64">
        <v>3.92</v>
      </c>
      <c r="J56" s="64">
        <v>1.51</v>
      </c>
      <c r="K56" s="64">
        <v>269.55</v>
      </c>
      <c r="L56" s="64">
        <v>32.25</v>
      </c>
      <c r="M56" s="64">
        <v>23.53</v>
      </c>
      <c r="N56" s="64">
        <v>664</v>
      </c>
      <c r="O56" s="64">
        <v>0</v>
      </c>
      <c r="P56" s="64">
        <v>0.52</v>
      </c>
      <c r="Q56" s="64">
        <v>9.0500000000000007</v>
      </c>
      <c r="R56" s="198"/>
      <c r="S56" s="198"/>
      <c r="T56" s="198"/>
      <c r="U56" s="198"/>
    </row>
    <row r="57" spans="1:21" s="12" customFormat="1" x14ac:dyDescent="0.25">
      <c r="A57" s="247" t="s">
        <v>1732</v>
      </c>
      <c r="B57" s="64">
        <v>2.98</v>
      </c>
      <c r="C57" s="64">
        <v>61.38</v>
      </c>
      <c r="D57" s="64">
        <v>34.46</v>
      </c>
      <c r="E57" s="64">
        <v>4.88</v>
      </c>
      <c r="F57" s="64">
        <v>16.850000000000001</v>
      </c>
      <c r="G57" s="64">
        <v>89.68</v>
      </c>
      <c r="H57" s="64">
        <v>41.91</v>
      </c>
      <c r="I57" s="64">
        <v>4.08</v>
      </c>
      <c r="J57" s="64">
        <v>1.48</v>
      </c>
      <c r="K57" s="64">
        <v>264.37</v>
      </c>
      <c r="L57" s="64">
        <v>32.11</v>
      </c>
      <c r="M57" s="64">
        <v>22.28</v>
      </c>
      <c r="N57" s="64">
        <v>677.3</v>
      </c>
      <c r="O57" s="64">
        <v>0</v>
      </c>
      <c r="P57" s="64">
        <v>0.48</v>
      </c>
      <c r="Q57" s="64">
        <v>9.01</v>
      </c>
      <c r="R57" s="198"/>
      <c r="S57" s="198"/>
      <c r="T57" s="198"/>
      <c r="U57" s="198"/>
    </row>
    <row r="58" spans="1:21" s="12" customFormat="1" x14ac:dyDescent="0.25">
      <c r="A58" s="247" t="s">
        <v>1733</v>
      </c>
      <c r="B58" s="64">
        <v>2.94</v>
      </c>
      <c r="C58" s="64">
        <v>58.4</v>
      </c>
      <c r="D58" s="64">
        <v>32.869999999999997</v>
      </c>
      <c r="E58" s="64">
        <v>4.5199999999999996</v>
      </c>
      <c r="F58" s="64">
        <v>17.079999999999998</v>
      </c>
      <c r="G58" s="64">
        <v>89.68</v>
      </c>
      <c r="H58" s="64">
        <v>41.91</v>
      </c>
      <c r="I58" s="64">
        <v>3.96</v>
      </c>
      <c r="J58" s="64">
        <v>1.47</v>
      </c>
      <c r="K58" s="64">
        <v>285.82</v>
      </c>
      <c r="L58" s="64">
        <v>32.89</v>
      </c>
      <c r="M58" s="64">
        <v>21.68</v>
      </c>
      <c r="N58" s="64">
        <v>677.5</v>
      </c>
      <c r="O58" s="64">
        <v>0</v>
      </c>
      <c r="P58" s="64">
        <v>0.44</v>
      </c>
      <c r="Q58" s="64">
        <v>8.9700000000000006</v>
      </c>
      <c r="R58" s="198"/>
      <c r="S58" s="198"/>
      <c r="T58" s="198"/>
      <c r="U58" s="198"/>
    </row>
    <row r="59" spans="1:21" s="12" customFormat="1" x14ac:dyDescent="0.25">
      <c r="A59" s="247" t="s">
        <v>1734</v>
      </c>
      <c r="B59" s="64">
        <v>2.89</v>
      </c>
      <c r="C59" s="64">
        <v>56.21</v>
      </c>
      <c r="D59" s="64">
        <v>31.68</v>
      </c>
      <c r="E59" s="64">
        <v>4</v>
      </c>
      <c r="F59" s="64">
        <v>16.22</v>
      </c>
      <c r="G59" s="64">
        <v>89.68</v>
      </c>
      <c r="H59" s="64">
        <v>41.91</v>
      </c>
      <c r="I59" s="64">
        <v>3.87</v>
      </c>
      <c r="J59" s="64">
        <v>1.18</v>
      </c>
      <c r="K59" s="64">
        <v>273.36</v>
      </c>
      <c r="L59" s="64">
        <v>33.31</v>
      </c>
      <c r="M59" s="64">
        <v>21.46</v>
      </c>
      <c r="N59" s="64">
        <v>681.8</v>
      </c>
      <c r="O59" s="64">
        <v>0</v>
      </c>
      <c r="P59" s="64">
        <v>0.42</v>
      </c>
      <c r="Q59" s="64">
        <v>8.94</v>
      </c>
      <c r="R59" s="198"/>
      <c r="S59" s="198"/>
      <c r="T59" s="198"/>
      <c r="U59" s="198"/>
    </row>
    <row r="60" spans="1:21" s="12" customFormat="1" x14ac:dyDescent="0.25">
      <c r="A60" s="247" t="s">
        <v>1735</v>
      </c>
      <c r="B60" s="64">
        <v>2.92</v>
      </c>
      <c r="C60" s="64">
        <v>54.11</v>
      </c>
      <c r="D60" s="64">
        <v>30.61</v>
      </c>
      <c r="E60" s="64">
        <v>3.91</v>
      </c>
      <c r="F60" s="64">
        <v>16.07</v>
      </c>
      <c r="G60" s="64">
        <v>90.73</v>
      </c>
      <c r="H60" s="64">
        <v>34.619999999999997</v>
      </c>
      <c r="I60" s="64">
        <v>4.13</v>
      </c>
      <c r="J60" s="64">
        <v>1.94</v>
      </c>
      <c r="K60" s="64">
        <v>291.16000000000003</v>
      </c>
      <c r="L60" s="64">
        <v>33.35</v>
      </c>
      <c r="M60" s="64">
        <v>21.57</v>
      </c>
      <c r="N60" s="64">
        <v>682.9</v>
      </c>
      <c r="O60" s="64">
        <v>0</v>
      </c>
      <c r="P60" s="64">
        <v>0.39</v>
      </c>
      <c r="Q60" s="64">
        <v>8.91</v>
      </c>
      <c r="R60" s="198"/>
      <c r="S60" s="198"/>
      <c r="T60" s="198"/>
      <c r="U60" s="198"/>
    </row>
    <row r="61" spans="1:21" s="12" customFormat="1" x14ac:dyDescent="0.25">
      <c r="A61" s="247" t="s">
        <v>1736</v>
      </c>
      <c r="B61" s="64">
        <v>3.03</v>
      </c>
      <c r="C61" s="64">
        <v>52.93</v>
      </c>
      <c r="D61" s="64">
        <v>30.09</v>
      </c>
      <c r="E61" s="64">
        <v>4.18</v>
      </c>
      <c r="F61" s="64">
        <v>15.9</v>
      </c>
      <c r="G61" s="64">
        <v>93.64</v>
      </c>
      <c r="H61" s="64">
        <v>13.41</v>
      </c>
      <c r="I61" s="64">
        <v>3.88</v>
      </c>
      <c r="J61" s="64">
        <v>1.58</v>
      </c>
      <c r="K61" s="64">
        <v>287.13</v>
      </c>
      <c r="L61" s="64">
        <v>33.82</v>
      </c>
      <c r="M61" s="64">
        <v>21.04</v>
      </c>
      <c r="N61" s="64">
        <v>676.3</v>
      </c>
      <c r="O61" s="64">
        <v>0</v>
      </c>
      <c r="P61" s="64">
        <v>0.46</v>
      </c>
      <c r="Q61" s="64">
        <v>8.8800000000000008</v>
      </c>
      <c r="R61" s="198"/>
      <c r="S61" s="198"/>
      <c r="T61" s="198"/>
      <c r="U61" s="198"/>
    </row>
    <row r="62" spans="1:21" s="12" customFormat="1" x14ac:dyDescent="0.25">
      <c r="A62" s="247" t="s">
        <v>1737</v>
      </c>
      <c r="B62" s="64">
        <v>3.09</v>
      </c>
      <c r="C62" s="64">
        <v>52.41</v>
      </c>
      <c r="D62" s="64">
        <v>29.86</v>
      </c>
      <c r="E62" s="64">
        <v>4.33</v>
      </c>
      <c r="F62" s="64">
        <v>17.3</v>
      </c>
      <c r="G62" s="64">
        <v>93.64</v>
      </c>
      <c r="H62" s="64">
        <v>13.41</v>
      </c>
      <c r="I62" s="64">
        <v>3.8</v>
      </c>
      <c r="J62" s="64">
        <v>1.38</v>
      </c>
      <c r="K62" s="64">
        <v>284.2</v>
      </c>
      <c r="L62" s="64">
        <v>33.97</v>
      </c>
      <c r="M62" s="64">
        <v>19.920000000000002</v>
      </c>
      <c r="N62" s="64">
        <v>661.2</v>
      </c>
      <c r="O62" s="64">
        <v>0</v>
      </c>
      <c r="P62" s="64">
        <v>0.48</v>
      </c>
      <c r="Q62" s="64">
        <v>8.86</v>
      </c>
      <c r="R62" s="198"/>
      <c r="S62" s="198"/>
      <c r="T62" s="198"/>
      <c r="U62" s="198"/>
    </row>
    <row r="63" spans="1:21" s="12" customFormat="1" x14ac:dyDescent="0.25">
      <c r="A63" s="247" t="s">
        <v>1738</v>
      </c>
      <c r="B63" s="64">
        <v>3.05</v>
      </c>
      <c r="C63" s="64">
        <v>53.2</v>
      </c>
      <c r="D63" s="64">
        <v>30.25</v>
      </c>
      <c r="E63" s="64">
        <v>4.88</v>
      </c>
      <c r="F63" s="64">
        <v>16.04</v>
      </c>
      <c r="G63" s="64">
        <v>93.64</v>
      </c>
      <c r="H63" s="64">
        <v>13.41</v>
      </c>
      <c r="I63" s="64">
        <v>3.76</v>
      </c>
      <c r="J63" s="64">
        <v>1.57</v>
      </c>
      <c r="K63" s="64">
        <v>281.19</v>
      </c>
      <c r="L63" s="64">
        <v>33.909999999999997</v>
      </c>
      <c r="M63" s="64">
        <v>20.440000000000001</v>
      </c>
      <c r="N63" s="64">
        <v>619.1</v>
      </c>
      <c r="O63" s="64">
        <v>0</v>
      </c>
      <c r="P63" s="64">
        <v>0.48</v>
      </c>
      <c r="Q63" s="64">
        <v>8.84</v>
      </c>
      <c r="R63" s="198"/>
      <c r="S63" s="198"/>
      <c r="T63" s="198"/>
      <c r="U63" s="198"/>
    </row>
    <row r="64" spans="1:21" s="12" customFormat="1" x14ac:dyDescent="0.25">
      <c r="A64" s="247" t="s">
        <v>1739</v>
      </c>
      <c r="B64" s="64">
        <v>2.99</v>
      </c>
      <c r="C64" s="64">
        <v>52.64</v>
      </c>
      <c r="D64" s="64">
        <v>29.9</v>
      </c>
      <c r="E64" s="64">
        <v>4.41</v>
      </c>
      <c r="F64" s="64">
        <v>17.100000000000001</v>
      </c>
      <c r="G64" s="64">
        <v>91.04</v>
      </c>
      <c r="H64" s="64">
        <v>21.58</v>
      </c>
      <c r="I64" s="64">
        <v>4.1100000000000003</v>
      </c>
      <c r="J64" s="64">
        <v>1.04</v>
      </c>
      <c r="K64" s="64">
        <v>274.35000000000002</v>
      </c>
      <c r="L64" s="64">
        <v>34.04</v>
      </c>
      <c r="M64" s="64">
        <v>20.07</v>
      </c>
      <c r="N64" s="64">
        <v>630.4</v>
      </c>
      <c r="O64" s="64">
        <v>0</v>
      </c>
      <c r="P64" s="64">
        <v>0.48</v>
      </c>
      <c r="Q64" s="64">
        <v>8.82</v>
      </c>
      <c r="R64" s="198"/>
      <c r="S64" s="198"/>
      <c r="T64" s="198"/>
      <c r="U64" s="198"/>
    </row>
    <row r="65" spans="1:21" s="12" customFormat="1" x14ac:dyDescent="0.25">
      <c r="A65" s="247" t="s">
        <v>1740</v>
      </c>
      <c r="B65" s="64">
        <v>3.08</v>
      </c>
      <c r="C65" s="64">
        <v>52.21</v>
      </c>
      <c r="D65" s="64">
        <v>29.74</v>
      </c>
      <c r="E65" s="64">
        <v>4.54</v>
      </c>
      <c r="F65" s="64">
        <v>17.329999999999998</v>
      </c>
      <c r="G65" s="64">
        <v>83.88</v>
      </c>
      <c r="H65" s="64">
        <v>44.06</v>
      </c>
      <c r="I65" s="64">
        <v>4.0999999999999996</v>
      </c>
      <c r="J65" s="64">
        <v>1</v>
      </c>
      <c r="K65" s="64">
        <v>275.58999999999997</v>
      </c>
      <c r="L65" s="64">
        <v>34.299999999999997</v>
      </c>
      <c r="M65" s="64">
        <v>20.16</v>
      </c>
      <c r="N65" s="64">
        <v>595.5</v>
      </c>
      <c r="O65" s="64">
        <v>0</v>
      </c>
      <c r="P65" s="64">
        <v>0.49</v>
      </c>
      <c r="Q65" s="64">
        <v>8.8000000000000007</v>
      </c>
      <c r="R65" s="198"/>
      <c r="S65" s="198"/>
      <c r="T65" s="198"/>
      <c r="U65" s="198"/>
    </row>
    <row r="66" spans="1:21" s="12" customFormat="1" x14ac:dyDescent="0.25">
      <c r="A66" s="247" t="s">
        <v>1741</v>
      </c>
      <c r="B66" s="64">
        <v>3.51</v>
      </c>
      <c r="C66" s="64">
        <v>52.19</v>
      </c>
      <c r="D66" s="64">
        <v>30.08</v>
      </c>
      <c r="E66" s="64">
        <v>3.96</v>
      </c>
      <c r="F66" s="64">
        <v>16.18</v>
      </c>
      <c r="G66" s="64">
        <v>83.88</v>
      </c>
      <c r="H66" s="64">
        <v>44.06</v>
      </c>
      <c r="I66" s="64">
        <v>3.73</v>
      </c>
      <c r="J66" s="64">
        <v>1.01</v>
      </c>
      <c r="K66" s="64">
        <v>294.95</v>
      </c>
      <c r="L66" s="64">
        <v>34.340000000000003</v>
      </c>
      <c r="M66" s="64">
        <v>22.4</v>
      </c>
      <c r="N66" s="64">
        <v>518.20000000000005</v>
      </c>
      <c r="O66" s="64">
        <v>0</v>
      </c>
      <c r="P66" s="64">
        <v>0.48</v>
      </c>
      <c r="Q66" s="64">
        <v>8.8000000000000007</v>
      </c>
      <c r="R66" s="198"/>
      <c r="S66" s="198"/>
      <c r="T66" s="198"/>
      <c r="U66" s="198"/>
    </row>
    <row r="67" spans="1:21" s="12" customFormat="1" x14ac:dyDescent="0.25">
      <c r="A67" s="247" t="s">
        <v>1742</v>
      </c>
      <c r="B67" s="64">
        <v>3.95</v>
      </c>
      <c r="C67" s="64">
        <v>50.01</v>
      </c>
      <c r="D67" s="64">
        <v>29.3</v>
      </c>
      <c r="E67" s="64">
        <v>4.74</v>
      </c>
      <c r="F67" s="64">
        <v>17.260000000000002</v>
      </c>
      <c r="G67" s="64">
        <v>83.88</v>
      </c>
      <c r="H67" s="64">
        <v>44.06</v>
      </c>
      <c r="I67" s="64">
        <v>4.1500000000000004</v>
      </c>
      <c r="J67" s="64">
        <v>1.07</v>
      </c>
      <c r="K67" s="64">
        <v>285.74</v>
      </c>
      <c r="L67" s="64">
        <v>33.770000000000003</v>
      </c>
      <c r="M67" s="64">
        <v>22.37</v>
      </c>
      <c r="N67" s="64">
        <v>372</v>
      </c>
      <c r="O67" s="64">
        <v>0</v>
      </c>
      <c r="P67" s="64">
        <v>0.48</v>
      </c>
      <c r="Q67" s="64">
        <v>8.7899999999999991</v>
      </c>
      <c r="R67" s="198"/>
      <c r="S67" s="198"/>
      <c r="T67" s="198"/>
      <c r="U67" s="198"/>
    </row>
    <row r="68" spans="1:21" s="12" customFormat="1" x14ac:dyDescent="0.25">
      <c r="A68" s="247" t="s">
        <v>1743</v>
      </c>
      <c r="B68" s="64">
        <v>3.29</v>
      </c>
      <c r="C68" s="64">
        <v>52.03</v>
      </c>
      <c r="D68" s="64">
        <v>29.83</v>
      </c>
      <c r="E68" s="64">
        <v>3.94</v>
      </c>
      <c r="F68" s="64">
        <v>17.32</v>
      </c>
      <c r="G68" s="64">
        <v>80.03</v>
      </c>
      <c r="H68" s="64">
        <v>36.54</v>
      </c>
      <c r="I68" s="64">
        <v>3.97</v>
      </c>
      <c r="J68" s="64">
        <v>1.08</v>
      </c>
      <c r="K68" s="64">
        <v>279.26</v>
      </c>
      <c r="L68" s="64">
        <v>33.65</v>
      </c>
      <c r="M68" s="64">
        <v>21.39</v>
      </c>
      <c r="N68" s="64">
        <v>316</v>
      </c>
      <c r="O68" s="64">
        <v>0</v>
      </c>
      <c r="P68" s="64">
        <v>0.49</v>
      </c>
      <c r="Q68" s="64">
        <v>8.8000000000000007</v>
      </c>
      <c r="R68" s="198"/>
      <c r="S68" s="198"/>
      <c r="T68" s="198"/>
      <c r="U68" s="198"/>
    </row>
    <row r="69" spans="1:21" s="12" customFormat="1" x14ac:dyDescent="0.25">
      <c r="A69" s="247" t="s">
        <v>1744</v>
      </c>
      <c r="B69" s="64">
        <v>3.27</v>
      </c>
      <c r="C69" s="64">
        <v>52.05</v>
      </c>
      <c r="D69" s="64">
        <v>29.82</v>
      </c>
      <c r="E69" s="64">
        <v>4.49</v>
      </c>
      <c r="F69" s="64">
        <v>17.22</v>
      </c>
      <c r="G69" s="64">
        <v>69.47</v>
      </c>
      <c r="H69" s="64">
        <v>15.86</v>
      </c>
      <c r="I69" s="64">
        <v>4.16</v>
      </c>
      <c r="J69" s="64">
        <v>1.43</v>
      </c>
      <c r="K69" s="64">
        <v>288.88</v>
      </c>
      <c r="L69" s="64">
        <v>33.74</v>
      </c>
      <c r="M69" s="64">
        <v>21</v>
      </c>
      <c r="N69" s="64">
        <v>236.1</v>
      </c>
      <c r="O69" s="64">
        <v>0</v>
      </c>
      <c r="P69" s="64">
        <v>0.47</v>
      </c>
      <c r="Q69" s="64">
        <v>8.81</v>
      </c>
      <c r="R69" s="198"/>
      <c r="S69" s="198"/>
      <c r="T69" s="198"/>
      <c r="U69" s="198"/>
    </row>
    <row r="70" spans="1:21" s="12" customFormat="1" x14ac:dyDescent="0.25">
      <c r="A70" s="247" t="s">
        <v>1745</v>
      </c>
      <c r="B70" s="64">
        <v>3.25</v>
      </c>
      <c r="C70" s="64">
        <v>53.45</v>
      </c>
      <c r="D70" s="64">
        <v>30.53</v>
      </c>
      <c r="E70" s="64">
        <v>3.98</v>
      </c>
      <c r="F70" s="64">
        <v>19.09</v>
      </c>
      <c r="G70" s="64">
        <v>69.47</v>
      </c>
      <c r="H70" s="64">
        <v>15.86</v>
      </c>
      <c r="I70" s="64">
        <v>4.09</v>
      </c>
      <c r="J70" s="64">
        <v>1.08</v>
      </c>
      <c r="K70" s="64">
        <v>286.08999999999997</v>
      </c>
      <c r="L70" s="64">
        <v>33.5</v>
      </c>
      <c r="M70" s="64">
        <v>20.56</v>
      </c>
      <c r="N70" s="64">
        <v>242.7</v>
      </c>
      <c r="O70" s="64">
        <v>0</v>
      </c>
      <c r="P70" s="64">
        <v>0.48</v>
      </c>
      <c r="Q70" s="64">
        <v>8.81</v>
      </c>
      <c r="R70" s="198"/>
      <c r="S70" s="198"/>
      <c r="T70" s="198"/>
      <c r="U70" s="198"/>
    </row>
    <row r="71" spans="1:21" s="12" customFormat="1" x14ac:dyDescent="0.25">
      <c r="A71" s="247" t="s">
        <v>1746</v>
      </c>
      <c r="B71" s="64">
        <v>4.3499999999999996</v>
      </c>
      <c r="C71" s="64">
        <v>56.27</v>
      </c>
      <c r="D71" s="64">
        <v>32.89</v>
      </c>
      <c r="E71" s="64">
        <v>5.3</v>
      </c>
      <c r="F71" s="64">
        <v>21.77</v>
      </c>
      <c r="G71" s="64">
        <v>69.47</v>
      </c>
      <c r="H71" s="64">
        <v>15.86</v>
      </c>
      <c r="I71" s="64">
        <v>4.07</v>
      </c>
      <c r="J71" s="64">
        <v>0.81</v>
      </c>
      <c r="K71" s="64">
        <v>292.05</v>
      </c>
      <c r="L71" s="64">
        <v>33.31</v>
      </c>
      <c r="M71" s="64">
        <v>21.12</v>
      </c>
      <c r="N71" s="64">
        <v>247.1</v>
      </c>
      <c r="O71" s="64">
        <v>0</v>
      </c>
      <c r="P71" s="64">
        <v>0.47</v>
      </c>
      <c r="Q71" s="64">
        <v>8.8000000000000007</v>
      </c>
      <c r="R71" s="198"/>
      <c r="S71" s="198"/>
      <c r="T71" s="198"/>
      <c r="U71" s="198"/>
    </row>
    <row r="72" spans="1:21" s="12" customFormat="1" x14ac:dyDescent="0.25">
      <c r="A72" s="247" t="s">
        <v>1747</v>
      </c>
      <c r="B72" s="64">
        <v>4.92</v>
      </c>
      <c r="C72" s="64">
        <v>57.59</v>
      </c>
      <c r="D72" s="64">
        <v>34.03</v>
      </c>
      <c r="E72" s="64">
        <v>3.94</v>
      </c>
      <c r="F72" s="64">
        <v>23.02</v>
      </c>
      <c r="G72" s="64">
        <v>65.73</v>
      </c>
      <c r="H72" s="64">
        <v>13.24</v>
      </c>
      <c r="I72" s="64">
        <v>3.84</v>
      </c>
      <c r="J72" s="64">
        <v>0.72</v>
      </c>
      <c r="K72" s="64">
        <v>294.12</v>
      </c>
      <c r="L72" s="64">
        <v>33.18</v>
      </c>
      <c r="M72" s="64">
        <v>21.08</v>
      </c>
      <c r="N72" s="64">
        <v>216.7</v>
      </c>
      <c r="O72" s="64">
        <v>0</v>
      </c>
      <c r="P72" s="64">
        <v>0.48</v>
      </c>
      <c r="Q72" s="64">
        <v>8.81</v>
      </c>
      <c r="R72" s="198"/>
      <c r="S72" s="198"/>
      <c r="T72" s="198"/>
      <c r="U72" s="198"/>
    </row>
    <row r="73" spans="1:21" s="12" customFormat="1" x14ac:dyDescent="0.25">
      <c r="A73" s="247" t="s">
        <v>1748</v>
      </c>
      <c r="B73" s="64">
        <v>3.78</v>
      </c>
      <c r="C73" s="64">
        <v>52.86</v>
      </c>
      <c r="D73" s="64">
        <v>30.65</v>
      </c>
      <c r="E73" s="64">
        <v>5.8</v>
      </c>
      <c r="F73" s="64">
        <v>17.43</v>
      </c>
      <c r="G73" s="64">
        <v>55.47</v>
      </c>
      <c r="H73" s="64">
        <v>6.03</v>
      </c>
      <c r="I73" s="64">
        <v>3.85</v>
      </c>
      <c r="J73" s="64">
        <v>0.95</v>
      </c>
      <c r="K73" s="64">
        <v>276.63</v>
      </c>
      <c r="L73" s="64">
        <v>32.9</v>
      </c>
      <c r="M73" s="64">
        <v>21.87</v>
      </c>
      <c r="N73" s="64">
        <v>211.5</v>
      </c>
      <c r="O73" s="64">
        <v>0</v>
      </c>
      <c r="P73" s="64">
        <v>0.49</v>
      </c>
      <c r="Q73" s="64">
        <v>8.81</v>
      </c>
      <c r="R73" s="198"/>
      <c r="S73" s="198"/>
      <c r="T73" s="198"/>
      <c r="U73" s="198"/>
    </row>
    <row r="74" spans="1:21" s="12" customFormat="1" x14ac:dyDescent="0.25">
      <c r="A74" s="247" t="s">
        <v>1749</v>
      </c>
      <c r="B74" s="64">
        <v>3.35</v>
      </c>
      <c r="C74" s="64">
        <v>55.29</v>
      </c>
      <c r="D74" s="64">
        <v>31.58</v>
      </c>
      <c r="E74" s="64">
        <v>4.6100000000000003</v>
      </c>
      <c r="F74" s="64">
        <v>16.86</v>
      </c>
      <c r="G74" s="64">
        <v>55.47</v>
      </c>
      <c r="H74" s="64">
        <v>6.03</v>
      </c>
      <c r="I74" s="64">
        <v>3.86</v>
      </c>
      <c r="J74" s="64">
        <v>1</v>
      </c>
      <c r="K74" s="64">
        <v>283.45999999999998</v>
      </c>
      <c r="L74" s="64">
        <v>32.5</v>
      </c>
      <c r="M74" s="64">
        <v>22.06</v>
      </c>
      <c r="N74" s="64">
        <v>187</v>
      </c>
      <c r="O74" s="64">
        <v>0</v>
      </c>
      <c r="P74" s="64">
        <v>0.5</v>
      </c>
      <c r="Q74" s="64">
        <v>8.82</v>
      </c>
      <c r="R74" s="198"/>
      <c r="S74" s="198"/>
      <c r="T74" s="198"/>
      <c r="U74" s="198"/>
    </row>
    <row r="75" spans="1:21" s="12" customFormat="1" x14ac:dyDescent="0.25">
      <c r="A75" s="247" t="s">
        <v>1750</v>
      </c>
      <c r="B75" s="64">
        <v>3.43</v>
      </c>
      <c r="C75" s="64">
        <v>55.64</v>
      </c>
      <c r="D75" s="64">
        <v>31.82</v>
      </c>
      <c r="E75" s="64">
        <v>5.83</v>
      </c>
      <c r="F75" s="64">
        <v>17.670000000000002</v>
      </c>
      <c r="G75" s="64">
        <v>55.47</v>
      </c>
      <c r="H75" s="64">
        <v>6.03</v>
      </c>
      <c r="I75" s="64">
        <v>3.95</v>
      </c>
      <c r="J75" s="64">
        <v>0.93</v>
      </c>
      <c r="K75" s="64">
        <v>290.64999999999998</v>
      </c>
      <c r="L75" s="64">
        <v>32.18</v>
      </c>
      <c r="M75" s="64">
        <v>22.78</v>
      </c>
      <c r="N75" s="64">
        <v>144.5</v>
      </c>
      <c r="O75" s="64">
        <v>0</v>
      </c>
      <c r="P75" s="64">
        <v>0.54</v>
      </c>
      <c r="Q75" s="64">
        <v>8.82</v>
      </c>
      <c r="R75" s="198"/>
      <c r="S75" s="198"/>
      <c r="T75" s="198"/>
      <c r="U75" s="198"/>
    </row>
    <row r="76" spans="1:21" s="12" customFormat="1" x14ac:dyDescent="0.25">
      <c r="A76" s="247" t="s">
        <v>1751</v>
      </c>
      <c r="B76" s="64">
        <v>3.57</v>
      </c>
      <c r="C76" s="64">
        <v>56.92</v>
      </c>
      <c r="D76" s="64">
        <v>32.6</v>
      </c>
      <c r="E76" s="64">
        <v>6.02</v>
      </c>
      <c r="F76" s="64">
        <v>18.73</v>
      </c>
      <c r="G76" s="64">
        <v>54.47</v>
      </c>
      <c r="H76" s="64">
        <v>5.0599999999999996</v>
      </c>
      <c r="I76" s="64">
        <v>4.13</v>
      </c>
      <c r="J76" s="64">
        <v>0.68</v>
      </c>
      <c r="K76" s="64">
        <v>295.91000000000003</v>
      </c>
      <c r="L76" s="64">
        <v>31.81</v>
      </c>
      <c r="M76" s="64">
        <v>23.37</v>
      </c>
      <c r="N76" s="64">
        <v>120.1</v>
      </c>
      <c r="O76" s="64">
        <v>0</v>
      </c>
      <c r="P76" s="64">
        <v>0.59</v>
      </c>
      <c r="Q76" s="64">
        <v>8.83</v>
      </c>
      <c r="R76" s="198"/>
      <c r="S76" s="198"/>
      <c r="T76" s="198"/>
      <c r="U76" s="198"/>
    </row>
    <row r="77" spans="1:21" s="12" customFormat="1" x14ac:dyDescent="0.25">
      <c r="A77" s="247" t="s">
        <v>1752</v>
      </c>
      <c r="B77" s="64">
        <v>5.52</v>
      </c>
      <c r="C77" s="64">
        <v>63.79</v>
      </c>
      <c r="D77" s="64">
        <v>37.75</v>
      </c>
      <c r="E77" s="64">
        <v>6.13</v>
      </c>
      <c r="F77" s="64">
        <v>18.88</v>
      </c>
      <c r="G77" s="64">
        <v>51.73</v>
      </c>
      <c r="H77" s="64">
        <v>2.41</v>
      </c>
      <c r="I77" s="64">
        <v>3.87</v>
      </c>
      <c r="J77" s="64">
        <v>0.65</v>
      </c>
      <c r="K77" s="64">
        <v>289.44</v>
      </c>
      <c r="L77" s="64">
        <v>31.47</v>
      </c>
      <c r="M77" s="64">
        <v>23.64</v>
      </c>
      <c r="N77" s="64">
        <v>106.4</v>
      </c>
      <c r="O77" s="64">
        <v>0</v>
      </c>
      <c r="P77" s="64">
        <v>0.59</v>
      </c>
      <c r="Q77" s="64">
        <v>8.84</v>
      </c>
      <c r="R77" s="198"/>
      <c r="S77" s="198"/>
      <c r="T77" s="198"/>
      <c r="U77" s="198"/>
    </row>
    <row r="78" spans="1:21" s="12" customFormat="1" x14ac:dyDescent="0.25">
      <c r="A78" s="247" t="s">
        <v>1753</v>
      </c>
      <c r="B78" s="64">
        <v>5.07</v>
      </c>
      <c r="C78" s="64">
        <v>68.81</v>
      </c>
      <c r="D78" s="64">
        <v>40.020000000000003</v>
      </c>
      <c r="E78" s="64">
        <v>8.85</v>
      </c>
      <c r="F78" s="64">
        <v>28.14</v>
      </c>
      <c r="G78" s="64">
        <v>51.73</v>
      </c>
      <c r="H78" s="64">
        <v>2.41</v>
      </c>
      <c r="I78" s="64">
        <v>3.83</v>
      </c>
      <c r="J78" s="64">
        <v>0.68</v>
      </c>
      <c r="K78" s="64">
        <v>291.97000000000003</v>
      </c>
      <c r="L78" s="64">
        <v>31.01</v>
      </c>
      <c r="M78" s="64">
        <v>24.84</v>
      </c>
      <c r="N78" s="64">
        <v>93</v>
      </c>
      <c r="O78" s="64">
        <v>0</v>
      </c>
      <c r="P78" s="64">
        <v>0.75</v>
      </c>
      <c r="Q78" s="64">
        <v>8.84</v>
      </c>
      <c r="R78" s="198"/>
      <c r="S78" s="198"/>
      <c r="T78" s="198"/>
      <c r="U78" s="198"/>
    </row>
    <row r="79" spans="1:21" s="12" customFormat="1" x14ac:dyDescent="0.25">
      <c r="A79" s="247" t="s">
        <v>1754</v>
      </c>
      <c r="B79" s="64">
        <v>7.36</v>
      </c>
      <c r="C79" s="64">
        <v>70.510000000000005</v>
      </c>
      <c r="D79" s="64">
        <v>42.74</v>
      </c>
      <c r="E79" s="64">
        <v>9.24</v>
      </c>
      <c r="F79" s="64">
        <v>21.97</v>
      </c>
      <c r="G79" s="64">
        <v>51.73</v>
      </c>
      <c r="H79" s="64">
        <v>2.41</v>
      </c>
      <c r="I79" s="64">
        <v>4.05</v>
      </c>
      <c r="J79" s="64">
        <v>0.75</v>
      </c>
      <c r="K79" s="64">
        <v>297.37</v>
      </c>
      <c r="L79" s="64">
        <v>30.46</v>
      </c>
      <c r="M79" s="64">
        <v>25.87</v>
      </c>
      <c r="N79" s="64">
        <v>80.8</v>
      </c>
      <c r="O79" s="64">
        <v>0</v>
      </c>
      <c r="P79" s="64">
        <v>0.77</v>
      </c>
      <c r="Q79" s="64">
        <v>8.86</v>
      </c>
      <c r="R79" s="198"/>
      <c r="S79" s="198"/>
      <c r="T79" s="198"/>
      <c r="U79" s="198"/>
    </row>
    <row r="80" spans="1:21" s="12" customFormat="1" x14ac:dyDescent="0.25">
      <c r="A80" s="247" t="s">
        <v>1755</v>
      </c>
      <c r="B80" s="64">
        <v>7.04</v>
      </c>
      <c r="C80" s="64">
        <v>74.59</v>
      </c>
      <c r="D80" s="64">
        <v>44.62</v>
      </c>
      <c r="E80" s="64">
        <v>9.7200000000000006</v>
      </c>
      <c r="F80" s="64">
        <v>24.53</v>
      </c>
      <c r="G80" s="64">
        <v>51.98</v>
      </c>
      <c r="H80" s="64">
        <v>2.04</v>
      </c>
      <c r="I80" s="64">
        <v>3.99</v>
      </c>
      <c r="J80" s="64">
        <v>0.91</v>
      </c>
      <c r="K80" s="64">
        <v>288.92</v>
      </c>
      <c r="L80" s="64">
        <v>29.92</v>
      </c>
      <c r="M80" s="64">
        <v>26.93</v>
      </c>
      <c r="N80" s="64">
        <v>70.8</v>
      </c>
      <c r="O80" s="64">
        <v>0</v>
      </c>
      <c r="P80" s="64">
        <v>0.87</v>
      </c>
      <c r="Q80" s="64">
        <v>8.8699999999999992</v>
      </c>
      <c r="R80" s="198"/>
      <c r="S80" s="198"/>
      <c r="T80" s="198"/>
      <c r="U80" s="198"/>
    </row>
    <row r="81" spans="1:26" s="12" customFormat="1" x14ac:dyDescent="0.25">
      <c r="A81" s="247" t="s">
        <v>1756</v>
      </c>
      <c r="B81" s="64">
        <v>13.75</v>
      </c>
      <c r="C81" s="64">
        <v>88.26</v>
      </c>
      <c r="D81" s="64">
        <v>57.14</v>
      </c>
      <c r="E81" s="64">
        <v>12.43</v>
      </c>
      <c r="F81" s="64">
        <v>24.69</v>
      </c>
      <c r="G81" s="64">
        <v>52.67</v>
      </c>
      <c r="H81" s="64">
        <v>1.01</v>
      </c>
      <c r="I81" s="64">
        <v>4.07</v>
      </c>
      <c r="J81" s="64">
        <v>0.84</v>
      </c>
      <c r="K81" s="64">
        <v>287.35000000000002</v>
      </c>
      <c r="L81" s="64">
        <v>29.18</v>
      </c>
      <c r="M81" s="64">
        <v>28.38</v>
      </c>
      <c r="N81" s="64">
        <v>64.7</v>
      </c>
      <c r="O81" s="64">
        <v>0</v>
      </c>
      <c r="P81" s="64">
        <v>1.21</v>
      </c>
      <c r="Q81" s="64">
        <v>8.91</v>
      </c>
      <c r="R81" s="198"/>
      <c r="S81" s="198"/>
      <c r="T81" s="198"/>
      <c r="U81" s="198"/>
    </row>
    <row r="82" spans="1:26" s="12" customFormat="1" x14ac:dyDescent="0.25">
      <c r="A82" s="247" t="s">
        <v>1757</v>
      </c>
      <c r="B82" s="64">
        <v>15.14</v>
      </c>
      <c r="C82" s="64">
        <v>106.96</v>
      </c>
      <c r="D82" s="64">
        <v>68.02</v>
      </c>
      <c r="E82" s="64">
        <v>13.43</v>
      </c>
      <c r="F82" s="64">
        <v>19.47</v>
      </c>
      <c r="G82" s="64">
        <v>52.67</v>
      </c>
      <c r="H82" s="64">
        <v>1.01</v>
      </c>
      <c r="I82" s="64">
        <v>4.09</v>
      </c>
      <c r="J82" s="64">
        <v>0.63</v>
      </c>
      <c r="K82" s="64">
        <v>300.66000000000003</v>
      </c>
      <c r="L82" s="64">
        <v>28.42</v>
      </c>
      <c r="M82" s="64">
        <v>30.39</v>
      </c>
      <c r="N82" s="64">
        <v>63.2</v>
      </c>
      <c r="O82" s="64">
        <v>0</v>
      </c>
      <c r="P82" s="64">
        <v>1.72</v>
      </c>
      <c r="Q82" s="64">
        <v>8.93</v>
      </c>
      <c r="R82" s="198"/>
      <c r="S82" s="198"/>
      <c r="T82" s="198"/>
      <c r="U82" s="198"/>
    </row>
    <row r="83" spans="1:26" s="12" customFormat="1" x14ac:dyDescent="0.25">
      <c r="A83" s="247" t="s">
        <v>1758</v>
      </c>
      <c r="B83" s="64">
        <v>34.67</v>
      </c>
      <c r="C83" s="64">
        <v>128.33000000000001</v>
      </c>
      <c r="D83" s="64">
        <v>94.85</v>
      </c>
      <c r="E83" s="64">
        <v>13.22</v>
      </c>
      <c r="F83" s="64">
        <v>14.56</v>
      </c>
      <c r="G83" s="64">
        <v>52.67</v>
      </c>
      <c r="H83" s="64">
        <v>1.01</v>
      </c>
      <c r="I83" s="64">
        <v>4.01</v>
      </c>
      <c r="J83" s="64">
        <v>0.54</v>
      </c>
      <c r="K83" s="64">
        <v>297.91000000000003</v>
      </c>
      <c r="L83" s="64">
        <v>27.64</v>
      </c>
      <c r="M83" s="64">
        <v>32.51</v>
      </c>
      <c r="N83" s="64">
        <v>63.1</v>
      </c>
      <c r="O83" s="64">
        <v>0</v>
      </c>
      <c r="P83" s="64">
        <v>2.2599999999999998</v>
      </c>
      <c r="Q83" s="64">
        <v>8.9700000000000006</v>
      </c>
      <c r="R83" s="198"/>
      <c r="S83" s="198"/>
      <c r="T83" s="198"/>
      <c r="U83" s="198"/>
    </row>
    <row r="84" spans="1:26" s="12" customFormat="1" x14ac:dyDescent="0.25">
      <c r="A84" s="247" t="s">
        <v>1759</v>
      </c>
      <c r="B84" s="64">
        <v>80.599999999999994</v>
      </c>
      <c r="C84" s="64">
        <v>146.08000000000001</v>
      </c>
      <c r="D84" s="64">
        <v>140.96</v>
      </c>
      <c r="E84" s="64">
        <v>12.33</v>
      </c>
      <c r="F84" s="64">
        <v>8.9600000000000009</v>
      </c>
      <c r="G84" s="64">
        <v>56.07</v>
      </c>
      <c r="H84" s="64">
        <v>0.86</v>
      </c>
      <c r="I84" s="64">
        <v>3.99</v>
      </c>
      <c r="J84" s="64">
        <v>0.53</v>
      </c>
      <c r="K84" s="64">
        <v>358.92</v>
      </c>
      <c r="L84" s="64">
        <v>27.1</v>
      </c>
      <c r="M84" s="64">
        <v>34.32</v>
      </c>
      <c r="N84" s="64">
        <v>62.9</v>
      </c>
      <c r="O84" s="64">
        <v>0</v>
      </c>
      <c r="P84" s="64">
        <v>2.67</v>
      </c>
      <c r="Q84" s="64">
        <v>9.0500000000000007</v>
      </c>
      <c r="R84" s="198"/>
      <c r="S84" s="198"/>
      <c r="T84" s="198"/>
      <c r="U84" s="198"/>
    </row>
    <row r="85" spans="1:26" s="12" customFormat="1" x14ac:dyDescent="0.25">
      <c r="A85" s="247" t="s">
        <v>1760</v>
      </c>
      <c r="B85" s="64">
        <v>52.12</v>
      </c>
      <c r="C85" s="64">
        <v>123.61</v>
      </c>
      <c r="D85" s="64">
        <v>106.38</v>
      </c>
      <c r="E85" s="64">
        <v>11.07</v>
      </c>
      <c r="F85" s="64">
        <v>13.84</v>
      </c>
      <c r="G85" s="64">
        <v>65.400000000000006</v>
      </c>
      <c r="H85" s="64">
        <v>0.45</v>
      </c>
      <c r="I85" s="64">
        <v>3.97</v>
      </c>
      <c r="J85" s="64">
        <v>0.59</v>
      </c>
      <c r="K85" s="64">
        <v>351.33</v>
      </c>
      <c r="L85" s="64">
        <v>26.78</v>
      </c>
      <c r="M85" s="64">
        <v>35.72</v>
      </c>
      <c r="N85" s="64">
        <v>62.2</v>
      </c>
      <c r="O85" s="64">
        <v>0</v>
      </c>
      <c r="P85" s="64">
        <v>2.2999999999999998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47" t="s">
        <v>1761</v>
      </c>
      <c r="B86" s="64">
        <v>31.48</v>
      </c>
      <c r="C86" s="64">
        <v>92.98</v>
      </c>
      <c r="D86" s="64">
        <v>73.819999999999993</v>
      </c>
      <c r="E86" s="64">
        <v>9.99</v>
      </c>
      <c r="F86" s="64">
        <v>23.04</v>
      </c>
      <c r="G86" s="64">
        <v>65.400000000000006</v>
      </c>
      <c r="H86" s="64">
        <v>0.45</v>
      </c>
      <c r="I86" s="64">
        <v>4.05</v>
      </c>
      <c r="J86" s="64">
        <v>0.95</v>
      </c>
      <c r="K86" s="64">
        <v>328.92</v>
      </c>
      <c r="L86" s="64">
        <v>26.57</v>
      </c>
      <c r="M86" s="64">
        <v>36.49</v>
      </c>
      <c r="N86" s="64">
        <v>61.9</v>
      </c>
      <c r="O86" s="64">
        <v>0</v>
      </c>
      <c r="P86" s="64">
        <v>1.55</v>
      </c>
      <c r="Q86" s="64">
        <v>9.32</v>
      </c>
      <c r="R86" s="198"/>
      <c r="S86" s="198"/>
      <c r="T86" s="198"/>
      <c r="U86" s="198"/>
    </row>
    <row r="87" spans="1:26" s="12" customFormat="1" x14ac:dyDescent="0.25">
      <c r="A87" s="247" t="s">
        <v>1762</v>
      </c>
      <c r="B87" s="64">
        <v>21.41</v>
      </c>
      <c r="C87" s="64">
        <v>98.35</v>
      </c>
      <c r="D87" s="64">
        <v>68.55</v>
      </c>
      <c r="E87" s="64">
        <v>11.24</v>
      </c>
      <c r="F87" s="64">
        <v>23.75</v>
      </c>
      <c r="G87" s="64">
        <v>65.400000000000006</v>
      </c>
      <c r="H87" s="64">
        <v>0.45</v>
      </c>
      <c r="I87" s="64">
        <v>3.86</v>
      </c>
      <c r="J87" s="64">
        <v>0.86</v>
      </c>
      <c r="K87" s="64">
        <v>336.97</v>
      </c>
      <c r="L87" s="64">
        <v>26.34</v>
      </c>
      <c r="M87" s="64">
        <v>35.799999999999997</v>
      </c>
      <c r="N87" s="64">
        <v>62.2</v>
      </c>
      <c r="O87" s="64">
        <v>0</v>
      </c>
      <c r="P87" s="64">
        <v>1.55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47" t="s">
        <v>1763</v>
      </c>
      <c r="B88" s="64">
        <v>18.96</v>
      </c>
      <c r="C88" s="64">
        <v>97.68</v>
      </c>
      <c r="D88" s="64">
        <v>66.239999999999995</v>
      </c>
      <c r="E88" s="64">
        <v>11.35</v>
      </c>
      <c r="F88" s="64">
        <v>22.24</v>
      </c>
      <c r="G88" s="64">
        <v>66.73</v>
      </c>
      <c r="H88" s="64">
        <v>2.89</v>
      </c>
      <c r="I88" s="64">
        <v>3.82</v>
      </c>
      <c r="J88" s="64">
        <v>0.78</v>
      </c>
      <c r="K88" s="64">
        <v>325.11</v>
      </c>
      <c r="L88" s="64">
        <v>26.1</v>
      </c>
      <c r="M88" s="64">
        <v>35.880000000000003</v>
      </c>
      <c r="N88" s="64">
        <v>62.4</v>
      </c>
      <c r="O88" s="64">
        <v>0</v>
      </c>
      <c r="P88" s="64">
        <v>1.74</v>
      </c>
      <c r="Q88" s="64">
        <v>9.41</v>
      </c>
      <c r="R88" s="198"/>
      <c r="S88" s="198"/>
      <c r="T88" s="198"/>
      <c r="U88" s="198"/>
    </row>
    <row r="89" spans="1:26" s="12" customFormat="1" x14ac:dyDescent="0.25">
      <c r="A89" s="247" t="s">
        <v>1764</v>
      </c>
      <c r="B89" s="64">
        <v>23.03</v>
      </c>
      <c r="C89" s="64">
        <v>100.21</v>
      </c>
      <c r="D89" s="64">
        <v>70.83</v>
      </c>
      <c r="E89" s="64">
        <v>11.46</v>
      </c>
      <c r="F89" s="64">
        <v>22.49</v>
      </c>
      <c r="G89" s="64">
        <v>70.38</v>
      </c>
      <c r="H89" s="64">
        <v>9.6</v>
      </c>
      <c r="I89" s="64">
        <v>4.0199999999999996</v>
      </c>
      <c r="J89" s="64">
        <v>0.72</v>
      </c>
      <c r="K89" s="64">
        <v>328.14</v>
      </c>
      <c r="L89" s="64">
        <v>25.97</v>
      </c>
      <c r="M89" s="64">
        <v>36.909999999999997</v>
      </c>
      <c r="N89" s="64">
        <v>62.4</v>
      </c>
      <c r="O89" s="64">
        <v>0</v>
      </c>
      <c r="P89" s="64">
        <v>1.66</v>
      </c>
      <c r="Q89" s="64">
        <v>9.42</v>
      </c>
      <c r="R89" s="198"/>
      <c r="S89" s="198"/>
      <c r="T89" s="198"/>
      <c r="U89" s="198"/>
    </row>
    <row r="90" spans="1:26" s="12" customFormat="1" x14ac:dyDescent="0.25">
      <c r="A90" s="247" t="s">
        <v>1765</v>
      </c>
      <c r="B90" s="64">
        <v>18.350000000000001</v>
      </c>
      <c r="C90" s="64">
        <v>102.05</v>
      </c>
      <c r="D90" s="64">
        <v>68.03</v>
      </c>
      <c r="E90" s="64">
        <v>12.05</v>
      </c>
      <c r="F90" s="64">
        <v>20.99</v>
      </c>
      <c r="G90" s="64">
        <v>70.38</v>
      </c>
      <c r="H90" s="64">
        <v>9.6</v>
      </c>
      <c r="I90" s="64">
        <v>4.1100000000000003</v>
      </c>
      <c r="J90" s="64">
        <v>0.4</v>
      </c>
      <c r="K90" s="64">
        <v>286.45</v>
      </c>
      <c r="L90" s="64">
        <v>25.82</v>
      </c>
      <c r="M90" s="64">
        <v>37.28</v>
      </c>
      <c r="N90" s="64">
        <v>62.7</v>
      </c>
      <c r="O90" s="64">
        <v>0</v>
      </c>
      <c r="P90" s="64">
        <v>1.58</v>
      </c>
      <c r="Q90" s="64">
        <v>9.4</v>
      </c>
      <c r="R90" s="198"/>
      <c r="S90" s="198"/>
      <c r="T90" s="198"/>
      <c r="U90" s="198"/>
    </row>
    <row r="91" spans="1:26" s="12" customFormat="1" x14ac:dyDescent="0.25">
      <c r="A91" s="247" t="s">
        <v>1766</v>
      </c>
      <c r="B91" s="64">
        <v>21.9</v>
      </c>
      <c r="C91" s="64">
        <v>120.14</v>
      </c>
      <c r="D91" s="64">
        <v>80.33</v>
      </c>
      <c r="E91" s="64">
        <v>11.98</v>
      </c>
      <c r="F91" s="64">
        <v>16.3</v>
      </c>
      <c r="G91" s="64">
        <v>70.38</v>
      </c>
      <c r="H91" s="64">
        <v>9.6</v>
      </c>
      <c r="I91" s="64">
        <v>3.89</v>
      </c>
      <c r="J91" s="64">
        <v>0.37</v>
      </c>
      <c r="K91" s="64">
        <v>276.83</v>
      </c>
      <c r="L91" s="64">
        <v>25.69</v>
      </c>
      <c r="M91" s="64">
        <v>38.07</v>
      </c>
      <c r="N91" s="64">
        <v>62.9</v>
      </c>
      <c r="O91" s="64">
        <v>0</v>
      </c>
      <c r="P91" s="64">
        <v>1.75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47" t="s">
        <v>1767</v>
      </c>
      <c r="B92" s="64">
        <v>44.13</v>
      </c>
      <c r="C92" s="64">
        <v>133.71</v>
      </c>
      <c r="D92" s="64">
        <v>105.25</v>
      </c>
      <c r="E92" s="64">
        <v>11.13</v>
      </c>
      <c r="F92" s="64">
        <v>9.8800000000000008</v>
      </c>
      <c r="G92" s="64">
        <v>70.540000000000006</v>
      </c>
      <c r="H92" s="64">
        <v>13.05</v>
      </c>
      <c r="I92" s="64">
        <v>4.01</v>
      </c>
      <c r="J92" s="64">
        <v>0.5</v>
      </c>
      <c r="K92" s="64">
        <v>116.7</v>
      </c>
      <c r="L92" s="64">
        <v>25.21</v>
      </c>
      <c r="M92" s="64">
        <v>40.03</v>
      </c>
      <c r="N92" s="64">
        <v>62.9</v>
      </c>
      <c r="O92" s="64">
        <v>0</v>
      </c>
      <c r="P92" s="64">
        <v>1.82</v>
      </c>
      <c r="Q92" s="64">
        <v>9.44</v>
      </c>
      <c r="R92" s="198"/>
      <c r="S92" s="198"/>
      <c r="T92" s="198"/>
      <c r="U92" s="198"/>
    </row>
    <row r="93" spans="1:26" s="12" customFormat="1" x14ac:dyDescent="0.25">
      <c r="A93" s="247" t="s">
        <v>1768</v>
      </c>
      <c r="B93" s="64">
        <v>125.31</v>
      </c>
      <c r="C93" s="64">
        <v>151.19</v>
      </c>
      <c r="D93" s="64">
        <v>179.49</v>
      </c>
      <c r="E93" s="64">
        <v>11.08</v>
      </c>
      <c r="F93" s="64">
        <v>7.86</v>
      </c>
      <c r="G93" s="64">
        <v>70.97</v>
      </c>
      <c r="H93" s="64">
        <v>22.53</v>
      </c>
      <c r="I93" s="64">
        <v>4.0199999999999996</v>
      </c>
      <c r="J93" s="64">
        <v>0.65</v>
      </c>
      <c r="K93" s="64">
        <v>119.54</v>
      </c>
      <c r="L93" s="64">
        <v>24.7</v>
      </c>
      <c r="M93" s="64">
        <v>42.48</v>
      </c>
      <c r="N93" s="64">
        <v>62.8</v>
      </c>
      <c r="O93" s="64">
        <v>0</v>
      </c>
      <c r="P93" s="64">
        <v>1.75</v>
      </c>
      <c r="Q93" s="64">
        <v>9.4</v>
      </c>
      <c r="R93" s="198"/>
      <c r="S93" s="198"/>
      <c r="T93" s="198"/>
      <c r="U93" s="198"/>
    </row>
    <row r="94" spans="1:26" s="12" customFormat="1" x14ac:dyDescent="0.25">
      <c r="A94" s="247" t="s">
        <v>1769</v>
      </c>
      <c r="B94" s="64">
        <v>117.54</v>
      </c>
      <c r="C94" s="64">
        <v>139.91999999999999</v>
      </c>
      <c r="D94" s="64">
        <v>167.36</v>
      </c>
      <c r="E94" s="64">
        <v>10.43</v>
      </c>
      <c r="F94" s="64">
        <v>7.76</v>
      </c>
      <c r="G94" s="64">
        <v>70.97</v>
      </c>
      <c r="H94" s="64">
        <v>22.53</v>
      </c>
      <c r="I94" s="64">
        <v>3.97</v>
      </c>
      <c r="J94" s="64">
        <v>0.48</v>
      </c>
      <c r="K94" s="64">
        <v>133.74</v>
      </c>
      <c r="L94" s="64">
        <v>24.3</v>
      </c>
      <c r="M94" s="64">
        <v>44.6</v>
      </c>
      <c r="N94" s="64">
        <v>62.6</v>
      </c>
      <c r="O94" s="64">
        <v>0</v>
      </c>
      <c r="P94" s="64">
        <v>1.66</v>
      </c>
      <c r="Q94" s="64">
        <v>9.3800000000000008</v>
      </c>
      <c r="R94" s="198"/>
      <c r="S94" s="198"/>
      <c r="T94" s="198"/>
      <c r="U94" s="198"/>
    </row>
    <row r="95" spans="1:26" s="12" customFormat="1" x14ac:dyDescent="0.25">
      <c r="A95" s="247" t="s">
        <v>1770</v>
      </c>
      <c r="B95" s="64">
        <v>105.33</v>
      </c>
      <c r="C95" s="64">
        <v>128.16999999999999</v>
      </c>
      <c r="D95" s="64">
        <v>151.43</v>
      </c>
      <c r="E95" s="64">
        <v>9.56</v>
      </c>
      <c r="F95" s="64">
        <v>7.93</v>
      </c>
      <c r="G95" s="64">
        <v>70.97</v>
      </c>
      <c r="H95" s="64">
        <v>22.53</v>
      </c>
      <c r="I95" s="64">
        <v>4.08</v>
      </c>
      <c r="J95" s="64">
        <v>0.6</v>
      </c>
      <c r="K95" s="64">
        <v>301.26</v>
      </c>
      <c r="L95" s="64">
        <v>24.2</v>
      </c>
      <c r="M95" s="64">
        <v>45.88</v>
      </c>
      <c r="N95" s="64">
        <v>62.5</v>
      </c>
      <c r="O95" s="64">
        <v>0</v>
      </c>
      <c r="P95" s="64">
        <v>2.08</v>
      </c>
      <c r="Q95" s="64">
        <v>9.4</v>
      </c>
      <c r="R95" s="198"/>
      <c r="S95" s="198"/>
      <c r="T95" s="198"/>
      <c r="U95" s="198"/>
    </row>
    <row r="96" spans="1:26" s="12" customFormat="1" x14ac:dyDescent="0.25">
      <c r="A96" s="247" t="s">
        <v>1771</v>
      </c>
      <c r="B96" s="64">
        <v>85.85</v>
      </c>
      <c r="C96" s="64">
        <v>118.01</v>
      </c>
      <c r="D96" s="64">
        <v>130.5</v>
      </c>
      <c r="E96" s="64">
        <v>8.61</v>
      </c>
      <c r="F96" s="64">
        <v>8.92</v>
      </c>
      <c r="G96" s="64">
        <v>75.67</v>
      </c>
      <c r="H96" s="64">
        <v>19.52</v>
      </c>
      <c r="I96" s="64">
        <v>4</v>
      </c>
      <c r="J96" s="64">
        <v>0.69</v>
      </c>
      <c r="K96" s="64">
        <v>317.69</v>
      </c>
      <c r="L96" s="64">
        <v>23.67</v>
      </c>
      <c r="M96" s="64">
        <v>50.4</v>
      </c>
      <c r="N96" s="64">
        <v>62.8</v>
      </c>
      <c r="O96" s="64">
        <v>0</v>
      </c>
      <c r="P96" s="64">
        <v>2.2200000000000002</v>
      </c>
      <c r="Q96" s="64">
        <v>9.4499999999999993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1772</v>
      </c>
      <c r="B97" s="64">
        <v>52.48</v>
      </c>
      <c r="C97" s="64">
        <v>103.99</v>
      </c>
      <c r="D97" s="64">
        <v>96.42</v>
      </c>
      <c r="E97" s="64">
        <v>7.29</v>
      </c>
      <c r="F97" s="64">
        <v>8.65</v>
      </c>
      <c r="G97" s="64">
        <v>88.59</v>
      </c>
      <c r="H97" s="64">
        <v>11.26</v>
      </c>
      <c r="I97" s="64">
        <v>3.93</v>
      </c>
      <c r="J97" s="64">
        <v>0.66</v>
      </c>
      <c r="K97" s="64">
        <v>275.82</v>
      </c>
      <c r="L97" s="64">
        <v>23.41</v>
      </c>
      <c r="M97" s="64">
        <v>46.95</v>
      </c>
      <c r="N97" s="64">
        <v>62.6</v>
      </c>
      <c r="O97" s="64">
        <v>0</v>
      </c>
      <c r="P97" s="64">
        <v>1.69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47" t="s">
        <v>1773</v>
      </c>
      <c r="B98" s="64">
        <v>35.869999999999997</v>
      </c>
      <c r="C98" s="64">
        <v>90.6</v>
      </c>
      <c r="D98" s="64">
        <v>76.099999999999994</v>
      </c>
      <c r="E98" s="64">
        <v>7.24</v>
      </c>
      <c r="F98" s="64">
        <v>12.99</v>
      </c>
      <c r="G98" s="64">
        <v>88.59</v>
      </c>
      <c r="H98" s="64">
        <v>11.26</v>
      </c>
      <c r="I98" s="64">
        <v>3.86</v>
      </c>
      <c r="J98" s="64">
        <v>0.86</v>
      </c>
      <c r="K98" s="64">
        <v>233.41</v>
      </c>
      <c r="L98" s="64">
        <v>23.85</v>
      </c>
      <c r="M98" s="64">
        <v>43.53</v>
      </c>
      <c r="N98" s="64">
        <v>61.8</v>
      </c>
      <c r="O98" s="64">
        <v>0</v>
      </c>
      <c r="P98" s="64">
        <v>1.4</v>
      </c>
      <c r="Q98" s="64">
        <v>9.5299999999999994</v>
      </c>
      <c r="R98" s="198"/>
      <c r="S98" s="198"/>
      <c r="T98" s="198"/>
      <c r="U98" s="198"/>
    </row>
    <row r="99" spans="1:33" s="12" customFormat="1" x14ac:dyDescent="0.25">
      <c r="A99" s="247" t="s">
        <v>1774</v>
      </c>
      <c r="B99" s="64">
        <v>32.909999999999997</v>
      </c>
      <c r="C99" s="64">
        <v>79.08</v>
      </c>
      <c r="D99" s="64">
        <v>67.709999999999994</v>
      </c>
      <c r="E99" s="64">
        <v>7.49</v>
      </c>
      <c r="F99" s="64">
        <v>14.33</v>
      </c>
      <c r="G99" s="64">
        <v>88.59</v>
      </c>
      <c r="H99" s="64">
        <v>11.26</v>
      </c>
      <c r="I99" s="64">
        <v>3.93</v>
      </c>
      <c r="J99" s="64">
        <v>0.91</v>
      </c>
      <c r="K99" s="64">
        <v>219.76</v>
      </c>
      <c r="L99" s="64">
        <v>24.12</v>
      </c>
      <c r="M99" s="64">
        <v>43.2</v>
      </c>
      <c r="N99" s="64">
        <v>61.7</v>
      </c>
      <c r="O99" s="64">
        <v>0</v>
      </c>
      <c r="P99" s="64">
        <v>1.38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47" t="s">
        <v>1775</v>
      </c>
      <c r="B100" s="64">
        <v>26.99</v>
      </c>
      <c r="C100" s="64">
        <v>72.27</v>
      </c>
      <c r="D100" s="64">
        <v>59.41</v>
      </c>
      <c r="E100" s="64">
        <v>6.88</v>
      </c>
      <c r="F100" s="64">
        <v>16.57</v>
      </c>
      <c r="G100" s="64">
        <v>87.21</v>
      </c>
      <c r="H100" s="64">
        <v>18.260000000000002</v>
      </c>
      <c r="I100" s="64">
        <v>3.84</v>
      </c>
      <c r="J100" s="64">
        <v>0.85</v>
      </c>
      <c r="K100" s="64">
        <v>233.24</v>
      </c>
      <c r="L100" s="64">
        <v>23.82</v>
      </c>
      <c r="M100" s="64">
        <v>45.13</v>
      </c>
      <c r="N100" s="64">
        <v>62.4</v>
      </c>
      <c r="O100" s="64">
        <v>0</v>
      </c>
      <c r="P100" s="64">
        <v>1.28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1776</v>
      </c>
      <c r="B101" s="64">
        <v>29.14</v>
      </c>
      <c r="C101" s="64">
        <v>69.3</v>
      </c>
      <c r="D101" s="64">
        <v>59.57</v>
      </c>
      <c r="E101" s="64">
        <v>6.45</v>
      </c>
      <c r="F101" s="64">
        <v>16.91</v>
      </c>
      <c r="G101" s="64">
        <v>83.43</v>
      </c>
      <c r="H101" s="64">
        <v>37.49</v>
      </c>
      <c r="I101" s="64">
        <v>4.08</v>
      </c>
      <c r="J101" s="64">
        <v>0.82</v>
      </c>
      <c r="K101" s="64">
        <v>208.82</v>
      </c>
      <c r="L101" s="64">
        <v>23.59</v>
      </c>
      <c r="M101" s="64">
        <v>46.39</v>
      </c>
      <c r="N101" s="64">
        <v>62.1</v>
      </c>
      <c r="O101" s="64">
        <v>0</v>
      </c>
      <c r="P101" s="64">
        <v>1.29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47" t="s">
        <v>1777</v>
      </c>
      <c r="B102" s="64">
        <v>20.22</v>
      </c>
      <c r="C102" s="64">
        <v>56.41</v>
      </c>
      <c r="D102" s="64">
        <v>45.68</v>
      </c>
      <c r="E102" s="64">
        <v>7.18</v>
      </c>
      <c r="F102" s="64">
        <v>23.5</v>
      </c>
      <c r="G102" s="64">
        <v>83.43</v>
      </c>
      <c r="H102" s="64">
        <v>37.49</v>
      </c>
      <c r="I102" s="64">
        <v>3.81</v>
      </c>
      <c r="J102" s="64">
        <v>0.6</v>
      </c>
      <c r="K102" s="64">
        <v>235.98</v>
      </c>
      <c r="L102" s="64">
        <v>23.37</v>
      </c>
      <c r="M102" s="64">
        <v>47.44</v>
      </c>
      <c r="N102" s="64">
        <v>62.4</v>
      </c>
      <c r="O102" s="64">
        <v>0</v>
      </c>
      <c r="P102" s="64">
        <v>1.05</v>
      </c>
      <c r="Q102" s="64">
        <v>9.58</v>
      </c>
      <c r="R102" s="198"/>
      <c r="S102" s="198"/>
      <c r="T102" s="198"/>
      <c r="U102" s="198"/>
    </row>
    <row r="103" spans="1:33" s="12" customFormat="1" x14ac:dyDescent="0.25">
      <c r="A103" s="247" t="s">
        <v>1778</v>
      </c>
      <c r="B103" s="64">
        <v>17.29</v>
      </c>
      <c r="C103" s="64">
        <v>54.11</v>
      </c>
      <c r="D103" s="64">
        <v>42.13</v>
      </c>
      <c r="E103" s="64">
        <v>7.1</v>
      </c>
      <c r="F103" s="64">
        <v>22.8</v>
      </c>
      <c r="G103" s="64">
        <v>83.43</v>
      </c>
      <c r="H103" s="64">
        <v>37.49</v>
      </c>
      <c r="I103" s="64">
        <v>3.87</v>
      </c>
      <c r="J103" s="64">
        <v>0.68</v>
      </c>
      <c r="K103" s="64">
        <v>245.43</v>
      </c>
      <c r="L103" s="64">
        <v>23</v>
      </c>
      <c r="M103" s="64">
        <v>48.88</v>
      </c>
      <c r="N103" s="64">
        <v>62.7</v>
      </c>
      <c r="O103" s="64">
        <v>0</v>
      </c>
      <c r="P103" s="64">
        <v>1</v>
      </c>
      <c r="Q103" s="64">
        <v>9.59</v>
      </c>
      <c r="R103" s="198"/>
      <c r="S103" s="198"/>
      <c r="T103" s="198"/>
      <c r="U103" s="198"/>
    </row>
    <row r="104" spans="1:33" s="12" customFormat="1" x14ac:dyDescent="0.25">
      <c r="A104" s="247" t="s">
        <v>1779</v>
      </c>
      <c r="B104" s="64">
        <v>14.43</v>
      </c>
      <c r="C104" s="64">
        <v>50.57</v>
      </c>
      <c r="D104" s="64">
        <v>37.99</v>
      </c>
      <c r="E104" s="64">
        <v>6.33</v>
      </c>
      <c r="F104" s="64">
        <v>24</v>
      </c>
      <c r="G104" s="64">
        <v>81.739999999999995</v>
      </c>
      <c r="H104" s="64">
        <v>35.47</v>
      </c>
      <c r="I104" s="64">
        <v>4.07</v>
      </c>
      <c r="J104" s="64">
        <v>0.56999999999999995</v>
      </c>
      <c r="K104" s="64">
        <v>210.33</v>
      </c>
      <c r="L104" s="64">
        <v>22.73</v>
      </c>
      <c r="M104" s="64">
        <v>49.25</v>
      </c>
      <c r="N104" s="64">
        <v>62.3</v>
      </c>
      <c r="O104" s="64">
        <v>0</v>
      </c>
      <c r="P104" s="64">
        <v>0.97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2.89</v>
      </c>
      <c r="C106" s="67">
        <f>MIN(C9:C104)</f>
        <v>41.47</v>
      </c>
      <c r="D106" s="67">
        <f t="shared" ref="D106:Q106" si="0">MIN(D9:D104)</f>
        <v>29.3</v>
      </c>
      <c r="E106" s="67">
        <f t="shared" si="0"/>
        <v>3.4</v>
      </c>
      <c r="F106" s="67">
        <f t="shared" si="0"/>
        <v>6.32</v>
      </c>
      <c r="G106" s="67">
        <f t="shared" si="0"/>
        <v>51.73</v>
      </c>
      <c r="H106" s="67">
        <f t="shared" si="0"/>
        <v>0.45</v>
      </c>
      <c r="I106" s="67">
        <f t="shared" si="0"/>
        <v>3.73</v>
      </c>
      <c r="J106" s="67">
        <f t="shared" si="0"/>
        <v>7.0000000000000007E-2</v>
      </c>
      <c r="K106" s="67">
        <f t="shared" si="0"/>
        <v>5.24</v>
      </c>
      <c r="L106" s="67">
        <f t="shared" si="0"/>
        <v>19.36</v>
      </c>
      <c r="M106" s="67">
        <f t="shared" si="0"/>
        <v>19.920000000000002</v>
      </c>
      <c r="N106" s="67">
        <f t="shared" si="0"/>
        <v>61.7</v>
      </c>
      <c r="O106" s="67">
        <f t="shared" si="0"/>
        <v>0</v>
      </c>
      <c r="P106" s="67">
        <f t="shared" si="0"/>
        <v>0.39</v>
      </c>
      <c r="Q106" s="67">
        <f t="shared" si="0"/>
        <v>8.7899999999999991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144.61000000000001</v>
      </c>
      <c r="C107" s="66">
        <f t="shared" ref="C107:Q107" si="1">MAX(C9:C104)</f>
        <v>151.19</v>
      </c>
      <c r="D107" s="66">
        <f t="shared" si="1"/>
        <v>179.49</v>
      </c>
      <c r="E107" s="66">
        <f t="shared" si="1"/>
        <v>13.43</v>
      </c>
      <c r="F107" s="66">
        <f t="shared" si="1"/>
        <v>28.14</v>
      </c>
      <c r="G107" s="66">
        <f t="shared" si="1"/>
        <v>106.27</v>
      </c>
      <c r="H107" s="66">
        <f t="shared" si="1"/>
        <v>44.76</v>
      </c>
      <c r="I107" s="66">
        <f t="shared" si="1"/>
        <v>4.16</v>
      </c>
      <c r="J107" s="66">
        <f t="shared" si="1"/>
        <v>1.94</v>
      </c>
      <c r="K107" s="66">
        <f t="shared" si="1"/>
        <v>358.92</v>
      </c>
      <c r="L107" s="66">
        <f t="shared" si="1"/>
        <v>34.340000000000003</v>
      </c>
      <c r="M107" s="66">
        <f t="shared" si="1"/>
        <v>73.41</v>
      </c>
      <c r="N107" s="66">
        <f t="shared" si="1"/>
        <v>682.9</v>
      </c>
      <c r="O107" s="66">
        <f t="shared" si="1"/>
        <v>0</v>
      </c>
      <c r="P107" s="66">
        <f t="shared" si="1"/>
        <v>2.67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32.427395833333328</v>
      </c>
      <c r="C108" s="67">
        <f t="shared" ref="C108:Q108" si="2">AVERAGE(C9:C104)</f>
        <v>75.604375000000019</v>
      </c>
      <c r="D108" s="67">
        <f t="shared" si="2"/>
        <v>65.505104166666669</v>
      </c>
      <c r="E108" s="67">
        <f t="shared" si="2"/>
        <v>6.2865625000000023</v>
      </c>
      <c r="F108" s="67">
        <f t="shared" si="2"/>
        <v>14.560416666666669</v>
      </c>
      <c r="G108" s="67">
        <f t="shared" si="2"/>
        <v>79.663854166666695</v>
      </c>
      <c r="H108" s="67">
        <f t="shared" si="2"/>
        <v>24.352500000000006</v>
      </c>
      <c r="I108" s="67">
        <f t="shared" si="2"/>
        <v>3.9823958333333334</v>
      </c>
      <c r="J108" s="67">
        <f t="shared" si="2"/>
        <v>0.76322916666666651</v>
      </c>
      <c r="K108" s="67">
        <f t="shared" si="2"/>
        <v>264.27156250000002</v>
      </c>
      <c r="L108" s="67">
        <f t="shared" si="2"/>
        <v>26.424583333333334</v>
      </c>
      <c r="M108" s="67">
        <f t="shared" si="2"/>
        <v>40.802916666666668</v>
      </c>
      <c r="N108" s="67">
        <f t="shared" si="2"/>
        <v>225.83437500000005</v>
      </c>
      <c r="O108" s="67">
        <f t="shared" si="2"/>
        <v>0</v>
      </c>
      <c r="P108" s="67">
        <f t="shared" si="2"/>
        <v>1.1466666666666663</v>
      </c>
      <c r="Q108" s="67">
        <f t="shared" si="2"/>
        <v>9.3477083333333333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32.661050753226313</v>
      </c>
      <c r="C109" s="67">
        <f t="shared" ref="C109:Q109" si="3">STDEV(C9:C104)</f>
        <v>23.830763347205757</v>
      </c>
      <c r="D109" s="67">
        <f t="shared" si="3"/>
        <v>35.32668670669873</v>
      </c>
      <c r="E109" s="67">
        <f t="shared" si="3"/>
        <v>2.6947265570193237</v>
      </c>
      <c r="F109" s="67">
        <f t="shared" si="3"/>
        <v>5.8914489177856026</v>
      </c>
      <c r="G109" s="67">
        <f t="shared" si="3"/>
        <v>14.535039504937044</v>
      </c>
      <c r="H109" s="67">
        <f t="shared" si="3"/>
        <v>13.955209629004999</v>
      </c>
      <c r="I109" s="67">
        <f t="shared" si="3"/>
        <v>0.10641274945049603</v>
      </c>
      <c r="J109" s="67">
        <f t="shared" si="3"/>
        <v>0.37681628859548733</v>
      </c>
      <c r="K109" s="67">
        <f t="shared" si="3"/>
        <v>63.090656549513206</v>
      </c>
      <c r="L109" s="67">
        <f t="shared" si="3"/>
        <v>4.954197989513367</v>
      </c>
      <c r="M109" s="67">
        <f t="shared" si="3"/>
        <v>15.7546050020916</v>
      </c>
      <c r="N109" s="67">
        <f t="shared" si="3"/>
        <v>228.60104241974642</v>
      </c>
      <c r="O109" s="67">
        <f t="shared" si="3"/>
        <v>0</v>
      </c>
      <c r="P109" s="67">
        <f t="shared" si="3"/>
        <v>0.49695846838367369</v>
      </c>
      <c r="Q109" s="67">
        <f t="shared" si="3"/>
        <v>0.34194637673384332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1780</v>
      </c>
      <c r="B9" s="64">
        <v>16.829999999999998</v>
      </c>
      <c r="C9" s="64">
        <v>53.33</v>
      </c>
      <c r="D9" s="64">
        <v>41.36</v>
      </c>
      <c r="E9" s="64">
        <v>7.58</v>
      </c>
      <c r="F9" s="64">
        <v>22.29</v>
      </c>
      <c r="G9" s="64">
        <v>77.09</v>
      </c>
      <c r="H9" s="64">
        <v>29.9</v>
      </c>
      <c r="I9" s="64">
        <v>4.01</v>
      </c>
      <c r="J9" s="64">
        <v>0.4</v>
      </c>
      <c r="K9" s="64">
        <v>263.8</v>
      </c>
      <c r="L9" s="64">
        <v>22.64</v>
      </c>
      <c r="M9" s="64">
        <v>48.73</v>
      </c>
      <c r="N9" s="64">
        <v>62.5</v>
      </c>
      <c r="O9" s="64">
        <v>0</v>
      </c>
      <c r="P9" s="64">
        <v>1.01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47" t="s">
        <v>1781</v>
      </c>
      <c r="B10" s="64">
        <v>13.39</v>
      </c>
      <c r="C10" s="64">
        <v>59.14</v>
      </c>
      <c r="D10" s="64">
        <v>41.64</v>
      </c>
      <c r="E10" s="64">
        <v>7.28</v>
      </c>
      <c r="F10" s="64">
        <v>22.75</v>
      </c>
      <c r="G10" s="64">
        <v>77.09</v>
      </c>
      <c r="H10" s="64">
        <v>29.9</v>
      </c>
      <c r="I10" s="64">
        <v>3.87</v>
      </c>
      <c r="J10" s="64">
        <v>0.45</v>
      </c>
      <c r="K10" s="64">
        <v>234.3</v>
      </c>
      <c r="L10" s="64">
        <v>22.46</v>
      </c>
      <c r="M10" s="64">
        <v>48.09</v>
      </c>
      <c r="N10" s="64">
        <v>62.5</v>
      </c>
      <c r="O10" s="64">
        <v>0</v>
      </c>
      <c r="P10" s="64">
        <v>0.95</v>
      </c>
      <c r="Q10" s="64">
        <v>9.57</v>
      </c>
      <c r="R10" s="198"/>
      <c r="S10" s="198"/>
      <c r="T10" s="198"/>
      <c r="U10" s="198"/>
    </row>
    <row r="11" spans="1:21" s="12" customFormat="1" x14ac:dyDescent="0.25">
      <c r="A11" s="247" t="s">
        <v>1782</v>
      </c>
      <c r="B11" s="64">
        <v>13.91</v>
      </c>
      <c r="C11" s="64">
        <v>46.61</v>
      </c>
      <c r="D11" s="64">
        <v>35.51</v>
      </c>
      <c r="E11" s="64">
        <v>7.38</v>
      </c>
      <c r="F11" s="64">
        <v>25.55</v>
      </c>
      <c r="G11" s="64">
        <v>77.09</v>
      </c>
      <c r="H11" s="64">
        <v>29.9</v>
      </c>
      <c r="I11" s="64">
        <v>4</v>
      </c>
      <c r="J11" s="64">
        <v>0.56000000000000005</v>
      </c>
      <c r="K11" s="64">
        <v>205.21</v>
      </c>
      <c r="L11" s="64">
        <v>22.51</v>
      </c>
      <c r="M11" s="64">
        <v>46.83</v>
      </c>
      <c r="N11" s="64">
        <v>62.1</v>
      </c>
      <c r="O11" s="64">
        <v>0</v>
      </c>
      <c r="P11" s="64">
        <v>0.95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47" t="s">
        <v>1783</v>
      </c>
      <c r="B12" s="64">
        <v>11.94</v>
      </c>
      <c r="C12" s="64">
        <v>44.25</v>
      </c>
      <c r="D12" s="64">
        <v>32.69</v>
      </c>
      <c r="E12" s="64">
        <v>7.98</v>
      </c>
      <c r="F12" s="64">
        <v>27.09</v>
      </c>
      <c r="G12" s="64">
        <v>74.989999999999995</v>
      </c>
      <c r="H12" s="64">
        <v>28.8</v>
      </c>
      <c r="I12" s="64">
        <v>4.07</v>
      </c>
      <c r="J12" s="64">
        <v>0.46</v>
      </c>
      <c r="K12" s="64">
        <v>287.57</v>
      </c>
      <c r="L12" s="64">
        <v>22.28</v>
      </c>
      <c r="M12" s="64">
        <v>47.36</v>
      </c>
      <c r="N12" s="64">
        <v>62.6</v>
      </c>
      <c r="O12" s="64">
        <v>0</v>
      </c>
      <c r="P12" s="64">
        <v>0.92</v>
      </c>
      <c r="Q12" s="64">
        <v>9.56</v>
      </c>
      <c r="R12" s="198"/>
      <c r="S12" s="198"/>
      <c r="T12" s="198"/>
      <c r="U12" s="198"/>
    </row>
    <row r="13" spans="1:21" s="12" customFormat="1" x14ac:dyDescent="0.25">
      <c r="A13" s="247" t="s">
        <v>1784</v>
      </c>
      <c r="B13" s="64">
        <v>15.63</v>
      </c>
      <c r="C13" s="64">
        <v>53.43</v>
      </c>
      <c r="D13" s="64">
        <v>40.450000000000003</v>
      </c>
      <c r="E13" s="64">
        <v>7.08</v>
      </c>
      <c r="F13" s="64">
        <v>18.3</v>
      </c>
      <c r="G13" s="64">
        <v>69.2</v>
      </c>
      <c r="H13" s="64">
        <v>25.79</v>
      </c>
      <c r="I13" s="64">
        <v>3.94</v>
      </c>
      <c r="J13" s="64">
        <v>0.53</v>
      </c>
      <c r="K13" s="64">
        <v>347.35</v>
      </c>
      <c r="L13" s="64">
        <v>22.18</v>
      </c>
      <c r="M13" s="64">
        <v>46.52</v>
      </c>
      <c r="N13" s="64">
        <v>62.3</v>
      </c>
      <c r="O13" s="64">
        <v>0</v>
      </c>
      <c r="P13" s="64">
        <v>1.08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47" t="s">
        <v>1785</v>
      </c>
      <c r="B14" s="64">
        <v>20.34</v>
      </c>
      <c r="C14" s="64">
        <v>66.180000000000007</v>
      </c>
      <c r="D14" s="64">
        <v>50.89</v>
      </c>
      <c r="E14" s="64">
        <v>4.57</v>
      </c>
      <c r="F14" s="64">
        <v>9.77</v>
      </c>
      <c r="G14" s="64">
        <v>69.2</v>
      </c>
      <c r="H14" s="64">
        <v>25.79</v>
      </c>
      <c r="I14" s="64">
        <v>4</v>
      </c>
      <c r="J14" s="64">
        <v>1.9</v>
      </c>
      <c r="K14" s="64">
        <v>348.89</v>
      </c>
      <c r="L14" s="64">
        <v>22.04</v>
      </c>
      <c r="M14" s="64">
        <v>48.32</v>
      </c>
      <c r="N14" s="64">
        <v>61</v>
      </c>
      <c r="O14" s="64">
        <v>0</v>
      </c>
      <c r="P14" s="64">
        <v>1.22</v>
      </c>
      <c r="Q14" s="64">
        <v>9.5299999999999994</v>
      </c>
      <c r="R14" s="198"/>
      <c r="S14" s="198"/>
      <c r="T14" s="198"/>
      <c r="U14" s="198"/>
    </row>
    <row r="15" spans="1:21" s="12" customFormat="1" x14ac:dyDescent="0.25">
      <c r="A15" s="247" t="s">
        <v>1786</v>
      </c>
      <c r="B15" s="64">
        <v>18.11</v>
      </c>
      <c r="C15" s="64">
        <v>67.63</v>
      </c>
      <c r="D15" s="64">
        <v>49.86</v>
      </c>
      <c r="E15" s="64">
        <v>5.89</v>
      </c>
      <c r="F15" s="64">
        <v>9.73</v>
      </c>
      <c r="G15" s="64">
        <v>69.2</v>
      </c>
      <c r="H15" s="64">
        <v>25.79</v>
      </c>
      <c r="I15" s="64">
        <v>4.04</v>
      </c>
      <c r="J15" s="64">
        <v>1.64</v>
      </c>
      <c r="K15" s="64">
        <v>346.32</v>
      </c>
      <c r="L15" s="64">
        <v>22.66</v>
      </c>
      <c r="M15" s="64">
        <v>46.02</v>
      </c>
      <c r="N15" s="64">
        <v>62</v>
      </c>
      <c r="O15" s="64">
        <v>0</v>
      </c>
      <c r="P15" s="64">
        <v>1.18</v>
      </c>
      <c r="Q15" s="64">
        <v>9.52</v>
      </c>
      <c r="R15" s="198"/>
      <c r="S15" s="198"/>
      <c r="T15" s="198"/>
      <c r="U15" s="198"/>
    </row>
    <row r="16" spans="1:21" s="12" customFormat="1" x14ac:dyDescent="0.25">
      <c r="A16" s="247" t="s">
        <v>1787</v>
      </c>
      <c r="B16" s="64">
        <v>14.23</v>
      </c>
      <c r="C16" s="64">
        <v>66.59</v>
      </c>
      <c r="D16" s="64">
        <v>46.2</v>
      </c>
      <c r="E16" s="64">
        <v>10.67</v>
      </c>
      <c r="F16" s="64">
        <v>13.64</v>
      </c>
      <c r="G16" s="64">
        <v>68.760000000000005</v>
      </c>
      <c r="H16" s="64">
        <v>27.35</v>
      </c>
      <c r="I16" s="64">
        <v>3.97</v>
      </c>
      <c r="J16" s="64">
        <v>1.08</v>
      </c>
      <c r="K16" s="64">
        <v>347.81</v>
      </c>
      <c r="L16" s="64">
        <v>22.58</v>
      </c>
      <c r="M16" s="64">
        <v>47.33</v>
      </c>
      <c r="N16" s="64">
        <v>62.6</v>
      </c>
      <c r="O16" s="64">
        <v>0</v>
      </c>
      <c r="P16" s="64">
        <v>1.1000000000000001</v>
      </c>
      <c r="Q16" s="64">
        <v>9.51</v>
      </c>
      <c r="R16" s="198"/>
      <c r="S16" s="198"/>
      <c r="T16" s="198"/>
      <c r="U16" s="198"/>
    </row>
    <row r="17" spans="1:21" s="12" customFormat="1" x14ac:dyDescent="0.25">
      <c r="A17" s="247" t="s">
        <v>1788</v>
      </c>
      <c r="B17" s="64">
        <v>13.09</v>
      </c>
      <c r="C17" s="64">
        <v>63.66</v>
      </c>
      <c r="D17" s="64">
        <v>43.76</v>
      </c>
      <c r="E17" s="64">
        <v>11.4</v>
      </c>
      <c r="F17" s="64">
        <v>14.85</v>
      </c>
      <c r="G17" s="64">
        <v>67.48</v>
      </c>
      <c r="H17" s="64">
        <v>31.66</v>
      </c>
      <c r="I17" s="64">
        <v>4.01</v>
      </c>
      <c r="J17" s="64">
        <v>0.44</v>
      </c>
      <c r="K17" s="64">
        <v>339.43</v>
      </c>
      <c r="L17" s="64">
        <v>22.57</v>
      </c>
      <c r="M17" s="64">
        <v>46.95</v>
      </c>
      <c r="N17" s="64">
        <v>62.7</v>
      </c>
      <c r="O17" s="64">
        <v>0</v>
      </c>
      <c r="P17" s="64">
        <v>1.0900000000000001</v>
      </c>
      <c r="Q17" s="64">
        <v>9.5</v>
      </c>
      <c r="R17" s="198"/>
      <c r="S17" s="198"/>
      <c r="T17" s="198"/>
      <c r="U17" s="198"/>
    </row>
    <row r="18" spans="1:21" s="12" customFormat="1" x14ac:dyDescent="0.25">
      <c r="A18" s="247" t="s">
        <v>1789</v>
      </c>
      <c r="B18" s="64">
        <v>10.29</v>
      </c>
      <c r="C18" s="64">
        <v>62.1</v>
      </c>
      <c r="D18" s="64">
        <v>40.69</v>
      </c>
      <c r="E18" s="64">
        <v>9.93</v>
      </c>
      <c r="F18" s="64">
        <v>13.36</v>
      </c>
      <c r="G18" s="64">
        <v>67.48</v>
      </c>
      <c r="H18" s="64">
        <v>31.66</v>
      </c>
      <c r="I18" s="64">
        <v>4.2300000000000004</v>
      </c>
      <c r="J18" s="64">
        <v>0.48</v>
      </c>
      <c r="K18" s="64">
        <v>203.72</v>
      </c>
      <c r="L18" s="64">
        <v>22.61</v>
      </c>
      <c r="M18" s="64">
        <v>47.48</v>
      </c>
      <c r="N18" s="64">
        <v>62.7</v>
      </c>
      <c r="O18" s="64">
        <v>0</v>
      </c>
      <c r="P18" s="64">
        <v>1.08</v>
      </c>
      <c r="Q18" s="64">
        <v>9.49</v>
      </c>
      <c r="R18" s="198"/>
      <c r="S18" s="198"/>
      <c r="T18" s="198"/>
      <c r="U18" s="198"/>
    </row>
    <row r="19" spans="1:21" s="12" customFormat="1" x14ac:dyDescent="0.25">
      <c r="A19" s="247" t="s">
        <v>1790</v>
      </c>
      <c r="B19" s="64">
        <v>10.31</v>
      </c>
      <c r="C19" s="64">
        <v>63.21</v>
      </c>
      <c r="D19" s="64">
        <v>41.29</v>
      </c>
      <c r="E19" s="64">
        <v>7.06</v>
      </c>
      <c r="F19" s="64">
        <v>12.46</v>
      </c>
      <c r="G19" s="64">
        <v>67.48</v>
      </c>
      <c r="H19" s="64">
        <v>31.66</v>
      </c>
      <c r="I19" s="64">
        <v>3.78</v>
      </c>
      <c r="J19" s="64">
        <v>0.37</v>
      </c>
      <c r="K19" s="64">
        <v>263.70999999999998</v>
      </c>
      <c r="L19" s="64">
        <v>22.12</v>
      </c>
      <c r="M19" s="64">
        <v>49.9</v>
      </c>
      <c r="N19" s="64">
        <v>63</v>
      </c>
      <c r="O19" s="64">
        <v>0</v>
      </c>
      <c r="P19" s="64">
        <v>1.06</v>
      </c>
      <c r="Q19" s="64">
        <v>9.49</v>
      </c>
      <c r="R19" s="198"/>
      <c r="S19" s="198"/>
      <c r="T19" s="198"/>
      <c r="U19" s="198"/>
    </row>
    <row r="20" spans="1:21" s="12" customFormat="1" x14ac:dyDescent="0.25">
      <c r="A20" s="247" t="s">
        <v>1791</v>
      </c>
      <c r="B20" s="64">
        <v>9.02</v>
      </c>
      <c r="C20" s="64">
        <v>60.77</v>
      </c>
      <c r="D20" s="64">
        <v>38.979999999999997</v>
      </c>
      <c r="E20" s="64">
        <v>7.93</v>
      </c>
      <c r="F20" s="64">
        <v>15.83</v>
      </c>
      <c r="G20" s="64">
        <v>70.67</v>
      </c>
      <c r="H20" s="64">
        <v>32.44</v>
      </c>
      <c r="I20" s="64">
        <v>4.07</v>
      </c>
      <c r="J20" s="64">
        <v>0.61</v>
      </c>
      <c r="K20" s="64">
        <v>285.67</v>
      </c>
      <c r="L20" s="64">
        <v>21.99</v>
      </c>
      <c r="M20" s="64">
        <v>48.5</v>
      </c>
      <c r="N20" s="64">
        <v>62.4</v>
      </c>
      <c r="O20" s="64">
        <v>0</v>
      </c>
      <c r="P20" s="64">
        <v>0.99</v>
      </c>
      <c r="Q20" s="64">
        <v>9.48</v>
      </c>
      <c r="R20" s="198"/>
      <c r="S20" s="198"/>
      <c r="T20" s="198"/>
      <c r="U20" s="198"/>
    </row>
    <row r="21" spans="1:21" s="12" customFormat="1" x14ac:dyDescent="0.25">
      <c r="A21" s="247" t="s">
        <v>1792</v>
      </c>
      <c r="B21" s="64">
        <v>9.93</v>
      </c>
      <c r="C21" s="64">
        <v>61.04</v>
      </c>
      <c r="D21" s="64">
        <v>39.86</v>
      </c>
      <c r="E21" s="64">
        <v>7.62</v>
      </c>
      <c r="F21" s="64">
        <v>13.89</v>
      </c>
      <c r="G21" s="64">
        <v>79.98</v>
      </c>
      <c r="H21" s="64">
        <v>34.56</v>
      </c>
      <c r="I21" s="64">
        <v>3.91</v>
      </c>
      <c r="J21" s="64">
        <v>0.66</v>
      </c>
      <c r="K21" s="64">
        <v>278.54000000000002</v>
      </c>
      <c r="L21" s="64">
        <v>22.15</v>
      </c>
      <c r="M21" s="64">
        <v>44.41</v>
      </c>
      <c r="N21" s="64">
        <v>62.3</v>
      </c>
      <c r="O21" s="64">
        <v>0</v>
      </c>
      <c r="P21" s="64">
        <v>0.98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47" t="s">
        <v>1793</v>
      </c>
      <c r="B22" s="64">
        <v>9.9499999999999993</v>
      </c>
      <c r="C22" s="64">
        <v>61.8</v>
      </c>
      <c r="D22" s="64">
        <v>40.270000000000003</v>
      </c>
      <c r="E22" s="64">
        <v>5.05</v>
      </c>
      <c r="F22" s="64">
        <v>8.4700000000000006</v>
      </c>
      <c r="G22" s="64">
        <v>79.98</v>
      </c>
      <c r="H22" s="64">
        <v>34.56</v>
      </c>
      <c r="I22" s="64">
        <v>3.85</v>
      </c>
      <c r="J22" s="64">
        <v>0.88</v>
      </c>
      <c r="K22" s="64">
        <v>286.86</v>
      </c>
      <c r="L22" s="64">
        <v>22.44</v>
      </c>
      <c r="M22" s="64">
        <v>41.81</v>
      </c>
      <c r="N22" s="64">
        <v>61.5</v>
      </c>
      <c r="O22" s="64">
        <v>0</v>
      </c>
      <c r="P22" s="64">
        <v>1.05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47" t="s">
        <v>1794</v>
      </c>
      <c r="B23" s="64">
        <v>8.1999999999999993</v>
      </c>
      <c r="C23" s="64">
        <v>59.35</v>
      </c>
      <c r="D23" s="64">
        <v>37.58</v>
      </c>
      <c r="E23" s="64">
        <v>5.62</v>
      </c>
      <c r="F23" s="64">
        <v>12.93</v>
      </c>
      <c r="G23" s="64">
        <v>79.98</v>
      </c>
      <c r="H23" s="64">
        <v>34.56</v>
      </c>
      <c r="I23" s="64">
        <v>4.0999999999999996</v>
      </c>
      <c r="J23" s="64">
        <v>0.91</v>
      </c>
      <c r="K23" s="64">
        <v>286.39999999999998</v>
      </c>
      <c r="L23" s="64">
        <v>22.59</v>
      </c>
      <c r="M23" s="64">
        <v>40.94</v>
      </c>
      <c r="N23" s="64">
        <v>61.7</v>
      </c>
      <c r="O23" s="64">
        <v>0</v>
      </c>
      <c r="P23" s="64">
        <v>0.99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47" t="s">
        <v>1795</v>
      </c>
      <c r="B24" s="64">
        <v>7.16</v>
      </c>
      <c r="C24" s="64">
        <v>57.53</v>
      </c>
      <c r="D24" s="64">
        <v>35.799999999999997</v>
      </c>
      <c r="E24" s="64">
        <v>7.38</v>
      </c>
      <c r="F24" s="64">
        <v>15.36</v>
      </c>
      <c r="G24" s="64">
        <v>79.45</v>
      </c>
      <c r="H24" s="64">
        <v>33.909999999999997</v>
      </c>
      <c r="I24" s="64">
        <v>3.99</v>
      </c>
      <c r="J24" s="64">
        <v>0.89</v>
      </c>
      <c r="K24" s="64">
        <v>290.38</v>
      </c>
      <c r="L24" s="64">
        <v>22.38</v>
      </c>
      <c r="M24" s="64">
        <v>41.27</v>
      </c>
      <c r="N24" s="64">
        <v>62.2</v>
      </c>
      <c r="O24" s="64">
        <v>0</v>
      </c>
      <c r="P24" s="64">
        <v>0.95</v>
      </c>
      <c r="Q24" s="64">
        <v>9.31</v>
      </c>
      <c r="R24" s="198"/>
      <c r="S24" s="198"/>
      <c r="T24" s="198"/>
      <c r="U24" s="198"/>
    </row>
    <row r="25" spans="1:21" s="12" customFormat="1" x14ac:dyDescent="0.25">
      <c r="A25" s="247" t="s">
        <v>1796</v>
      </c>
      <c r="B25" s="64">
        <v>12.5</v>
      </c>
      <c r="C25" s="64">
        <v>65.31</v>
      </c>
      <c r="D25" s="64">
        <v>44.15</v>
      </c>
      <c r="E25" s="64">
        <v>10.52</v>
      </c>
      <c r="F25" s="64">
        <v>17.72</v>
      </c>
      <c r="G25" s="64">
        <v>77.89</v>
      </c>
      <c r="H25" s="64">
        <v>32.11</v>
      </c>
      <c r="I25" s="64">
        <v>3.96</v>
      </c>
      <c r="J25" s="64">
        <v>0.75</v>
      </c>
      <c r="K25" s="64">
        <v>303.45</v>
      </c>
      <c r="L25" s="64">
        <v>22.14</v>
      </c>
      <c r="M25" s="64">
        <v>41.36</v>
      </c>
      <c r="N25" s="64">
        <v>62.7</v>
      </c>
      <c r="O25" s="64">
        <v>0</v>
      </c>
      <c r="P25" s="64">
        <v>0.88</v>
      </c>
      <c r="Q25" s="64">
        <v>9.25</v>
      </c>
      <c r="R25" s="198"/>
      <c r="S25" s="198"/>
      <c r="T25" s="198"/>
      <c r="U25" s="198"/>
    </row>
    <row r="26" spans="1:21" s="12" customFormat="1" x14ac:dyDescent="0.25">
      <c r="A26" s="247" t="s">
        <v>1797</v>
      </c>
      <c r="B26" s="64">
        <v>7.61</v>
      </c>
      <c r="C26" s="64">
        <v>64.760000000000005</v>
      </c>
      <c r="D26" s="64">
        <v>39.94</v>
      </c>
      <c r="E26" s="64">
        <v>13.19</v>
      </c>
      <c r="F26" s="64">
        <v>18.850000000000001</v>
      </c>
      <c r="G26" s="64">
        <v>77.89</v>
      </c>
      <c r="H26" s="64">
        <v>32.11</v>
      </c>
      <c r="I26" s="64">
        <v>3.89</v>
      </c>
      <c r="J26" s="64">
        <v>0.52</v>
      </c>
      <c r="K26" s="64">
        <v>287.11</v>
      </c>
      <c r="L26" s="64">
        <v>21.79</v>
      </c>
      <c r="M26" s="64">
        <v>41.97</v>
      </c>
      <c r="N26" s="64">
        <v>62.9</v>
      </c>
      <c r="O26" s="64">
        <v>0</v>
      </c>
      <c r="P26" s="64">
        <v>0.91</v>
      </c>
      <c r="Q26" s="64">
        <v>9.25</v>
      </c>
      <c r="R26" s="198"/>
      <c r="S26" s="198"/>
      <c r="T26" s="198"/>
      <c r="U26" s="198"/>
    </row>
    <row r="27" spans="1:21" s="12" customFormat="1" x14ac:dyDescent="0.25">
      <c r="A27" s="247" t="s">
        <v>1798</v>
      </c>
      <c r="B27" s="64">
        <v>9.2100000000000009</v>
      </c>
      <c r="C27" s="64">
        <v>60.75</v>
      </c>
      <c r="D27" s="64">
        <v>39.130000000000003</v>
      </c>
      <c r="E27" s="64">
        <v>12.55</v>
      </c>
      <c r="F27" s="64">
        <v>20.02</v>
      </c>
      <c r="G27" s="64">
        <v>77.89</v>
      </c>
      <c r="H27" s="64">
        <v>32.11</v>
      </c>
      <c r="I27" s="64">
        <v>4.04</v>
      </c>
      <c r="J27" s="64">
        <v>0.68</v>
      </c>
      <c r="K27" s="64">
        <v>279.33999999999997</v>
      </c>
      <c r="L27" s="64">
        <v>21.63</v>
      </c>
      <c r="M27" s="64">
        <v>41.28</v>
      </c>
      <c r="N27" s="64">
        <v>62.5</v>
      </c>
      <c r="O27" s="64">
        <v>0</v>
      </c>
      <c r="P27" s="64">
        <v>0.86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47" t="s">
        <v>1799</v>
      </c>
      <c r="B28" s="64">
        <v>10.17</v>
      </c>
      <c r="C28" s="64">
        <v>68.45</v>
      </c>
      <c r="D28" s="64">
        <v>43.92</v>
      </c>
      <c r="E28" s="64">
        <v>12.96</v>
      </c>
      <c r="F28" s="64">
        <v>16.71</v>
      </c>
      <c r="G28" s="64">
        <v>76.540000000000006</v>
      </c>
      <c r="H28" s="64">
        <v>32.89</v>
      </c>
      <c r="I28" s="64">
        <v>3.96</v>
      </c>
      <c r="J28" s="64">
        <v>0.37</v>
      </c>
      <c r="K28" s="64">
        <v>297.67</v>
      </c>
      <c r="L28" s="64">
        <v>21.42</v>
      </c>
      <c r="M28" s="64">
        <v>42.08</v>
      </c>
      <c r="N28" s="64">
        <v>62.9</v>
      </c>
      <c r="O28" s="64">
        <v>0</v>
      </c>
      <c r="P28" s="64">
        <v>0.87</v>
      </c>
      <c r="Q28" s="64">
        <v>9.27</v>
      </c>
      <c r="R28" s="198"/>
      <c r="S28" s="198"/>
      <c r="T28" s="198"/>
      <c r="U28" s="198"/>
    </row>
    <row r="29" spans="1:21" s="12" customFormat="1" x14ac:dyDescent="0.25">
      <c r="A29" s="247" t="s">
        <v>1800</v>
      </c>
      <c r="B29" s="64">
        <v>10.77</v>
      </c>
      <c r="C29" s="64">
        <v>71.27</v>
      </c>
      <c r="D29" s="64">
        <v>45.87</v>
      </c>
      <c r="E29" s="64">
        <v>12.21</v>
      </c>
      <c r="F29" s="64">
        <v>15.91</v>
      </c>
      <c r="G29" s="64">
        <v>72.84</v>
      </c>
      <c r="H29" s="64">
        <v>35.03</v>
      </c>
      <c r="I29" s="64">
        <v>4.04</v>
      </c>
      <c r="J29" s="64">
        <v>0.35</v>
      </c>
      <c r="K29" s="64">
        <v>264.17</v>
      </c>
      <c r="L29" s="64">
        <v>20.95</v>
      </c>
      <c r="M29" s="64">
        <v>43.77</v>
      </c>
      <c r="N29" s="64">
        <v>63</v>
      </c>
      <c r="O29" s="64">
        <v>0</v>
      </c>
      <c r="P29" s="64">
        <v>0.86</v>
      </c>
      <c r="Q29" s="64">
        <v>9.2799999999999994</v>
      </c>
      <c r="R29" s="198"/>
      <c r="S29" s="198"/>
      <c r="T29" s="198"/>
      <c r="U29" s="198"/>
    </row>
    <row r="30" spans="1:21" s="12" customFormat="1" x14ac:dyDescent="0.25">
      <c r="A30" s="247" t="s">
        <v>1801</v>
      </c>
      <c r="B30" s="64">
        <v>53.92</v>
      </c>
      <c r="C30" s="64">
        <v>90.21</v>
      </c>
      <c r="D30" s="64">
        <v>90.37</v>
      </c>
      <c r="E30" s="64">
        <v>10.31</v>
      </c>
      <c r="F30" s="64">
        <v>8.69</v>
      </c>
      <c r="G30" s="64">
        <v>72.84</v>
      </c>
      <c r="H30" s="64">
        <v>35.03</v>
      </c>
      <c r="I30" s="64">
        <v>4.01</v>
      </c>
      <c r="J30" s="64">
        <v>0.56999999999999995</v>
      </c>
      <c r="K30" s="64">
        <v>354.52</v>
      </c>
      <c r="L30" s="64">
        <v>20.6</v>
      </c>
      <c r="M30" s="64">
        <v>47.59</v>
      </c>
      <c r="N30" s="64">
        <v>62.7</v>
      </c>
      <c r="O30" s="64">
        <v>0</v>
      </c>
      <c r="P30" s="64">
        <v>1.1200000000000001</v>
      </c>
      <c r="Q30" s="64">
        <v>9.2899999999999991</v>
      </c>
      <c r="R30" s="198"/>
      <c r="S30" s="198"/>
      <c r="T30" s="198"/>
      <c r="U30" s="198"/>
    </row>
    <row r="31" spans="1:21" s="12" customFormat="1" x14ac:dyDescent="0.25">
      <c r="A31" s="247" t="s">
        <v>1802</v>
      </c>
      <c r="B31" s="64">
        <v>19.07</v>
      </c>
      <c r="C31" s="64">
        <v>71.16</v>
      </c>
      <c r="D31" s="64">
        <v>52.47</v>
      </c>
      <c r="E31" s="64">
        <v>5.19</v>
      </c>
      <c r="F31" s="64">
        <v>7.27</v>
      </c>
      <c r="G31" s="64">
        <v>72.84</v>
      </c>
      <c r="H31" s="64">
        <v>35.03</v>
      </c>
      <c r="I31" s="64">
        <v>3.97</v>
      </c>
      <c r="J31" s="64">
        <v>0.32</v>
      </c>
      <c r="K31" s="64">
        <v>326.62</v>
      </c>
      <c r="L31" s="64">
        <v>19.940000000000001</v>
      </c>
      <c r="M31" s="64">
        <v>52.43</v>
      </c>
      <c r="N31" s="64">
        <v>63</v>
      </c>
      <c r="O31" s="64">
        <v>0</v>
      </c>
      <c r="P31" s="64">
        <v>1.01</v>
      </c>
      <c r="Q31" s="64">
        <v>9.36</v>
      </c>
      <c r="R31" s="198"/>
      <c r="S31" s="198"/>
      <c r="T31" s="198"/>
      <c r="U31" s="198"/>
    </row>
    <row r="32" spans="1:21" s="12" customFormat="1" x14ac:dyDescent="0.25">
      <c r="A32" s="247" t="s">
        <v>1803</v>
      </c>
      <c r="B32" s="64">
        <v>36.97</v>
      </c>
      <c r="C32" s="64">
        <v>75.260000000000005</v>
      </c>
      <c r="D32" s="64">
        <v>68.959999999999994</v>
      </c>
      <c r="E32" s="64">
        <v>5.41</v>
      </c>
      <c r="F32" s="64">
        <v>8.18</v>
      </c>
      <c r="G32" s="64">
        <v>73.95</v>
      </c>
      <c r="H32" s="64">
        <v>35.21</v>
      </c>
      <c r="I32" s="64">
        <v>4.07</v>
      </c>
      <c r="J32" s="64">
        <v>0.5</v>
      </c>
      <c r="K32" s="64">
        <v>254.66</v>
      </c>
      <c r="L32" s="64">
        <v>19.95</v>
      </c>
      <c r="M32" s="64">
        <v>51.5</v>
      </c>
      <c r="N32" s="64">
        <v>63</v>
      </c>
      <c r="O32" s="64">
        <v>0</v>
      </c>
      <c r="P32" s="64">
        <v>1.05</v>
      </c>
      <c r="Q32" s="64">
        <v>9.44</v>
      </c>
      <c r="R32" s="198"/>
      <c r="S32" s="198"/>
      <c r="T32" s="198"/>
      <c r="U32" s="198"/>
    </row>
    <row r="33" spans="1:21" s="12" customFormat="1" x14ac:dyDescent="0.25">
      <c r="A33" s="247" t="s">
        <v>1804</v>
      </c>
      <c r="B33" s="64">
        <v>48.68</v>
      </c>
      <c r="C33" s="64">
        <v>82.46</v>
      </c>
      <c r="D33" s="64">
        <v>82.12</v>
      </c>
      <c r="E33" s="64">
        <v>6.04</v>
      </c>
      <c r="F33" s="64">
        <v>8.2899999999999991</v>
      </c>
      <c r="G33" s="64">
        <v>77.19</v>
      </c>
      <c r="H33" s="64">
        <v>35.69</v>
      </c>
      <c r="I33" s="64">
        <v>4.01</v>
      </c>
      <c r="J33" s="64">
        <v>0.28999999999999998</v>
      </c>
      <c r="K33" s="64">
        <v>233.13</v>
      </c>
      <c r="L33" s="64">
        <v>20.34</v>
      </c>
      <c r="M33" s="64">
        <v>49.4</v>
      </c>
      <c r="N33" s="64">
        <v>65.7</v>
      </c>
      <c r="O33" s="64">
        <v>0</v>
      </c>
      <c r="P33" s="64">
        <v>1.08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47" t="s">
        <v>1805</v>
      </c>
      <c r="B34" s="64">
        <v>29.03</v>
      </c>
      <c r="C34" s="64">
        <v>73.75</v>
      </c>
      <c r="D34" s="64">
        <v>61.81</v>
      </c>
      <c r="E34" s="64">
        <v>5.6</v>
      </c>
      <c r="F34" s="64">
        <v>8.1300000000000008</v>
      </c>
      <c r="G34" s="64">
        <v>77.19</v>
      </c>
      <c r="H34" s="64">
        <v>35.69</v>
      </c>
      <c r="I34" s="64">
        <v>4.0999999999999996</v>
      </c>
      <c r="J34" s="64">
        <v>0.69</v>
      </c>
      <c r="K34" s="64">
        <v>226.06</v>
      </c>
      <c r="L34" s="64">
        <v>20.87</v>
      </c>
      <c r="M34" s="64">
        <v>46.08</v>
      </c>
      <c r="N34" s="64">
        <v>76</v>
      </c>
      <c r="O34" s="64">
        <v>0</v>
      </c>
      <c r="P34" s="64">
        <v>1.08</v>
      </c>
      <c r="Q34" s="64">
        <v>9.4499999999999993</v>
      </c>
      <c r="R34" s="198"/>
      <c r="S34" s="198"/>
      <c r="T34" s="198"/>
      <c r="U34" s="198"/>
    </row>
    <row r="35" spans="1:21" s="12" customFormat="1" x14ac:dyDescent="0.25">
      <c r="A35" s="247" t="s">
        <v>1806</v>
      </c>
      <c r="B35" s="64">
        <v>42.25</v>
      </c>
      <c r="C35" s="64">
        <v>79.180000000000007</v>
      </c>
      <c r="D35" s="64">
        <v>75.25</v>
      </c>
      <c r="E35" s="64">
        <v>5.5</v>
      </c>
      <c r="F35" s="64">
        <v>7.74</v>
      </c>
      <c r="G35" s="64">
        <v>77.19</v>
      </c>
      <c r="H35" s="64">
        <v>35.69</v>
      </c>
      <c r="I35" s="64">
        <v>4.1100000000000003</v>
      </c>
      <c r="J35" s="64">
        <v>0.59</v>
      </c>
      <c r="K35" s="64">
        <v>214.16</v>
      </c>
      <c r="L35" s="64">
        <v>21.33</v>
      </c>
      <c r="M35" s="64">
        <v>44.35</v>
      </c>
      <c r="N35" s="64">
        <v>96.7</v>
      </c>
      <c r="O35" s="64">
        <v>0</v>
      </c>
      <c r="P35" s="64">
        <v>1.1299999999999999</v>
      </c>
      <c r="Q35" s="64">
        <v>9.4700000000000006</v>
      </c>
      <c r="R35" s="198"/>
      <c r="S35" s="198"/>
      <c r="T35" s="198"/>
      <c r="U35" s="198"/>
    </row>
    <row r="36" spans="1:21" s="12" customFormat="1" x14ac:dyDescent="0.25">
      <c r="A36" s="247" t="s">
        <v>1807</v>
      </c>
      <c r="B36" s="64">
        <v>35.33</v>
      </c>
      <c r="C36" s="64">
        <v>77.11</v>
      </c>
      <c r="D36" s="64">
        <v>68.62</v>
      </c>
      <c r="E36" s="64">
        <v>5.64</v>
      </c>
      <c r="F36" s="64">
        <v>9.1</v>
      </c>
      <c r="G36" s="64">
        <v>78.42</v>
      </c>
      <c r="H36" s="64">
        <v>35.85</v>
      </c>
      <c r="I36" s="64">
        <v>3.99</v>
      </c>
      <c r="J36" s="64">
        <v>0.53</v>
      </c>
      <c r="K36" s="64">
        <v>261.14999999999998</v>
      </c>
      <c r="L36" s="64">
        <v>21.85</v>
      </c>
      <c r="M36" s="64">
        <v>42.41</v>
      </c>
      <c r="N36" s="64">
        <v>125.3</v>
      </c>
      <c r="O36" s="64">
        <v>0</v>
      </c>
      <c r="P36" s="64">
        <v>1.1599999999999999</v>
      </c>
      <c r="Q36" s="64">
        <v>9.5</v>
      </c>
      <c r="R36" s="198"/>
      <c r="S36" s="198"/>
      <c r="T36" s="198"/>
      <c r="U36" s="198"/>
    </row>
    <row r="37" spans="1:21" s="12" customFormat="1" x14ac:dyDescent="0.25">
      <c r="A37" s="247" t="s">
        <v>1808</v>
      </c>
      <c r="B37" s="64">
        <v>36.369999999999997</v>
      </c>
      <c r="C37" s="64">
        <v>73.23</v>
      </c>
      <c r="D37" s="64">
        <v>67.430000000000007</v>
      </c>
      <c r="E37" s="64">
        <v>5.44</v>
      </c>
      <c r="F37" s="64">
        <v>9.65</v>
      </c>
      <c r="G37" s="64">
        <v>81.81</v>
      </c>
      <c r="H37" s="64">
        <v>36.29</v>
      </c>
      <c r="I37" s="64">
        <v>3.95</v>
      </c>
      <c r="J37" s="64">
        <v>0.47</v>
      </c>
      <c r="K37" s="64">
        <v>249.43</v>
      </c>
      <c r="L37" s="64">
        <v>22.66</v>
      </c>
      <c r="M37" s="64">
        <v>40.340000000000003</v>
      </c>
      <c r="N37" s="64">
        <v>160.9</v>
      </c>
      <c r="O37" s="64">
        <v>0</v>
      </c>
      <c r="P37" s="64">
        <v>1.1000000000000001</v>
      </c>
      <c r="Q37" s="64">
        <v>9.52</v>
      </c>
      <c r="R37" s="198"/>
      <c r="S37" s="198"/>
      <c r="T37" s="198"/>
      <c r="U37" s="198"/>
    </row>
    <row r="38" spans="1:21" s="12" customFormat="1" x14ac:dyDescent="0.25">
      <c r="A38" s="247" t="s">
        <v>1809</v>
      </c>
      <c r="B38" s="64">
        <v>28.61</v>
      </c>
      <c r="C38" s="64">
        <v>70.180000000000007</v>
      </c>
      <c r="D38" s="64">
        <v>59.61</v>
      </c>
      <c r="E38" s="64">
        <v>5.54</v>
      </c>
      <c r="F38" s="64">
        <v>9.14</v>
      </c>
      <c r="G38" s="64">
        <v>81.81</v>
      </c>
      <c r="H38" s="64">
        <v>36.29</v>
      </c>
      <c r="I38" s="64">
        <v>4.07</v>
      </c>
      <c r="J38" s="64">
        <v>0.45</v>
      </c>
      <c r="K38" s="64">
        <v>287.42</v>
      </c>
      <c r="L38" s="64">
        <v>23.91</v>
      </c>
      <c r="M38" s="64">
        <v>38.53</v>
      </c>
      <c r="N38" s="64">
        <v>204.4</v>
      </c>
      <c r="O38" s="64">
        <v>0</v>
      </c>
      <c r="P38" s="64">
        <v>1.1399999999999999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47" t="s">
        <v>1810</v>
      </c>
      <c r="B39" s="64">
        <v>26.97</v>
      </c>
      <c r="C39" s="64">
        <v>70.34</v>
      </c>
      <c r="D39" s="64">
        <v>58.38</v>
      </c>
      <c r="E39" s="64">
        <v>4.63</v>
      </c>
      <c r="F39" s="64">
        <v>9.5399999999999991</v>
      </c>
      <c r="G39" s="64">
        <v>81.81</v>
      </c>
      <c r="H39" s="64">
        <v>36.29</v>
      </c>
      <c r="I39" s="64">
        <v>4.0599999999999996</v>
      </c>
      <c r="J39" s="64">
        <v>0.31</v>
      </c>
      <c r="K39" s="64">
        <v>225.82</v>
      </c>
      <c r="L39" s="64">
        <v>24.45</v>
      </c>
      <c r="M39" s="64">
        <v>37.06</v>
      </c>
      <c r="N39" s="64">
        <v>250.6</v>
      </c>
      <c r="O39" s="64">
        <v>0</v>
      </c>
      <c r="P39" s="64">
        <v>1.1299999999999999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47" t="s">
        <v>1811</v>
      </c>
      <c r="B40" s="64">
        <v>31.28</v>
      </c>
      <c r="C40" s="64">
        <v>73.14</v>
      </c>
      <c r="D40" s="64">
        <v>63.3</v>
      </c>
      <c r="E40" s="64">
        <v>4.37</v>
      </c>
      <c r="F40" s="64">
        <v>9.2200000000000006</v>
      </c>
      <c r="G40" s="64">
        <v>81.56</v>
      </c>
      <c r="H40" s="64">
        <v>36.06</v>
      </c>
      <c r="I40" s="64">
        <v>4.01</v>
      </c>
      <c r="J40" s="64">
        <v>0.61</v>
      </c>
      <c r="K40" s="64">
        <v>299.64</v>
      </c>
      <c r="L40" s="64">
        <v>25.76</v>
      </c>
      <c r="M40" s="64">
        <v>35.92</v>
      </c>
      <c r="N40" s="64">
        <v>295.5</v>
      </c>
      <c r="O40" s="64">
        <v>0</v>
      </c>
      <c r="P40" s="64">
        <v>1.1599999999999999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47" t="s">
        <v>1812</v>
      </c>
      <c r="B41" s="64">
        <v>26.84</v>
      </c>
      <c r="C41" s="64">
        <v>67.22</v>
      </c>
      <c r="D41" s="64">
        <v>56.64</v>
      </c>
      <c r="E41" s="64">
        <v>6.19</v>
      </c>
      <c r="F41" s="64">
        <v>12.92</v>
      </c>
      <c r="G41" s="64">
        <v>80.900000000000006</v>
      </c>
      <c r="H41" s="64">
        <v>35.42</v>
      </c>
      <c r="I41" s="64">
        <v>3.86</v>
      </c>
      <c r="J41" s="64">
        <v>0.49</v>
      </c>
      <c r="K41" s="64">
        <v>280.5</v>
      </c>
      <c r="L41" s="64">
        <v>26.87</v>
      </c>
      <c r="M41" s="64">
        <v>33.729999999999997</v>
      </c>
      <c r="N41" s="64">
        <v>340.4</v>
      </c>
      <c r="O41" s="64">
        <v>0</v>
      </c>
      <c r="P41" s="64">
        <v>1.1499999999999999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47" t="s">
        <v>1813</v>
      </c>
      <c r="B42" s="64">
        <v>22.35</v>
      </c>
      <c r="C42" s="64">
        <v>62.71</v>
      </c>
      <c r="D42" s="64">
        <v>50.69</v>
      </c>
      <c r="E42" s="64">
        <v>5.52</v>
      </c>
      <c r="F42" s="64">
        <v>12.31</v>
      </c>
      <c r="G42" s="64">
        <v>80.900000000000006</v>
      </c>
      <c r="H42" s="64">
        <v>35.42</v>
      </c>
      <c r="I42" s="64">
        <v>4.09</v>
      </c>
      <c r="J42" s="64">
        <v>1.31</v>
      </c>
      <c r="K42" s="64">
        <v>163.80000000000001</v>
      </c>
      <c r="L42" s="64">
        <v>26.17</v>
      </c>
      <c r="M42" s="64">
        <v>35.14</v>
      </c>
      <c r="N42" s="64">
        <v>387.9</v>
      </c>
      <c r="O42" s="64">
        <v>0</v>
      </c>
      <c r="P42" s="64">
        <v>1.1000000000000001</v>
      </c>
      <c r="Q42" s="64">
        <v>9.5500000000000007</v>
      </c>
      <c r="R42" s="198"/>
      <c r="S42" s="198"/>
      <c r="T42" s="198"/>
      <c r="U42" s="198"/>
    </row>
    <row r="43" spans="1:21" s="12" customFormat="1" x14ac:dyDescent="0.25">
      <c r="A43" s="247" t="s">
        <v>1814</v>
      </c>
      <c r="B43" s="64">
        <v>20.66</v>
      </c>
      <c r="C43" s="64">
        <v>65.36</v>
      </c>
      <c r="D43" s="64">
        <v>50.72</v>
      </c>
      <c r="E43" s="64">
        <v>4.88</v>
      </c>
      <c r="F43" s="64">
        <v>11.27</v>
      </c>
      <c r="G43" s="64">
        <v>80.900000000000006</v>
      </c>
      <c r="H43" s="64">
        <v>35.42</v>
      </c>
      <c r="I43" s="64">
        <v>4</v>
      </c>
      <c r="J43" s="64">
        <v>0.68</v>
      </c>
      <c r="K43" s="64">
        <v>222.82</v>
      </c>
      <c r="L43" s="64">
        <v>25.93</v>
      </c>
      <c r="M43" s="64">
        <v>36.5</v>
      </c>
      <c r="N43" s="64">
        <v>425.3</v>
      </c>
      <c r="O43" s="64">
        <v>0</v>
      </c>
      <c r="P43" s="64">
        <v>1.1299999999999999</v>
      </c>
      <c r="Q43" s="64">
        <v>9.5500000000000007</v>
      </c>
      <c r="R43" s="198"/>
      <c r="S43" s="198"/>
      <c r="T43" s="198"/>
      <c r="U43" s="198"/>
    </row>
    <row r="44" spans="1:21" s="12" customFormat="1" x14ac:dyDescent="0.25">
      <c r="A44" s="247" t="s">
        <v>1815</v>
      </c>
      <c r="B44" s="64">
        <v>19</v>
      </c>
      <c r="C44" s="64">
        <v>69.63</v>
      </c>
      <c r="D44" s="64">
        <v>51.61</v>
      </c>
      <c r="E44" s="64">
        <v>4.92</v>
      </c>
      <c r="F44" s="64">
        <v>11.76</v>
      </c>
      <c r="G44" s="64">
        <v>79.81</v>
      </c>
      <c r="H44" s="64">
        <v>35.47</v>
      </c>
      <c r="I44" s="64">
        <v>3.99</v>
      </c>
      <c r="J44" s="64">
        <v>0.63</v>
      </c>
      <c r="K44" s="64">
        <v>233.76</v>
      </c>
      <c r="L44" s="64">
        <v>26.42</v>
      </c>
      <c r="M44" s="64">
        <v>36.69</v>
      </c>
      <c r="N44" s="64">
        <v>461.6</v>
      </c>
      <c r="O44" s="64">
        <v>0</v>
      </c>
      <c r="P44" s="64">
        <v>1.0900000000000001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47" t="s">
        <v>1816</v>
      </c>
      <c r="B45" s="64">
        <v>17.399999999999999</v>
      </c>
      <c r="C45" s="64">
        <v>72.95</v>
      </c>
      <c r="D45" s="64">
        <v>52.07</v>
      </c>
      <c r="E45" s="64">
        <v>4.4000000000000004</v>
      </c>
      <c r="F45" s="64">
        <v>9.67</v>
      </c>
      <c r="G45" s="64">
        <v>76.64</v>
      </c>
      <c r="H45" s="64">
        <v>35.619999999999997</v>
      </c>
      <c r="I45" s="64">
        <v>4.05</v>
      </c>
      <c r="J45" s="64">
        <v>0.85</v>
      </c>
      <c r="K45" s="64">
        <v>290.35000000000002</v>
      </c>
      <c r="L45" s="64">
        <v>28.97</v>
      </c>
      <c r="M45" s="64">
        <v>32.51</v>
      </c>
      <c r="N45" s="64">
        <v>486.3</v>
      </c>
      <c r="O45" s="64">
        <v>0</v>
      </c>
      <c r="P45" s="64">
        <v>1.1100000000000001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47" t="s">
        <v>1817</v>
      </c>
      <c r="B46" s="64">
        <v>15.75</v>
      </c>
      <c r="C46" s="64">
        <v>70.849999999999994</v>
      </c>
      <c r="D46" s="64">
        <v>49.65</v>
      </c>
      <c r="E46" s="64">
        <v>4.1100000000000003</v>
      </c>
      <c r="F46" s="64">
        <v>10.36</v>
      </c>
      <c r="G46" s="64">
        <v>76.64</v>
      </c>
      <c r="H46" s="64">
        <v>35.619999999999997</v>
      </c>
      <c r="I46" s="64">
        <v>3.99</v>
      </c>
      <c r="J46" s="64">
        <v>0.8</v>
      </c>
      <c r="K46" s="64">
        <v>266.39</v>
      </c>
      <c r="L46" s="64">
        <v>28.47</v>
      </c>
      <c r="M46" s="64">
        <v>32.950000000000003</v>
      </c>
      <c r="N46" s="64">
        <v>517.5</v>
      </c>
      <c r="O46" s="64">
        <v>0</v>
      </c>
      <c r="P46" s="64">
        <v>1.0900000000000001</v>
      </c>
      <c r="Q46" s="64">
        <v>9.5399999999999991</v>
      </c>
      <c r="R46" s="198"/>
      <c r="S46" s="198"/>
      <c r="T46" s="198"/>
      <c r="U46" s="198"/>
    </row>
    <row r="47" spans="1:21" s="12" customFormat="1" x14ac:dyDescent="0.25">
      <c r="A47" s="247" t="s">
        <v>1818</v>
      </c>
      <c r="B47" s="64">
        <v>13.5</v>
      </c>
      <c r="C47" s="64">
        <v>73.180000000000007</v>
      </c>
      <c r="D47" s="64">
        <v>49.05</v>
      </c>
      <c r="E47" s="64">
        <v>3.61</v>
      </c>
      <c r="F47" s="64">
        <v>8.0500000000000007</v>
      </c>
      <c r="G47" s="64">
        <v>76.64</v>
      </c>
      <c r="H47" s="64">
        <v>35.619999999999997</v>
      </c>
      <c r="I47" s="64">
        <v>4.1399999999999997</v>
      </c>
      <c r="J47" s="64">
        <v>1</v>
      </c>
      <c r="K47" s="64">
        <v>281.49</v>
      </c>
      <c r="L47" s="64">
        <v>28.25</v>
      </c>
      <c r="M47" s="64">
        <v>34.880000000000003</v>
      </c>
      <c r="N47" s="64">
        <v>543.1</v>
      </c>
      <c r="O47" s="64">
        <v>0</v>
      </c>
      <c r="P47" s="64">
        <v>1.07</v>
      </c>
      <c r="Q47" s="64">
        <v>9.52</v>
      </c>
      <c r="R47" s="198"/>
      <c r="S47" s="198"/>
      <c r="T47" s="198"/>
      <c r="U47" s="198"/>
    </row>
    <row r="48" spans="1:21" s="12" customFormat="1" x14ac:dyDescent="0.25">
      <c r="A48" s="247" t="s">
        <v>1819</v>
      </c>
      <c r="B48" s="64">
        <v>13.86</v>
      </c>
      <c r="C48" s="64">
        <v>78.17</v>
      </c>
      <c r="D48" s="64">
        <v>51.95</v>
      </c>
      <c r="E48" s="64">
        <v>3.8</v>
      </c>
      <c r="F48" s="64">
        <v>8.36</v>
      </c>
      <c r="G48" s="64">
        <v>75.63</v>
      </c>
      <c r="H48" s="64">
        <v>35.299999999999997</v>
      </c>
      <c r="I48" s="64">
        <v>3.98</v>
      </c>
      <c r="J48" s="64">
        <v>0.86</v>
      </c>
      <c r="K48" s="64">
        <v>282.27</v>
      </c>
      <c r="L48" s="64">
        <v>29.56</v>
      </c>
      <c r="M48" s="64">
        <v>32.450000000000003</v>
      </c>
      <c r="N48" s="64">
        <v>575.20000000000005</v>
      </c>
      <c r="O48" s="64">
        <v>0</v>
      </c>
      <c r="P48" s="64">
        <v>1.06</v>
      </c>
      <c r="Q48" s="64">
        <v>9.5</v>
      </c>
      <c r="R48" s="198"/>
      <c r="S48" s="198"/>
      <c r="T48" s="198"/>
      <c r="U48" s="198"/>
    </row>
    <row r="49" spans="1:21" s="12" customFormat="1" x14ac:dyDescent="0.25">
      <c r="A49" s="247" t="s">
        <v>1820</v>
      </c>
      <c r="B49" s="64">
        <v>9.36</v>
      </c>
      <c r="C49" s="64">
        <v>80.97</v>
      </c>
      <c r="D49" s="64">
        <v>49.81</v>
      </c>
      <c r="E49" s="64">
        <v>3.94</v>
      </c>
      <c r="F49" s="64">
        <v>9.0299999999999994</v>
      </c>
      <c r="G49" s="64">
        <v>72.72</v>
      </c>
      <c r="H49" s="64">
        <v>34.43</v>
      </c>
      <c r="I49" s="64">
        <v>3.99</v>
      </c>
      <c r="J49" s="64">
        <v>1.23</v>
      </c>
      <c r="K49" s="64">
        <v>282.43</v>
      </c>
      <c r="L49" s="64">
        <v>29.94</v>
      </c>
      <c r="M49" s="64">
        <v>30.67</v>
      </c>
      <c r="N49" s="64">
        <v>583.70000000000005</v>
      </c>
      <c r="O49" s="64">
        <v>0</v>
      </c>
      <c r="P49" s="64">
        <v>1.02</v>
      </c>
      <c r="Q49" s="64">
        <v>9.4600000000000009</v>
      </c>
      <c r="R49" s="198"/>
      <c r="S49" s="198"/>
      <c r="T49" s="198"/>
      <c r="U49" s="198"/>
    </row>
    <row r="50" spans="1:21" s="12" customFormat="1" x14ac:dyDescent="0.25">
      <c r="A50" s="247" t="s">
        <v>1821</v>
      </c>
      <c r="B50" s="64">
        <v>5.82</v>
      </c>
      <c r="C50" s="64">
        <v>80.81</v>
      </c>
      <c r="D50" s="64">
        <v>46.88</v>
      </c>
      <c r="E50" s="64">
        <v>3.92</v>
      </c>
      <c r="F50" s="64">
        <v>9.42</v>
      </c>
      <c r="G50" s="64">
        <v>72.72</v>
      </c>
      <c r="H50" s="64">
        <v>34.43</v>
      </c>
      <c r="I50" s="64">
        <v>4</v>
      </c>
      <c r="J50" s="64">
        <v>0.95</v>
      </c>
      <c r="K50" s="64">
        <v>256.52</v>
      </c>
      <c r="L50" s="64">
        <v>29.48</v>
      </c>
      <c r="M50" s="64">
        <v>29.88</v>
      </c>
      <c r="N50" s="64">
        <v>634.1</v>
      </c>
      <c r="O50" s="64">
        <v>0</v>
      </c>
      <c r="P50" s="64">
        <v>0.98</v>
      </c>
      <c r="Q50" s="64">
        <v>9.39</v>
      </c>
      <c r="R50" s="198"/>
      <c r="S50" s="198"/>
      <c r="T50" s="198"/>
      <c r="U50" s="198"/>
    </row>
    <row r="51" spans="1:21" s="12" customFormat="1" x14ac:dyDescent="0.25">
      <c r="A51" s="247" t="s">
        <v>1822</v>
      </c>
      <c r="B51" s="64">
        <v>3.92</v>
      </c>
      <c r="C51" s="64">
        <v>78.099999999999994</v>
      </c>
      <c r="D51" s="64">
        <v>43.94</v>
      </c>
      <c r="E51" s="64">
        <v>4.17</v>
      </c>
      <c r="F51" s="64">
        <v>11.82</v>
      </c>
      <c r="G51" s="64">
        <v>72.72</v>
      </c>
      <c r="H51" s="64">
        <v>34.43</v>
      </c>
      <c r="I51" s="64">
        <v>4.0999999999999996</v>
      </c>
      <c r="J51" s="64">
        <v>0.84</v>
      </c>
      <c r="K51" s="64">
        <v>259.07</v>
      </c>
      <c r="L51" s="64">
        <v>30.16</v>
      </c>
      <c r="M51" s="64">
        <v>28.28</v>
      </c>
      <c r="N51" s="64">
        <v>635</v>
      </c>
      <c r="O51" s="64">
        <v>0</v>
      </c>
      <c r="P51" s="64">
        <v>0.96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47" t="s">
        <v>1823</v>
      </c>
      <c r="B52" s="64">
        <v>3.31</v>
      </c>
      <c r="C52" s="64">
        <v>75.03</v>
      </c>
      <c r="D52" s="64">
        <v>41.85</v>
      </c>
      <c r="E52" s="64">
        <v>4.54</v>
      </c>
      <c r="F52" s="64">
        <v>11.54</v>
      </c>
      <c r="G52" s="64">
        <v>71.28</v>
      </c>
      <c r="H52" s="64">
        <v>33.950000000000003</v>
      </c>
      <c r="I52" s="64">
        <v>3.88</v>
      </c>
      <c r="J52" s="64">
        <v>0.92</v>
      </c>
      <c r="K52" s="64">
        <v>270.89999999999998</v>
      </c>
      <c r="L52" s="64">
        <v>30.73</v>
      </c>
      <c r="M52" s="64">
        <v>27.63</v>
      </c>
      <c r="N52" s="64">
        <v>637.20000000000005</v>
      </c>
      <c r="O52" s="64">
        <v>0</v>
      </c>
      <c r="P52" s="64">
        <v>0.97</v>
      </c>
      <c r="Q52" s="64">
        <v>9.27</v>
      </c>
      <c r="R52" s="198"/>
      <c r="S52" s="198"/>
      <c r="T52" s="198"/>
      <c r="U52" s="198"/>
    </row>
    <row r="53" spans="1:21" s="12" customFormat="1" x14ac:dyDescent="0.25">
      <c r="A53" s="247" t="s">
        <v>1824</v>
      </c>
      <c r="B53" s="64">
        <v>3.21</v>
      </c>
      <c r="C53" s="64">
        <v>73.47</v>
      </c>
      <c r="D53" s="64">
        <v>40.96</v>
      </c>
      <c r="E53" s="64">
        <v>4.63</v>
      </c>
      <c r="F53" s="64">
        <v>12.33</v>
      </c>
      <c r="G53" s="64">
        <v>67.319999999999993</v>
      </c>
      <c r="H53" s="64">
        <v>32.61</v>
      </c>
      <c r="I53" s="64">
        <v>4.12</v>
      </c>
      <c r="J53" s="64">
        <v>1.05</v>
      </c>
      <c r="K53" s="64">
        <v>282.35000000000002</v>
      </c>
      <c r="L53" s="64">
        <v>31.79</v>
      </c>
      <c r="M53" s="64">
        <v>26.76</v>
      </c>
      <c r="N53" s="64">
        <v>644.9</v>
      </c>
      <c r="O53" s="64">
        <v>0</v>
      </c>
      <c r="P53" s="64">
        <v>1.01</v>
      </c>
      <c r="Q53" s="64">
        <v>9.25</v>
      </c>
      <c r="R53" s="198"/>
      <c r="S53" s="198"/>
      <c r="T53" s="198"/>
      <c r="U53" s="198"/>
    </row>
    <row r="54" spans="1:21" s="12" customFormat="1" x14ac:dyDescent="0.25">
      <c r="A54" s="247" t="s">
        <v>1825</v>
      </c>
      <c r="B54" s="64">
        <v>3.21</v>
      </c>
      <c r="C54" s="64">
        <v>72.66</v>
      </c>
      <c r="D54" s="64">
        <v>40.53</v>
      </c>
      <c r="E54" s="64">
        <v>5.17</v>
      </c>
      <c r="F54" s="64">
        <v>13.6</v>
      </c>
      <c r="G54" s="64">
        <v>67.319999999999993</v>
      </c>
      <c r="H54" s="64">
        <v>32.61</v>
      </c>
      <c r="I54" s="64">
        <v>3.91</v>
      </c>
      <c r="J54" s="64">
        <v>1.08</v>
      </c>
      <c r="K54" s="64">
        <v>286.45</v>
      </c>
      <c r="L54" s="64">
        <v>32.44</v>
      </c>
      <c r="M54" s="64">
        <v>25.69</v>
      </c>
      <c r="N54" s="64">
        <v>614.9</v>
      </c>
      <c r="O54" s="64">
        <v>0</v>
      </c>
      <c r="P54" s="64">
        <v>1.04</v>
      </c>
      <c r="Q54" s="64">
        <v>9.25</v>
      </c>
      <c r="R54" s="198"/>
      <c r="S54" s="198"/>
      <c r="T54" s="198"/>
      <c r="U54" s="198"/>
    </row>
    <row r="55" spans="1:21" s="12" customFormat="1" x14ac:dyDescent="0.25">
      <c r="A55" s="247" t="s">
        <v>1826</v>
      </c>
      <c r="B55" s="64">
        <v>3.39</v>
      </c>
      <c r="C55" s="64">
        <v>72.739999999999995</v>
      </c>
      <c r="D55" s="64">
        <v>40.72</v>
      </c>
      <c r="E55" s="64">
        <v>5.17</v>
      </c>
      <c r="F55" s="64">
        <v>13.34</v>
      </c>
      <c r="G55" s="64">
        <v>67.319999999999993</v>
      </c>
      <c r="H55" s="64">
        <v>32.61</v>
      </c>
      <c r="I55" s="64">
        <v>3.95</v>
      </c>
      <c r="J55" s="64">
        <v>1.63</v>
      </c>
      <c r="K55" s="64">
        <v>302.44</v>
      </c>
      <c r="L55" s="64">
        <v>33.97</v>
      </c>
      <c r="M55" s="64">
        <v>24.51</v>
      </c>
      <c r="N55" s="64">
        <v>647.20000000000005</v>
      </c>
      <c r="O55" s="64">
        <v>0</v>
      </c>
      <c r="P55" s="64">
        <v>1.06</v>
      </c>
      <c r="Q55" s="64">
        <v>9.23</v>
      </c>
      <c r="R55" s="198"/>
      <c r="S55" s="198"/>
      <c r="T55" s="198"/>
      <c r="U55" s="198"/>
    </row>
    <row r="56" spans="1:21" s="12" customFormat="1" x14ac:dyDescent="0.25">
      <c r="A56" s="247" t="s">
        <v>1827</v>
      </c>
      <c r="B56" s="64">
        <v>3.35</v>
      </c>
      <c r="C56" s="64">
        <v>72.38</v>
      </c>
      <c r="D56" s="64">
        <v>40.5</v>
      </c>
      <c r="E56" s="64">
        <v>4.5</v>
      </c>
      <c r="F56" s="64">
        <v>14.03</v>
      </c>
      <c r="G56" s="64">
        <v>67.87</v>
      </c>
      <c r="H56" s="64">
        <v>31.56</v>
      </c>
      <c r="I56" s="64">
        <v>4</v>
      </c>
      <c r="J56" s="64">
        <v>1.08</v>
      </c>
      <c r="K56" s="64">
        <v>292.20999999999998</v>
      </c>
      <c r="L56" s="64">
        <v>34.090000000000003</v>
      </c>
      <c r="M56" s="64">
        <v>23.22</v>
      </c>
      <c r="N56" s="64">
        <v>635.9</v>
      </c>
      <c r="O56" s="64">
        <v>0</v>
      </c>
      <c r="P56" s="64">
        <v>1.02</v>
      </c>
      <c r="Q56" s="64">
        <v>9.23</v>
      </c>
      <c r="R56" s="198"/>
      <c r="S56" s="198"/>
      <c r="T56" s="198"/>
      <c r="U56" s="198"/>
    </row>
    <row r="57" spans="1:21" s="12" customFormat="1" x14ac:dyDescent="0.25">
      <c r="A57" s="247" t="s">
        <v>1828</v>
      </c>
      <c r="B57" s="64">
        <v>4.4400000000000004</v>
      </c>
      <c r="C57" s="64">
        <v>71.650000000000006</v>
      </c>
      <c r="D57" s="64">
        <v>40.99</v>
      </c>
      <c r="E57" s="64">
        <v>4.37</v>
      </c>
      <c r="F57" s="64">
        <v>12.06</v>
      </c>
      <c r="G57" s="64">
        <v>69.38</v>
      </c>
      <c r="H57" s="64">
        <v>28.68</v>
      </c>
      <c r="I57" s="64">
        <v>3.92</v>
      </c>
      <c r="J57" s="64">
        <v>1.43</v>
      </c>
      <c r="K57" s="64">
        <v>300.24</v>
      </c>
      <c r="L57" s="64">
        <v>35.44</v>
      </c>
      <c r="M57" s="64">
        <v>21.24</v>
      </c>
      <c r="N57" s="64">
        <v>687.7</v>
      </c>
      <c r="O57" s="64">
        <v>0</v>
      </c>
      <c r="P57" s="64">
        <v>0.99</v>
      </c>
      <c r="Q57" s="64">
        <v>9.2100000000000009</v>
      </c>
      <c r="R57" s="198"/>
      <c r="S57" s="198"/>
      <c r="T57" s="198"/>
      <c r="U57" s="198"/>
    </row>
    <row r="58" spans="1:21" s="12" customFormat="1" x14ac:dyDescent="0.25">
      <c r="A58" s="247" t="s">
        <v>1829</v>
      </c>
      <c r="B58" s="64">
        <v>3.99</v>
      </c>
      <c r="C58" s="64">
        <v>68.86</v>
      </c>
      <c r="D58" s="64">
        <v>39.18</v>
      </c>
      <c r="E58" s="64">
        <v>4.49</v>
      </c>
      <c r="F58" s="64">
        <v>14.79</v>
      </c>
      <c r="G58" s="64">
        <v>69.38</v>
      </c>
      <c r="H58" s="64">
        <v>28.68</v>
      </c>
      <c r="I58" s="64">
        <v>3.99</v>
      </c>
      <c r="J58" s="64">
        <v>1.47</v>
      </c>
      <c r="K58" s="64">
        <v>309.19</v>
      </c>
      <c r="L58" s="64">
        <v>36.04</v>
      </c>
      <c r="M58" s="64">
        <v>20.37</v>
      </c>
      <c r="N58" s="64">
        <v>698</v>
      </c>
      <c r="O58" s="64">
        <v>0</v>
      </c>
      <c r="P58" s="64">
        <v>0.94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47" t="s">
        <v>1830</v>
      </c>
      <c r="B59" s="64">
        <v>3.94</v>
      </c>
      <c r="C59" s="64">
        <v>66.680000000000007</v>
      </c>
      <c r="D59" s="64">
        <v>38</v>
      </c>
      <c r="E59" s="64">
        <v>3.64</v>
      </c>
      <c r="F59" s="64">
        <v>13.82</v>
      </c>
      <c r="G59" s="64">
        <v>69.38</v>
      </c>
      <c r="H59" s="64">
        <v>28.68</v>
      </c>
      <c r="I59" s="64">
        <v>4.07</v>
      </c>
      <c r="J59" s="64">
        <v>1.18</v>
      </c>
      <c r="K59" s="64">
        <v>296.24</v>
      </c>
      <c r="L59" s="64">
        <v>35.76</v>
      </c>
      <c r="M59" s="64">
        <v>19.87</v>
      </c>
      <c r="N59" s="64">
        <v>712.3</v>
      </c>
      <c r="O59" s="64">
        <v>0</v>
      </c>
      <c r="P59" s="64">
        <v>0.91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47" t="s">
        <v>1831</v>
      </c>
      <c r="B60" s="64">
        <v>4.47</v>
      </c>
      <c r="C60" s="64">
        <v>64.44</v>
      </c>
      <c r="D60" s="64">
        <v>37.25</v>
      </c>
      <c r="E60" s="64">
        <v>5.14</v>
      </c>
      <c r="F60" s="64">
        <v>16.8</v>
      </c>
      <c r="G60" s="64">
        <v>65.819999999999993</v>
      </c>
      <c r="H60" s="64">
        <v>28.71</v>
      </c>
      <c r="I60" s="64">
        <v>4.04</v>
      </c>
      <c r="J60" s="64">
        <v>0.68</v>
      </c>
      <c r="K60" s="64">
        <v>278.63</v>
      </c>
      <c r="L60" s="64">
        <v>34.450000000000003</v>
      </c>
      <c r="M60" s="64">
        <v>21.08</v>
      </c>
      <c r="N60" s="64">
        <v>699.9</v>
      </c>
      <c r="O60" s="64">
        <v>0</v>
      </c>
      <c r="P60" s="64">
        <v>0.83</v>
      </c>
      <c r="Q60" s="64">
        <v>9.17</v>
      </c>
      <c r="R60" s="198"/>
      <c r="S60" s="198"/>
      <c r="T60" s="198"/>
      <c r="U60" s="198"/>
    </row>
    <row r="61" spans="1:21" s="12" customFormat="1" x14ac:dyDescent="0.25">
      <c r="A61" s="247" t="s">
        <v>1832</v>
      </c>
      <c r="B61" s="64">
        <v>5.21</v>
      </c>
      <c r="C61" s="64">
        <v>68.819999999999993</v>
      </c>
      <c r="D61" s="64">
        <v>40.14</v>
      </c>
      <c r="E61" s="64">
        <v>3.91</v>
      </c>
      <c r="F61" s="64">
        <v>13.93</v>
      </c>
      <c r="G61" s="64">
        <v>56.02</v>
      </c>
      <c r="H61" s="64">
        <v>28.78</v>
      </c>
      <c r="I61" s="64">
        <v>3.96</v>
      </c>
      <c r="J61" s="64">
        <v>1.22</v>
      </c>
      <c r="K61" s="64">
        <v>306.7</v>
      </c>
      <c r="L61" s="64">
        <v>35.049999999999997</v>
      </c>
      <c r="M61" s="64">
        <v>19.61</v>
      </c>
      <c r="N61" s="64">
        <v>718</v>
      </c>
      <c r="O61" s="64">
        <v>0</v>
      </c>
      <c r="P61" s="64">
        <v>0.81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47" t="s">
        <v>1833</v>
      </c>
      <c r="B62" s="64">
        <v>4.1100000000000003</v>
      </c>
      <c r="C62" s="64">
        <v>67.540000000000006</v>
      </c>
      <c r="D62" s="64">
        <v>38.58</v>
      </c>
      <c r="E62" s="64">
        <v>4.45</v>
      </c>
      <c r="F62" s="64">
        <v>12.14</v>
      </c>
      <c r="G62" s="64">
        <v>56.02</v>
      </c>
      <c r="H62" s="64">
        <v>28.78</v>
      </c>
      <c r="I62" s="64">
        <v>4.01</v>
      </c>
      <c r="J62" s="64">
        <v>1.51</v>
      </c>
      <c r="K62" s="64">
        <v>311.95</v>
      </c>
      <c r="L62" s="64">
        <v>36.26</v>
      </c>
      <c r="M62" s="64">
        <v>18.329999999999998</v>
      </c>
      <c r="N62" s="64">
        <v>707.3</v>
      </c>
      <c r="O62" s="64">
        <v>0</v>
      </c>
      <c r="P62" s="64">
        <v>0.8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47" t="s">
        <v>1834</v>
      </c>
      <c r="B63" s="64">
        <v>5.86</v>
      </c>
      <c r="C63" s="64">
        <v>63.83</v>
      </c>
      <c r="D63" s="64">
        <v>38.049999999999997</v>
      </c>
      <c r="E63" s="64">
        <v>4.24</v>
      </c>
      <c r="F63" s="64">
        <v>17.21</v>
      </c>
      <c r="G63" s="64">
        <v>56.02</v>
      </c>
      <c r="H63" s="64">
        <v>28.78</v>
      </c>
      <c r="I63" s="64">
        <v>4</v>
      </c>
      <c r="J63" s="64">
        <v>1.36</v>
      </c>
      <c r="K63" s="64">
        <v>305.85000000000002</v>
      </c>
      <c r="L63" s="64">
        <v>36.5</v>
      </c>
      <c r="M63" s="64">
        <v>17.579999999999998</v>
      </c>
      <c r="N63" s="64">
        <v>649.9</v>
      </c>
      <c r="O63" s="64">
        <v>0</v>
      </c>
      <c r="P63" s="64">
        <v>0.75</v>
      </c>
      <c r="Q63" s="64">
        <v>9.19</v>
      </c>
      <c r="R63" s="198"/>
      <c r="S63" s="198"/>
      <c r="T63" s="198"/>
      <c r="U63" s="198"/>
    </row>
    <row r="64" spans="1:21" s="12" customFormat="1" x14ac:dyDescent="0.25">
      <c r="A64" s="247" t="s">
        <v>1835</v>
      </c>
      <c r="B64" s="64">
        <v>4.96</v>
      </c>
      <c r="C64" s="64">
        <v>64.83</v>
      </c>
      <c r="D64" s="64">
        <v>37.840000000000003</v>
      </c>
      <c r="E64" s="64">
        <v>4.22</v>
      </c>
      <c r="F64" s="64">
        <v>16.850000000000001</v>
      </c>
      <c r="G64" s="64">
        <v>55.24</v>
      </c>
      <c r="H64" s="64">
        <v>27.84</v>
      </c>
      <c r="I64" s="64">
        <v>3.95</v>
      </c>
      <c r="J64" s="64">
        <v>1.51</v>
      </c>
      <c r="K64" s="64">
        <v>299.93</v>
      </c>
      <c r="L64" s="64">
        <v>36.6</v>
      </c>
      <c r="M64" s="64">
        <v>17.899999999999999</v>
      </c>
      <c r="N64" s="64">
        <v>578.70000000000005</v>
      </c>
      <c r="O64" s="64">
        <v>0</v>
      </c>
      <c r="P64" s="64">
        <v>0.75</v>
      </c>
      <c r="Q64" s="64">
        <v>9.19</v>
      </c>
      <c r="R64" s="198"/>
      <c r="S64" s="198"/>
      <c r="T64" s="198"/>
      <c r="U64" s="198"/>
    </row>
    <row r="65" spans="1:21" s="12" customFormat="1" x14ac:dyDescent="0.25">
      <c r="A65" s="247" t="s">
        <v>1836</v>
      </c>
      <c r="B65" s="64">
        <v>4.3099999999999996</v>
      </c>
      <c r="C65" s="64">
        <v>62.51</v>
      </c>
      <c r="D65" s="64">
        <v>36.119999999999997</v>
      </c>
      <c r="E65" s="64">
        <v>5.55</v>
      </c>
      <c r="F65" s="64">
        <v>17.13</v>
      </c>
      <c r="G65" s="64">
        <v>53.08</v>
      </c>
      <c r="H65" s="64">
        <v>25.28</v>
      </c>
      <c r="I65" s="64">
        <v>3.76</v>
      </c>
      <c r="J65" s="64">
        <v>0.86</v>
      </c>
      <c r="K65" s="64">
        <v>285.64</v>
      </c>
      <c r="L65" s="64">
        <v>35.520000000000003</v>
      </c>
      <c r="M65" s="64">
        <v>17.97</v>
      </c>
      <c r="N65" s="64">
        <v>589.29999999999995</v>
      </c>
      <c r="O65" s="64">
        <v>0</v>
      </c>
      <c r="P65" s="64">
        <v>0.74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47" t="s">
        <v>1837</v>
      </c>
      <c r="B66" s="64">
        <v>4.82</v>
      </c>
      <c r="C66" s="64">
        <v>65.16</v>
      </c>
      <c r="D66" s="64">
        <v>37.909999999999997</v>
      </c>
      <c r="E66" s="64">
        <v>7.96</v>
      </c>
      <c r="F66" s="64">
        <v>24.32</v>
      </c>
      <c r="G66" s="64">
        <v>53.08</v>
      </c>
      <c r="H66" s="64">
        <v>25.28</v>
      </c>
      <c r="I66" s="64">
        <v>4.0599999999999996</v>
      </c>
      <c r="J66" s="64">
        <v>0.66</v>
      </c>
      <c r="K66" s="64">
        <v>292.83999999999997</v>
      </c>
      <c r="L66" s="64">
        <v>33.71</v>
      </c>
      <c r="M66" s="64">
        <v>19.82</v>
      </c>
      <c r="N66" s="64">
        <v>498.5</v>
      </c>
      <c r="O66" s="64">
        <v>0</v>
      </c>
      <c r="P66" s="64">
        <v>0.74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47" t="s">
        <v>1838</v>
      </c>
      <c r="B67" s="64">
        <v>6.82</v>
      </c>
      <c r="C67" s="64">
        <v>59.25</v>
      </c>
      <c r="D67" s="64">
        <v>36.42</v>
      </c>
      <c r="E67" s="64">
        <v>9.0299999999999994</v>
      </c>
      <c r="F67" s="64">
        <v>29.76</v>
      </c>
      <c r="G67" s="64">
        <v>53.08</v>
      </c>
      <c r="H67" s="64">
        <v>25.28</v>
      </c>
      <c r="I67" s="64">
        <v>3.96</v>
      </c>
      <c r="J67" s="64">
        <v>0.37</v>
      </c>
      <c r="K67" s="64">
        <v>307.01</v>
      </c>
      <c r="L67" s="64">
        <v>34.369999999999997</v>
      </c>
      <c r="M67" s="64">
        <v>19.23</v>
      </c>
      <c r="N67" s="64">
        <v>367.7</v>
      </c>
      <c r="O67" s="64">
        <v>0</v>
      </c>
      <c r="P67" s="64">
        <v>0.7</v>
      </c>
      <c r="Q67" s="64">
        <v>9.15</v>
      </c>
      <c r="R67" s="198"/>
      <c r="S67" s="198"/>
      <c r="T67" s="198"/>
      <c r="U67" s="198"/>
    </row>
    <row r="68" spans="1:21" s="12" customFormat="1" x14ac:dyDescent="0.25">
      <c r="A68" s="247" t="s">
        <v>1839</v>
      </c>
      <c r="B68" s="64">
        <v>4.0999999999999996</v>
      </c>
      <c r="C68" s="64">
        <v>56.77</v>
      </c>
      <c r="D68" s="64">
        <v>32.950000000000003</v>
      </c>
      <c r="E68" s="64">
        <v>11.4</v>
      </c>
      <c r="F68" s="64">
        <v>25.3</v>
      </c>
      <c r="G68" s="64">
        <v>52.11</v>
      </c>
      <c r="H68" s="64">
        <v>24.06</v>
      </c>
      <c r="I68" s="64">
        <v>3.97</v>
      </c>
      <c r="J68" s="64">
        <v>0.77</v>
      </c>
      <c r="K68" s="64">
        <v>264.54000000000002</v>
      </c>
      <c r="L68" s="64">
        <v>33.9</v>
      </c>
      <c r="M68" s="64">
        <v>19.77</v>
      </c>
      <c r="N68" s="64">
        <v>287.39999999999998</v>
      </c>
      <c r="O68" s="64">
        <v>0</v>
      </c>
      <c r="P68" s="64">
        <v>0.74</v>
      </c>
      <c r="Q68" s="64">
        <v>9.14</v>
      </c>
      <c r="R68" s="198"/>
      <c r="S68" s="198"/>
      <c r="T68" s="198"/>
      <c r="U68" s="198"/>
    </row>
    <row r="69" spans="1:21" s="12" customFormat="1" x14ac:dyDescent="0.25">
      <c r="A69" s="247" t="s">
        <v>1840</v>
      </c>
      <c r="B69" s="64">
        <v>4.09</v>
      </c>
      <c r="C69" s="64">
        <v>61.95</v>
      </c>
      <c r="D69" s="64">
        <v>35.65</v>
      </c>
      <c r="E69" s="64">
        <v>7.55</v>
      </c>
      <c r="F69" s="64">
        <v>18.47</v>
      </c>
      <c r="G69" s="64">
        <v>49.46</v>
      </c>
      <c r="H69" s="64">
        <v>20.7</v>
      </c>
      <c r="I69" s="64">
        <v>4.05</v>
      </c>
      <c r="J69" s="64">
        <v>1.42</v>
      </c>
      <c r="K69" s="64">
        <v>306.68</v>
      </c>
      <c r="L69" s="64">
        <v>34.11</v>
      </c>
      <c r="M69" s="64">
        <v>20.78</v>
      </c>
      <c r="N69" s="64">
        <v>255.2</v>
      </c>
      <c r="O69" s="64">
        <v>0</v>
      </c>
      <c r="P69" s="64">
        <v>0.74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47" t="s">
        <v>1841</v>
      </c>
      <c r="B70" s="64">
        <v>4.71</v>
      </c>
      <c r="C70" s="64">
        <v>62.96</v>
      </c>
      <c r="D70" s="64">
        <v>36.67</v>
      </c>
      <c r="E70" s="64">
        <v>6.89</v>
      </c>
      <c r="F70" s="64">
        <v>22.59</v>
      </c>
      <c r="G70" s="64">
        <v>49.46</v>
      </c>
      <c r="H70" s="64">
        <v>20.7</v>
      </c>
      <c r="I70" s="64">
        <v>4.1100000000000003</v>
      </c>
      <c r="J70" s="64">
        <v>1</v>
      </c>
      <c r="K70" s="64">
        <v>302.39999999999998</v>
      </c>
      <c r="L70" s="64">
        <v>33.729999999999997</v>
      </c>
      <c r="M70" s="64">
        <v>20.87</v>
      </c>
      <c r="N70" s="64">
        <v>247.3</v>
      </c>
      <c r="O70" s="64">
        <v>0</v>
      </c>
      <c r="P70" s="64">
        <v>0.74</v>
      </c>
      <c r="Q70" s="64">
        <v>9.1199999999999992</v>
      </c>
      <c r="R70" s="198"/>
      <c r="S70" s="198"/>
      <c r="T70" s="198"/>
      <c r="U70" s="198"/>
    </row>
    <row r="71" spans="1:21" s="12" customFormat="1" x14ac:dyDescent="0.25">
      <c r="A71" s="247" t="s">
        <v>1842</v>
      </c>
      <c r="B71" s="64">
        <v>3.86</v>
      </c>
      <c r="C71" s="64">
        <v>59.29</v>
      </c>
      <c r="D71" s="64">
        <v>34.07</v>
      </c>
      <c r="E71" s="64">
        <v>5.37</v>
      </c>
      <c r="F71" s="64">
        <v>15.4</v>
      </c>
      <c r="G71" s="64">
        <v>49.46</v>
      </c>
      <c r="H71" s="64">
        <v>20.7</v>
      </c>
      <c r="I71" s="64">
        <v>4.01</v>
      </c>
      <c r="J71" s="64">
        <v>0.99</v>
      </c>
      <c r="K71" s="64">
        <v>273.98</v>
      </c>
      <c r="L71" s="64">
        <v>32.93</v>
      </c>
      <c r="M71" s="64">
        <v>18.850000000000001</v>
      </c>
      <c r="N71" s="64">
        <v>238.7</v>
      </c>
      <c r="O71" s="64">
        <v>0</v>
      </c>
      <c r="P71" s="64">
        <v>0.7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47" t="s">
        <v>1843</v>
      </c>
      <c r="B72" s="64">
        <v>3.55</v>
      </c>
      <c r="C72" s="64">
        <v>61.88</v>
      </c>
      <c r="D72" s="64">
        <v>35.17</v>
      </c>
      <c r="E72" s="64">
        <v>4.0999999999999996</v>
      </c>
      <c r="F72" s="64">
        <v>12.23</v>
      </c>
      <c r="G72" s="64">
        <v>49.02</v>
      </c>
      <c r="H72" s="64">
        <v>19</v>
      </c>
      <c r="I72" s="64">
        <v>4.03</v>
      </c>
      <c r="J72" s="64">
        <v>1.07</v>
      </c>
      <c r="K72" s="64">
        <v>296.43</v>
      </c>
      <c r="L72" s="64">
        <v>32.85</v>
      </c>
      <c r="M72" s="64">
        <v>18.27</v>
      </c>
      <c r="N72" s="64">
        <v>227.1</v>
      </c>
      <c r="O72" s="64">
        <v>0</v>
      </c>
      <c r="P72" s="64">
        <v>0.68</v>
      </c>
      <c r="Q72" s="64">
        <v>9.09</v>
      </c>
      <c r="R72" s="198"/>
      <c r="S72" s="198"/>
      <c r="T72" s="198"/>
      <c r="U72" s="198"/>
    </row>
    <row r="73" spans="1:21" s="12" customFormat="1" x14ac:dyDescent="0.25">
      <c r="A73" s="247" t="s">
        <v>1844</v>
      </c>
      <c r="B73" s="64">
        <v>3.39</v>
      </c>
      <c r="C73" s="64">
        <v>61.42</v>
      </c>
      <c r="D73" s="64">
        <v>34.81</v>
      </c>
      <c r="E73" s="64">
        <v>3.85</v>
      </c>
      <c r="F73" s="64">
        <v>13.16</v>
      </c>
      <c r="G73" s="64">
        <v>47.8</v>
      </c>
      <c r="H73" s="64">
        <v>14.32</v>
      </c>
      <c r="I73" s="64">
        <v>4.07</v>
      </c>
      <c r="J73" s="64">
        <v>1.64</v>
      </c>
      <c r="K73" s="64">
        <v>291.39999999999998</v>
      </c>
      <c r="L73" s="64">
        <v>32.54</v>
      </c>
      <c r="M73" s="64">
        <v>18.7</v>
      </c>
      <c r="N73" s="64">
        <v>224</v>
      </c>
      <c r="O73" s="64">
        <v>0</v>
      </c>
      <c r="P73" s="64">
        <v>0.66</v>
      </c>
      <c r="Q73" s="64">
        <v>9.06</v>
      </c>
      <c r="R73" s="198"/>
      <c r="S73" s="198"/>
      <c r="T73" s="198"/>
      <c r="U73" s="198"/>
    </row>
    <row r="74" spans="1:21" s="12" customFormat="1" x14ac:dyDescent="0.25">
      <c r="A74" s="247" t="s">
        <v>1845</v>
      </c>
      <c r="B74" s="64">
        <v>3.32</v>
      </c>
      <c r="C74" s="64">
        <v>59.96</v>
      </c>
      <c r="D74" s="64">
        <v>33.99</v>
      </c>
      <c r="E74" s="64">
        <v>3.9</v>
      </c>
      <c r="F74" s="64">
        <v>13.07</v>
      </c>
      <c r="G74" s="64">
        <v>47.8</v>
      </c>
      <c r="H74" s="64">
        <v>14.32</v>
      </c>
      <c r="I74" s="64">
        <v>4.0199999999999996</v>
      </c>
      <c r="J74" s="64">
        <v>1.7</v>
      </c>
      <c r="K74" s="64">
        <v>293.19</v>
      </c>
      <c r="L74" s="64">
        <v>32.020000000000003</v>
      </c>
      <c r="M74" s="64">
        <v>19.13</v>
      </c>
      <c r="N74" s="64">
        <v>187.2</v>
      </c>
      <c r="O74" s="64">
        <v>0</v>
      </c>
      <c r="P74" s="64">
        <v>0.63</v>
      </c>
      <c r="Q74" s="64">
        <v>9.0399999999999991</v>
      </c>
      <c r="R74" s="198"/>
      <c r="S74" s="198"/>
      <c r="T74" s="198"/>
      <c r="U74" s="198"/>
    </row>
    <row r="75" spans="1:21" s="12" customFormat="1" x14ac:dyDescent="0.25">
      <c r="A75" s="247" t="s">
        <v>1846</v>
      </c>
      <c r="B75" s="64">
        <v>3.57</v>
      </c>
      <c r="C75" s="64">
        <v>59.03</v>
      </c>
      <c r="D75" s="64">
        <v>33.700000000000003</v>
      </c>
      <c r="E75" s="64">
        <v>3.73</v>
      </c>
      <c r="F75" s="64">
        <v>13.58</v>
      </c>
      <c r="G75" s="64">
        <v>47.8</v>
      </c>
      <c r="H75" s="64">
        <v>14.32</v>
      </c>
      <c r="I75" s="64">
        <v>3.8</v>
      </c>
      <c r="J75" s="64">
        <v>1.53</v>
      </c>
      <c r="K75" s="64">
        <v>295.61</v>
      </c>
      <c r="L75" s="64">
        <v>31.7</v>
      </c>
      <c r="M75" s="64">
        <v>20.170000000000002</v>
      </c>
      <c r="N75" s="64">
        <v>144.4</v>
      </c>
      <c r="O75" s="64">
        <v>0</v>
      </c>
      <c r="P75" s="64">
        <v>0.62</v>
      </c>
      <c r="Q75" s="64">
        <v>9</v>
      </c>
      <c r="R75" s="198"/>
      <c r="S75" s="198"/>
      <c r="T75" s="198"/>
      <c r="U75" s="198"/>
    </row>
    <row r="76" spans="1:21" s="12" customFormat="1" x14ac:dyDescent="0.25">
      <c r="A76" s="247" t="s">
        <v>1847</v>
      </c>
      <c r="B76" s="64">
        <v>5.15</v>
      </c>
      <c r="C76" s="64">
        <v>58.85</v>
      </c>
      <c r="D76" s="64">
        <v>34.869999999999997</v>
      </c>
      <c r="E76" s="64">
        <v>4.67</v>
      </c>
      <c r="F76" s="64">
        <v>17.079999999999998</v>
      </c>
      <c r="G76" s="64">
        <v>47.33</v>
      </c>
      <c r="H76" s="64">
        <v>16.04</v>
      </c>
      <c r="I76" s="64">
        <v>4.1100000000000003</v>
      </c>
      <c r="J76" s="64">
        <v>1.1299999999999999</v>
      </c>
      <c r="K76" s="64">
        <v>297.33</v>
      </c>
      <c r="L76" s="64">
        <v>31.07</v>
      </c>
      <c r="M76" s="64">
        <v>22.23</v>
      </c>
      <c r="N76" s="64">
        <v>123.8</v>
      </c>
      <c r="O76" s="64">
        <v>0</v>
      </c>
      <c r="P76" s="64">
        <v>0.59</v>
      </c>
      <c r="Q76" s="64">
        <v>9</v>
      </c>
      <c r="R76" s="198"/>
      <c r="S76" s="198"/>
      <c r="T76" s="198"/>
      <c r="U76" s="198"/>
    </row>
    <row r="77" spans="1:21" s="12" customFormat="1" x14ac:dyDescent="0.25">
      <c r="A77" s="247" t="s">
        <v>1848</v>
      </c>
      <c r="B77" s="64">
        <v>6.64</v>
      </c>
      <c r="C77" s="64">
        <v>61.52</v>
      </c>
      <c r="D77" s="64">
        <v>37.46</v>
      </c>
      <c r="E77" s="64">
        <v>5.12</v>
      </c>
      <c r="F77" s="64">
        <v>18.84</v>
      </c>
      <c r="G77" s="64">
        <v>46.04</v>
      </c>
      <c r="H77" s="64">
        <v>20.76</v>
      </c>
      <c r="I77" s="64">
        <v>3.86</v>
      </c>
      <c r="J77" s="64">
        <v>1.21</v>
      </c>
      <c r="K77" s="64">
        <v>294.02</v>
      </c>
      <c r="L77" s="64">
        <v>30.55</v>
      </c>
      <c r="M77" s="64">
        <v>21.39</v>
      </c>
      <c r="N77" s="64">
        <v>109.7</v>
      </c>
      <c r="O77" s="64">
        <v>0</v>
      </c>
      <c r="P77" s="64">
        <v>0.57999999999999996</v>
      </c>
      <c r="Q77" s="64">
        <v>9.01</v>
      </c>
      <c r="R77" s="198"/>
      <c r="S77" s="198"/>
      <c r="T77" s="198"/>
      <c r="U77" s="198"/>
    </row>
    <row r="78" spans="1:21" s="12" customFormat="1" x14ac:dyDescent="0.25">
      <c r="A78" s="247" t="s">
        <v>1849</v>
      </c>
      <c r="B78" s="64">
        <v>7.9</v>
      </c>
      <c r="C78" s="64">
        <v>64.430000000000007</v>
      </c>
      <c r="D78" s="64">
        <v>40</v>
      </c>
      <c r="E78" s="64">
        <v>5.94</v>
      </c>
      <c r="F78" s="64">
        <v>24.02</v>
      </c>
      <c r="G78" s="64">
        <v>46.04</v>
      </c>
      <c r="H78" s="64">
        <v>20.76</v>
      </c>
      <c r="I78" s="64">
        <v>3.94</v>
      </c>
      <c r="J78" s="64">
        <v>1.0900000000000001</v>
      </c>
      <c r="K78" s="64">
        <v>296.52</v>
      </c>
      <c r="L78" s="64">
        <v>30.27</v>
      </c>
      <c r="M78" s="64">
        <v>21.75</v>
      </c>
      <c r="N78" s="64">
        <v>102.4</v>
      </c>
      <c r="O78" s="64">
        <v>0</v>
      </c>
      <c r="P78" s="64">
        <v>0.61</v>
      </c>
      <c r="Q78" s="64">
        <v>9.02</v>
      </c>
      <c r="R78" s="198"/>
      <c r="S78" s="198"/>
      <c r="T78" s="198"/>
      <c r="U78" s="198"/>
    </row>
    <row r="79" spans="1:21" s="12" customFormat="1" x14ac:dyDescent="0.25">
      <c r="A79" s="247" t="s">
        <v>1850</v>
      </c>
      <c r="B79" s="64">
        <v>6.99</v>
      </c>
      <c r="C79" s="64">
        <v>65.52</v>
      </c>
      <c r="D79" s="64">
        <v>39.840000000000003</v>
      </c>
      <c r="E79" s="64">
        <v>6.56</v>
      </c>
      <c r="F79" s="64">
        <v>23.31</v>
      </c>
      <c r="G79" s="64">
        <v>46.04</v>
      </c>
      <c r="H79" s="64">
        <v>20.76</v>
      </c>
      <c r="I79" s="64">
        <v>3.96</v>
      </c>
      <c r="J79" s="64">
        <v>1.0900000000000001</v>
      </c>
      <c r="K79" s="64">
        <v>290.02999999999997</v>
      </c>
      <c r="L79" s="64">
        <v>29.91</v>
      </c>
      <c r="M79" s="64">
        <v>22.22</v>
      </c>
      <c r="N79" s="64">
        <v>86.6</v>
      </c>
      <c r="O79" s="64">
        <v>0</v>
      </c>
      <c r="P79" s="64">
        <v>0.62</v>
      </c>
      <c r="Q79" s="64">
        <v>9.0299999999999994</v>
      </c>
      <c r="R79" s="198"/>
      <c r="S79" s="198"/>
      <c r="T79" s="198"/>
      <c r="U79" s="198"/>
    </row>
    <row r="80" spans="1:21" s="12" customFormat="1" x14ac:dyDescent="0.25">
      <c r="A80" s="247" t="s">
        <v>1851</v>
      </c>
      <c r="B80" s="64">
        <v>10.41</v>
      </c>
      <c r="C80" s="64">
        <v>68.73</v>
      </c>
      <c r="D80" s="64">
        <v>44.26</v>
      </c>
      <c r="E80" s="64">
        <v>7.49</v>
      </c>
      <c r="F80" s="64">
        <v>27.04</v>
      </c>
      <c r="G80" s="64">
        <v>46.92</v>
      </c>
      <c r="H80" s="64">
        <v>19.68</v>
      </c>
      <c r="I80" s="64">
        <v>3.99</v>
      </c>
      <c r="J80" s="64">
        <v>0.9</v>
      </c>
      <c r="K80" s="64">
        <v>290.86</v>
      </c>
      <c r="L80" s="64">
        <v>29.49</v>
      </c>
      <c r="M80" s="64">
        <v>22.91</v>
      </c>
      <c r="N80" s="64">
        <v>73.2</v>
      </c>
      <c r="O80" s="64">
        <v>0</v>
      </c>
      <c r="P80" s="64">
        <v>0.71</v>
      </c>
      <c r="Q80" s="64">
        <v>9.09</v>
      </c>
      <c r="R80" s="198"/>
      <c r="S80" s="198"/>
      <c r="T80" s="198"/>
      <c r="U80" s="198"/>
    </row>
    <row r="81" spans="1:26" s="12" customFormat="1" x14ac:dyDescent="0.25">
      <c r="A81" s="247" t="s">
        <v>1852</v>
      </c>
      <c r="B81" s="64">
        <v>8.9</v>
      </c>
      <c r="C81" s="64">
        <v>71.27</v>
      </c>
      <c r="D81" s="64">
        <v>44.37</v>
      </c>
      <c r="E81" s="64">
        <v>6.93</v>
      </c>
      <c r="F81" s="64">
        <v>22.26</v>
      </c>
      <c r="G81" s="64">
        <v>49.35</v>
      </c>
      <c r="H81" s="64">
        <v>16.7</v>
      </c>
      <c r="I81" s="64">
        <v>4.01</v>
      </c>
      <c r="J81" s="64">
        <v>0.83</v>
      </c>
      <c r="K81" s="64">
        <v>298.56</v>
      </c>
      <c r="L81" s="64">
        <v>28.83</v>
      </c>
      <c r="M81" s="64">
        <v>23.41</v>
      </c>
      <c r="N81" s="64">
        <v>65.599999999999994</v>
      </c>
      <c r="O81" s="64">
        <v>0</v>
      </c>
      <c r="P81" s="64">
        <v>0.74</v>
      </c>
      <c r="Q81" s="64">
        <v>9.1</v>
      </c>
      <c r="R81" s="198"/>
      <c r="S81" s="198"/>
      <c r="T81" s="198"/>
      <c r="U81" s="198"/>
    </row>
    <row r="82" spans="1:26" s="12" customFormat="1" x14ac:dyDescent="0.25">
      <c r="A82" s="247" t="s">
        <v>1853</v>
      </c>
      <c r="B82" s="64">
        <v>9.65</v>
      </c>
      <c r="C82" s="64">
        <v>75.05</v>
      </c>
      <c r="D82" s="64">
        <v>46.95</v>
      </c>
      <c r="E82" s="64">
        <v>6.51</v>
      </c>
      <c r="F82" s="64">
        <v>26.61</v>
      </c>
      <c r="G82" s="64">
        <v>49.35</v>
      </c>
      <c r="H82" s="64">
        <v>16.7</v>
      </c>
      <c r="I82" s="64">
        <v>3.88</v>
      </c>
      <c r="J82" s="64">
        <v>0.9</v>
      </c>
      <c r="K82" s="64">
        <v>292.75</v>
      </c>
      <c r="L82" s="64">
        <v>28.26</v>
      </c>
      <c r="M82" s="64">
        <v>24.39</v>
      </c>
      <c r="N82" s="64">
        <v>63</v>
      </c>
      <c r="O82" s="64">
        <v>0</v>
      </c>
      <c r="P82" s="64">
        <v>0.85</v>
      </c>
      <c r="Q82" s="64">
        <v>9.14</v>
      </c>
      <c r="R82" s="198"/>
      <c r="S82" s="198"/>
      <c r="T82" s="198"/>
      <c r="U82" s="198"/>
    </row>
    <row r="83" spans="1:26" s="12" customFormat="1" x14ac:dyDescent="0.25">
      <c r="A83" s="247" t="s">
        <v>1854</v>
      </c>
      <c r="B83" s="64">
        <v>7.27</v>
      </c>
      <c r="C83" s="64">
        <v>69.16</v>
      </c>
      <c r="D83" s="64">
        <v>41.96</v>
      </c>
      <c r="E83" s="64">
        <v>4.79</v>
      </c>
      <c r="F83" s="64">
        <v>14.43</v>
      </c>
      <c r="G83" s="64">
        <v>49.35</v>
      </c>
      <c r="H83" s="64">
        <v>16.7</v>
      </c>
      <c r="I83" s="64">
        <v>4.03</v>
      </c>
      <c r="J83" s="64">
        <v>1.32</v>
      </c>
      <c r="K83" s="64">
        <v>304.38</v>
      </c>
      <c r="L83" s="64">
        <v>27.74</v>
      </c>
      <c r="M83" s="64">
        <v>25.58</v>
      </c>
      <c r="N83" s="64">
        <v>62.2</v>
      </c>
      <c r="O83" s="64">
        <v>0</v>
      </c>
      <c r="P83" s="64">
        <v>0.7</v>
      </c>
      <c r="Q83" s="64">
        <v>9.15</v>
      </c>
      <c r="R83" s="198"/>
      <c r="S83" s="198"/>
      <c r="T83" s="198"/>
      <c r="U83" s="198"/>
    </row>
    <row r="84" spans="1:26" s="12" customFormat="1" x14ac:dyDescent="0.25">
      <c r="A84" s="247" t="s">
        <v>1855</v>
      </c>
      <c r="B84" s="64">
        <v>27.75</v>
      </c>
      <c r="C84" s="64">
        <v>83.95</v>
      </c>
      <c r="D84" s="64">
        <v>66.11</v>
      </c>
      <c r="E84" s="64">
        <v>6.14</v>
      </c>
      <c r="F84" s="64">
        <v>17.07</v>
      </c>
      <c r="G84" s="64">
        <v>49</v>
      </c>
      <c r="H84" s="64">
        <v>16.39</v>
      </c>
      <c r="I84" s="64">
        <v>4.0199999999999996</v>
      </c>
      <c r="J84" s="64">
        <v>1.18</v>
      </c>
      <c r="K84" s="64">
        <v>323.54000000000002</v>
      </c>
      <c r="L84" s="64">
        <v>27.37</v>
      </c>
      <c r="M84" s="64">
        <v>27.01</v>
      </c>
      <c r="N84" s="64">
        <v>62.7</v>
      </c>
      <c r="O84" s="64">
        <v>0</v>
      </c>
      <c r="P84" s="64">
        <v>0.92</v>
      </c>
      <c r="Q84" s="64">
        <v>9.18</v>
      </c>
      <c r="R84" s="198"/>
      <c r="S84" s="198"/>
      <c r="T84" s="198"/>
      <c r="U84" s="198"/>
    </row>
    <row r="85" spans="1:26" s="12" customFormat="1" x14ac:dyDescent="0.25">
      <c r="A85" s="247" t="s">
        <v>1856</v>
      </c>
      <c r="B85" s="64">
        <v>13.29</v>
      </c>
      <c r="C85" s="64">
        <v>74.900000000000006</v>
      </c>
      <c r="D85" s="64">
        <v>49.79</v>
      </c>
      <c r="E85" s="64">
        <v>8.51</v>
      </c>
      <c r="F85" s="64">
        <v>15.79</v>
      </c>
      <c r="G85" s="64">
        <v>48.02</v>
      </c>
      <c r="H85" s="64">
        <v>15.53</v>
      </c>
      <c r="I85" s="64">
        <v>3.83</v>
      </c>
      <c r="J85" s="64">
        <v>1.26</v>
      </c>
      <c r="K85" s="64">
        <v>322.88</v>
      </c>
      <c r="L85" s="64">
        <v>26.6</v>
      </c>
      <c r="M85" s="64">
        <v>29.78</v>
      </c>
      <c r="N85" s="64">
        <v>62.6</v>
      </c>
      <c r="O85" s="64">
        <v>0</v>
      </c>
      <c r="P85" s="64">
        <v>0.87</v>
      </c>
      <c r="Q85" s="64">
        <v>9.23</v>
      </c>
      <c r="R85" s="198"/>
      <c r="S85" s="198"/>
      <c r="T85" s="198"/>
      <c r="U85" s="198"/>
    </row>
    <row r="86" spans="1:26" s="12" customFormat="1" x14ac:dyDescent="0.25">
      <c r="A86" s="247" t="s">
        <v>1857</v>
      </c>
      <c r="B86" s="64">
        <v>26.08</v>
      </c>
      <c r="C86" s="64">
        <v>90.91</v>
      </c>
      <c r="D86" s="64">
        <v>68.41</v>
      </c>
      <c r="E86" s="64">
        <v>12.25</v>
      </c>
      <c r="F86" s="64">
        <v>15.33</v>
      </c>
      <c r="G86" s="64">
        <v>48.02</v>
      </c>
      <c r="H86" s="64">
        <v>15.53</v>
      </c>
      <c r="I86" s="64">
        <v>4.1399999999999997</v>
      </c>
      <c r="J86" s="64">
        <v>0.89</v>
      </c>
      <c r="K86" s="64">
        <v>329.69</v>
      </c>
      <c r="L86" s="64">
        <v>26.31</v>
      </c>
      <c r="M86" s="64">
        <v>29.4</v>
      </c>
      <c r="N86" s="64">
        <v>63</v>
      </c>
      <c r="O86" s="64">
        <v>0</v>
      </c>
      <c r="P86" s="64">
        <v>1.1299999999999999</v>
      </c>
      <c r="Q86" s="64">
        <v>9.32</v>
      </c>
      <c r="R86" s="198"/>
      <c r="S86" s="198"/>
      <c r="T86" s="198"/>
      <c r="U86" s="198"/>
    </row>
    <row r="87" spans="1:26" s="12" customFormat="1" x14ac:dyDescent="0.25">
      <c r="A87" s="247" t="s">
        <v>1858</v>
      </c>
      <c r="B87" s="64">
        <v>31.78</v>
      </c>
      <c r="C87" s="64">
        <v>87.3</v>
      </c>
      <c r="D87" s="64">
        <v>71.09</v>
      </c>
      <c r="E87" s="64">
        <v>10.68</v>
      </c>
      <c r="F87" s="64">
        <v>15.56</v>
      </c>
      <c r="G87" s="64">
        <v>48.02</v>
      </c>
      <c r="H87" s="64">
        <v>15.53</v>
      </c>
      <c r="I87" s="64">
        <v>4.04</v>
      </c>
      <c r="J87" s="64">
        <v>0.92</v>
      </c>
      <c r="K87" s="64">
        <v>320.93</v>
      </c>
      <c r="L87" s="64">
        <v>25.94</v>
      </c>
      <c r="M87" s="64">
        <v>30.46</v>
      </c>
      <c r="N87" s="64">
        <v>62.6</v>
      </c>
      <c r="O87" s="64">
        <v>0</v>
      </c>
      <c r="P87" s="64">
        <v>1.1599999999999999</v>
      </c>
      <c r="Q87" s="64">
        <v>9.4</v>
      </c>
      <c r="R87" s="198"/>
      <c r="S87" s="198"/>
      <c r="T87" s="198"/>
      <c r="U87" s="198"/>
    </row>
    <row r="88" spans="1:26" s="12" customFormat="1" x14ac:dyDescent="0.25">
      <c r="A88" s="247" t="s">
        <v>1859</v>
      </c>
      <c r="B88" s="64">
        <v>15.46</v>
      </c>
      <c r="C88" s="64">
        <v>79.069999999999993</v>
      </c>
      <c r="D88" s="64">
        <v>53.7</v>
      </c>
      <c r="E88" s="64">
        <v>7.65</v>
      </c>
      <c r="F88" s="64">
        <v>15.57</v>
      </c>
      <c r="G88" s="64">
        <v>48.95</v>
      </c>
      <c r="H88" s="64">
        <v>15.94</v>
      </c>
      <c r="I88" s="64">
        <v>4.03</v>
      </c>
      <c r="J88" s="64">
        <v>1.1299999999999999</v>
      </c>
      <c r="K88" s="64">
        <v>313.27999999999997</v>
      </c>
      <c r="L88" s="64">
        <v>25.85</v>
      </c>
      <c r="M88" s="64">
        <v>30.42</v>
      </c>
      <c r="N88" s="64">
        <v>62.2</v>
      </c>
      <c r="O88" s="64">
        <v>0</v>
      </c>
      <c r="P88" s="64">
        <v>0.94</v>
      </c>
      <c r="Q88" s="64">
        <v>9.51</v>
      </c>
      <c r="R88" s="198"/>
      <c r="S88" s="198"/>
      <c r="T88" s="198"/>
      <c r="U88" s="198"/>
    </row>
    <row r="89" spans="1:26" s="12" customFormat="1" x14ac:dyDescent="0.25">
      <c r="A89" s="247" t="s">
        <v>1860</v>
      </c>
      <c r="B89" s="64">
        <v>14.72</v>
      </c>
      <c r="C89" s="64">
        <v>79.19</v>
      </c>
      <c r="D89" s="64">
        <v>53.17</v>
      </c>
      <c r="E89" s="64">
        <v>6.33</v>
      </c>
      <c r="F89" s="64">
        <v>14.38</v>
      </c>
      <c r="G89" s="64">
        <v>51.48</v>
      </c>
      <c r="H89" s="64">
        <v>17.09</v>
      </c>
      <c r="I89" s="64">
        <v>4.01</v>
      </c>
      <c r="J89" s="64">
        <v>1.1000000000000001</v>
      </c>
      <c r="K89" s="64">
        <v>315.42</v>
      </c>
      <c r="L89" s="64">
        <v>25.74</v>
      </c>
      <c r="M89" s="64">
        <v>30.32</v>
      </c>
      <c r="N89" s="64">
        <v>62.2</v>
      </c>
      <c r="O89" s="64">
        <v>0</v>
      </c>
      <c r="P89" s="64">
        <v>1.03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47" t="s">
        <v>1861</v>
      </c>
      <c r="B90" s="64">
        <v>14.06</v>
      </c>
      <c r="C90" s="64">
        <v>83.25</v>
      </c>
      <c r="D90" s="64">
        <v>54.77</v>
      </c>
      <c r="E90" s="64">
        <v>5.89</v>
      </c>
      <c r="F90" s="64">
        <v>12.24</v>
      </c>
      <c r="G90" s="64">
        <v>51.48</v>
      </c>
      <c r="H90" s="64">
        <v>17.09</v>
      </c>
      <c r="I90" s="64">
        <v>4.1100000000000003</v>
      </c>
      <c r="J90" s="64">
        <v>1.21</v>
      </c>
      <c r="K90" s="64">
        <v>314.37</v>
      </c>
      <c r="L90" s="64">
        <v>25.9</v>
      </c>
      <c r="M90" s="64">
        <v>29.71</v>
      </c>
      <c r="N90" s="64">
        <v>62.2</v>
      </c>
      <c r="O90" s="64">
        <v>0</v>
      </c>
      <c r="P90" s="64">
        <v>1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47" t="s">
        <v>1862</v>
      </c>
      <c r="B91" s="64">
        <v>14.21</v>
      </c>
      <c r="C91" s="64">
        <v>79.69</v>
      </c>
      <c r="D91" s="64">
        <v>53.03</v>
      </c>
      <c r="E91" s="64">
        <v>4.43</v>
      </c>
      <c r="F91" s="64">
        <v>10.38</v>
      </c>
      <c r="G91" s="64">
        <v>51.48</v>
      </c>
      <c r="H91" s="64">
        <v>17.09</v>
      </c>
      <c r="I91" s="64">
        <v>4.1399999999999997</v>
      </c>
      <c r="J91" s="64">
        <v>1.6</v>
      </c>
      <c r="K91" s="64">
        <v>318.33</v>
      </c>
      <c r="L91" s="64">
        <v>25.73</v>
      </c>
      <c r="M91" s="64">
        <v>29.97</v>
      </c>
      <c r="N91" s="64">
        <v>61.9</v>
      </c>
      <c r="O91" s="64">
        <v>0</v>
      </c>
      <c r="P91" s="64">
        <v>0.96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47" t="s">
        <v>1863</v>
      </c>
      <c r="B92" s="64">
        <v>10.119999999999999</v>
      </c>
      <c r="C92" s="64">
        <v>77.3</v>
      </c>
      <c r="D92" s="64">
        <v>48.5</v>
      </c>
      <c r="E92" s="64">
        <v>4.1900000000000004</v>
      </c>
      <c r="F92" s="64">
        <v>9.34</v>
      </c>
      <c r="G92" s="64">
        <v>52.1</v>
      </c>
      <c r="H92" s="64">
        <v>16.73</v>
      </c>
      <c r="I92" s="64">
        <v>4</v>
      </c>
      <c r="J92" s="64">
        <v>1.66</v>
      </c>
      <c r="K92" s="64">
        <v>318.75</v>
      </c>
      <c r="L92" s="64">
        <v>25.58</v>
      </c>
      <c r="M92" s="64">
        <v>29.89</v>
      </c>
      <c r="N92" s="64">
        <v>62.1</v>
      </c>
      <c r="O92" s="64">
        <v>0</v>
      </c>
      <c r="P92" s="64">
        <v>0.96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47" t="s">
        <v>1864</v>
      </c>
      <c r="B93" s="64">
        <v>11.41</v>
      </c>
      <c r="C93" s="64">
        <v>78.86</v>
      </c>
      <c r="D93" s="64">
        <v>50.35</v>
      </c>
      <c r="E93" s="64">
        <v>5.49</v>
      </c>
      <c r="F93" s="64">
        <v>12.02</v>
      </c>
      <c r="G93" s="64">
        <v>53.81</v>
      </c>
      <c r="H93" s="64">
        <v>15.73</v>
      </c>
      <c r="I93" s="64">
        <v>3.92</v>
      </c>
      <c r="J93" s="64">
        <v>1.69</v>
      </c>
      <c r="K93" s="64">
        <v>327.10000000000002</v>
      </c>
      <c r="L93" s="64">
        <v>25.52</v>
      </c>
      <c r="M93" s="64">
        <v>29.43</v>
      </c>
      <c r="N93" s="64">
        <v>62</v>
      </c>
      <c r="O93" s="64">
        <v>0</v>
      </c>
      <c r="P93" s="64">
        <v>0.95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47" t="s">
        <v>1865</v>
      </c>
      <c r="B94" s="64">
        <v>10.15</v>
      </c>
      <c r="C94" s="64">
        <v>74.37</v>
      </c>
      <c r="D94" s="64">
        <v>46.99</v>
      </c>
      <c r="E94" s="64">
        <v>4.67</v>
      </c>
      <c r="F94" s="64">
        <v>14.26</v>
      </c>
      <c r="G94" s="64">
        <v>53.81</v>
      </c>
      <c r="H94" s="64">
        <v>15.73</v>
      </c>
      <c r="I94" s="64">
        <v>4.21</v>
      </c>
      <c r="J94" s="64">
        <v>1.67</v>
      </c>
      <c r="K94" s="64">
        <v>318.13</v>
      </c>
      <c r="L94" s="64">
        <v>25.54</v>
      </c>
      <c r="M94" s="64">
        <v>29.13</v>
      </c>
      <c r="N94" s="64">
        <v>62.2</v>
      </c>
      <c r="O94" s="64">
        <v>0</v>
      </c>
      <c r="P94" s="64">
        <v>0.91</v>
      </c>
      <c r="Q94" s="64">
        <v>9.57</v>
      </c>
      <c r="R94" s="198"/>
      <c r="S94" s="198"/>
      <c r="T94" s="198"/>
      <c r="U94" s="198"/>
    </row>
    <row r="95" spans="1:26" s="12" customFormat="1" x14ac:dyDescent="0.25">
      <c r="A95" s="247" t="s">
        <v>1866</v>
      </c>
      <c r="B95" s="64">
        <v>16.850000000000001</v>
      </c>
      <c r="C95" s="64">
        <v>71.25</v>
      </c>
      <c r="D95" s="64">
        <v>50.74</v>
      </c>
      <c r="E95" s="64">
        <v>8.52</v>
      </c>
      <c r="F95" s="64">
        <v>21.65</v>
      </c>
      <c r="G95" s="64">
        <v>53.81</v>
      </c>
      <c r="H95" s="64">
        <v>15.73</v>
      </c>
      <c r="I95" s="64">
        <v>3.98</v>
      </c>
      <c r="J95" s="64">
        <v>1.28</v>
      </c>
      <c r="K95" s="64">
        <v>337.02</v>
      </c>
      <c r="L95" s="64">
        <v>25.22</v>
      </c>
      <c r="M95" s="64">
        <v>29.79</v>
      </c>
      <c r="N95" s="64">
        <v>62.9</v>
      </c>
      <c r="O95" s="64">
        <v>0</v>
      </c>
      <c r="P95" s="64">
        <v>0.93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47" t="s">
        <v>1867</v>
      </c>
      <c r="B96" s="64">
        <v>15.86</v>
      </c>
      <c r="C96" s="64">
        <v>74.260000000000005</v>
      </c>
      <c r="D96" s="64">
        <v>51.52</v>
      </c>
      <c r="E96" s="64">
        <v>9.61</v>
      </c>
      <c r="F96" s="64">
        <v>17.190000000000001</v>
      </c>
      <c r="G96" s="64">
        <v>53.71</v>
      </c>
      <c r="H96" s="64">
        <v>16.489999999999998</v>
      </c>
      <c r="I96" s="64">
        <v>3.93</v>
      </c>
      <c r="J96" s="64">
        <v>1.63</v>
      </c>
      <c r="K96" s="64">
        <v>343.62</v>
      </c>
      <c r="L96" s="64">
        <v>25.03</v>
      </c>
      <c r="M96" s="64">
        <v>30.21</v>
      </c>
      <c r="N96" s="64">
        <v>62.5</v>
      </c>
      <c r="O96" s="64">
        <v>0</v>
      </c>
      <c r="P96" s="64">
        <v>0.86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1868</v>
      </c>
      <c r="B97" s="64">
        <v>9.5399999999999991</v>
      </c>
      <c r="C97" s="64">
        <v>72.31</v>
      </c>
      <c r="D97" s="64">
        <v>45.43</v>
      </c>
      <c r="E97" s="64">
        <v>7.29</v>
      </c>
      <c r="F97" s="64">
        <v>13.07</v>
      </c>
      <c r="G97" s="64">
        <v>53.45</v>
      </c>
      <c r="H97" s="64">
        <v>18.34</v>
      </c>
      <c r="I97" s="64">
        <v>4.13</v>
      </c>
      <c r="J97" s="64">
        <v>2.04</v>
      </c>
      <c r="K97" s="64">
        <v>336.33</v>
      </c>
      <c r="L97" s="64">
        <v>24.88</v>
      </c>
      <c r="M97" s="64">
        <v>30.69</v>
      </c>
      <c r="N97" s="64">
        <v>62.2</v>
      </c>
      <c r="O97" s="64">
        <v>0</v>
      </c>
      <c r="P97" s="64">
        <v>0.9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47" t="s">
        <v>1869</v>
      </c>
      <c r="B98" s="64">
        <v>9.84</v>
      </c>
      <c r="C98" s="64">
        <v>72.56</v>
      </c>
      <c r="D98" s="64">
        <v>45.8</v>
      </c>
      <c r="E98" s="64">
        <v>8.1300000000000008</v>
      </c>
      <c r="F98" s="64">
        <v>14.94</v>
      </c>
      <c r="G98" s="64">
        <v>53.45</v>
      </c>
      <c r="H98" s="64">
        <v>18.34</v>
      </c>
      <c r="I98" s="64">
        <v>3.93</v>
      </c>
      <c r="J98" s="64">
        <v>1.92</v>
      </c>
      <c r="K98" s="64">
        <v>341.97</v>
      </c>
      <c r="L98" s="64">
        <v>24.65</v>
      </c>
      <c r="M98" s="64">
        <v>31.25</v>
      </c>
      <c r="N98" s="64">
        <v>62.6</v>
      </c>
      <c r="O98" s="64">
        <v>0</v>
      </c>
      <c r="P98" s="64">
        <v>0.91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47" t="s">
        <v>1870</v>
      </c>
      <c r="B99" s="64">
        <v>14.95</v>
      </c>
      <c r="C99" s="64">
        <v>72.28</v>
      </c>
      <c r="D99" s="64">
        <v>49.76</v>
      </c>
      <c r="E99" s="64">
        <v>20.28</v>
      </c>
      <c r="F99" s="64">
        <v>18.03</v>
      </c>
      <c r="G99" s="64">
        <v>53.45</v>
      </c>
      <c r="H99" s="64">
        <v>18.34</v>
      </c>
      <c r="I99" s="64">
        <v>4</v>
      </c>
      <c r="J99" s="64">
        <v>1.64</v>
      </c>
      <c r="K99" s="64">
        <v>348.35</v>
      </c>
      <c r="L99" s="64">
        <v>24.42</v>
      </c>
      <c r="M99" s="64">
        <v>32</v>
      </c>
      <c r="N99" s="64">
        <v>62.7</v>
      </c>
      <c r="O99" s="64">
        <v>0</v>
      </c>
      <c r="P99" s="64">
        <v>0.9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47" t="s">
        <v>1871</v>
      </c>
      <c r="B100" s="64">
        <v>11.52</v>
      </c>
      <c r="C100" s="64">
        <v>70.37</v>
      </c>
      <c r="D100" s="64">
        <v>46.01</v>
      </c>
      <c r="E100" s="64">
        <v>26.11</v>
      </c>
      <c r="F100" s="64">
        <v>15.15</v>
      </c>
      <c r="G100" s="64">
        <v>56.84</v>
      </c>
      <c r="H100" s="64">
        <v>19.07</v>
      </c>
      <c r="I100" s="64">
        <v>4.16</v>
      </c>
      <c r="J100" s="64">
        <v>1.59</v>
      </c>
      <c r="K100" s="64">
        <v>343.95</v>
      </c>
      <c r="L100" s="64">
        <v>24.17</v>
      </c>
      <c r="M100" s="64">
        <v>32.29</v>
      </c>
      <c r="N100" s="64">
        <v>62.5</v>
      </c>
      <c r="O100" s="64">
        <v>0</v>
      </c>
      <c r="P100" s="64">
        <v>0.86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1872</v>
      </c>
      <c r="B101" s="64">
        <v>12.31</v>
      </c>
      <c r="C101" s="64">
        <v>70.599999999999994</v>
      </c>
      <c r="D101" s="64">
        <v>46.76</v>
      </c>
      <c r="E101" s="64">
        <v>10.7</v>
      </c>
      <c r="F101" s="64">
        <v>10.43</v>
      </c>
      <c r="G101" s="64">
        <v>66.16</v>
      </c>
      <c r="H101" s="64">
        <v>20.45</v>
      </c>
      <c r="I101" s="64">
        <v>3.96</v>
      </c>
      <c r="J101" s="64">
        <v>1.49</v>
      </c>
      <c r="K101" s="64">
        <v>332.9</v>
      </c>
      <c r="L101" s="64">
        <v>23.81</v>
      </c>
      <c r="M101" s="64">
        <v>32.53</v>
      </c>
      <c r="N101" s="64">
        <v>62.5</v>
      </c>
      <c r="O101" s="64">
        <v>0</v>
      </c>
      <c r="P101" s="64">
        <v>0.87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47" t="s">
        <v>1873</v>
      </c>
      <c r="B102" s="64">
        <v>9.56</v>
      </c>
      <c r="C102" s="64">
        <v>72.28</v>
      </c>
      <c r="D102" s="64">
        <v>45.43</v>
      </c>
      <c r="E102" s="64">
        <v>9.85</v>
      </c>
      <c r="F102" s="64">
        <v>10.28</v>
      </c>
      <c r="G102" s="64">
        <v>66.16</v>
      </c>
      <c r="H102" s="64">
        <v>20.45</v>
      </c>
      <c r="I102" s="64">
        <v>4.08</v>
      </c>
      <c r="J102" s="64">
        <v>1.41</v>
      </c>
      <c r="K102" s="64">
        <v>323.94</v>
      </c>
      <c r="L102" s="64">
        <v>23.29</v>
      </c>
      <c r="M102" s="64">
        <v>33.61</v>
      </c>
      <c r="N102" s="64">
        <v>62.5</v>
      </c>
      <c r="O102" s="64">
        <v>0</v>
      </c>
      <c r="P102" s="64">
        <v>0.89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47" t="s">
        <v>1874</v>
      </c>
      <c r="B103" s="64">
        <v>10.09</v>
      </c>
      <c r="C103" s="64">
        <v>72.22</v>
      </c>
      <c r="D103" s="64">
        <v>45.83</v>
      </c>
      <c r="E103" s="64">
        <v>10.59</v>
      </c>
      <c r="F103" s="64">
        <v>10.01</v>
      </c>
      <c r="G103" s="64">
        <v>66.16</v>
      </c>
      <c r="H103" s="64">
        <v>20.45</v>
      </c>
      <c r="I103" s="64">
        <v>3.95</v>
      </c>
      <c r="J103" s="64">
        <v>1.3</v>
      </c>
      <c r="K103" s="64">
        <v>322.89</v>
      </c>
      <c r="L103" s="64">
        <v>23.01</v>
      </c>
      <c r="M103" s="64">
        <v>34.1</v>
      </c>
      <c r="N103" s="64">
        <v>62.4</v>
      </c>
      <c r="O103" s="64">
        <v>0</v>
      </c>
      <c r="P103" s="64">
        <v>0.88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47" t="s">
        <v>1875</v>
      </c>
      <c r="B104" s="64">
        <v>12.88</v>
      </c>
      <c r="C104" s="64">
        <v>71.97</v>
      </c>
      <c r="D104" s="64">
        <v>47.93</v>
      </c>
      <c r="E104" s="64">
        <v>26.46</v>
      </c>
      <c r="F104" s="64">
        <v>10.49</v>
      </c>
      <c r="G104" s="64">
        <v>70.8</v>
      </c>
      <c r="H104" s="64">
        <v>20.239999999999998</v>
      </c>
      <c r="I104" s="64">
        <v>4.0199999999999996</v>
      </c>
      <c r="J104" s="64">
        <v>1.1000000000000001</v>
      </c>
      <c r="K104" s="64">
        <v>326.52</v>
      </c>
      <c r="L104" s="64">
        <v>22.87</v>
      </c>
      <c r="M104" s="64">
        <v>33.659999999999997</v>
      </c>
      <c r="N104" s="64">
        <v>62.5</v>
      </c>
      <c r="O104" s="64">
        <v>0</v>
      </c>
      <c r="P104" s="64">
        <v>0.87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3.21</v>
      </c>
      <c r="C106" s="67">
        <f>MIN(C9:C104)</f>
        <v>44.25</v>
      </c>
      <c r="D106" s="67">
        <f t="shared" ref="D106:Q106" si="0">MIN(D9:D104)</f>
        <v>32.69</v>
      </c>
      <c r="E106" s="67">
        <f t="shared" si="0"/>
        <v>3.61</v>
      </c>
      <c r="F106" s="67">
        <f t="shared" si="0"/>
        <v>7.27</v>
      </c>
      <c r="G106" s="67">
        <f t="shared" si="0"/>
        <v>46.04</v>
      </c>
      <c r="H106" s="67">
        <f t="shared" si="0"/>
        <v>14.32</v>
      </c>
      <c r="I106" s="67">
        <f t="shared" si="0"/>
        <v>3.76</v>
      </c>
      <c r="J106" s="67">
        <f t="shared" si="0"/>
        <v>0.28999999999999998</v>
      </c>
      <c r="K106" s="67">
        <f t="shared" si="0"/>
        <v>163.80000000000001</v>
      </c>
      <c r="L106" s="67">
        <f t="shared" si="0"/>
        <v>19.940000000000001</v>
      </c>
      <c r="M106" s="67">
        <f t="shared" si="0"/>
        <v>17.579999999999998</v>
      </c>
      <c r="N106" s="67">
        <f t="shared" si="0"/>
        <v>61</v>
      </c>
      <c r="O106" s="67">
        <f t="shared" si="0"/>
        <v>0</v>
      </c>
      <c r="P106" s="67">
        <f t="shared" si="0"/>
        <v>0.57999999999999996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53.92</v>
      </c>
      <c r="C107" s="66">
        <f t="shared" ref="C107:Q107" si="1">MAX(C9:C104)</f>
        <v>90.91</v>
      </c>
      <c r="D107" s="66">
        <f t="shared" si="1"/>
        <v>90.37</v>
      </c>
      <c r="E107" s="66">
        <f t="shared" si="1"/>
        <v>26.46</v>
      </c>
      <c r="F107" s="66">
        <f t="shared" si="1"/>
        <v>29.76</v>
      </c>
      <c r="G107" s="66">
        <f t="shared" si="1"/>
        <v>81.81</v>
      </c>
      <c r="H107" s="66">
        <f t="shared" si="1"/>
        <v>36.29</v>
      </c>
      <c r="I107" s="66">
        <f t="shared" si="1"/>
        <v>4.2300000000000004</v>
      </c>
      <c r="J107" s="66">
        <f t="shared" si="1"/>
        <v>2.04</v>
      </c>
      <c r="K107" s="66">
        <f t="shared" si="1"/>
        <v>354.52</v>
      </c>
      <c r="L107" s="66">
        <f t="shared" si="1"/>
        <v>36.6</v>
      </c>
      <c r="M107" s="66">
        <f t="shared" si="1"/>
        <v>52.43</v>
      </c>
      <c r="N107" s="66">
        <f t="shared" si="1"/>
        <v>718</v>
      </c>
      <c r="O107" s="66">
        <f t="shared" si="1"/>
        <v>0</v>
      </c>
      <c r="P107" s="66">
        <f t="shared" si="1"/>
        <v>1.22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13.383958333333334</v>
      </c>
      <c r="C108" s="67">
        <f t="shared" ref="C108:Q108" si="2">AVERAGE(C9:C104)</f>
        <v>69.058958333333337</v>
      </c>
      <c r="D108" s="67">
        <f t="shared" si="2"/>
        <v>46.813020833333347</v>
      </c>
      <c r="E108" s="67">
        <f t="shared" si="2"/>
        <v>7.1308333333333351</v>
      </c>
      <c r="F108" s="67">
        <f t="shared" si="2"/>
        <v>14.683541666666668</v>
      </c>
      <c r="G108" s="67">
        <f t="shared" si="2"/>
        <v>64.396875000000037</v>
      </c>
      <c r="H108" s="67">
        <f t="shared" si="2"/>
        <v>26.701979166666671</v>
      </c>
      <c r="I108" s="67">
        <f t="shared" si="2"/>
        <v>4.0029166666666649</v>
      </c>
      <c r="J108" s="67">
        <f t="shared" si="2"/>
        <v>1.0021874999999998</v>
      </c>
      <c r="K108" s="67">
        <f t="shared" si="2"/>
        <v>292.67572916666671</v>
      </c>
      <c r="L108" s="67">
        <f t="shared" si="2"/>
        <v>27.063124999999996</v>
      </c>
      <c r="M108" s="67">
        <f t="shared" si="2"/>
        <v>32.573854166666671</v>
      </c>
      <c r="N108" s="67">
        <f t="shared" si="2"/>
        <v>231.87708333333342</v>
      </c>
      <c r="O108" s="67">
        <f t="shared" si="2"/>
        <v>0</v>
      </c>
      <c r="P108" s="67">
        <f t="shared" si="2"/>
        <v>0.93302083333333352</v>
      </c>
      <c r="Q108" s="67">
        <f t="shared" si="2"/>
        <v>9.3694791666666681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10.391773009064904</v>
      </c>
      <c r="C109" s="67">
        <f t="shared" ref="C109:Q109" si="3">STDEV(C9:C104)</f>
        <v>8.4954186389415742</v>
      </c>
      <c r="D109" s="67">
        <f t="shared" si="3"/>
        <v>11.086672997203857</v>
      </c>
      <c r="E109" s="67">
        <f t="shared" si="3"/>
        <v>3.9967464838466231</v>
      </c>
      <c r="F109" s="67">
        <f t="shared" si="3"/>
        <v>5.1628190951041448</v>
      </c>
      <c r="G109" s="67">
        <f t="shared" si="3"/>
        <v>12.266897631430593</v>
      </c>
      <c r="H109" s="67">
        <f t="shared" si="3"/>
        <v>7.6504462366984836</v>
      </c>
      <c r="I109" s="67">
        <f t="shared" si="3"/>
        <v>8.7261454282568388E-2</v>
      </c>
      <c r="J109" s="67">
        <f t="shared" si="3"/>
        <v>0.43962712220579375</v>
      </c>
      <c r="K109" s="67">
        <f t="shared" si="3"/>
        <v>36.251975561260544</v>
      </c>
      <c r="L109" s="67">
        <f t="shared" si="3"/>
        <v>4.8727397054267474</v>
      </c>
      <c r="M109" s="67">
        <f t="shared" si="3"/>
        <v>10.203644278784996</v>
      </c>
      <c r="N109" s="67">
        <f t="shared" si="3"/>
        <v>233.37759306107841</v>
      </c>
      <c r="O109" s="67">
        <f t="shared" si="3"/>
        <v>0</v>
      </c>
      <c r="P109" s="67">
        <f t="shared" si="3"/>
        <v>0.15897116449328438</v>
      </c>
      <c r="Q109" s="67">
        <f t="shared" si="3"/>
        <v>0.19529933727575952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81" sqref="P8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1876</v>
      </c>
      <c r="B9" s="64">
        <v>8.5500000000000007</v>
      </c>
      <c r="C9" s="64">
        <v>70.900000000000006</v>
      </c>
      <c r="D9" s="64">
        <v>43.9</v>
      </c>
      <c r="E9" s="64">
        <v>24.65</v>
      </c>
      <c r="F9" s="64">
        <v>12.1</v>
      </c>
      <c r="G9" s="64">
        <v>83.54</v>
      </c>
      <c r="H9" s="64">
        <v>19.82</v>
      </c>
      <c r="I9" s="64">
        <v>4.04</v>
      </c>
      <c r="J9" s="64">
        <v>0.4</v>
      </c>
      <c r="K9" s="64">
        <v>296.19</v>
      </c>
      <c r="L9" s="64">
        <v>22.48</v>
      </c>
      <c r="M9" s="64">
        <v>34.729999999999997</v>
      </c>
      <c r="N9" s="64">
        <v>63.3</v>
      </c>
      <c r="O9" s="64">
        <v>0</v>
      </c>
      <c r="P9" s="64">
        <v>0.84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47" t="s">
        <v>1877</v>
      </c>
      <c r="B10" s="64">
        <v>7.23</v>
      </c>
      <c r="C10" s="64">
        <v>69.97</v>
      </c>
      <c r="D10" s="64">
        <v>42.36</v>
      </c>
      <c r="E10" s="64">
        <v>21.31</v>
      </c>
      <c r="F10" s="64">
        <v>11.33</v>
      </c>
      <c r="G10" s="64">
        <v>83.54</v>
      </c>
      <c r="H10" s="64">
        <v>19.82</v>
      </c>
      <c r="I10" s="64">
        <v>3.83</v>
      </c>
      <c r="J10" s="64">
        <v>0.63</v>
      </c>
      <c r="K10" s="64">
        <v>253.4</v>
      </c>
      <c r="L10" s="64">
        <v>22.19</v>
      </c>
      <c r="M10" s="64">
        <v>35.96</v>
      </c>
      <c r="N10" s="64">
        <v>63.1</v>
      </c>
      <c r="O10" s="64">
        <v>0</v>
      </c>
      <c r="P10" s="64">
        <v>0.86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47" t="s">
        <v>1878</v>
      </c>
      <c r="B11" s="64">
        <v>11.52</v>
      </c>
      <c r="C11" s="64">
        <v>75.03</v>
      </c>
      <c r="D11" s="64">
        <v>48.44</v>
      </c>
      <c r="E11" s="64">
        <v>18.5</v>
      </c>
      <c r="F11" s="64">
        <v>9.1999999999999993</v>
      </c>
      <c r="G11" s="64">
        <v>83.54</v>
      </c>
      <c r="H11" s="64">
        <v>19.82</v>
      </c>
      <c r="I11" s="64">
        <v>3.91</v>
      </c>
      <c r="J11" s="64">
        <v>0.42</v>
      </c>
      <c r="K11" s="64">
        <v>261.07</v>
      </c>
      <c r="L11" s="64">
        <v>22.03</v>
      </c>
      <c r="M11" s="64">
        <v>36.83</v>
      </c>
      <c r="N11" s="64">
        <v>63.1</v>
      </c>
      <c r="O11" s="64">
        <v>0</v>
      </c>
      <c r="P11" s="64">
        <v>0.86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47" t="s">
        <v>1879</v>
      </c>
      <c r="B12" s="64">
        <v>8.77</v>
      </c>
      <c r="C12" s="64">
        <v>69.2</v>
      </c>
      <c r="D12" s="64">
        <v>43.19</v>
      </c>
      <c r="E12" s="64">
        <v>17.510000000000002</v>
      </c>
      <c r="F12" s="64">
        <v>11.67</v>
      </c>
      <c r="G12" s="64">
        <v>87.11</v>
      </c>
      <c r="H12" s="64">
        <v>21.44</v>
      </c>
      <c r="I12" s="64">
        <v>3.99</v>
      </c>
      <c r="J12" s="64">
        <v>0.54</v>
      </c>
      <c r="K12" s="64">
        <v>298.27999999999997</v>
      </c>
      <c r="L12" s="64">
        <v>21.61</v>
      </c>
      <c r="M12" s="64">
        <v>38.270000000000003</v>
      </c>
      <c r="N12" s="64">
        <v>62.5</v>
      </c>
      <c r="O12" s="64">
        <v>0</v>
      </c>
      <c r="P12" s="64">
        <v>0.83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47" t="s">
        <v>1880</v>
      </c>
      <c r="B13" s="64">
        <v>7.27</v>
      </c>
      <c r="C13" s="64">
        <v>66.099999999999994</v>
      </c>
      <c r="D13" s="64">
        <v>40.369999999999997</v>
      </c>
      <c r="E13" s="64">
        <v>16.2</v>
      </c>
      <c r="F13" s="64">
        <v>10.33</v>
      </c>
      <c r="G13" s="64">
        <v>96.93</v>
      </c>
      <c r="H13" s="64">
        <v>24.42</v>
      </c>
      <c r="I13" s="64">
        <v>3.95</v>
      </c>
      <c r="J13" s="64">
        <v>0.84</v>
      </c>
      <c r="K13" s="64">
        <v>222.84</v>
      </c>
      <c r="L13" s="64">
        <v>21.85</v>
      </c>
      <c r="M13" s="64">
        <v>36.61</v>
      </c>
      <c r="N13" s="64">
        <v>62.3</v>
      </c>
      <c r="O13" s="64">
        <v>0</v>
      </c>
      <c r="P13" s="64">
        <v>0.7</v>
      </c>
      <c r="Q13" s="64">
        <v>9.57</v>
      </c>
      <c r="R13" s="198"/>
      <c r="S13" s="198"/>
      <c r="T13" s="198"/>
      <c r="U13" s="198"/>
    </row>
    <row r="14" spans="1:21" s="12" customFormat="1" x14ac:dyDescent="0.25">
      <c r="A14" s="247" t="s">
        <v>1881</v>
      </c>
      <c r="B14" s="64">
        <v>6.94</v>
      </c>
      <c r="C14" s="64">
        <v>64.41</v>
      </c>
      <c r="D14" s="64">
        <v>39.22</v>
      </c>
      <c r="E14" s="64">
        <v>14.87</v>
      </c>
      <c r="F14" s="64">
        <v>11.43</v>
      </c>
      <c r="G14" s="64">
        <v>96.93</v>
      </c>
      <c r="H14" s="64">
        <v>24.42</v>
      </c>
      <c r="I14" s="64">
        <v>4.08</v>
      </c>
      <c r="J14" s="64">
        <v>0.87</v>
      </c>
      <c r="K14" s="64">
        <v>213.85</v>
      </c>
      <c r="L14" s="64">
        <v>21.85</v>
      </c>
      <c r="M14" s="64">
        <v>36.770000000000003</v>
      </c>
      <c r="N14" s="64">
        <v>62.3</v>
      </c>
      <c r="O14" s="64">
        <v>0</v>
      </c>
      <c r="P14" s="64">
        <v>0.75</v>
      </c>
      <c r="Q14" s="64">
        <v>9.56</v>
      </c>
      <c r="R14" s="198"/>
      <c r="S14" s="198"/>
      <c r="T14" s="198"/>
      <c r="U14" s="198"/>
    </row>
    <row r="15" spans="1:21" s="12" customFormat="1" x14ac:dyDescent="0.25">
      <c r="A15" s="247" t="s">
        <v>1882</v>
      </c>
      <c r="B15" s="64">
        <v>7.36</v>
      </c>
      <c r="C15" s="64">
        <v>64.11</v>
      </c>
      <c r="D15" s="64">
        <v>39.4</v>
      </c>
      <c r="E15" s="64">
        <v>7.48</v>
      </c>
      <c r="F15" s="64">
        <v>9.5299999999999994</v>
      </c>
      <c r="G15" s="64">
        <v>96.93</v>
      </c>
      <c r="H15" s="64">
        <v>24.42</v>
      </c>
      <c r="I15" s="64">
        <v>3.93</v>
      </c>
      <c r="J15" s="64">
        <v>0.57999999999999996</v>
      </c>
      <c r="K15" s="64">
        <v>234.63</v>
      </c>
      <c r="L15" s="64">
        <v>21.37</v>
      </c>
      <c r="M15" s="64">
        <v>43.89</v>
      </c>
      <c r="N15" s="64">
        <v>63</v>
      </c>
      <c r="O15" s="64">
        <v>0</v>
      </c>
      <c r="P15" s="64">
        <v>0.7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47" t="s">
        <v>1883</v>
      </c>
      <c r="B16" s="64">
        <v>6.89</v>
      </c>
      <c r="C16" s="64">
        <v>61.45</v>
      </c>
      <c r="D16" s="64">
        <v>37.630000000000003</v>
      </c>
      <c r="E16" s="64">
        <v>8.33</v>
      </c>
      <c r="F16" s="64">
        <v>10.26</v>
      </c>
      <c r="G16" s="64">
        <v>96.15</v>
      </c>
      <c r="H16" s="64">
        <v>23.4</v>
      </c>
      <c r="I16" s="64">
        <v>4.03</v>
      </c>
      <c r="J16" s="64">
        <v>0.39</v>
      </c>
      <c r="K16" s="64">
        <v>17.14</v>
      </c>
      <c r="L16" s="64">
        <v>20.38</v>
      </c>
      <c r="M16" s="64">
        <v>47.86</v>
      </c>
      <c r="N16" s="64">
        <v>63.4</v>
      </c>
      <c r="O16" s="64">
        <v>0</v>
      </c>
      <c r="P16" s="64">
        <v>0.67</v>
      </c>
      <c r="Q16" s="64">
        <v>9.5399999999999991</v>
      </c>
      <c r="R16" s="198"/>
      <c r="S16" s="198"/>
      <c r="T16" s="198"/>
      <c r="U16" s="198"/>
    </row>
    <row r="17" spans="1:21" s="12" customFormat="1" x14ac:dyDescent="0.25">
      <c r="A17" s="247" t="s">
        <v>1884</v>
      </c>
      <c r="B17" s="64">
        <v>5.95</v>
      </c>
      <c r="C17" s="64">
        <v>56.08</v>
      </c>
      <c r="D17" s="64">
        <v>34.07</v>
      </c>
      <c r="E17" s="64">
        <v>10.06</v>
      </c>
      <c r="F17" s="64">
        <v>15.67</v>
      </c>
      <c r="G17" s="64">
        <v>93.89</v>
      </c>
      <c r="H17" s="64">
        <v>21.4</v>
      </c>
      <c r="I17" s="64">
        <v>3.91</v>
      </c>
      <c r="J17" s="64">
        <v>0.4</v>
      </c>
      <c r="K17" s="64">
        <v>34.4</v>
      </c>
      <c r="L17" s="64">
        <v>20.53</v>
      </c>
      <c r="M17" s="64">
        <v>43.54</v>
      </c>
      <c r="N17" s="64">
        <v>62.2</v>
      </c>
      <c r="O17" s="64">
        <v>0</v>
      </c>
      <c r="P17" s="64">
        <v>0.64</v>
      </c>
      <c r="Q17" s="64">
        <v>9.5399999999999991</v>
      </c>
      <c r="R17" s="198"/>
      <c r="S17" s="198"/>
      <c r="T17" s="198"/>
      <c r="U17" s="198"/>
    </row>
    <row r="18" spans="1:21" s="12" customFormat="1" x14ac:dyDescent="0.25">
      <c r="A18" s="247" t="s">
        <v>1885</v>
      </c>
      <c r="B18" s="64">
        <v>5.89</v>
      </c>
      <c r="C18" s="64">
        <v>52.66</v>
      </c>
      <c r="D18" s="64">
        <v>32.24</v>
      </c>
      <c r="E18" s="64">
        <v>12.47</v>
      </c>
      <c r="F18" s="64">
        <v>15.1</v>
      </c>
      <c r="G18" s="64">
        <v>93.89</v>
      </c>
      <c r="H18" s="64">
        <v>21.4</v>
      </c>
      <c r="I18" s="64">
        <v>4.0599999999999996</v>
      </c>
      <c r="J18" s="64">
        <v>0.79</v>
      </c>
      <c r="K18" s="64">
        <v>232.65</v>
      </c>
      <c r="L18" s="64">
        <v>21.22</v>
      </c>
      <c r="M18" s="64">
        <v>40.72</v>
      </c>
      <c r="N18" s="64">
        <v>61.9</v>
      </c>
      <c r="O18" s="64">
        <v>0</v>
      </c>
      <c r="P18" s="64">
        <v>0.66</v>
      </c>
      <c r="Q18" s="64">
        <v>9.5500000000000007</v>
      </c>
      <c r="R18" s="198"/>
      <c r="S18" s="198"/>
      <c r="T18" s="198"/>
      <c r="U18" s="198"/>
    </row>
    <row r="19" spans="1:21" s="12" customFormat="1" x14ac:dyDescent="0.25">
      <c r="A19" s="247" t="s">
        <v>1886</v>
      </c>
      <c r="B19" s="64">
        <v>11.88</v>
      </c>
      <c r="C19" s="64">
        <v>64.86</v>
      </c>
      <c r="D19" s="64">
        <v>43.41</v>
      </c>
      <c r="E19" s="64">
        <v>12.72</v>
      </c>
      <c r="F19" s="64">
        <v>11.4</v>
      </c>
      <c r="G19" s="64">
        <v>93.89</v>
      </c>
      <c r="H19" s="64">
        <v>21.4</v>
      </c>
      <c r="I19" s="64">
        <v>3.98</v>
      </c>
      <c r="J19" s="64">
        <v>0.35</v>
      </c>
      <c r="K19" s="64">
        <v>275.33999999999997</v>
      </c>
      <c r="L19" s="64">
        <v>21.02</v>
      </c>
      <c r="M19" s="64">
        <v>41.42</v>
      </c>
      <c r="N19" s="64">
        <v>63</v>
      </c>
      <c r="O19" s="64">
        <v>0</v>
      </c>
      <c r="P19" s="64">
        <v>0.66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47" t="s">
        <v>1887</v>
      </c>
      <c r="B20" s="64">
        <v>11.54</v>
      </c>
      <c r="C20" s="64">
        <v>64.989999999999995</v>
      </c>
      <c r="D20" s="64">
        <v>43.21</v>
      </c>
      <c r="E20" s="64">
        <v>8.57</v>
      </c>
      <c r="F20" s="64">
        <v>10.199999999999999</v>
      </c>
      <c r="G20" s="64">
        <v>92.78</v>
      </c>
      <c r="H20" s="64">
        <v>24.36</v>
      </c>
      <c r="I20" s="64">
        <v>4.05</v>
      </c>
      <c r="J20" s="64">
        <v>1</v>
      </c>
      <c r="K20" s="64">
        <v>208.39</v>
      </c>
      <c r="L20" s="64">
        <v>20.75</v>
      </c>
      <c r="M20" s="64">
        <v>44.5</v>
      </c>
      <c r="N20" s="64">
        <v>62.1</v>
      </c>
      <c r="O20" s="64">
        <v>0</v>
      </c>
      <c r="P20" s="64">
        <v>0.67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47" t="s">
        <v>1888</v>
      </c>
      <c r="B21" s="64">
        <v>8.14</v>
      </c>
      <c r="C21" s="64">
        <v>56.24</v>
      </c>
      <c r="D21" s="64">
        <v>35.909999999999997</v>
      </c>
      <c r="E21" s="64">
        <v>6.99</v>
      </c>
      <c r="F21" s="64">
        <v>11.82</v>
      </c>
      <c r="G21" s="64">
        <v>89.55</v>
      </c>
      <c r="H21" s="64">
        <v>35.21</v>
      </c>
      <c r="I21" s="64">
        <v>3.98</v>
      </c>
      <c r="J21" s="64">
        <v>0.9</v>
      </c>
      <c r="K21" s="64">
        <v>209.25</v>
      </c>
      <c r="L21" s="64">
        <v>20.260000000000002</v>
      </c>
      <c r="M21" s="64">
        <v>46.3</v>
      </c>
      <c r="N21" s="64">
        <v>62.8</v>
      </c>
      <c r="O21" s="64">
        <v>0</v>
      </c>
      <c r="P21" s="64">
        <v>0.66</v>
      </c>
      <c r="Q21" s="64">
        <v>9.56</v>
      </c>
      <c r="R21" s="198"/>
      <c r="S21" s="198"/>
      <c r="T21" s="198"/>
      <c r="U21" s="198"/>
    </row>
    <row r="22" spans="1:21" s="12" customFormat="1" x14ac:dyDescent="0.25">
      <c r="A22" s="247" t="s">
        <v>1889</v>
      </c>
      <c r="B22" s="64">
        <v>7.61</v>
      </c>
      <c r="C22" s="64">
        <v>52.53</v>
      </c>
      <c r="D22" s="64">
        <v>33.549999999999997</v>
      </c>
      <c r="E22" s="64">
        <v>5.46</v>
      </c>
      <c r="F22" s="64">
        <v>11.26</v>
      </c>
      <c r="G22" s="64">
        <v>89.55</v>
      </c>
      <c r="H22" s="64">
        <v>35.21</v>
      </c>
      <c r="I22" s="64">
        <v>4.07</v>
      </c>
      <c r="J22" s="64">
        <v>0.47</v>
      </c>
      <c r="K22" s="64">
        <v>258.52</v>
      </c>
      <c r="L22" s="64">
        <v>19.989999999999998</v>
      </c>
      <c r="M22" s="64">
        <v>48.08</v>
      </c>
      <c r="N22" s="64">
        <v>62.9</v>
      </c>
      <c r="O22" s="64">
        <v>0</v>
      </c>
      <c r="P22" s="64">
        <v>0.65</v>
      </c>
      <c r="Q22" s="64">
        <v>9.58</v>
      </c>
      <c r="R22" s="198"/>
      <c r="S22" s="198"/>
      <c r="T22" s="198"/>
      <c r="U22" s="198"/>
    </row>
    <row r="23" spans="1:21" s="12" customFormat="1" x14ac:dyDescent="0.25">
      <c r="A23" s="247" t="s">
        <v>1890</v>
      </c>
      <c r="B23" s="64">
        <v>9.42</v>
      </c>
      <c r="C23" s="64">
        <v>54.11</v>
      </c>
      <c r="D23" s="64">
        <v>35.83</v>
      </c>
      <c r="E23" s="64">
        <v>3.24</v>
      </c>
      <c r="F23" s="64">
        <v>7.12</v>
      </c>
      <c r="G23" s="64">
        <v>89.55</v>
      </c>
      <c r="H23" s="64">
        <v>35.21</v>
      </c>
      <c r="I23" s="64">
        <v>4.01</v>
      </c>
      <c r="J23" s="64">
        <v>0.7</v>
      </c>
      <c r="K23" s="64">
        <v>334.65</v>
      </c>
      <c r="L23" s="64">
        <v>19.399999999999999</v>
      </c>
      <c r="M23" s="64">
        <v>52.54</v>
      </c>
      <c r="N23" s="64">
        <v>63.3</v>
      </c>
      <c r="O23" s="64">
        <v>0</v>
      </c>
      <c r="P23" s="64">
        <v>0.71</v>
      </c>
      <c r="Q23" s="64">
        <v>9.57</v>
      </c>
      <c r="R23" s="198"/>
      <c r="S23" s="198"/>
      <c r="T23" s="198"/>
      <c r="U23" s="198"/>
    </row>
    <row r="24" spans="1:21" s="12" customFormat="1" x14ac:dyDescent="0.25">
      <c r="A24" s="247" t="s">
        <v>1891</v>
      </c>
      <c r="B24" s="64">
        <v>11.22</v>
      </c>
      <c r="C24" s="64">
        <v>58.59</v>
      </c>
      <c r="D24" s="64">
        <v>39.61</v>
      </c>
      <c r="E24" s="64">
        <v>3.15</v>
      </c>
      <c r="F24" s="64">
        <v>7.11</v>
      </c>
      <c r="G24" s="64">
        <v>86.99</v>
      </c>
      <c r="H24" s="64">
        <v>31.28</v>
      </c>
      <c r="I24" s="64">
        <v>3.98</v>
      </c>
      <c r="J24" s="64">
        <v>0.56999999999999995</v>
      </c>
      <c r="K24" s="64">
        <v>294.81</v>
      </c>
      <c r="L24" s="64">
        <v>18.77</v>
      </c>
      <c r="M24" s="64">
        <v>56.17</v>
      </c>
      <c r="N24" s="64">
        <v>63.1</v>
      </c>
      <c r="O24" s="64">
        <v>0</v>
      </c>
      <c r="P24" s="64">
        <v>0.72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47" t="s">
        <v>1892</v>
      </c>
      <c r="B25" s="64">
        <v>12.99</v>
      </c>
      <c r="C25" s="64">
        <v>60.44</v>
      </c>
      <c r="D25" s="64">
        <v>41.99</v>
      </c>
      <c r="E25" s="64">
        <v>3.78</v>
      </c>
      <c r="F25" s="64">
        <v>8.66</v>
      </c>
      <c r="G25" s="64">
        <v>79.95</v>
      </c>
      <c r="H25" s="64">
        <v>23.75</v>
      </c>
      <c r="I25" s="64">
        <v>4.09</v>
      </c>
      <c r="J25" s="64">
        <v>0.51</v>
      </c>
      <c r="K25" s="64">
        <v>15.36</v>
      </c>
      <c r="L25" s="64">
        <v>19.079999999999998</v>
      </c>
      <c r="M25" s="64">
        <v>50.17</v>
      </c>
      <c r="N25" s="64">
        <v>61.8</v>
      </c>
      <c r="O25" s="64">
        <v>0</v>
      </c>
      <c r="P25" s="64">
        <v>0.7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47" t="s">
        <v>1893</v>
      </c>
      <c r="B26" s="64">
        <v>13.11</v>
      </c>
      <c r="C26" s="64">
        <v>57.66</v>
      </c>
      <c r="D26" s="64">
        <v>40.64</v>
      </c>
      <c r="E26" s="64">
        <v>4.79</v>
      </c>
      <c r="F26" s="64">
        <v>9.5500000000000007</v>
      </c>
      <c r="G26" s="64">
        <v>79.95</v>
      </c>
      <c r="H26" s="64">
        <v>23.75</v>
      </c>
      <c r="I26" s="64">
        <v>4.04</v>
      </c>
      <c r="J26" s="64">
        <v>1.21</v>
      </c>
      <c r="K26" s="64">
        <v>5.7</v>
      </c>
      <c r="L26" s="64">
        <v>20.46</v>
      </c>
      <c r="M26" s="64">
        <v>41.44</v>
      </c>
      <c r="N26" s="64">
        <v>60.8</v>
      </c>
      <c r="O26" s="64">
        <v>0</v>
      </c>
      <c r="P26" s="64">
        <v>0.68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47" t="s">
        <v>1894</v>
      </c>
      <c r="B27" s="64">
        <v>11.23</v>
      </c>
      <c r="C27" s="64">
        <v>58.99</v>
      </c>
      <c r="D27" s="64">
        <v>39.83</v>
      </c>
      <c r="E27" s="64">
        <v>4.1900000000000004</v>
      </c>
      <c r="F27" s="64">
        <v>8.36</v>
      </c>
      <c r="G27" s="64">
        <v>79.95</v>
      </c>
      <c r="H27" s="64">
        <v>23.75</v>
      </c>
      <c r="I27" s="64">
        <v>3.92</v>
      </c>
      <c r="J27" s="64">
        <v>1.44</v>
      </c>
      <c r="K27" s="64">
        <v>3.67</v>
      </c>
      <c r="L27" s="64">
        <v>20.7</v>
      </c>
      <c r="M27" s="64">
        <v>41.07</v>
      </c>
      <c r="N27" s="64">
        <v>61.8</v>
      </c>
      <c r="O27" s="64">
        <v>0</v>
      </c>
      <c r="P27" s="64">
        <v>0.69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47" t="s">
        <v>1895</v>
      </c>
      <c r="B28" s="64">
        <v>14.06</v>
      </c>
      <c r="C28" s="64">
        <v>58.53</v>
      </c>
      <c r="D28" s="64">
        <v>41.86</v>
      </c>
      <c r="E28" s="64">
        <v>3.64</v>
      </c>
      <c r="F28" s="64">
        <v>9.8000000000000007</v>
      </c>
      <c r="G28" s="64">
        <v>76.94</v>
      </c>
      <c r="H28" s="64">
        <v>22.97</v>
      </c>
      <c r="I28" s="64">
        <v>4.05</v>
      </c>
      <c r="J28" s="64">
        <v>1.3</v>
      </c>
      <c r="K28" s="64">
        <v>8.9</v>
      </c>
      <c r="L28" s="64">
        <v>20.76</v>
      </c>
      <c r="M28" s="64">
        <v>41.07</v>
      </c>
      <c r="N28" s="64">
        <v>62.3</v>
      </c>
      <c r="O28" s="64">
        <v>0</v>
      </c>
      <c r="P28" s="64">
        <v>0.68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47" t="s">
        <v>1896</v>
      </c>
      <c r="B29" s="64">
        <v>11.39</v>
      </c>
      <c r="C29" s="64">
        <v>60.08</v>
      </c>
      <c r="D29" s="64">
        <v>40.520000000000003</v>
      </c>
      <c r="E29" s="64">
        <v>4.34</v>
      </c>
      <c r="F29" s="64">
        <v>9.33</v>
      </c>
      <c r="G29" s="64">
        <v>68.66</v>
      </c>
      <c r="H29" s="64">
        <v>21.47</v>
      </c>
      <c r="I29" s="64">
        <v>4.01</v>
      </c>
      <c r="J29" s="64">
        <v>1.22</v>
      </c>
      <c r="K29" s="64">
        <v>5.78</v>
      </c>
      <c r="L29" s="64">
        <v>20.52</v>
      </c>
      <c r="M29" s="64">
        <v>42.23</v>
      </c>
      <c r="N29" s="64">
        <v>62.5</v>
      </c>
      <c r="O29" s="64">
        <v>0</v>
      </c>
      <c r="P29" s="64">
        <v>0.67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47" t="s">
        <v>1897</v>
      </c>
      <c r="B30" s="64">
        <v>10.5</v>
      </c>
      <c r="C30" s="64">
        <v>62.19</v>
      </c>
      <c r="D30" s="64">
        <v>40.909999999999997</v>
      </c>
      <c r="E30" s="64">
        <v>3.73</v>
      </c>
      <c r="F30" s="64">
        <v>8.5299999999999994</v>
      </c>
      <c r="G30" s="64">
        <v>68.66</v>
      </c>
      <c r="H30" s="64">
        <v>21.47</v>
      </c>
      <c r="I30" s="64">
        <v>3.93</v>
      </c>
      <c r="J30" s="64">
        <v>1.38</v>
      </c>
      <c r="K30" s="64">
        <v>5.31</v>
      </c>
      <c r="L30" s="64">
        <v>20.399999999999999</v>
      </c>
      <c r="M30" s="64">
        <v>42.87</v>
      </c>
      <c r="N30" s="64">
        <v>62.6</v>
      </c>
      <c r="O30" s="64">
        <v>0</v>
      </c>
      <c r="P30" s="64">
        <v>0.68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47" t="s">
        <v>1898</v>
      </c>
      <c r="B31" s="64">
        <v>9.93</v>
      </c>
      <c r="C31" s="64">
        <v>62.8</v>
      </c>
      <c r="D31" s="64">
        <v>40.770000000000003</v>
      </c>
      <c r="E31" s="64">
        <v>3.44</v>
      </c>
      <c r="F31" s="64">
        <v>8.6</v>
      </c>
      <c r="G31" s="64">
        <v>68.66</v>
      </c>
      <c r="H31" s="64">
        <v>21.47</v>
      </c>
      <c r="I31" s="64">
        <v>4.01</v>
      </c>
      <c r="J31" s="64">
        <v>1.66</v>
      </c>
      <c r="K31" s="64">
        <v>4.42</v>
      </c>
      <c r="L31" s="64">
        <v>20.39</v>
      </c>
      <c r="M31" s="64">
        <v>43.24</v>
      </c>
      <c r="N31" s="64">
        <v>62.5</v>
      </c>
      <c r="O31" s="64">
        <v>0</v>
      </c>
      <c r="P31" s="64">
        <v>0.66</v>
      </c>
      <c r="Q31" s="64">
        <v>9.5500000000000007</v>
      </c>
      <c r="R31" s="198"/>
      <c r="S31" s="198"/>
      <c r="T31" s="198"/>
      <c r="U31" s="198"/>
    </row>
    <row r="32" spans="1:21" s="12" customFormat="1" x14ac:dyDescent="0.25">
      <c r="A32" s="247" t="s">
        <v>1899</v>
      </c>
      <c r="B32" s="64">
        <v>9.39</v>
      </c>
      <c r="C32" s="64">
        <v>62.58</v>
      </c>
      <c r="D32" s="64">
        <v>40.229999999999997</v>
      </c>
      <c r="E32" s="64">
        <v>3.56</v>
      </c>
      <c r="F32" s="64">
        <v>9.1</v>
      </c>
      <c r="G32" s="64">
        <v>69.650000000000006</v>
      </c>
      <c r="H32" s="64">
        <v>23.05</v>
      </c>
      <c r="I32" s="64">
        <v>3.95</v>
      </c>
      <c r="J32" s="64">
        <v>1.36</v>
      </c>
      <c r="K32" s="64">
        <v>6.35</v>
      </c>
      <c r="L32" s="64">
        <v>20.14</v>
      </c>
      <c r="M32" s="64">
        <v>44.38</v>
      </c>
      <c r="N32" s="64">
        <v>63.4</v>
      </c>
      <c r="O32" s="64">
        <v>0</v>
      </c>
      <c r="P32" s="64">
        <v>0.65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47" t="s">
        <v>1900</v>
      </c>
      <c r="B33" s="64">
        <v>10.16</v>
      </c>
      <c r="C33" s="64">
        <v>57.54</v>
      </c>
      <c r="D33" s="64">
        <v>38.21</v>
      </c>
      <c r="E33" s="64">
        <v>5.57</v>
      </c>
      <c r="F33" s="64">
        <v>11.91</v>
      </c>
      <c r="G33" s="64">
        <v>72.400000000000006</v>
      </c>
      <c r="H33" s="64">
        <v>25.95</v>
      </c>
      <c r="I33" s="64">
        <v>4.0999999999999996</v>
      </c>
      <c r="J33" s="64">
        <v>1.34</v>
      </c>
      <c r="K33" s="64">
        <v>8.1</v>
      </c>
      <c r="L33" s="64">
        <v>20.03</v>
      </c>
      <c r="M33" s="64">
        <v>44.92</v>
      </c>
      <c r="N33" s="64">
        <v>66.7</v>
      </c>
      <c r="O33" s="64">
        <v>0</v>
      </c>
      <c r="P33" s="64">
        <v>0.66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47" t="s">
        <v>1901</v>
      </c>
      <c r="B34" s="64">
        <v>13.31</v>
      </c>
      <c r="C34" s="64">
        <v>62.62</v>
      </c>
      <c r="D34" s="64">
        <v>43.4</v>
      </c>
      <c r="E34" s="64">
        <v>6.72</v>
      </c>
      <c r="F34" s="64">
        <v>10.69</v>
      </c>
      <c r="G34" s="64">
        <v>72.400000000000006</v>
      </c>
      <c r="H34" s="64">
        <v>25.95</v>
      </c>
      <c r="I34" s="64">
        <v>4.05</v>
      </c>
      <c r="J34" s="64">
        <v>1.1100000000000001</v>
      </c>
      <c r="K34" s="64">
        <v>12.21</v>
      </c>
      <c r="L34" s="64">
        <v>19.93</v>
      </c>
      <c r="M34" s="64">
        <v>45.48</v>
      </c>
      <c r="N34" s="64">
        <v>72.099999999999994</v>
      </c>
      <c r="O34" s="64">
        <v>0</v>
      </c>
      <c r="P34" s="64">
        <v>0.73</v>
      </c>
      <c r="Q34" s="64">
        <v>9.52</v>
      </c>
      <c r="R34" s="198"/>
      <c r="S34" s="198"/>
      <c r="T34" s="198"/>
      <c r="U34" s="198"/>
    </row>
    <row r="35" spans="1:21" s="12" customFormat="1" x14ac:dyDescent="0.25">
      <c r="A35" s="247" t="s">
        <v>1902</v>
      </c>
      <c r="B35" s="64">
        <v>12.32</v>
      </c>
      <c r="C35" s="64">
        <v>67.489999999999995</v>
      </c>
      <c r="D35" s="64">
        <v>45.14</v>
      </c>
      <c r="E35" s="64">
        <v>6.66</v>
      </c>
      <c r="F35" s="64">
        <v>11.12</v>
      </c>
      <c r="G35" s="64">
        <v>72.400000000000006</v>
      </c>
      <c r="H35" s="64">
        <v>25.95</v>
      </c>
      <c r="I35" s="64">
        <v>3.98</v>
      </c>
      <c r="J35" s="64">
        <v>0.7</v>
      </c>
      <c r="K35" s="64">
        <v>26.72</v>
      </c>
      <c r="L35" s="64">
        <v>19.920000000000002</v>
      </c>
      <c r="M35" s="64">
        <v>45.93</v>
      </c>
      <c r="N35" s="64">
        <v>105.6</v>
      </c>
      <c r="O35" s="64">
        <v>0</v>
      </c>
      <c r="P35" s="64">
        <v>0.69</v>
      </c>
      <c r="Q35" s="64">
        <v>9.56</v>
      </c>
      <c r="R35" s="198"/>
      <c r="S35" s="198"/>
      <c r="T35" s="198"/>
      <c r="U35" s="198"/>
    </row>
    <row r="36" spans="1:21" s="12" customFormat="1" x14ac:dyDescent="0.25">
      <c r="A36" s="247" t="s">
        <v>1903</v>
      </c>
      <c r="B36" s="64">
        <v>16.05</v>
      </c>
      <c r="C36" s="64">
        <v>68.13</v>
      </c>
      <c r="D36" s="64">
        <v>48.46</v>
      </c>
      <c r="E36" s="64">
        <v>8.73</v>
      </c>
      <c r="F36" s="64">
        <v>10.06</v>
      </c>
      <c r="G36" s="64">
        <v>73.83</v>
      </c>
      <c r="H36" s="64">
        <v>24.39</v>
      </c>
      <c r="I36" s="64">
        <v>3.95</v>
      </c>
      <c r="J36" s="64">
        <v>0.77</v>
      </c>
      <c r="K36" s="64">
        <v>1.49</v>
      </c>
      <c r="L36" s="64">
        <v>20.8</v>
      </c>
      <c r="M36" s="64">
        <v>44.31</v>
      </c>
      <c r="N36" s="64">
        <v>137.30000000000001</v>
      </c>
      <c r="O36" s="64">
        <v>0</v>
      </c>
      <c r="P36" s="64">
        <v>0.74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47" t="s">
        <v>1904</v>
      </c>
      <c r="B37" s="64">
        <v>18.72</v>
      </c>
      <c r="C37" s="64">
        <v>66.42</v>
      </c>
      <c r="D37" s="64">
        <v>49.72</v>
      </c>
      <c r="E37" s="64">
        <v>9.26</v>
      </c>
      <c r="F37" s="64">
        <v>10.29</v>
      </c>
      <c r="G37" s="64">
        <v>77.77</v>
      </c>
      <c r="H37" s="64">
        <v>18.14</v>
      </c>
      <c r="I37" s="64">
        <v>3.87</v>
      </c>
      <c r="J37" s="64">
        <v>0.8</v>
      </c>
      <c r="K37" s="64">
        <v>9.86</v>
      </c>
      <c r="L37" s="64">
        <v>21.96</v>
      </c>
      <c r="M37" s="64">
        <v>41.76</v>
      </c>
      <c r="N37" s="64">
        <v>197.9</v>
      </c>
      <c r="O37" s="64">
        <v>0</v>
      </c>
      <c r="P37" s="64">
        <v>0.71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47" t="s">
        <v>1905</v>
      </c>
      <c r="B38" s="64">
        <v>21.54</v>
      </c>
      <c r="C38" s="64">
        <v>68.17</v>
      </c>
      <c r="D38" s="64">
        <v>52.89</v>
      </c>
      <c r="E38" s="64">
        <v>7.17</v>
      </c>
      <c r="F38" s="64">
        <v>9.6199999999999992</v>
      </c>
      <c r="G38" s="64">
        <v>77.77</v>
      </c>
      <c r="H38" s="64">
        <v>18.14</v>
      </c>
      <c r="I38" s="64">
        <v>4.04</v>
      </c>
      <c r="J38" s="64">
        <v>0.93</v>
      </c>
      <c r="K38" s="64">
        <v>15.38</v>
      </c>
      <c r="L38" s="64">
        <v>23.22</v>
      </c>
      <c r="M38" s="64">
        <v>39.17</v>
      </c>
      <c r="N38" s="64">
        <v>255.1</v>
      </c>
      <c r="O38" s="64">
        <v>0</v>
      </c>
      <c r="P38" s="64">
        <v>0.8</v>
      </c>
      <c r="Q38" s="64">
        <v>9.6999999999999993</v>
      </c>
      <c r="R38" s="198"/>
      <c r="S38" s="198"/>
      <c r="T38" s="198"/>
      <c r="U38" s="198"/>
    </row>
    <row r="39" spans="1:21" s="12" customFormat="1" x14ac:dyDescent="0.25">
      <c r="A39" s="247" t="s">
        <v>1906</v>
      </c>
      <c r="B39" s="64">
        <v>17.72</v>
      </c>
      <c r="C39" s="64">
        <v>64.739999999999995</v>
      </c>
      <c r="D39" s="64">
        <v>48.04</v>
      </c>
      <c r="E39" s="64">
        <v>8.61</v>
      </c>
      <c r="F39" s="64">
        <v>10.55</v>
      </c>
      <c r="G39" s="64">
        <v>77.77</v>
      </c>
      <c r="H39" s="64">
        <v>18.14</v>
      </c>
      <c r="I39" s="64">
        <v>4.1100000000000003</v>
      </c>
      <c r="J39" s="64">
        <v>0.95</v>
      </c>
      <c r="K39" s="64">
        <v>56.01</v>
      </c>
      <c r="L39" s="64">
        <v>23.91</v>
      </c>
      <c r="M39" s="64">
        <v>37.270000000000003</v>
      </c>
      <c r="N39" s="64">
        <v>298.39999999999998</v>
      </c>
      <c r="O39" s="64">
        <v>0</v>
      </c>
      <c r="P39" s="64">
        <v>0.76</v>
      </c>
      <c r="Q39" s="64">
        <v>9.6999999999999993</v>
      </c>
      <c r="R39" s="198"/>
      <c r="S39" s="198"/>
      <c r="T39" s="198"/>
      <c r="U39" s="198"/>
    </row>
    <row r="40" spans="1:21" s="12" customFormat="1" x14ac:dyDescent="0.25">
      <c r="A40" s="247" t="s">
        <v>1907</v>
      </c>
      <c r="B40" s="64">
        <v>17.079999999999998</v>
      </c>
      <c r="C40" s="64">
        <v>65.22</v>
      </c>
      <c r="D40" s="64">
        <v>47.77</v>
      </c>
      <c r="E40" s="64">
        <v>5.37</v>
      </c>
      <c r="F40" s="64">
        <v>7.4</v>
      </c>
      <c r="G40" s="64">
        <v>78.16</v>
      </c>
      <c r="H40" s="64">
        <v>18.84</v>
      </c>
      <c r="I40" s="64">
        <v>3.89</v>
      </c>
      <c r="J40" s="64">
        <v>0.89</v>
      </c>
      <c r="K40" s="64">
        <v>38.409999999999997</v>
      </c>
      <c r="L40" s="64">
        <v>23.94</v>
      </c>
      <c r="M40" s="64">
        <v>35.57</v>
      </c>
      <c r="N40" s="64">
        <v>341.9</v>
      </c>
      <c r="O40" s="64">
        <v>0</v>
      </c>
      <c r="P40" s="64">
        <v>0.74</v>
      </c>
      <c r="Q40" s="64">
        <v>9.6999999999999993</v>
      </c>
      <c r="R40" s="198"/>
      <c r="S40" s="198"/>
      <c r="T40" s="198"/>
      <c r="U40" s="198"/>
    </row>
    <row r="41" spans="1:21" s="12" customFormat="1" x14ac:dyDescent="0.25">
      <c r="A41" s="247" t="s">
        <v>1908</v>
      </c>
      <c r="B41" s="64">
        <v>15.74</v>
      </c>
      <c r="C41" s="64">
        <v>68.150000000000006</v>
      </c>
      <c r="D41" s="64">
        <v>48.23</v>
      </c>
      <c r="E41" s="64">
        <v>4.37</v>
      </c>
      <c r="F41" s="64">
        <v>7.26</v>
      </c>
      <c r="G41" s="64">
        <v>79.239999999999995</v>
      </c>
      <c r="H41" s="64">
        <v>20.18</v>
      </c>
      <c r="I41" s="64">
        <v>4.03</v>
      </c>
      <c r="J41" s="64">
        <v>1.22</v>
      </c>
      <c r="K41" s="64">
        <v>76.03</v>
      </c>
      <c r="L41" s="64">
        <v>24.41</v>
      </c>
      <c r="M41" s="64">
        <v>35</v>
      </c>
      <c r="N41" s="64">
        <v>406.9</v>
      </c>
      <c r="O41" s="64">
        <v>0</v>
      </c>
      <c r="P41" s="64">
        <v>0.74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47" t="s">
        <v>1909</v>
      </c>
      <c r="B42" s="64">
        <v>18.89</v>
      </c>
      <c r="C42" s="64">
        <v>70.099999999999994</v>
      </c>
      <c r="D42" s="64">
        <v>51.77</v>
      </c>
      <c r="E42" s="64">
        <v>5.23</v>
      </c>
      <c r="F42" s="64">
        <v>7.62</v>
      </c>
      <c r="G42" s="64">
        <v>79.239999999999995</v>
      </c>
      <c r="H42" s="64">
        <v>20.18</v>
      </c>
      <c r="I42" s="64">
        <v>3.98</v>
      </c>
      <c r="J42" s="64">
        <v>0.97</v>
      </c>
      <c r="K42" s="64">
        <v>67.62</v>
      </c>
      <c r="L42" s="64">
        <v>24.67</v>
      </c>
      <c r="M42" s="64">
        <v>34.1</v>
      </c>
      <c r="N42" s="64">
        <v>447.2</v>
      </c>
      <c r="O42" s="64">
        <v>0</v>
      </c>
      <c r="P42" s="64">
        <v>0.73</v>
      </c>
      <c r="Q42" s="64">
        <v>9.69</v>
      </c>
      <c r="R42" s="198"/>
      <c r="S42" s="198"/>
      <c r="T42" s="198"/>
      <c r="U42" s="198"/>
    </row>
    <row r="43" spans="1:21" s="12" customFormat="1" x14ac:dyDescent="0.25">
      <c r="A43" s="247" t="s">
        <v>1910</v>
      </c>
      <c r="B43" s="64">
        <v>19.77</v>
      </c>
      <c r="C43" s="64">
        <v>75.45</v>
      </c>
      <c r="D43" s="64">
        <v>55.28</v>
      </c>
      <c r="E43" s="64">
        <v>6.37</v>
      </c>
      <c r="F43" s="64">
        <v>7.8</v>
      </c>
      <c r="G43" s="64">
        <v>79.239999999999995</v>
      </c>
      <c r="H43" s="64">
        <v>20.18</v>
      </c>
      <c r="I43" s="64">
        <v>4.0599999999999996</v>
      </c>
      <c r="J43" s="64">
        <v>1.18</v>
      </c>
      <c r="K43" s="64">
        <v>50.28</v>
      </c>
      <c r="L43" s="64">
        <v>25.78</v>
      </c>
      <c r="M43" s="64">
        <v>30.3</v>
      </c>
      <c r="N43" s="64">
        <v>490.8</v>
      </c>
      <c r="O43" s="64">
        <v>0</v>
      </c>
      <c r="P43" s="64">
        <v>0.71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47" t="s">
        <v>1911</v>
      </c>
      <c r="B44" s="64">
        <v>20.329999999999998</v>
      </c>
      <c r="C44" s="64">
        <v>79.38</v>
      </c>
      <c r="D44" s="64">
        <v>57.78</v>
      </c>
      <c r="E44" s="64">
        <v>6.12</v>
      </c>
      <c r="F44" s="64">
        <v>8.07</v>
      </c>
      <c r="G44" s="64">
        <v>78.39</v>
      </c>
      <c r="H44" s="64">
        <v>19.63</v>
      </c>
      <c r="I44" s="64">
        <v>3.83</v>
      </c>
      <c r="J44" s="64">
        <v>1.38</v>
      </c>
      <c r="K44" s="64">
        <v>68.099999999999994</v>
      </c>
      <c r="L44" s="64">
        <v>25.75</v>
      </c>
      <c r="M44" s="64">
        <v>30.25</v>
      </c>
      <c r="N44" s="64">
        <v>540</v>
      </c>
      <c r="O44" s="64">
        <v>0</v>
      </c>
      <c r="P44" s="64">
        <v>0.7</v>
      </c>
      <c r="Q44" s="64">
        <v>9.69</v>
      </c>
      <c r="R44" s="198"/>
      <c r="S44" s="198"/>
      <c r="T44" s="198"/>
      <c r="U44" s="198"/>
    </row>
    <row r="45" spans="1:21" s="12" customFormat="1" x14ac:dyDescent="0.25">
      <c r="A45" s="247" t="s">
        <v>1912</v>
      </c>
      <c r="B45" s="64">
        <v>19.850000000000001</v>
      </c>
      <c r="C45" s="64">
        <v>78.47</v>
      </c>
      <c r="D45" s="64">
        <v>56.91</v>
      </c>
      <c r="E45" s="64">
        <v>5.95</v>
      </c>
      <c r="F45" s="64">
        <v>8.49</v>
      </c>
      <c r="G45" s="64">
        <v>76.040000000000006</v>
      </c>
      <c r="H45" s="64">
        <v>18.57</v>
      </c>
      <c r="I45" s="64">
        <v>3.94</v>
      </c>
      <c r="J45" s="64">
        <v>1.2</v>
      </c>
      <c r="K45" s="64">
        <v>61.01</v>
      </c>
      <c r="L45" s="64">
        <v>26.38</v>
      </c>
      <c r="M45" s="64">
        <v>28.91</v>
      </c>
      <c r="N45" s="64">
        <v>576.6</v>
      </c>
      <c r="O45" s="64">
        <v>0</v>
      </c>
      <c r="P45" s="64">
        <v>0.67</v>
      </c>
      <c r="Q45" s="64">
        <v>9.69</v>
      </c>
      <c r="R45" s="198"/>
      <c r="S45" s="198"/>
      <c r="T45" s="198"/>
      <c r="U45" s="198"/>
    </row>
    <row r="46" spans="1:21" s="12" customFormat="1" x14ac:dyDescent="0.25">
      <c r="A46" s="247" t="s">
        <v>1913</v>
      </c>
      <c r="B46" s="64">
        <v>20.34</v>
      </c>
      <c r="C46" s="64">
        <v>80.73</v>
      </c>
      <c r="D46" s="64">
        <v>58.49</v>
      </c>
      <c r="E46" s="64">
        <v>5.83</v>
      </c>
      <c r="F46" s="64">
        <v>8.1999999999999993</v>
      </c>
      <c r="G46" s="64">
        <v>76.040000000000006</v>
      </c>
      <c r="H46" s="64">
        <v>18.57</v>
      </c>
      <c r="I46" s="64">
        <v>4.13</v>
      </c>
      <c r="J46" s="64">
        <v>0.81</v>
      </c>
      <c r="K46" s="64">
        <v>38.36</v>
      </c>
      <c r="L46" s="64">
        <v>27.6</v>
      </c>
      <c r="M46" s="64">
        <v>27.15</v>
      </c>
      <c r="N46" s="64">
        <v>609.29999999999995</v>
      </c>
      <c r="O46" s="64">
        <v>0</v>
      </c>
      <c r="P46" s="64">
        <v>0.64</v>
      </c>
      <c r="Q46" s="64">
        <v>9.69</v>
      </c>
      <c r="R46" s="198"/>
      <c r="S46" s="198"/>
      <c r="T46" s="198"/>
      <c r="U46" s="198"/>
    </row>
    <row r="47" spans="1:21" s="12" customFormat="1" x14ac:dyDescent="0.25">
      <c r="A47" s="247" t="s">
        <v>1914</v>
      </c>
      <c r="B47" s="64">
        <v>20.25</v>
      </c>
      <c r="C47" s="64">
        <v>77.97</v>
      </c>
      <c r="D47" s="64">
        <v>56.97</v>
      </c>
      <c r="E47" s="64">
        <v>6.65</v>
      </c>
      <c r="F47" s="64">
        <v>9.66</v>
      </c>
      <c r="G47" s="64">
        <v>76.040000000000006</v>
      </c>
      <c r="H47" s="64">
        <v>18.57</v>
      </c>
      <c r="I47" s="64">
        <v>4.18</v>
      </c>
      <c r="J47" s="64">
        <v>1.17</v>
      </c>
      <c r="K47" s="64">
        <v>66.97</v>
      </c>
      <c r="L47" s="64">
        <v>28.09</v>
      </c>
      <c r="M47" s="64">
        <v>25.8</v>
      </c>
      <c r="N47" s="64">
        <v>648.6</v>
      </c>
      <c r="O47" s="64">
        <v>0</v>
      </c>
      <c r="P47" s="64">
        <v>0.62</v>
      </c>
      <c r="Q47" s="64">
        <v>9.68</v>
      </c>
      <c r="R47" s="198"/>
      <c r="S47" s="198"/>
      <c r="T47" s="198"/>
      <c r="U47" s="198"/>
    </row>
    <row r="48" spans="1:21" s="12" customFormat="1" x14ac:dyDescent="0.25">
      <c r="A48" s="247" t="s">
        <v>1915</v>
      </c>
      <c r="B48" s="64">
        <v>17.18</v>
      </c>
      <c r="C48" s="64">
        <v>79.27</v>
      </c>
      <c r="D48" s="64">
        <v>55.2</v>
      </c>
      <c r="E48" s="64">
        <v>7.77</v>
      </c>
      <c r="F48" s="64">
        <v>9.27</v>
      </c>
      <c r="G48" s="64">
        <v>73.180000000000007</v>
      </c>
      <c r="H48" s="64">
        <v>19.03</v>
      </c>
      <c r="I48" s="64">
        <v>4.07</v>
      </c>
      <c r="J48" s="64">
        <v>1.21</v>
      </c>
      <c r="K48" s="64">
        <v>71.41</v>
      </c>
      <c r="L48" s="64">
        <v>28.42</v>
      </c>
      <c r="M48" s="64">
        <v>25.31</v>
      </c>
      <c r="N48" s="64">
        <v>676.8</v>
      </c>
      <c r="O48" s="64">
        <v>0</v>
      </c>
      <c r="P48" s="64">
        <v>0.61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47" t="s">
        <v>1916</v>
      </c>
      <c r="B49" s="64">
        <v>16.68</v>
      </c>
      <c r="C49" s="64">
        <v>83.59</v>
      </c>
      <c r="D49" s="64">
        <v>57.05</v>
      </c>
      <c r="E49" s="64">
        <v>12.71</v>
      </c>
      <c r="F49" s="64">
        <v>9.43</v>
      </c>
      <c r="G49" s="64">
        <v>65.31</v>
      </c>
      <c r="H49" s="64">
        <v>19.91</v>
      </c>
      <c r="I49" s="64">
        <v>3.99</v>
      </c>
      <c r="J49" s="64">
        <v>1.38</v>
      </c>
      <c r="K49" s="64">
        <v>68.88</v>
      </c>
      <c r="L49" s="64">
        <v>28.76</v>
      </c>
      <c r="M49" s="64">
        <v>24.5</v>
      </c>
      <c r="N49" s="64">
        <v>710</v>
      </c>
      <c r="O49" s="64">
        <v>0</v>
      </c>
      <c r="P49" s="64">
        <v>0.59</v>
      </c>
      <c r="Q49" s="64">
        <v>9.68</v>
      </c>
      <c r="R49" s="198"/>
      <c r="S49" s="198"/>
      <c r="T49" s="198"/>
      <c r="U49" s="198"/>
    </row>
    <row r="50" spans="1:21" s="12" customFormat="1" x14ac:dyDescent="0.25">
      <c r="A50" s="247" t="s">
        <v>1917</v>
      </c>
      <c r="B50" s="64">
        <v>15.36</v>
      </c>
      <c r="C50" s="64">
        <v>83.18</v>
      </c>
      <c r="D50" s="64">
        <v>55.77</v>
      </c>
      <c r="E50" s="64">
        <v>27.63</v>
      </c>
      <c r="F50" s="64">
        <v>10.69</v>
      </c>
      <c r="G50" s="64">
        <v>65.31</v>
      </c>
      <c r="H50" s="64">
        <v>19.91</v>
      </c>
      <c r="I50" s="64">
        <v>3.89</v>
      </c>
      <c r="J50" s="64">
        <v>1.39</v>
      </c>
      <c r="K50" s="64">
        <v>84.66</v>
      </c>
      <c r="L50" s="64">
        <v>28.71</v>
      </c>
      <c r="M50" s="64">
        <v>25.06</v>
      </c>
      <c r="N50" s="64">
        <v>735.5</v>
      </c>
      <c r="O50" s="64">
        <v>0</v>
      </c>
      <c r="P50" s="64">
        <v>0.55000000000000004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47" t="s">
        <v>1918</v>
      </c>
      <c r="B51" s="64">
        <v>6.9</v>
      </c>
      <c r="C51" s="64">
        <v>53.59</v>
      </c>
      <c r="D51" s="64">
        <v>60.49</v>
      </c>
      <c r="E51" s="64">
        <v>33.89</v>
      </c>
      <c r="F51" s="64">
        <v>19.079999999999998</v>
      </c>
      <c r="G51" s="64">
        <v>65.31</v>
      </c>
      <c r="H51" s="64">
        <v>19.91</v>
      </c>
      <c r="I51" s="64">
        <v>4.0199999999999996</v>
      </c>
      <c r="J51" s="64">
        <v>0.95</v>
      </c>
      <c r="K51" s="64">
        <v>73.180000000000007</v>
      </c>
      <c r="L51" s="64">
        <v>29.8</v>
      </c>
      <c r="M51" s="64">
        <v>24.06</v>
      </c>
      <c r="N51" s="64">
        <v>747.8</v>
      </c>
      <c r="O51" s="64">
        <v>0</v>
      </c>
      <c r="P51" s="64">
        <v>0.49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47" t="s">
        <v>1919</v>
      </c>
      <c r="B52" s="64">
        <v>2.41</v>
      </c>
      <c r="C52" s="64">
        <v>9.2200000000000006</v>
      </c>
      <c r="D52" s="64">
        <v>11.64</v>
      </c>
      <c r="E52" s="64">
        <v>19.98</v>
      </c>
      <c r="F52" s="64">
        <v>14.5</v>
      </c>
      <c r="G52" s="64">
        <v>65.31</v>
      </c>
      <c r="H52" s="64">
        <v>19.91</v>
      </c>
      <c r="I52" s="64">
        <v>3.94</v>
      </c>
      <c r="J52" s="64">
        <v>1.89</v>
      </c>
      <c r="K52" s="64">
        <v>105.44</v>
      </c>
      <c r="L52" s="64">
        <v>29.42</v>
      </c>
      <c r="M52" s="64">
        <v>24.36</v>
      </c>
      <c r="N52" s="64">
        <v>759.6</v>
      </c>
      <c r="O52" s="64">
        <v>0</v>
      </c>
      <c r="P52" s="64">
        <v>0.46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47" t="s">
        <v>1920</v>
      </c>
      <c r="B53" s="210" t="s">
        <v>40</v>
      </c>
      <c r="C53" s="210" t="s">
        <v>40</v>
      </c>
      <c r="D53" s="210" t="s">
        <v>40</v>
      </c>
      <c r="E53" s="64">
        <v>23.24</v>
      </c>
      <c r="F53" s="64">
        <v>24.98</v>
      </c>
      <c r="G53" s="64">
        <v>65.31</v>
      </c>
      <c r="H53" s="64">
        <v>19.91</v>
      </c>
      <c r="I53" s="64">
        <v>3.84</v>
      </c>
      <c r="J53" s="64">
        <v>0.73</v>
      </c>
      <c r="K53" s="64">
        <v>99.38</v>
      </c>
      <c r="L53" s="64">
        <v>29.77</v>
      </c>
      <c r="M53" s="64">
        <v>24.31</v>
      </c>
      <c r="N53" s="64">
        <v>746</v>
      </c>
      <c r="O53" s="64">
        <v>0</v>
      </c>
      <c r="P53" s="64">
        <v>0.35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47" t="s">
        <v>1921</v>
      </c>
      <c r="B54" s="210" t="s">
        <v>40</v>
      </c>
      <c r="C54" s="210" t="s">
        <v>40</v>
      </c>
      <c r="D54" s="210" t="s">
        <v>40</v>
      </c>
      <c r="E54" s="64">
        <v>27.41</v>
      </c>
      <c r="F54" s="64">
        <v>27.94</v>
      </c>
      <c r="G54" s="64">
        <v>65.31</v>
      </c>
      <c r="H54" s="64">
        <v>19.91</v>
      </c>
      <c r="I54" s="64">
        <v>3.88</v>
      </c>
      <c r="J54" s="64">
        <v>1.07</v>
      </c>
      <c r="K54" s="64">
        <v>84.12</v>
      </c>
      <c r="L54" s="64">
        <v>30.75</v>
      </c>
      <c r="M54" s="64">
        <v>23.15</v>
      </c>
      <c r="N54" s="64">
        <v>750.4</v>
      </c>
      <c r="O54" s="64">
        <v>0</v>
      </c>
      <c r="P54" s="64">
        <v>0.39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47" t="s">
        <v>1922</v>
      </c>
      <c r="B55" s="64">
        <v>4.67</v>
      </c>
      <c r="C55" s="64">
        <v>57.98</v>
      </c>
      <c r="D55" s="64">
        <v>62.66</v>
      </c>
      <c r="E55" s="64">
        <v>17.72</v>
      </c>
      <c r="F55" s="64">
        <v>32.78</v>
      </c>
      <c r="G55" s="64">
        <v>65.31</v>
      </c>
      <c r="H55" s="64">
        <v>19.91</v>
      </c>
      <c r="I55" s="64">
        <v>3.94</v>
      </c>
      <c r="J55" s="64">
        <v>0.51</v>
      </c>
      <c r="K55" s="64">
        <v>57.5</v>
      </c>
      <c r="L55" s="64">
        <v>31.44</v>
      </c>
      <c r="M55" s="64">
        <v>22.33</v>
      </c>
      <c r="N55" s="64">
        <v>741.3</v>
      </c>
      <c r="O55" s="64">
        <v>0</v>
      </c>
      <c r="P55" s="64">
        <v>0.34</v>
      </c>
      <c r="Q55" s="64">
        <v>9.6999999999999993</v>
      </c>
      <c r="R55" s="198"/>
      <c r="S55" s="198"/>
      <c r="T55" s="198"/>
      <c r="U55" s="198"/>
    </row>
    <row r="56" spans="1:21" s="12" customFormat="1" x14ac:dyDescent="0.25">
      <c r="A56" s="247" t="s">
        <v>1923</v>
      </c>
      <c r="B56" s="64">
        <v>5.62</v>
      </c>
      <c r="C56" s="64">
        <v>58.54</v>
      </c>
      <c r="D56" s="64">
        <v>64.16</v>
      </c>
      <c r="E56" s="64">
        <v>115.21</v>
      </c>
      <c r="F56" s="64">
        <v>30.71</v>
      </c>
      <c r="G56" s="64">
        <v>65.31</v>
      </c>
      <c r="H56" s="64">
        <v>19.91</v>
      </c>
      <c r="I56" s="64">
        <v>3.93</v>
      </c>
      <c r="J56" s="64">
        <v>1.03</v>
      </c>
      <c r="K56" s="64">
        <v>105.93</v>
      </c>
      <c r="L56" s="64">
        <v>31.49</v>
      </c>
      <c r="M56" s="64">
        <v>21.73</v>
      </c>
      <c r="N56" s="64">
        <v>738</v>
      </c>
      <c r="O56" s="64">
        <v>0</v>
      </c>
      <c r="P56" s="64">
        <v>0.37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47" t="s">
        <v>1924</v>
      </c>
      <c r="B57" s="64">
        <v>5.55</v>
      </c>
      <c r="C57" s="64">
        <v>53.16</v>
      </c>
      <c r="D57" s="64">
        <v>58.72</v>
      </c>
      <c r="E57" s="64">
        <v>150.59</v>
      </c>
      <c r="F57" s="64">
        <v>37.340000000000003</v>
      </c>
      <c r="G57" s="64">
        <v>65.31</v>
      </c>
      <c r="H57" s="64">
        <v>19.91</v>
      </c>
      <c r="I57" s="64">
        <v>3.95</v>
      </c>
      <c r="J57" s="64">
        <v>0.94</v>
      </c>
      <c r="K57" s="64">
        <v>3.39</v>
      </c>
      <c r="L57" s="64">
        <v>32.96</v>
      </c>
      <c r="M57" s="64">
        <v>19.72</v>
      </c>
      <c r="N57" s="64">
        <v>738.6</v>
      </c>
      <c r="O57" s="64">
        <v>0</v>
      </c>
      <c r="P57" s="64">
        <v>0.4</v>
      </c>
      <c r="Q57" s="64">
        <v>9.67</v>
      </c>
      <c r="R57" s="198"/>
      <c r="S57" s="198"/>
      <c r="T57" s="198"/>
      <c r="U57" s="198"/>
    </row>
    <row r="58" spans="1:21" s="12" customFormat="1" x14ac:dyDescent="0.25">
      <c r="A58" s="247" t="s">
        <v>1925</v>
      </c>
      <c r="B58" s="64">
        <v>3.33</v>
      </c>
      <c r="C58" s="64">
        <v>52.43</v>
      </c>
      <c r="D58" s="64">
        <v>55.75</v>
      </c>
      <c r="E58" s="64">
        <v>168.37</v>
      </c>
      <c r="F58" s="64">
        <v>20.28</v>
      </c>
      <c r="G58" s="64">
        <v>65.31</v>
      </c>
      <c r="H58" s="64">
        <v>19.91</v>
      </c>
      <c r="I58" s="64">
        <v>3.95</v>
      </c>
      <c r="J58" s="64">
        <v>0.12</v>
      </c>
      <c r="K58" s="64">
        <v>284.45999999999998</v>
      </c>
      <c r="L58" s="64">
        <v>34.11</v>
      </c>
      <c r="M58" s="64">
        <v>18.28</v>
      </c>
      <c r="N58" s="64">
        <v>751.3</v>
      </c>
      <c r="O58" s="64">
        <v>0</v>
      </c>
      <c r="P58" s="64">
        <v>0.39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47" t="s">
        <v>1926</v>
      </c>
      <c r="B59" s="64">
        <v>3.21</v>
      </c>
      <c r="C59" s="64">
        <v>57.71</v>
      </c>
      <c r="D59" s="64">
        <v>60.93</v>
      </c>
      <c r="E59" s="210" t="s">
        <v>40</v>
      </c>
      <c r="F59" s="64">
        <v>29.29</v>
      </c>
      <c r="G59" s="64">
        <v>65.31</v>
      </c>
      <c r="H59" s="64">
        <v>19.91</v>
      </c>
      <c r="I59" s="64">
        <v>4.05</v>
      </c>
      <c r="J59" s="64">
        <v>0.52</v>
      </c>
      <c r="K59" s="64">
        <v>143.08000000000001</v>
      </c>
      <c r="L59" s="64">
        <v>32.979999999999997</v>
      </c>
      <c r="M59" s="64">
        <v>19.71</v>
      </c>
      <c r="N59" s="64">
        <v>767.6</v>
      </c>
      <c r="O59" s="64">
        <v>0</v>
      </c>
      <c r="P59" s="64">
        <v>0.45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47" t="s">
        <v>1927</v>
      </c>
      <c r="B60" s="64">
        <v>5.41</v>
      </c>
      <c r="C60" s="64">
        <v>52.78</v>
      </c>
      <c r="D60" s="64">
        <v>58.19</v>
      </c>
      <c r="E60" s="210" t="s">
        <v>40</v>
      </c>
      <c r="F60" s="64">
        <v>31.89</v>
      </c>
      <c r="G60" s="64">
        <v>65.31</v>
      </c>
      <c r="H60" s="64">
        <v>19.91</v>
      </c>
      <c r="I60" s="64">
        <v>4.07</v>
      </c>
      <c r="J60" s="64">
        <v>0.75</v>
      </c>
      <c r="K60" s="64">
        <v>16.64</v>
      </c>
      <c r="L60" s="64">
        <v>33.880000000000003</v>
      </c>
      <c r="M60" s="64">
        <v>18.45</v>
      </c>
      <c r="N60" s="64">
        <v>767.2</v>
      </c>
      <c r="O60" s="64">
        <v>0</v>
      </c>
      <c r="P60" s="64">
        <v>0.5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47" t="s">
        <v>1928</v>
      </c>
      <c r="B61" s="64">
        <v>4.04</v>
      </c>
      <c r="C61" s="64">
        <v>56.27</v>
      </c>
      <c r="D61" s="64">
        <v>60.31</v>
      </c>
      <c r="E61" s="210" t="s">
        <v>40</v>
      </c>
      <c r="F61" s="64">
        <v>29.07</v>
      </c>
      <c r="G61" s="64">
        <v>65.31</v>
      </c>
      <c r="H61" s="64">
        <v>19.91</v>
      </c>
      <c r="I61" s="64">
        <v>4.04</v>
      </c>
      <c r="J61" s="64">
        <v>0.52</v>
      </c>
      <c r="K61" s="64">
        <v>6.19</v>
      </c>
      <c r="L61" s="64">
        <v>34.369999999999997</v>
      </c>
      <c r="M61" s="64">
        <v>17.23</v>
      </c>
      <c r="N61" s="64">
        <v>752.3</v>
      </c>
      <c r="O61" s="64">
        <v>0</v>
      </c>
      <c r="P61" s="64">
        <v>0.45</v>
      </c>
      <c r="Q61" s="64">
        <v>9.49</v>
      </c>
      <c r="R61" s="198"/>
      <c r="S61" s="198"/>
      <c r="T61" s="198"/>
      <c r="U61" s="198"/>
    </row>
    <row r="62" spans="1:21" s="12" customFormat="1" x14ac:dyDescent="0.25">
      <c r="A62" s="247" t="s">
        <v>1929</v>
      </c>
      <c r="B62" s="64">
        <v>5.43</v>
      </c>
      <c r="C62" s="64">
        <v>62.77</v>
      </c>
      <c r="D62" s="64">
        <v>68.2</v>
      </c>
      <c r="E62" s="210" t="s">
        <v>40</v>
      </c>
      <c r="F62" s="64">
        <v>22.19</v>
      </c>
      <c r="G62" s="64">
        <v>65.31</v>
      </c>
      <c r="H62" s="64">
        <v>19.91</v>
      </c>
      <c r="I62" s="64">
        <v>4.09</v>
      </c>
      <c r="J62" s="64">
        <v>1</v>
      </c>
      <c r="K62" s="64">
        <v>331.9</v>
      </c>
      <c r="L62" s="64">
        <v>35.58</v>
      </c>
      <c r="M62" s="64">
        <v>16.850000000000001</v>
      </c>
      <c r="N62" s="64">
        <v>728.6</v>
      </c>
      <c r="O62" s="64">
        <v>0</v>
      </c>
      <c r="P62" s="64">
        <v>0.45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47" t="s">
        <v>1930</v>
      </c>
      <c r="B63" s="64">
        <v>4.5199999999999996</v>
      </c>
      <c r="C63" s="64">
        <v>63.17</v>
      </c>
      <c r="D63" s="64">
        <v>67.69</v>
      </c>
      <c r="E63" s="64">
        <v>74.319999999999993</v>
      </c>
      <c r="F63" s="64">
        <v>28.69</v>
      </c>
      <c r="G63" s="210" t="s">
        <v>40</v>
      </c>
      <c r="H63" s="210" t="s">
        <v>40</v>
      </c>
      <c r="I63" s="64">
        <v>3.93</v>
      </c>
      <c r="J63" s="64">
        <v>1</v>
      </c>
      <c r="K63" s="64">
        <v>101.66</v>
      </c>
      <c r="L63" s="64">
        <v>32.96</v>
      </c>
      <c r="M63" s="64">
        <v>19.41</v>
      </c>
      <c r="N63" s="64">
        <v>674</v>
      </c>
      <c r="O63" s="64">
        <v>0</v>
      </c>
      <c r="P63" s="64">
        <v>0.45</v>
      </c>
      <c r="Q63" s="64">
        <v>9.43</v>
      </c>
      <c r="R63" s="198"/>
      <c r="S63" s="198"/>
      <c r="T63" s="198"/>
      <c r="U63" s="198"/>
    </row>
    <row r="64" spans="1:21" s="12" customFormat="1" x14ac:dyDescent="0.25">
      <c r="A64" s="247" t="s">
        <v>1931</v>
      </c>
      <c r="B64" s="64">
        <v>4.92</v>
      </c>
      <c r="C64" s="64">
        <v>64.680000000000007</v>
      </c>
      <c r="D64" s="64">
        <v>69.59</v>
      </c>
      <c r="E64" s="64">
        <v>30.08</v>
      </c>
      <c r="F64" s="64">
        <v>22.12</v>
      </c>
      <c r="G64" s="210" t="s">
        <v>40</v>
      </c>
      <c r="H64" s="210" t="s">
        <v>40</v>
      </c>
      <c r="I64" s="64">
        <v>3.98</v>
      </c>
      <c r="J64" s="64">
        <v>1.0900000000000001</v>
      </c>
      <c r="K64" s="64">
        <v>328.57</v>
      </c>
      <c r="L64" s="64">
        <v>34.83</v>
      </c>
      <c r="M64" s="64">
        <v>18.05</v>
      </c>
      <c r="N64" s="64">
        <v>615.4</v>
      </c>
      <c r="O64" s="64">
        <v>0</v>
      </c>
      <c r="P64" s="64">
        <v>3.39</v>
      </c>
      <c r="Q64" s="64">
        <v>9.41</v>
      </c>
      <c r="R64" s="198"/>
      <c r="S64" s="198"/>
      <c r="T64" s="198"/>
      <c r="U64" s="198"/>
    </row>
    <row r="65" spans="1:21" s="12" customFormat="1" x14ac:dyDescent="0.25">
      <c r="A65" s="247" t="s">
        <v>1932</v>
      </c>
      <c r="B65" s="64">
        <v>5.25</v>
      </c>
      <c r="C65" s="64">
        <v>74.319999999999993</v>
      </c>
      <c r="D65" s="64">
        <v>79.569999999999993</v>
      </c>
      <c r="E65" s="64">
        <v>16.84</v>
      </c>
      <c r="F65" s="64">
        <v>15.86</v>
      </c>
      <c r="G65" s="210" t="s">
        <v>40</v>
      </c>
      <c r="H65" s="210" t="s">
        <v>40</v>
      </c>
      <c r="I65" s="64">
        <v>3.9</v>
      </c>
      <c r="J65" s="64">
        <v>1.2</v>
      </c>
      <c r="K65" s="64">
        <v>314.68</v>
      </c>
      <c r="L65" s="64">
        <v>35.729999999999997</v>
      </c>
      <c r="M65" s="64">
        <v>16.350000000000001</v>
      </c>
      <c r="N65" s="64">
        <v>529.9</v>
      </c>
      <c r="O65" s="64">
        <v>0</v>
      </c>
      <c r="P65" s="64">
        <v>0.56000000000000005</v>
      </c>
      <c r="Q65" s="64">
        <v>9.41</v>
      </c>
      <c r="R65" s="198"/>
      <c r="S65" s="198"/>
      <c r="T65" s="198"/>
      <c r="U65" s="198"/>
    </row>
    <row r="66" spans="1:21" s="12" customFormat="1" x14ac:dyDescent="0.25">
      <c r="A66" s="247" t="s">
        <v>1933</v>
      </c>
      <c r="B66" s="64">
        <v>5.2</v>
      </c>
      <c r="C66" s="64">
        <v>78.540000000000006</v>
      </c>
      <c r="D66" s="64">
        <v>83.74</v>
      </c>
      <c r="E66" s="64">
        <v>12.15</v>
      </c>
      <c r="F66" s="64">
        <v>16.12</v>
      </c>
      <c r="G66" s="210" t="s">
        <v>40</v>
      </c>
      <c r="H66" s="210" t="s">
        <v>40</v>
      </c>
      <c r="I66" s="64">
        <v>4.0999999999999996</v>
      </c>
      <c r="J66" s="64">
        <v>1.63</v>
      </c>
      <c r="K66" s="64">
        <v>322.77</v>
      </c>
      <c r="L66" s="64">
        <v>36.119999999999997</v>
      </c>
      <c r="M66" s="64">
        <v>16.059999999999999</v>
      </c>
      <c r="N66" s="64">
        <v>601.79999999999995</v>
      </c>
      <c r="O66" s="64">
        <v>0</v>
      </c>
      <c r="P66" s="64">
        <v>0.56000000000000005</v>
      </c>
      <c r="Q66" s="64">
        <v>9.41</v>
      </c>
      <c r="R66" s="198"/>
      <c r="S66" s="198"/>
      <c r="T66" s="198"/>
      <c r="U66" s="198"/>
    </row>
    <row r="67" spans="1:21" s="12" customFormat="1" x14ac:dyDescent="0.25">
      <c r="A67" s="247" t="s">
        <v>1934</v>
      </c>
      <c r="B67" s="64">
        <v>7.2</v>
      </c>
      <c r="C67" s="64">
        <v>70.849999999999994</v>
      </c>
      <c r="D67" s="64">
        <v>78.040000000000006</v>
      </c>
      <c r="E67" s="64">
        <v>18.87</v>
      </c>
      <c r="F67" s="64">
        <v>24.81</v>
      </c>
      <c r="G67" s="64">
        <v>35.39</v>
      </c>
      <c r="H67" s="64">
        <v>1.56</v>
      </c>
      <c r="I67" s="64">
        <v>3.99</v>
      </c>
      <c r="J67" s="64">
        <v>1.6</v>
      </c>
      <c r="K67" s="64">
        <v>323.17</v>
      </c>
      <c r="L67" s="64">
        <v>35.85</v>
      </c>
      <c r="M67" s="64">
        <v>15.5</v>
      </c>
      <c r="N67" s="64">
        <v>400.6</v>
      </c>
      <c r="O67" s="64">
        <v>0</v>
      </c>
      <c r="P67" s="64">
        <v>0.56000000000000005</v>
      </c>
      <c r="Q67" s="64">
        <v>9.42</v>
      </c>
      <c r="R67" s="198"/>
      <c r="S67" s="198"/>
      <c r="T67" s="198"/>
      <c r="U67" s="198"/>
    </row>
    <row r="68" spans="1:21" s="12" customFormat="1" x14ac:dyDescent="0.25">
      <c r="A68" s="247" t="s">
        <v>1935</v>
      </c>
      <c r="B68" s="64">
        <v>6.81</v>
      </c>
      <c r="C68" s="64">
        <v>66.56</v>
      </c>
      <c r="D68" s="64">
        <v>73.37</v>
      </c>
      <c r="E68" s="64">
        <v>14.49</v>
      </c>
      <c r="F68" s="64">
        <v>23.4</v>
      </c>
      <c r="G68" s="64">
        <v>55.87</v>
      </c>
      <c r="H68" s="64">
        <v>2.42</v>
      </c>
      <c r="I68" s="64">
        <v>3.91</v>
      </c>
      <c r="J68" s="64">
        <v>1.46</v>
      </c>
      <c r="K68" s="64">
        <v>333.63</v>
      </c>
      <c r="L68" s="64">
        <v>35.270000000000003</v>
      </c>
      <c r="M68" s="64">
        <v>16.28</v>
      </c>
      <c r="N68" s="64">
        <v>296.2</v>
      </c>
      <c r="O68" s="64">
        <v>0</v>
      </c>
      <c r="P68" s="64">
        <v>0.51</v>
      </c>
      <c r="Q68" s="64">
        <v>9.41</v>
      </c>
      <c r="R68" s="198"/>
      <c r="S68" s="198"/>
      <c r="T68" s="198"/>
      <c r="U68" s="198"/>
    </row>
    <row r="69" spans="1:21" s="12" customFormat="1" x14ac:dyDescent="0.25">
      <c r="A69" s="247" t="s">
        <v>1936</v>
      </c>
      <c r="B69" s="64">
        <v>8.7200000000000006</v>
      </c>
      <c r="C69" s="64">
        <v>63.83</v>
      </c>
      <c r="D69" s="64">
        <v>72.55</v>
      </c>
      <c r="E69" s="64">
        <v>11.08</v>
      </c>
      <c r="F69" s="64">
        <v>29.52</v>
      </c>
      <c r="G69" s="64">
        <v>55.87</v>
      </c>
      <c r="H69" s="64">
        <v>2.42</v>
      </c>
      <c r="I69" s="64">
        <v>4.01</v>
      </c>
      <c r="J69" s="64">
        <v>1.1100000000000001</v>
      </c>
      <c r="K69" s="64">
        <v>339.97</v>
      </c>
      <c r="L69" s="64">
        <v>34.950000000000003</v>
      </c>
      <c r="M69" s="64">
        <v>16.010000000000002</v>
      </c>
      <c r="N69" s="64">
        <v>281.3</v>
      </c>
      <c r="O69" s="64">
        <v>0</v>
      </c>
      <c r="P69" s="64">
        <v>0.54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47" t="s">
        <v>1937</v>
      </c>
      <c r="B70" s="64">
        <v>7.71</v>
      </c>
      <c r="C70" s="64">
        <v>61.73</v>
      </c>
      <c r="D70" s="64">
        <v>69.44</v>
      </c>
      <c r="E70" s="64">
        <v>11.51</v>
      </c>
      <c r="F70" s="64">
        <v>24.48</v>
      </c>
      <c r="G70" s="64">
        <v>55.87</v>
      </c>
      <c r="H70" s="64">
        <v>2.42</v>
      </c>
      <c r="I70" s="64">
        <v>3.97</v>
      </c>
      <c r="J70" s="64">
        <v>1.45</v>
      </c>
      <c r="K70" s="64">
        <v>322.44</v>
      </c>
      <c r="L70" s="64">
        <v>34.42</v>
      </c>
      <c r="M70" s="64">
        <v>17.11</v>
      </c>
      <c r="N70" s="64">
        <v>263.89999999999998</v>
      </c>
      <c r="O70" s="64">
        <v>0</v>
      </c>
      <c r="P70" s="64">
        <v>0.53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47" t="s">
        <v>1938</v>
      </c>
      <c r="B71" s="64">
        <v>5</v>
      </c>
      <c r="C71" s="64">
        <v>54.57</v>
      </c>
      <c r="D71" s="64">
        <v>59.56</v>
      </c>
      <c r="E71" s="64">
        <v>6.25</v>
      </c>
      <c r="F71" s="64">
        <v>29.47</v>
      </c>
      <c r="G71" s="64">
        <v>54.49</v>
      </c>
      <c r="H71" s="64">
        <v>5.78</v>
      </c>
      <c r="I71" s="64">
        <v>4.09</v>
      </c>
      <c r="J71" s="64">
        <v>0.32</v>
      </c>
      <c r="K71" s="64">
        <v>286.70999999999998</v>
      </c>
      <c r="L71" s="64">
        <v>33.369999999999997</v>
      </c>
      <c r="M71" s="64">
        <v>17.190000000000001</v>
      </c>
      <c r="N71" s="64">
        <v>250.9</v>
      </c>
      <c r="O71" s="64">
        <v>0</v>
      </c>
      <c r="P71" s="64">
        <v>0.43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47" t="s">
        <v>1939</v>
      </c>
      <c r="B72" s="64">
        <v>5.61</v>
      </c>
      <c r="C72" s="64">
        <v>52.22</v>
      </c>
      <c r="D72" s="64">
        <v>57.83</v>
      </c>
      <c r="E72" s="64">
        <v>10.210000000000001</v>
      </c>
      <c r="F72" s="64">
        <v>35.85</v>
      </c>
      <c r="G72" s="64">
        <v>53.73</v>
      </c>
      <c r="H72" s="64">
        <v>6.37</v>
      </c>
      <c r="I72" s="64">
        <v>3.94</v>
      </c>
      <c r="J72" s="64">
        <v>0.72</v>
      </c>
      <c r="K72" s="64">
        <v>338.51</v>
      </c>
      <c r="L72" s="64">
        <v>32.43</v>
      </c>
      <c r="M72" s="64">
        <v>18.57</v>
      </c>
      <c r="N72" s="64">
        <v>230</v>
      </c>
      <c r="O72" s="64">
        <v>0</v>
      </c>
      <c r="P72" s="64">
        <v>0.46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47" t="s">
        <v>1940</v>
      </c>
      <c r="B73" s="64">
        <v>7.88</v>
      </c>
      <c r="C73" s="64">
        <v>59.27</v>
      </c>
      <c r="D73" s="64">
        <v>67.150000000000006</v>
      </c>
      <c r="E73" s="64">
        <v>9.2200000000000006</v>
      </c>
      <c r="F73" s="64">
        <v>31.15</v>
      </c>
      <c r="G73" s="64">
        <v>53.73</v>
      </c>
      <c r="H73" s="64">
        <v>6.37</v>
      </c>
      <c r="I73" s="64">
        <v>4.07</v>
      </c>
      <c r="J73" s="64">
        <v>0.82</v>
      </c>
      <c r="K73" s="64">
        <v>354.04</v>
      </c>
      <c r="L73" s="64">
        <v>32.979999999999997</v>
      </c>
      <c r="M73" s="64">
        <v>18.29</v>
      </c>
      <c r="N73" s="64">
        <v>243.2</v>
      </c>
      <c r="O73" s="64">
        <v>0</v>
      </c>
      <c r="P73" s="64">
        <v>0.47</v>
      </c>
      <c r="Q73" s="64">
        <v>9.65</v>
      </c>
      <c r="R73" s="198"/>
      <c r="S73" s="198"/>
      <c r="T73" s="198"/>
      <c r="U73" s="198"/>
    </row>
    <row r="74" spans="1:21" s="12" customFormat="1" x14ac:dyDescent="0.25">
      <c r="A74" s="247" t="s">
        <v>1941</v>
      </c>
      <c r="B74" s="64">
        <v>9.42</v>
      </c>
      <c r="C74" s="64">
        <v>56.4</v>
      </c>
      <c r="D74" s="64">
        <v>65.819999999999993</v>
      </c>
      <c r="E74" s="64">
        <v>12.48</v>
      </c>
      <c r="F74" s="64">
        <v>39.36</v>
      </c>
      <c r="G74" s="64">
        <v>53.73</v>
      </c>
      <c r="H74" s="64">
        <v>6.37</v>
      </c>
      <c r="I74" s="64">
        <v>4.2699999999999996</v>
      </c>
      <c r="J74" s="64">
        <v>0.75</v>
      </c>
      <c r="K74" s="64">
        <v>350.92</v>
      </c>
      <c r="L74" s="64">
        <v>32.26</v>
      </c>
      <c r="M74" s="64">
        <v>19.45</v>
      </c>
      <c r="N74" s="64">
        <v>200.5</v>
      </c>
      <c r="O74" s="64">
        <v>0</v>
      </c>
      <c r="P74" s="64">
        <v>0.56999999999999995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47" t="s">
        <v>1942</v>
      </c>
      <c r="B75" s="64">
        <v>9.07</v>
      </c>
      <c r="C75" s="64">
        <v>70.88</v>
      </c>
      <c r="D75" s="64">
        <v>79.959999999999994</v>
      </c>
      <c r="E75" s="64">
        <v>14.58</v>
      </c>
      <c r="F75" s="64">
        <v>38.409999999999997</v>
      </c>
      <c r="G75" s="64">
        <v>60.99</v>
      </c>
      <c r="H75" s="64">
        <v>9.48</v>
      </c>
      <c r="I75" s="64">
        <v>4.05</v>
      </c>
      <c r="J75" s="64">
        <v>0.23</v>
      </c>
      <c r="K75" s="64">
        <v>52.98</v>
      </c>
      <c r="L75" s="64">
        <v>31.74</v>
      </c>
      <c r="M75" s="64">
        <v>19.91</v>
      </c>
      <c r="N75" s="64">
        <v>138.30000000000001</v>
      </c>
      <c r="O75" s="64">
        <v>0</v>
      </c>
      <c r="P75" s="64">
        <v>0.61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47" t="s">
        <v>1943</v>
      </c>
      <c r="B76" s="64">
        <v>7.33</v>
      </c>
      <c r="C76" s="64">
        <v>49.49</v>
      </c>
      <c r="D76" s="64">
        <v>56.82</v>
      </c>
      <c r="E76" s="64">
        <v>14.59</v>
      </c>
      <c r="F76" s="64">
        <v>40.5</v>
      </c>
      <c r="G76" s="64">
        <v>65</v>
      </c>
      <c r="H76" s="64">
        <v>10.01</v>
      </c>
      <c r="I76" s="64">
        <v>4.08</v>
      </c>
      <c r="J76" s="64">
        <v>0.27</v>
      </c>
      <c r="K76" s="64">
        <v>191.83</v>
      </c>
      <c r="L76" s="64">
        <v>30.67</v>
      </c>
      <c r="M76" s="64">
        <v>20.53</v>
      </c>
      <c r="N76" s="64">
        <v>116</v>
      </c>
      <c r="O76" s="64">
        <v>0</v>
      </c>
      <c r="P76" s="64">
        <v>0.43</v>
      </c>
      <c r="Q76" s="64">
        <v>9.58</v>
      </c>
      <c r="R76" s="198"/>
      <c r="S76" s="198"/>
      <c r="T76" s="198"/>
      <c r="U76" s="198"/>
    </row>
    <row r="77" spans="1:21" s="12" customFormat="1" x14ac:dyDescent="0.25">
      <c r="A77" s="247" t="s">
        <v>1944</v>
      </c>
      <c r="B77" s="64">
        <v>9.6300000000000008</v>
      </c>
      <c r="C77" s="64">
        <v>62.87</v>
      </c>
      <c r="D77" s="64">
        <v>72.489999999999995</v>
      </c>
      <c r="E77" s="64">
        <v>13.16</v>
      </c>
      <c r="F77" s="64">
        <v>32.450000000000003</v>
      </c>
      <c r="G77" s="64">
        <v>65</v>
      </c>
      <c r="H77" s="64">
        <v>10.01</v>
      </c>
      <c r="I77" s="64">
        <v>4.0199999999999996</v>
      </c>
      <c r="J77" s="64">
        <v>0.56000000000000005</v>
      </c>
      <c r="K77" s="64">
        <v>242.54</v>
      </c>
      <c r="L77" s="64">
        <v>30.69</v>
      </c>
      <c r="M77" s="64">
        <v>19.29</v>
      </c>
      <c r="N77" s="64">
        <v>106.6</v>
      </c>
      <c r="O77" s="64">
        <v>0</v>
      </c>
      <c r="P77" s="64">
        <v>0.54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47" t="s">
        <v>1945</v>
      </c>
      <c r="B78" s="64">
        <v>4.17</v>
      </c>
      <c r="C78" s="64">
        <v>46.29</v>
      </c>
      <c r="D78" s="64">
        <v>50.45</v>
      </c>
      <c r="E78" s="64">
        <v>13.92</v>
      </c>
      <c r="F78" s="64">
        <v>44</v>
      </c>
      <c r="G78" s="64">
        <v>65</v>
      </c>
      <c r="H78" s="64">
        <v>10.01</v>
      </c>
      <c r="I78" s="64">
        <v>3.98</v>
      </c>
      <c r="J78" s="64">
        <v>0.54</v>
      </c>
      <c r="K78" s="64">
        <v>255.38</v>
      </c>
      <c r="L78" s="64">
        <v>30.37</v>
      </c>
      <c r="M78" s="64">
        <v>19.28</v>
      </c>
      <c r="N78" s="64">
        <v>99.3</v>
      </c>
      <c r="O78" s="64">
        <v>0</v>
      </c>
      <c r="P78" s="64">
        <v>0.44</v>
      </c>
      <c r="Q78" s="64">
        <v>9.48</v>
      </c>
      <c r="R78" s="198"/>
      <c r="S78" s="198"/>
      <c r="T78" s="198"/>
      <c r="U78" s="198"/>
    </row>
    <row r="79" spans="1:21" s="12" customFormat="1" x14ac:dyDescent="0.25">
      <c r="A79" s="247" t="s">
        <v>1946</v>
      </c>
      <c r="B79" s="64">
        <v>4.58</v>
      </c>
      <c r="C79" s="64">
        <v>77.44</v>
      </c>
      <c r="D79" s="64">
        <v>82.02</v>
      </c>
      <c r="E79" s="64">
        <v>14.71</v>
      </c>
      <c r="F79" s="64">
        <v>35.61</v>
      </c>
      <c r="G79" s="64">
        <v>59.52</v>
      </c>
      <c r="H79" s="64">
        <v>12.85</v>
      </c>
      <c r="I79" s="64">
        <v>3.93</v>
      </c>
      <c r="J79" s="64">
        <v>0.9</v>
      </c>
      <c r="K79" s="64">
        <v>172.78</v>
      </c>
      <c r="L79" s="64">
        <v>29.91</v>
      </c>
      <c r="M79" s="64">
        <v>20.329999999999998</v>
      </c>
      <c r="N79" s="64">
        <v>86.6</v>
      </c>
      <c r="O79" s="64">
        <v>0</v>
      </c>
      <c r="P79" s="64">
        <v>0.45</v>
      </c>
      <c r="Q79" s="64">
        <v>9.43</v>
      </c>
      <c r="R79" s="198"/>
      <c r="S79" s="198"/>
      <c r="T79" s="198"/>
      <c r="U79" s="198"/>
    </row>
    <row r="80" spans="1:21" s="12" customFormat="1" x14ac:dyDescent="0.25">
      <c r="A80" s="247" t="s">
        <v>1947</v>
      </c>
      <c r="B80" s="64">
        <v>5.36</v>
      </c>
      <c r="C80" s="64">
        <v>122.94</v>
      </c>
      <c r="D80" s="64">
        <v>128.30000000000001</v>
      </c>
      <c r="E80" s="64">
        <v>15.43</v>
      </c>
      <c r="F80" s="64">
        <v>23.26</v>
      </c>
      <c r="G80" s="64">
        <v>56.49</v>
      </c>
      <c r="H80" s="64">
        <v>13.64</v>
      </c>
      <c r="I80" s="64">
        <v>4.01</v>
      </c>
      <c r="J80" s="64">
        <v>0.68</v>
      </c>
      <c r="K80" s="64">
        <v>216.38</v>
      </c>
      <c r="L80" s="64">
        <v>29.35</v>
      </c>
      <c r="M80" s="64">
        <v>23.03</v>
      </c>
      <c r="N80" s="64">
        <v>76.3</v>
      </c>
      <c r="O80" s="64">
        <v>0</v>
      </c>
      <c r="P80" s="64">
        <v>0.71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47" t="s">
        <v>1948</v>
      </c>
      <c r="B81" s="64">
        <v>124.11</v>
      </c>
      <c r="C81" s="64">
        <v>168.99</v>
      </c>
      <c r="D81" s="64">
        <v>293.08999999999997</v>
      </c>
      <c r="E81" s="64">
        <v>13.79</v>
      </c>
      <c r="F81" s="64">
        <v>11.41</v>
      </c>
      <c r="G81" s="64">
        <v>56.49</v>
      </c>
      <c r="H81" s="64">
        <v>13.64</v>
      </c>
      <c r="I81" s="64">
        <v>4.01</v>
      </c>
      <c r="J81" s="64">
        <v>0.57999999999999996</v>
      </c>
      <c r="K81" s="64">
        <v>300.91000000000003</v>
      </c>
      <c r="L81" s="64">
        <v>28.41</v>
      </c>
      <c r="M81" s="64">
        <v>27.14</v>
      </c>
      <c r="N81" s="64">
        <v>69.099999999999994</v>
      </c>
      <c r="O81" s="64">
        <v>0</v>
      </c>
      <c r="P81" s="210" t="s">
        <v>40</v>
      </c>
      <c r="Q81" s="64">
        <v>9.4</v>
      </c>
      <c r="R81" s="198"/>
      <c r="S81" s="198"/>
      <c r="T81" s="198"/>
      <c r="U81" s="198"/>
    </row>
    <row r="82" spans="1:26" s="12" customFormat="1" x14ac:dyDescent="0.25">
      <c r="A82" s="247" t="s">
        <v>1949</v>
      </c>
      <c r="B82" s="64">
        <v>149.4</v>
      </c>
      <c r="C82" s="64">
        <v>168.01</v>
      </c>
      <c r="D82" s="64">
        <v>317.41000000000003</v>
      </c>
      <c r="E82" s="64">
        <v>14.96</v>
      </c>
      <c r="F82" s="64">
        <v>8.86</v>
      </c>
      <c r="G82" s="64">
        <v>56.49</v>
      </c>
      <c r="H82" s="64">
        <v>13.64</v>
      </c>
      <c r="I82" s="64">
        <v>3.96</v>
      </c>
      <c r="J82" s="64">
        <v>0.59</v>
      </c>
      <c r="K82" s="64">
        <v>337.55</v>
      </c>
      <c r="L82" s="64">
        <v>27.3</v>
      </c>
      <c r="M82" s="64">
        <v>31.91</v>
      </c>
      <c r="N82" s="64">
        <v>66.900000000000006</v>
      </c>
      <c r="O82" s="64">
        <v>0</v>
      </c>
      <c r="P82" s="210" t="s">
        <v>40</v>
      </c>
      <c r="Q82" s="64">
        <v>9.5500000000000007</v>
      </c>
      <c r="R82" s="198"/>
      <c r="S82" s="198"/>
      <c r="T82" s="198"/>
      <c r="U82" s="198"/>
    </row>
    <row r="83" spans="1:26" s="12" customFormat="1" x14ac:dyDescent="0.25">
      <c r="A83" s="247" t="s">
        <v>1950</v>
      </c>
      <c r="B83" s="64">
        <v>162.6</v>
      </c>
      <c r="C83" s="64">
        <v>169.99</v>
      </c>
      <c r="D83" s="64">
        <v>332.58</v>
      </c>
      <c r="E83" s="64">
        <v>14.34</v>
      </c>
      <c r="F83" s="64">
        <v>8.14</v>
      </c>
      <c r="G83" s="64">
        <v>71.78</v>
      </c>
      <c r="H83" s="64">
        <v>16.96</v>
      </c>
      <c r="I83" s="64">
        <v>4.04</v>
      </c>
      <c r="J83" s="64">
        <v>0.67</v>
      </c>
      <c r="K83" s="64">
        <v>308.60000000000002</v>
      </c>
      <c r="L83" s="64">
        <v>26.37</v>
      </c>
      <c r="M83" s="64">
        <v>31.84</v>
      </c>
      <c r="N83" s="64">
        <v>66.599999999999994</v>
      </c>
      <c r="O83" s="64">
        <v>0</v>
      </c>
      <c r="P83" s="64">
        <v>1.9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47" t="s">
        <v>1951</v>
      </c>
      <c r="B84" s="64">
        <v>123.62</v>
      </c>
      <c r="C84" s="64">
        <v>160.68</v>
      </c>
      <c r="D84" s="64">
        <v>284.3</v>
      </c>
      <c r="E84" s="64">
        <v>14.32</v>
      </c>
      <c r="F84" s="64">
        <v>8.41</v>
      </c>
      <c r="G84" s="64">
        <v>80.209999999999994</v>
      </c>
      <c r="H84" s="64">
        <v>17.53</v>
      </c>
      <c r="I84" s="64">
        <v>4.07</v>
      </c>
      <c r="J84" s="64">
        <v>0.22</v>
      </c>
      <c r="K84" s="64">
        <v>322.39999999999998</v>
      </c>
      <c r="L84" s="64">
        <v>25.91</v>
      </c>
      <c r="M84" s="64">
        <v>31.61</v>
      </c>
      <c r="N84" s="64">
        <v>66.400000000000006</v>
      </c>
      <c r="O84" s="64">
        <v>0</v>
      </c>
      <c r="P84" s="64">
        <v>1.76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47" t="s">
        <v>1952</v>
      </c>
      <c r="B85" s="64">
        <v>90.84</v>
      </c>
      <c r="C85" s="64">
        <v>163.93</v>
      </c>
      <c r="D85" s="64">
        <v>254.77</v>
      </c>
      <c r="E85" s="64">
        <v>14.09</v>
      </c>
      <c r="F85" s="64">
        <v>8.6199999999999992</v>
      </c>
      <c r="G85" s="64">
        <v>80.209999999999994</v>
      </c>
      <c r="H85" s="64">
        <v>17.53</v>
      </c>
      <c r="I85" s="64">
        <v>3.9</v>
      </c>
      <c r="J85" s="64">
        <v>0.36</v>
      </c>
      <c r="K85" s="64">
        <v>96.7</v>
      </c>
      <c r="L85" s="64">
        <v>25.59</v>
      </c>
      <c r="M85" s="64">
        <v>33.200000000000003</v>
      </c>
      <c r="N85" s="64">
        <v>66.099999999999994</v>
      </c>
      <c r="O85" s="64">
        <v>0</v>
      </c>
      <c r="P85" s="64">
        <v>1.63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47" t="s">
        <v>1953</v>
      </c>
      <c r="B86" s="64">
        <v>168.02</v>
      </c>
      <c r="C86" s="64">
        <v>181.78</v>
      </c>
      <c r="D86" s="64">
        <v>349.8</v>
      </c>
      <c r="E86" s="64">
        <v>15.07</v>
      </c>
      <c r="F86" s="64">
        <v>8.32</v>
      </c>
      <c r="G86" s="64">
        <v>80.209999999999994</v>
      </c>
      <c r="H86" s="64">
        <v>17.53</v>
      </c>
      <c r="I86" s="64">
        <v>3.92</v>
      </c>
      <c r="J86" s="64">
        <v>0.18</v>
      </c>
      <c r="K86" s="64">
        <v>32.020000000000003</v>
      </c>
      <c r="L86" s="64">
        <v>25.11</v>
      </c>
      <c r="M86" s="64">
        <v>35.200000000000003</v>
      </c>
      <c r="N86" s="64">
        <v>66</v>
      </c>
      <c r="O86" s="64">
        <v>0</v>
      </c>
      <c r="P86" s="211" t="s">
        <v>42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47" t="s">
        <v>1954</v>
      </c>
      <c r="B87" s="64">
        <v>265.29000000000002</v>
      </c>
      <c r="C87" s="64">
        <v>171.98</v>
      </c>
      <c r="D87" s="64">
        <v>437.27</v>
      </c>
      <c r="E87" s="64">
        <v>16.03</v>
      </c>
      <c r="F87" s="64">
        <v>9.68</v>
      </c>
      <c r="G87" s="64">
        <v>97.03</v>
      </c>
      <c r="H87" s="64">
        <v>24.49</v>
      </c>
      <c r="I87" s="64">
        <v>4.08</v>
      </c>
      <c r="J87" s="64">
        <v>0.77</v>
      </c>
      <c r="K87" s="64">
        <v>354.54</v>
      </c>
      <c r="L87" s="64">
        <v>24.68</v>
      </c>
      <c r="M87" s="64">
        <v>41.67</v>
      </c>
      <c r="N87" s="64">
        <v>65.8</v>
      </c>
      <c r="O87" s="64">
        <v>0</v>
      </c>
      <c r="P87" s="211" t="s">
        <v>42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47" t="s">
        <v>1955</v>
      </c>
      <c r="B88" s="64">
        <v>150.80000000000001</v>
      </c>
      <c r="C88" s="64">
        <v>156.94999999999999</v>
      </c>
      <c r="D88" s="64">
        <v>307.75</v>
      </c>
      <c r="E88" s="64">
        <v>15.29</v>
      </c>
      <c r="F88" s="64">
        <v>9.35</v>
      </c>
      <c r="G88" s="64">
        <v>106.3</v>
      </c>
      <c r="H88" s="64">
        <v>25.69</v>
      </c>
      <c r="I88" s="64">
        <v>4.08</v>
      </c>
      <c r="J88" s="64">
        <v>0.38</v>
      </c>
      <c r="K88" s="64">
        <v>18.920000000000002</v>
      </c>
      <c r="L88" s="64">
        <v>24.21</v>
      </c>
      <c r="M88" s="64">
        <v>42.53</v>
      </c>
      <c r="N88" s="64">
        <v>65.900000000000006</v>
      </c>
      <c r="O88" s="64">
        <v>0</v>
      </c>
      <c r="P88" s="211" t="s">
        <v>42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47" t="s">
        <v>1956</v>
      </c>
      <c r="B89" s="64">
        <v>92.41</v>
      </c>
      <c r="C89" s="64">
        <v>151.16999999999999</v>
      </c>
      <c r="D89" s="64">
        <v>243.58</v>
      </c>
      <c r="E89" s="64">
        <v>14.69</v>
      </c>
      <c r="F89" s="64">
        <v>10.57</v>
      </c>
      <c r="G89" s="64">
        <v>106.3</v>
      </c>
      <c r="H89" s="64">
        <v>25.69</v>
      </c>
      <c r="I89" s="64">
        <v>4.08</v>
      </c>
      <c r="J89" s="64">
        <v>0.54</v>
      </c>
      <c r="K89" s="64">
        <v>102.32</v>
      </c>
      <c r="L89" s="64">
        <v>25.12</v>
      </c>
      <c r="M89" s="64">
        <v>36.61</v>
      </c>
      <c r="N89" s="64">
        <v>64.099999999999994</v>
      </c>
      <c r="O89" s="64">
        <v>0</v>
      </c>
      <c r="P89" s="211" t="s">
        <v>42</v>
      </c>
      <c r="Q89" s="64">
        <v>9.75</v>
      </c>
      <c r="R89" s="198"/>
      <c r="S89" s="198"/>
      <c r="T89" s="198"/>
      <c r="U89" s="198"/>
    </row>
    <row r="90" spans="1:26" s="12" customFormat="1" x14ac:dyDescent="0.25">
      <c r="A90" s="247" t="s">
        <v>1957</v>
      </c>
      <c r="B90" s="64">
        <v>121.33</v>
      </c>
      <c r="C90" s="64">
        <v>145.57</v>
      </c>
      <c r="D90" s="64">
        <v>266.89999999999998</v>
      </c>
      <c r="E90" s="64">
        <v>14.03</v>
      </c>
      <c r="F90" s="64">
        <v>9.3800000000000008</v>
      </c>
      <c r="G90" s="64">
        <v>106.3</v>
      </c>
      <c r="H90" s="64">
        <v>25.69</v>
      </c>
      <c r="I90" s="64">
        <v>3.9</v>
      </c>
      <c r="J90" s="64">
        <v>0.87</v>
      </c>
      <c r="K90" s="64">
        <v>351.1</v>
      </c>
      <c r="L90" s="64">
        <v>24.62</v>
      </c>
      <c r="M90" s="64">
        <v>44.52</v>
      </c>
      <c r="N90" s="64">
        <v>66.5</v>
      </c>
      <c r="O90" s="64">
        <v>0</v>
      </c>
      <c r="P90" s="211" t="s">
        <v>42</v>
      </c>
      <c r="Q90" s="64">
        <v>9.7899999999999991</v>
      </c>
      <c r="R90" s="198"/>
      <c r="S90" s="198"/>
      <c r="T90" s="198"/>
      <c r="U90" s="198"/>
    </row>
    <row r="91" spans="1:26" s="12" customFormat="1" x14ac:dyDescent="0.25">
      <c r="A91" s="247" t="s">
        <v>1958</v>
      </c>
      <c r="B91" s="64">
        <v>178.58</v>
      </c>
      <c r="C91" s="64">
        <v>164.8</v>
      </c>
      <c r="D91" s="64">
        <v>343.38</v>
      </c>
      <c r="E91" s="64">
        <v>15.49</v>
      </c>
      <c r="F91" s="64">
        <v>9.91</v>
      </c>
      <c r="G91" s="64">
        <v>128.25</v>
      </c>
      <c r="H91" s="64">
        <v>31.85</v>
      </c>
      <c r="I91" s="64">
        <v>3.81</v>
      </c>
      <c r="J91" s="64">
        <v>0.87</v>
      </c>
      <c r="K91" s="64">
        <v>0.56000000000000005</v>
      </c>
      <c r="L91" s="64">
        <v>23.82</v>
      </c>
      <c r="M91" s="64">
        <v>43.94</v>
      </c>
      <c r="N91" s="64">
        <v>66</v>
      </c>
      <c r="O91" s="64">
        <v>0</v>
      </c>
      <c r="P91" s="211" t="s">
        <v>42</v>
      </c>
      <c r="Q91" s="64">
        <v>9.8000000000000007</v>
      </c>
      <c r="R91" s="198"/>
      <c r="S91" s="198"/>
      <c r="T91" s="198"/>
      <c r="U91" s="198"/>
    </row>
    <row r="92" spans="1:26" s="12" customFormat="1" x14ac:dyDescent="0.25">
      <c r="A92" s="247" t="s">
        <v>1959</v>
      </c>
      <c r="B92" s="64">
        <v>146.05000000000001</v>
      </c>
      <c r="C92" s="64">
        <v>158.30000000000001</v>
      </c>
      <c r="D92" s="64">
        <v>304.35000000000002</v>
      </c>
      <c r="E92" s="64">
        <v>14.61</v>
      </c>
      <c r="F92" s="64">
        <v>9.23</v>
      </c>
      <c r="G92" s="64">
        <v>140.37</v>
      </c>
      <c r="H92" s="64">
        <v>32.92</v>
      </c>
      <c r="I92" s="64">
        <v>4.01</v>
      </c>
      <c r="J92" s="64">
        <v>0.67</v>
      </c>
      <c r="K92" s="64">
        <v>342.78</v>
      </c>
      <c r="L92" s="64">
        <v>23.53</v>
      </c>
      <c r="M92" s="64">
        <v>44.39</v>
      </c>
      <c r="N92" s="64">
        <v>66</v>
      </c>
      <c r="O92" s="64">
        <v>0</v>
      </c>
      <c r="P92" s="211" t="s">
        <v>42</v>
      </c>
      <c r="Q92" s="64">
        <v>9.81</v>
      </c>
      <c r="R92" s="198"/>
      <c r="S92" s="198"/>
      <c r="T92" s="198"/>
      <c r="U92" s="198"/>
    </row>
    <row r="93" spans="1:26" s="12" customFormat="1" x14ac:dyDescent="0.25">
      <c r="A93" s="247" t="s">
        <v>1960</v>
      </c>
      <c r="B93" s="64">
        <v>133.13</v>
      </c>
      <c r="C93" s="64">
        <v>142.22999999999999</v>
      </c>
      <c r="D93" s="64">
        <v>275.36</v>
      </c>
      <c r="E93" s="64">
        <v>12.27</v>
      </c>
      <c r="F93" s="64">
        <v>8.2100000000000009</v>
      </c>
      <c r="G93" s="64">
        <v>140.37</v>
      </c>
      <c r="H93" s="64">
        <v>32.92</v>
      </c>
      <c r="I93" s="64">
        <v>4.01</v>
      </c>
      <c r="J93" s="64">
        <v>0.72</v>
      </c>
      <c r="K93" s="64">
        <v>241.66</v>
      </c>
      <c r="L93" s="64">
        <v>23.62</v>
      </c>
      <c r="M93" s="64">
        <v>41.61</v>
      </c>
      <c r="N93" s="64">
        <v>65.8</v>
      </c>
      <c r="O93" s="64">
        <v>0</v>
      </c>
      <c r="P93" s="211" t="s">
        <v>42</v>
      </c>
      <c r="Q93" s="64">
        <v>9.81</v>
      </c>
      <c r="R93" s="198"/>
      <c r="S93" s="198"/>
      <c r="T93" s="198"/>
      <c r="U93" s="198"/>
    </row>
    <row r="94" spans="1:26" s="12" customFormat="1" x14ac:dyDescent="0.25">
      <c r="A94" s="247" t="s">
        <v>1961</v>
      </c>
      <c r="B94" s="64">
        <v>136.91</v>
      </c>
      <c r="C94" s="64">
        <v>132.51</v>
      </c>
      <c r="D94" s="64">
        <v>269.42</v>
      </c>
      <c r="E94" s="64">
        <v>10.93</v>
      </c>
      <c r="F94" s="64">
        <v>8</v>
      </c>
      <c r="G94" s="64">
        <v>140.37</v>
      </c>
      <c r="H94" s="64">
        <v>32.92</v>
      </c>
      <c r="I94" s="64">
        <v>3.84</v>
      </c>
      <c r="J94" s="64">
        <v>0.52</v>
      </c>
      <c r="K94" s="64">
        <v>332.58</v>
      </c>
      <c r="L94" s="64">
        <v>23.84</v>
      </c>
      <c r="M94" s="64">
        <v>42.56</v>
      </c>
      <c r="N94" s="64">
        <v>66.099999999999994</v>
      </c>
      <c r="O94" s="64">
        <v>0</v>
      </c>
      <c r="P94" s="211" t="s">
        <v>42</v>
      </c>
      <c r="Q94" s="64">
        <v>9.83</v>
      </c>
      <c r="R94" s="198"/>
      <c r="S94" s="198"/>
      <c r="T94" s="198"/>
      <c r="U94" s="198"/>
    </row>
    <row r="95" spans="1:26" s="12" customFormat="1" x14ac:dyDescent="0.25">
      <c r="A95" s="247" t="s">
        <v>1962</v>
      </c>
      <c r="B95" s="64">
        <v>163.47999999999999</v>
      </c>
      <c r="C95" s="64">
        <v>151.54</v>
      </c>
      <c r="D95" s="64">
        <v>315.01</v>
      </c>
      <c r="E95" s="64">
        <v>11.46</v>
      </c>
      <c r="F95" s="64">
        <v>8.43</v>
      </c>
      <c r="G95" s="64">
        <v>147.1</v>
      </c>
      <c r="H95" s="64">
        <v>34.85</v>
      </c>
      <c r="I95" s="64">
        <v>3.87</v>
      </c>
      <c r="J95" s="64">
        <v>0.26</v>
      </c>
      <c r="K95" s="64">
        <v>38.14</v>
      </c>
      <c r="L95" s="64">
        <v>23.11</v>
      </c>
      <c r="M95" s="64">
        <v>43.54</v>
      </c>
      <c r="N95" s="64">
        <v>66.099999999999994</v>
      </c>
      <c r="O95" s="64">
        <v>0</v>
      </c>
      <c r="P95" s="211" t="s">
        <v>42</v>
      </c>
      <c r="Q95" s="64">
        <v>9.81</v>
      </c>
      <c r="R95" s="198"/>
      <c r="S95" s="198"/>
      <c r="T95" s="198"/>
      <c r="U95" s="198"/>
    </row>
    <row r="96" spans="1:26" s="12" customFormat="1" x14ac:dyDescent="0.25">
      <c r="A96" s="247" t="s">
        <v>1963</v>
      </c>
      <c r="B96" s="64">
        <v>134.30000000000001</v>
      </c>
      <c r="C96" s="64">
        <v>140.13</v>
      </c>
      <c r="D96" s="64">
        <v>274.43</v>
      </c>
      <c r="E96" s="64">
        <v>11.87</v>
      </c>
      <c r="F96" s="64">
        <v>8.5299999999999994</v>
      </c>
      <c r="G96" s="64">
        <v>150.82</v>
      </c>
      <c r="H96" s="64">
        <v>35.4</v>
      </c>
      <c r="I96" s="64">
        <v>4.1399999999999997</v>
      </c>
      <c r="J96" s="64">
        <v>0.26</v>
      </c>
      <c r="K96" s="64">
        <v>71.02</v>
      </c>
      <c r="L96" s="64">
        <v>23.21</v>
      </c>
      <c r="M96" s="64">
        <v>44.68</v>
      </c>
      <c r="N96" s="64">
        <v>65.8</v>
      </c>
      <c r="O96" s="64">
        <v>0</v>
      </c>
      <c r="P96" s="211" t="s">
        <v>42</v>
      </c>
      <c r="Q96" s="64">
        <v>9.82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1964</v>
      </c>
      <c r="B97" s="64">
        <v>165.31</v>
      </c>
      <c r="C97" s="64">
        <v>144.84</v>
      </c>
      <c r="D97" s="64">
        <v>310.14999999999998</v>
      </c>
      <c r="E97" s="64">
        <v>11.74</v>
      </c>
      <c r="F97" s="64">
        <v>8.49</v>
      </c>
      <c r="G97" s="64">
        <v>150.82</v>
      </c>
      <c r="H97" s="64">
        <v>35.4</v>
      </c>
      <c r="I97" s="64">
        <v>4.2300000000000004</v>
      </c>
      <c r="J97" s="64">
        <v>0.49</v>
      </c>
      <c r="K97" s="64">
        <v>89.34</v>
      </c>
      <c r="L97" s="64">
        <v>22.81</v>
      </c>
      <c r="M97" s="64">
        <v>47.05</v>
      </c>
      <c r="N97" s="64">
        <v>66.5</v>
      </c>
      <c r="O97" s="64">
        <v>0</v>
      </c>
      <c r="P97" s="211" t="s">
        <v>42</v>
      </c>
      <c r="Q97" s="64">
        <v>9.8800000000000008</v>
      </c>
      <c r="R97" s="198"/>
      <c r="S97" s="198"/>
      <c r="T97" s="198"/>
      <c r="U97" s="198"/>
    </row>
    <row r="98" spans="1:33" s="12" customFormat="1" x14ac:dyDescent="0.25">
      <c r="A98" s="247" t="s">
        <v>1965</v>
      </c>
      <c r="B98" s="64">
        <v>187.11</v>
      </c>
      <c r="C98" s="64">
        <v>140.47</v>
      </c>
      <c r="D98" s="64">
        <v>327.58</v>
      </c>
      <c r="E98" s="64">
        <v>10.61</v>
      </c>
      <c r="F98" s="64">
        <v>8.9</v>
      </c>
      <c r="G98" s="64">
        <v>150.82</v>
      </c>
      <c r="H98" s="64">
        <v>35.4</v>
      </c>
      <c r="I98" s="64">
        <v>4.0599999999999996</v>
      </c>
      <c r="J98" s="64">
        <v>0.32</v>
      </c>
      <c r="K98" s="64">
        <v>179.45</v>
      </c>
      <c r="L98" s="64">
        <v>22.54</v>
      </c>
      <c r="M98" s="64">
        <v>49.09</v>
      </c>
      <c r="N98" s="64">
        <v>65.900000000000006</v>
      </c>
      <c r="O98" s="64">
        <v>0</v>
      </c>
      <c r="P98" s="211" t="s">
        <v>42</v>
      </c>
      <c r="Q98" s="64">
        <v>9.9</v>
      </c>
      <c r="R98" s="198"/>
      <c r="S98" s="198"/>
      <c r="T98" s="198"/>
      <c r="U98" s="198"/>
    </row>
    <row r="99" spans="1:33" s="12" customFormat="1" x14ac:dyDescent="0.25">
      <c r="A99" s="247" t="s">
        <v>1966</v>
      </c>
      <c r="B99" s="64">
        <v>275.67</v>
      </c>
      <c r="C99" s="64">
        <v>131.88</v>
      </c>
      <c r="D99" s="64">
        <v>407.54</v>
      </c>
      <c r="E99" s="64">
        <v>11.24</v>
      </c>
      <c r="F99" s="64">
        <v>8.19</v>
      </c>
      <c r="G99" s="64">
        <v>152.72</v>
      </c>
      <c r="H99" s="64">
        <v>40.58</v>
      </c>
      <c r="I99" s="64">
        <v>4.01</v>
      </c>
      <c r="J99" s="64">
        <v>0.7</v>
      </c>
      <c r="K99" s="64">
        <v>352.6</v>
      </c>
      <c r="L99" s="64">
        <v>22.31</v>
      </c>
      <c r="M99" s="64">
        <v>52.26</v>
      </c>
      <c r="N99" s="64">
        <v>66.099999999999994</v>
      </c>
      <c r="O99" s="64">
        <v>0</v>
      </c>
      <c r="P99" s="211" t="s">
        <v>42</v>
      </c>
      <c r="Q99" s="64">
        <v>9.89</v>
      </c>
      <c r="R99" s="198"/>
      <c r="S99" s="198"/>
      <c r="T99" s="198"/>
      <c r="U99" s="198"/>
    </row>
    <row r="100" spans="1:33" s="12" customFormat="1" x14ac:dyDescent="0.25">
      <c r="A100" s="247" t="s">
        <v>1967</v>
      </c>
      <c r="B100" s="64">
        <v>206.5</v>
      </c>
      <c r="C100" s="64">
        <v>129.57</v>
      </c>
      <c r="D100" s="64">
        <v>336.06</v>
      </c>
      <c r="E100" s="64">
        <v>9.61</v>
      </c>
      <c r="F100" s="64">
        <v>8.4700000000000006</v>
      </c>
      <c r="G100" s="64">
        <v>153.77000000000001</v>
      </c>
      <c r="H100" s="64">
        <v>41.48</v>
      </c>
      <c r="I100" s="64">
        <v>3.99</v>
      </c>
      <c r="J100" s="64">
        <v>0.55000000000000004</v>
      </c>
      <c r="K100" s="64">
        <v>359.54</v>
      </c>
      <c r="L100" s="64">
        <v>21.84</v>
      </c>
      <c r="M100" s="64">
        <v>55.56</v>
      </c>
      <c r="N100" s="64">
        <v>66.2</v>
      </c>
      <c r="O100" s="64">
        <v>0</v>
      </c>
      <c r="P100" s="211" t="s">
        <v>42</v>
      </c>
      <c r="Q100" s="64">
        <v>9.86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1968</v>
      </c>
      <c r="B101" s="64">
        <v>167.01</v>
      </c>
      <c r="C101" s="64">
        <v>121.41</v>
      </c>
      <c r="D101" s="64">
        <v>288.41000000000003</v>
      </c>
      <c r="E101" s="64">
        <v>9.75</v>
      </c>
      <c r="F101" s="64">
        <v>8.1199999999999992</v>
      </c>
      <c r="G101" s="64">
        <v>153.77000000000001</v>
      </c>
      <c r="H101" s="64">
        <v>41.48</v>
      </c>
      <c r="I101" s="64">
        <v>4.0999999999999996</v>
      </c>
      <c r="J101" s="64">
        <v>0.53</v>
      </c>
      <c r="K101" s="64">
        <v>322.10000000000002</v>
      </c>
      <c r="L101" s="64">
        <v>21.74</v>
      </c>
      <c r="M101" s="64">
        <v>56.12</v>
      </c>
      <c r="N101" s="64">
        <v>66</v>
      </c>
      <c r="O101" s="64">
        <v>0</v>
      </c>
      <c r="P101" s="211" t="s">
        <v>42</v>
      </c>
      <c r="Q101" s="64">
        <v>9.91</v>
      </c>
      <c r="R101" s="198"/>
      <c r="S101" s="198"/>
      <c r="T101" s="198"/>
      <c r="U101" s="198"/>
    </row>
    <row r="102" spans="1:33" s="12" customFormat="1" x14ac:dyDescent="0.25">
      <c r="A102" s="247" t="s">
        <v>1969</v>
      </c>
      <c r="B102" s="64">
        <v>89.45</v>
      </c>
      <c r="C102" s="64">
        <v>124.29</v>
      </c>
      <c r="D102" s="64">
        <v>213.74</v>
      </c>
      <c r="E102" s="64">
        <v>9.2799999999999994</v>
      </c>
      <c r="F102" s="64">
        <v>6.64</v>
      </c>
      <c r="G102" s="64">
        <v>153.77000000000001</v>
      </c>
      <c r="H102" s="64">
        <v>41.48</v>
      </c>
      <c r="I102" s="64">
        <v>3.95</v>
      </c>
      <c r="J102" s="64">
        <v>0.67</v>
      </c>
      <c r="K102" s="64">
        <v>281.89</v>
      </c>
      <c r="L102" s="64">
        <v>21.63</v>
      </c>
      <c r="M102" s="64">
        <v>55.39</v>
      </c>
      <c r="N102" s="64">
        <v>66.099999999999994</v>
      </c>
      <c r="O102" s="64">
        <v>0</v>
      </c>
      <c r="P102" s="211" t="s">
        <v>42</v>
      </c>
      <c r="Q102" s="64">
        <v>9.94</v>
      </c>
      <c r="R102" s="198"/>
      <c r="S102" s="198"/>
      <c r="T102" s="198"/>
      <c r="U102" s="198"/>
    </row>
    <row r="103" spans="1:33" s="12" customFormat="1" x14ac:dyDescent="0.25">
      <c r="A103" s="247" t="s">
        <v>1970</v>
      </c>
      <c r="B103" s="64">
        <v>78.88</v>
      </c>
      <c r="C103" s="64">
        <v>136.9</v>
      </c>
      <c r="D103" s="64">
        <v>215.78</v>
      </c>
      <c r="E103" s="64">
        <v>10.44</v>
      </c>
      <c r="F103" s="64">
        <v>8.17</v>
      </c>
      <c r="G103" s="64">
        <v>151.69999999999999</v>
      </c>
      <c r="H103" s="64">
        <v>38.75</v>
      </c>
      <c r="I103" s="64">
        <v>3.98</v>
      </c>
      <c r="J103" s="64">
        <v>0.81</v>
      </c>
      <c r="K103" s="64">
        <v>220.33</v>
      </c>
      <c r="L103" s="64">
        <v>22.22</v>
      </c>
      <c r="M103" s="64">
        <v>49.78</v>
      </c>
      <c r="N103" s="64">
        <v>65.099999999999994</v>
      </c>
      <c r="O103" s="64">
        <v>0</v>
      </c>
      <c r="P103" s="211" t="s">
        <v>42</v>
      </c>
      <c r="Q103" s="64">
        <v>9.98</v>
      </c>
      <c r="R103" s="198"/>
      <c r="S103" s="198"/>
      <c r="T103" s="198"/>
      <c r="U103" s="198"/>
    </row>
    <row r="104" spans="1:33" s="12" customFormat="1" x14ac:dyDescent="0.25">
      <c r="A104" s="247" t="s">
        <v>1971</v>
      </c>
      <c r="B104" s="64">
        <v>109.52</v>
      </c>
      <c r="C104" s="64">
        <v>87.47</v>
      </c>
      <c r="D104" s="64">
        <v>196.99</v>
      </c>
      <c r="E104" s="64">
        <v>5.3</v>
      </c>
      <c r="F104" s="64">
        <v>8.49</v>
      </c>
      <c r="G104" s="64">
        <v>150.56</v>
      </c>
      <c r="H104" s="64">
        <v>38.28</v>
      </c>
      <c r="I104" s="64">
        <v>3.97</v>
      </c>
      <c r="J104" s="64">
        <v>1.0900000000000001</v>
      </c>
      <c r="K104" s="64">
        <v>158.87</v>
      </c>
      <c r="L104" s="64">
        <v>23.29</v>
      </c>
      <c r="M104" s="64">
        <v>41.57</v>
      </c>
      <c r="N104" s="64">
        <v>63.9</v>
      </c>
      <c r="O104" s="64">
        <v>0</v>
      </c>
      <c r="P104" s="211" t="s">
        <v>42</v>
      </c>
      <c r="Q104" s="64">
        <v>10.029999999999999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2.41</v>
      </c>
      <c r="C106" s="67">
        <f>MIN(C9:C104)</f>
        <v>9.2200000000000006</v>
      </c>
      <c r="D106" s="67">
        <f t="shared" ref="D106:Q106" si="0">MIN(D9:D104)</f>
        <v>11.64</v>
      </c>
      <c r="E106" s="67">
        <f t="shared" si="0"/>
        <v>3.15</v>
      </c>
      <c r="F106" s="67">
        <f t="shared" si="0"/>
        <v>6.64</v>
      </c>
      <c r="G106" s="67">
        <f t="shared" si="0"/>
        <v>35.39</v>
      </c>
      <c r="H106" s="67">
        <f t="shared" si="0"/>
        <v>1.56</v>
      </c>
      <c r="I106" s="67">
        <f t="shared" si="0"/>
        <v>3.81</v>
      </c>
      <c r="J106" s="67">
        <f t="shared" si="0"/>
        <v>0.12</v>
      </c>
      <c r="K106" s="67">
        <f t="shared" si="0"/>
        <v>0.56000000000000005</v>
      </c>
      <c r="L106" s="67">
        <f t="shared" si="0"/>
        <v>18.77</v>
      </c>
      <c r="M106" s="67">
        <f t="shared" si="0"/>
        <v>15.5</v>
      </c>
      <c r="N106" s="67">
        <f t="shared" si="0"/>
        <v>60.8</v>
      </c>
      <c r="O106" s="67">
        <f t="shared" si="0"/>
        <v>0</v>
      </c>
      <c r="P106" s="67">
        <f t="shared" si="0"/>
        <v>0.34</v>
      </c>
      <c r="Q106" s="67">
        <f t="shared" si="0"/>
        <v>9.4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275.67</v>
      </c>
      <c r="C107" s="66">
        <f t="shared" ref="C107:Q107" si="1">MAX(C9:C104)</f>
        <v>181.78</v>
      </c>
      <c r="D107" s="66">
        <f t="shared" si="1"/>
        <v>437.27</v>
      </c>
      <c r="E107" s="66">
        <f t="shared" si="1"/>
        <v>168.37</v>
      </c>
      <c r="F107" s="66">
        <f t="shared" si="1"/>
        <v>44</v>
      </c>
      <c r="G107" s="66">
        <f t="shared" si="1"/>
        <v>153.77000000000001</v>
      </c>
      <c r="H107" s="66">
        <f t="shared" si="1"/>
        <v>41.48</v>
      </c>
      <c r="I107" s="66">
        <f t="shared" si="1"/>
        <v>4.2699999999999996</v>
      </c>
      <c r="J107" s="66">
        <f t="shared" si="1"/>
        <v>1.89</v>
      </c>
      <c r="K107" s="66">
        <f t="shared" si="1"/>
        <v>359.54</v>
      </c>
      <c r="L107" s="66">
        <f t="shared" si="1"/>
        <v>36.119999999999997</v>
      </c>
      <c r="M107" s="66">
        <f t="shared" si="1"/>
        <v>56.17</v>
      </c>
      <c r="N107" s="66">
        <f t="shared" si="1"/>
        <v>767.6</v>
      </c>
      <c r="O107" s="66">
        <f t="shared" si="1"/>
        <v>0</v>
      </c>
      <c r="P107" s="66">
        <f t="shared" si="1"/>
        <v>3.39</v>
      </c>
      <c r="Q107" s="66">
        <f t="shared" si="1"/>
        <v>10.029999999999999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46.014255319148944</v>
      </c>
      <c r="C108" s="67">
        <f t="shared" ref="C108:Q108" si="2">AVERAGE(C9:C104)</f>
        <v>85.5001063829787</v>
      </c>
      <c r="D108" s="67">
        <f t="shared" si="2"/>
        <v>116.24744680851066</v>
      </c>
      <c r="E108" s="67">
        <f t="shared" si="2"/>
        <v>16.752282608695644</v>
      </c>
      <c r="F108" s="67">
        <f t="shared" si="2"/>
        <v>15.429375000000007</v>
      </c>
      <c r="G108" s="67">
        <f t="shared" si="2"/>
        <v>85.637391304347815</v>
      </c>
      <c r="H108" s="67">
        <f t="shared" si="2"/>
        <v>21.800760869565227</v>
      </c>
      <c r="I108" s="67">
        <f t="shared" si="2"/>
        <v>3.9982291666666661</v>
      </c>
      <c r="J108" s="67">
        <f t="shared" si="2"/>
        <v>0.82614583333333391</v>
      </c>
      <c r="K108" s="67">
        <f t="shared" si="2"/>
        <v>165.6092708333334</v>
      </c>
      <c r="L108" s="67">
        <f t="shared" si="2"/>
        <v>26.017812499999994</v>
      </c>
      <c r="M108" s="67">
        <f t="shared" si="2"/>
        <v>33.917083333333338</v>
      </c>
      <c r="N108" s="67">
        <f t="shared" si="2"/>
        <v>256.28333333333325</v>
      </c>
      <c r="O108" s="67">
        <f t="shared" si="2"/>
        <v>0</v>
      </c>
      <c r="P108" s="67">
        <f t="shared" si="2"/>
        <v>0.69226666666666692</v>
      </c>
      <c r="Q108" s="67">
        <f t="shared" si="2"/>
        <v>9.6331249999999962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66.538306607650313</v>
      </c>
      <c r="C109" s="67">
        <f t="shared" ref="C109:Q109" si="3">STDEV(C9:C104)</f>
        <v>39.680451878461348</v>
      </c>
      <c r="D109" s="67">
        <f t="shared" si="3"/>
        <v>111.83790209986633</v>
      </c>
      <c r="E109" s="67">
        <f t="shared" si="3"/>
        <v>25.587167804798241</v>
      </c>
      <c r="F109" s="67">
        <f t="shared" si="3"/>
        <v>9.9097785638333118</v>
      </c>
      <c r="G109" s="67">
        <f t="shared" si="3"/>
        <v>29.603542625454011</v>
      </c>
      <c r="H109" s="67">
        <f t="shared" si="3"/>
        <v>9.1701488038659882</v>
      </c>
      <c r="I109" s="67">
        <f t="shared" si="3"/>
        <v>8.5692163759731002E-2</v>
      </c>
      <c r="J109" s="67">
        <f t="shared" si="3"/>
        <v>0.38535935325401088</v>
      </c>
      <c r="K109" s="67">
        <f t="shared" si="3"/>
        <v>129.01828811406449</v>
      </c>
      <c r="L109" s="67">
        <f t="shared" si="3"/>
        <v>5.1509549861882178</v>
      </c>
      <c r="M109" s="67">
        <f t="shared" si="3"/>
        <v>11.931514477185933</v>
      </c>
      <c r="N109" s="67">
        <f t="shared" si="3"/>
        <v>264.74507725324133</v>
      </c>
      <c r="O109" s="67">
        <f t="shared" si="3"/>
        <v>0</v>
      </c>
      <c r="P109" s="67">
        <f t="shared" si="3"/>
        <v>0.41045318834164235</v>
      </c>
      <c r="Q109" s="67">
        <f t="shared" si="3"/>
        <v>0.13400952440621131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 t="shared" ref="C110:D110" si="4">COUNT(C9:C104)+2</f>
        <v>96</v>
      </c>
      <c r="D110" s="66">
        <f t="shared" si="4"/>
        <v>96</v>
      </c>
      <c r="E110" s="66">
        <f>COUNT(E9:E104)+4</f>
        <v>96</v>
      </c>
      <c r="F110" s="66">
        <f t="shared" ref="B110:Q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COUNT(P9:P104)+21</f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1972</v>
      </c>
      <c r="B9" s="64">
        <v>60.51</v>
      </c>
      <c r="C9" s="64">
        <v>84.75</v>
      </c>
      <c r="D9" s="64">
        <v>145.25</v>
      </c>
      <c r="E9" s="64">
        <v>9.8000000000000007</v>
      </c>
      <c r="F9" s="64">
        <v>15.38</v>
      </c>
      <c r="G9" s="64">
        <v>150.56</v>
      </c>
      <c r="H9" s="64">
        <v>38.28</v>
      </c>
      <c r="I9" s="64">
        <v>3.86</v>
      </c>
      <c r="J9" s="64">
        <v>0.96</v>
      </c>
      <c r="K9" s="64">
        <v>18.57</v>
      </c>
      <c r="L9" s="64">
        <v>23.25</v>
      </c>
      <c r="M9" s="64">
        <v>38.840000000000003</v>
      </c>
      <c r="N9" s="64">
        <v>65.7</v>
      </c>
      <c r="O9" s="64">
        <v>0</v>
      </c>
      <c r="P9" s="64">
        <v>2.14</v>
      </c>
      <c r="Q9" s="64">
        <v>10.029999999999999</v>
      </c>
      <c r="R9" s="198"/>
      <c r="S9" s="198"/>
      <c r="T9" s="198"/>
      <c r="U9" s="198"/>
    </row>
    <row r="10" spans="1:21" s="12" customFormat="1" x14ac:dyDescent="0.25">
      <c r="A10" s="247" t="s">
        <v>1973</v>
      </c>
      <c r="B10" s="64">
        <v>45.17</v>
      </c>
      <c r="C10" s="64">
        <v>86.79</v>
      </c>
      <c r="D10" s="64">
        <v>131.97</v>
      </c>
      <c r="E10" s="64">
        <v>17.420000000000002</v>
      </c>
      <c r="F10" s="64">
        <v>16</v>
      </c>
      <c r="G10" s="64">
        <v>150.56</v>
      </c>
      <c r="H10" s="64">
        <v>38.28</v>
      </c>
      <c r="I10" s="64">
        <v>3.99</v>
      </c>
      <c r="J10" s="64">
        <v>0.75</v>
      </c>
      <c r="K10" s="64">
        <v>7.4</v>
      </c>
      <c r="L10" s="64">
        <v>23.44</v>
      </c>
      <c r="M10" s="64">
        <v>35.950000000000003</v>
      </c>
      <c r="N10" s="64">
        <v>65.900000000000006</v>
      </c>
      <c r="O10" s="64">
        <v>0</v>
      </c>
      <c r="P10" s="64">
        <v>1.91</v>
      </c>
      <c r="Q10" s="64">
        <v>10.039999999999999</v>
      </c>
      <c r="R10" s="198"/>
      <c r="S10" s="198"/>
      <c r="T10" s="198"/>
      <c r="U10" s="198"/>
    </row>
    <row r="11" spans="1:21" s="12" customFormat="1" x14ac:dyDescent="0.25">
      <c r="A11" s="247" t="s">
        <v>1974</v>
      </c>
      <c r="B11" s="64">
        <v>41.53</v>
      </c>
      <c r="C11" s="64">
        <v>75.84</v>
      </c>
      <c r="D11" s="64">
        <v>117.37</v>
      </c>
      <c r="E11" s="64">
        <v>13.98</v>
      </c>
      <c r="F11" s="64">
        <v>18.55</v>
      </c>
      <c r="G11" s="64">
        <v>134.15</v>
      </c>
      <c r="H11" s="64">
        <v>38.340000000000003</v>
      </c>
      <c r="I11" s="64">
        <v>4.0599999999999996</v>
      </c>
      <c r="J11" s="64">
        <v>0.51</v>
      </c>
      <c r="K11" s="64">
        <v>15.59</v>
      </c>
      <c r="L11" s="64">
        <v>23.24</v>
      </c>
      <c r="M11" s="64">
        <v>35.270000000000003</v>
      </c>
      <c r="N11" s="64">
        <v>66.2</v>
      </c>
      <c r="O11" s="64">
        <v>0</v>
      </c>
      <c r="P11" s="64">
        <v>1.48</v>
      </c>
      <c r="Q11" s="64">
        <v>10.01</v>
      </c>
      <c r="R11" s="198"/>
      <c r="S11" s="198"/>
      <c r="T11" s="198"/>
      <c r="U11" s="198"/>
    </row>
    <row r="12" spans="1:21" s="12" customFormat="1" x14ac:dyDescent="0.25">
      <c r="A12" s="247" t="s">
        <v>1975</v>
      </c>
      <c r="B12" s="64">
        <v>36.28</v>
      </c>
      <c r="C12" s="64">
        <v>67.91</v>
      </c>
      <c r="D12" s="64">
        <v>104.19</v>
      </c>
      <c r="E12" s="64">
        <v>15.21</v>
      </c>
      <c r="F12" s="64">
        <v>18.66</v>
      </c>
      <c r="G12" s="64">
        <v>125.09</v>
      </c>
      <c r="H12" s="64">
        <v>38.35</v>
      </c>
      <c r="I12" s="64">
        <v>4.08</v>
      </c>
      <c r="J12" s="64">
        <v>0.59</v>
      </c>
      <c r="K12" s="64">
        <v>14</v>
      </c>
      <c r="L12" s="64">
        <v>22.69</v>
      </c>
      <c r="M12" s="64">
        <v>36.36</v>
      </c>
      <c r="N12" s="64">
        <v>66.400000000000006</v>
      </c>
      <c r="O12" s="64">
        <v>0</v>
      </c>
      <c r="P12" s="64">
        <v>1.32</v>
      </c>
      <c r="Q12" s="64">
        <v>10.029999999999999</v>
      </c>
      <c r="R12" s="198"/>
      <c r="S12" s="198"/>
      <c r="T12" s="198"/>
      <c r="U12" s="198"/>
    </row>
    <row r="13" spans="1:21" s="12" customFormat="1" x14ac:dyDescent="0.25">
      <c r="A13" s="247" t="s">
        <v>1976</v>
      </c>
      <c r="B13" s="64">
        <v>31.12</v>
      </c>
      <c r="C13" s="64">
        <v>55.22</v>
      </c>
      <c r="D13" s="64">
        <v>86.34</v>
      </c>
      <c r="E13" s="64">
        <v>14.47</v>
      </c>
      <c r="F13" s="64">
        <v>23.37</v>
      </c>
      <c r="G13" s="64">
        <v>125.09</v>
      </c>
      <c r="H13" s="64">
        <v>38.35</v>
      </c>
      <c r="I13" s="64">
        <v>4.1100000000000003</v>
      </c>
      <c r="J13" s="64">
        <v>0.59</v>
      </c>
      <c r="K13" s="64">
        <v>47.19</v>
      </c>
      <c r="L13" s="64">
        <v>22.76</v>
      </c>
      <c r="M13" s="64">
        <v>35.76</v>
      </c>
      <c r="N13" s="64">
        <v>65.900000000000006</v>
      </c>
      <c r="O13" s="64">
        <v>0</v>
      </c>
      <c r="P13" s="64">
        <v>0.7</v>
      </c>
      <c r="Q13" s="64">
        <v>9.98</v>
      </c>
      <c r="R13" s="198"/>
      <c r="S13" s="198"/>
      <c r="T13" s="198"/>
      <c r="U13" s="198"/>
    </row>
    <row r="14" spans="1:21" s="12" customFormat="1" x14ac:dyDescent="0.25">
      <c r="A14" s="247" t="s">
        <v>1977</v>
      </c>
      <c r="B14" s="64">
        <v>33.93</v>
      </c>
      <c r="C14" s="64">
        <v>59.69</v>
      </c>
      <c r="D14" s="64">
        <v>93.62</v>
      </c>
      <c r="E14" s="64">
        <v>12.77</v>
      </c>
      <c r="F14" s="64">
        <v>21.1</v>
      </c>
      <c r="G14" s="64">
        <v>125.09</v>
      </c>
      <c r="H14" s="64">
        <v>38.35</v>
      </c>
      <c r="I14" s="64">
        <v>3.89</v>
      </c>
      <c r="J14" s="64">
        <v>0.56000000000000005</v>
      </c>
      <c r="K14" s="64">
        <v>21.34</v>
      </c>
      <c r="L14" s="64">
        <v>22.68</v>
      </c>
      <c r="M14" s="64">
        <v>35.6</v>
      </c>
      <c r="N14" s="64">
        <v>66.099999999999994</v>
      </c>
      <c r="O14" s="64">
        <v>0</v>
      </c>
      <c r="P14" s="64">
        <v>0.89</v>
      </c>
      <c r="Q14" s="64">
        <v>9.94</v>
      </c>
      <c r="R14" s="198"/>
      <c r="S14" s="198"/>
      <c r="T14" s="198"/>
      <c r="U14" s="198"/>
    </row>
    <row r="15" spans="1:21" s="12" customFormat="1" x14ac:dyDescent="0.25">
      <c r="A15" s="247" t="s">
        <v>1978</v>
      </c>
      <c r="B15" s="64">
        <v>54.01</v>
      </c>
      <c r="C15" s="64">
        <v>66.709999999999994</v>
      </c>
      <c r="D15" s="64">
        <v>120.72</v>
      </c>
      <c r="E15" s="64">
        <v>10.1</v>
      </c>
      <c r="F15" s="64">
        <v>16.309999999999999</v>
      </c>
      <c r="G15" s="64">
        <v>106.93</v>
      </c>
      <c r="H15" s="64">
        <v>30.13</v>
      </c>
      <c r="I15" s="64">
        <v>4.07</v>
      </c>
      <c r="J15" s="64">
        <v>0.81</v>
      </c>
      <c r="K15" s="64">
        <v>13.8</v>
      </c>
      <c r="L15" s="64">
        <v>22.44</v>
      </c>
      <c r="M15" s="64">
        <v>37.18</v>
      </c>
      <c r="N15" s="64">
        <v>66.2</v>
      </c>
      <c r="O15" s="64">
        <v>0</v>
      </c>
      <c r="P15" s="64">
        <v>1.34</v>
      </c>
      <c r="Q15" s="64">
        <v>9.92</v>
      </c>
      <c r="R15" s="198"/>
      <c r="S15" s="198"/>
      <c r="T15" s="198"/>
      <c r="U15" s="198"/>
    </row>
    <row r="16" spans="1:21" s="12" customFormat="1" x14ac:dyDescent="0.25">
      <c r="A16" s="247" t="s">
        <v>1979</v>
      </c>
      <c r="B16" s="64">
        <v>48.71</v>
      </c>
      <c r="C16" s="64">
        <v>62.78</v>
      </c>
      <c r="D16" s="64">
        <v>111.49</v>
      </c>
      <c r="E16" s="64">
        <v>7.34</v>
      </c>
      <c r="F16" s="64">
        <v>15.66</v>
      </c>
      <c r="G16" s="64">
        <v>96.92</v>
      </c>
      <c r="H16" s="64">
        <v>27.55</v>
      </c>
      <c r="I16" s="64">
        <v>3.99</v>
      </c>
      <c r="J16" s="64">
        <v>0.81</v>
      </c>
      <c r="K16" s="64">
        <v>8.7200000000000006</v>
      </c>
      <c r="L16" s="64">
        <v>22.12</v>
      </c>
      <c r="M16" s="64">
        <v>38.6</v>
      </c>
      <c r="N16" s="64">
        <v>66.2</v>
      </c>
      <c r="O16" s="64">
        <v>0</v>
      </c>
      <c r="P16" s="64">
        <v>1.26</v>
      </c>
      <c r="Q16" s="64">
        <v>9.89</v>
      </c>
      <c r="R16" s="198"/>
      <c r="S16" s="198"/>
      <c r="T16" s="198"/>
      <c r="U16" s="198"/>
    </row>
    <row r="17" spans="1:21" s="12" customFormat="1" x14ac:dyDescent="0.25">
      <c r="A17" s="247" t="s">
        <v>1980</v>
      </c>
      <c r="B17" s="64">
        <v>53.46</v>
      </c>
      <c r="C17" s="64">
        <v>62.64</v>
      </c>
      <c r="D17" s="64">
        <v>116.11</v>
      </c>
      <c r="E17" s="64">
        <v>7.63</v>
      </c>
      <c r="F17" s="64">
        <v>15.64</v>
      </c>
      <c r="G17" s="64">
        <v>96.92</v>
      </c>
      <c r="H17" s="64">
        <v>27.55</v>
      </c>
      <c r="I17" s="64">
        <v>3.85</v>
      </c>
      <c r="J17" s="64">
        <v>0.63</v>
      </c>
      <c r="K17" s="64">
        <v>19.350000000000001</v>
      </c>
      <c r="L17" s="64">
        <v>22.01</v>
      </c>
      <c r="M17" s="64">
        <v>38.799999999999997</v>
      </c>
      <c r="N17" s="64">
        <v>66.2</v>
      </c>
      <c r="O17" s="64">
        <v>0</v>
      </c>
      <c r="P17" s="64">
        <v>1.37</v>
      </c>
      <c r="Q17" s="64">
        <v>9.9</v>
      </c>
      <c r="R17" s="198"/>
      <c r="S17" s="198"/>
      <c r="T17" s="198"/>
      <c r="U17" s="198"/>
    </row>
    <row r="18" spans="1:21" s="12" customFormat="1" x14ac:dyDescent="0.25">
      <c r="A18" s="247" t="s">
        <v>1981</v>
      </c>
      <c r="B18" s="64">
        <v>39.69</v>
      </c>
      <c r="C18" s="64">
        <v>57.18</v>
      </c>
      <c r="D18" s="64">
        <v>96.87</v>
      </c>
      <c r="E18" s="64">
        <v>7.77</v>
      </c>
      <c r="F18" s="64">
        <v>17.97</v>
      </c>
      <c r="G18" s="64">
        <v>96.92</v>
      </c>
      <c r="H18" s="64">
        <v>27.55</v>
      </c>
      <c r="I18" s="64">
        <v>3.97</v>
      </c>
      <c r="J18" s="64">
        <v>0.69</v>
      </c>
      <c r="K18" s="64">
        <v>42.39</v>
      </c>
      <c r="L18" s="64">
        <v>22.17</v>
      </c>
      <c r="M18" s="64">
        <v>36.590000000000003</v>
      </c>
      <c r="N18" s="64">
        <v>65.7</v>
      </c>
      <c r="O18" s="64">
        <v>0</v>
      </c>
      <c r="P18" s="64">
        <v>1.05</v>
      </c>
      <c r="Q18" s="64">
        <v>9.8699999999999992</v>
      </c>
      <c r="R18" s="198"/>
      <c r="S18" s="198"/>
      <c r="T18" s="198"/>
      <c r="U18" s="198"/>
    </row>
    <row r="19" spans="1:21" s="12" customFormat="1" x14ac:dyDescent="0.25">
      <c r="A19" s="247" t="s">
        <v>1982</v>
      </c>
      <c r="B19" s="64">
        <v>44.13</v>
      </c>
      <c r="C19" s="64">
        <v>63.62</v>
      </c>
      <c r="D19" s="64">
        <v>107.75</v>
      </c>
      <c r="E19" s="64">
        <v>7.8</v>
      </c>
      <c r="F19" s="64">
        <v>17.21</v>
      </c>
      <c r="G19" s="64">
        <v>82.67</v>
      </c>
      <c r="H19" s="64">
        <v>34.58</v>
      </c>
      <c r="I19" s="64">
        <v>3.95</v>
      </c>
      <c r="J19" s="64">
        <v>0.53</v>
      </c>
      <c r="K19" s="64">
        <v>19.72</v>
      </c>
      <c r="L19" s="64">
        <v>22.26</v>
      </c>
      <c r="M19" s="64">
        <v>36.93</v>
      </c>
      <c r="N19" s="64">
        <v>65.7</v>
      </c>
      <c r="O19" s="64">
        <v>0</v>
      </c>
      <c r="P19" s="64">
        <v>1.1299999999999999</v>
      </c>
      <c r="Q19" s="64">
        <v>9.84</v>
      </c>
      <c r="R19" s="198"/>
      <c r="S19" s="198"/>
      <c r="T19" s="198"/>
      <c r="U19" s="198"/>
    </row>
    <row r="20" spans="1:21" s="12" customFormat="1" x14ac:dyDescent="0.25">
      <c r="A20" s="247" t="s">
        <v>1983</v>
      </c>
      <c r="B20" s="64">
        <v>39.92</v>
      </c>
      <c r="C20" s="64">
        <v>60.37</v>
      </c>
      <c r="D20" s="64">
        <v>100.29</v>
      </c>
      <c r="E20" s="64">
        <v>7.68</v>
      </c>
      <c r="F20" s="64">
        <v>16.55</v>
      </c>
      <c r="G20" s="64">
        <v>74.81</v>
      </c>
      <c r="H20" s="64">
        <v>35.94</v>
      </c>
      <c r="I20" s="64">
        <v>4.17</v>
      </c>
      <c r="J20" s="64">
        <v>0.62</v>
      </c>
      <c r="K20" s="64">
        <v>42.29</v>
      </c>
      <c r="L20" s="64">
        <v>22.48</v>
      </c>
      <c r="M20" s="64">
        <v>35.56</v>
      </c>
      <c r="N20" s="64">
        <v>65.2</v>
      </c>
      <c r="O20" s="64">
        <v>0</v>
      </c>
      <c r="P20" s="64">
        <v>1.1399999999999999</v>
      </c>
      <c r="Q20" s="64">
        <v>9.82</v>
      </c>
      <c r="R20" s="198"/>
      <c r="S20" s="198"/>
      <c r="T20" s="198"/>
      <c r="U20" s="198"/>
    </row>
    <row r="21" spans="1:21" s="12" customFormat="1" x14ac:dyDescent="0.25">
      <c r="A21" s="247" t="s">
        <v>1984</v>
      </c>
      <c r="B21" s="64">
        <v>49.21</v>
      </c>
      <c r="C21" s="64">
        <v>64.790000000000006</v>
      </c>
      <c r="D21" s="64">
        <v>114</v>
      </c>
      <c r="E21" s="64">
        <v>5.98</v>
      </c>
      <c r="F21" s="64">
        <v>12.8</v>
      </c>
      <c r="G21" s="64">
        <v>74.81</v>
      </c>
      <c r="H21" s="64">
        <v>35.94</v>
      </c>
      <c r="I21" s="64">
        <v>4.18</v>
      </c>
      <c r="J21" s="64">
        <v>0.87</v>
      </c>
      <c r="K21" s="64">
        <v>62.75</v>
      </c>
      <c r="L21" s="64">
        <v>22.9</v>
      </c>
      <c r="M21" s="64">
        <v>33.119999999999997</v>
      </c>
      <c r="N21" s="64">
        <v>65</v>
      </c>
      <c r="O21" s="64">
        <v>0</v>
      </c>
      <c r="P21" s="64">
        <v>1.42</v>
      </c>
      <c r="Q21" s="64">
        <v>9.7899999999999991</v>
      </c>
      <c r="R21" s="198"/>
      <c r="S21" s="198"/>
      <c r="T21" s="198"/>
      <c r="U21" s="198"/>
    </row>
    <row r="22" spans="1:21" s="12" customFormat="1" x14ac:dyDescent="0.25">
      <c r="A22" s="247" t="s">
        <v>1985</v>
      </c>
      <c r="B22" s="64">
        <v>45.79</v>
      </c>
      <c r="C22" s="64">
        <v>67.349999999999994</v>
      </c>
      <c r="D22" s="64">
        <v>113.13</v>
      </c>
      <c r="E22" s="64">
        <v>4.45</v>
      </c>
      <c r="F22" s="64">
        <v>11.22</v>
      </c>
      <c r="G22" s="64">
        <v>74.81</v>
      </c>
      <c r="H22" s="64">
        <v>35.94</v>
      </c>
      <c r="I22" s="64">
        <v>3.87</v>
      </c>
      <c r="J22" s="64">
        <v>1.1200000000000001</v>
      </c>
      <c r="K22" s="64">
        <v>78.23</v>
      </c>
      <c r="L22" s="64">
        <v>23.08</v>
      </c>
      <c r="M22" s="64">
        <v>32.090000000000003</v>
      </c>
      <c r="N22" s="64">
        <v>65.3</v>
      </c>
      <c r="O22" s="64">
        <v>0</v>
      </c>
      <c r="P22" s="64">
        <v>1.35</v>
      </c>
      <c r="Q22" s="64">
        <v>9.76</v>
      </c>
      <c r="R22" s="198"/>
      <c r="S22" s="198"/>
      <c r="T22" s="198"/>
      <c r="U22" s="198"/>
    </row>
    <row r="23" spans="1:21" s="12" customFormat="1" x14ac:dyDescent="0.25">
      <c r="A23" s="247" t="s">
        <v>1986</v>
      </c>
      <c r="B23" s="64">
        <v>35.950000000000003</v>
      </c>
      <c r="C23" s="64">
        <v>63.27</v>
      </c>
      <c r="D23" s="64">
        <v>99.22</v>
      </c>
      <c r="E23" s="64">
        <v>4.95</v>
      </c>
      <c r="F23" s="64">
        <v>13.82</v>
      </c>
      <c r="G23" s="64">
        <v>64.86</v>
      </c>
      <c r="H23" s="64">
        <v>27.52</v>
      </c>
      <c r="I23" s="64">
        <v>4.0999999999999996</v>
      </c>
      <c r="J23" s="64">
        <v>0.81</v>
      </c>
      <c r="K23" s="64">
        <v>55.28</v>
      </c>
      <c r="L23" s="64">
        <v>23.09</v>
      </c>
      <c r="M23" s="64">
        <v>31.38</v>
      </c>
      <c r="N23" s="64">
        <v>65.8</v>
      </c>
      <c r="O23" s="64">
        <v>0</v>
      </c>
      <c r="P23" s="64">
        <v>1.1499999999999999</v>
      </c>
      <c r="Q23" s="64">
        <v>9.75</v>
      </c>
      <c r="R23" s="198"/>
      <c r="S23" s="198"/>
      <c r="T23" s="198"/>
      <c r="U23" s="198"/>
    </row>
    <row r="24" spans="1:21" s="12" customFormat="1" x14ac:dyDescent="0.25">
      <c r="A24" s="247" t="s">
        <v>1987</v>
      </c>
      <c r="B24" s="64">
        <v>32.590000000000003</v>
      </c>
      <c r="C24" s="64">
        <v>65.23</v>
      </c>
      <c r="D24" s="64">
        <v>97.82</v>
      </c>
      <c r="E24" s="64">
        <v>5.46</v>
      </c>
      <c r="F24" s="64">
        <v>12.86</v>
      </c>
      <c r="G24" s="64">
        <v>59.37</v>
      </c>
      <c r="H24" s="64">
        <v>25.9</v>
      </c>
      <c r="I24" s="64">
        <v>4.0199999999999996</v>
      </c>
      <c r="J24" s="64">
        <v>0.77</v>
      </c>
      <c r="K24" s="64">
        <v>17.54</v>
      </c>
      <c r="L24" s="64">
        <v>22.61</v>
      </c>
      <c r="M24" s="64">
        <v>32.840000000000003</v>
      </c>
      <c r="N24" s="64">
        <v>66.3</v>
      </c>
      <c r="O24" s="64">
        <v>0</v>
      </c>
      <c r="P24" s="64">
        <v>1.08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47" t="s">
        <v>1988</v>
      </c>
      <c r="B25" s="64">
        <v>24.61</v>
      </c>
      <c r="C25" s="64">
        <v>58.43</v>
      </c>
      <c r="D25" s="64">
        <v>83.05</v>
      </c>
      <c r="E25" s="64">
        <v>7.26</v>
      </c>
      <c r="F25" s="64">
        <v>18</v>
      </c>
      <c r="G25" s="64">
        <v>59.37</v>
      </c>
      <c r="H25" s="64">
        <v>25.9</v>
      </c>
      <c r="I25" s="64">
        <v>4.04</v>
      </c>
      <c r="J25" s="64">
        <v>0.59</v>
      </c>
      <c r="K25" s="64">
        <v>11.87</v>
      </c>
      <c r="L25" s="64">
        <v>22.3</v>
      </c>
      <c r="M25" s="64">
        <v>33.840000000000003</v>
      </c>
      <c r="N25" s="64">
        <v>66.3</v>
      </c>
      <c r="O25" s="64">
        <v>0</v>
      </c>
      <c r="P25" s="64">
        <v>0.79</v>
      </c>
      <c r="Q25" s="64">
        <v>9.7100000000000009</v>
      </c>
      <c r="R25" s="198"/>
      <c r="S25" s="198"/>
      <c r="T25" s="198"/>
      <c r="U25" s="198"/>
    </row>
    <row r="26" spans="1:21" s="12" customFormat="1" x14ac:dyDescent="0.25">
      <c r="A26" s="247" t="s">
        <v>1989</v>
      </c>
      <c r="B26" s="64">
        <v>23.04</v>
      </c>
      <c r="C26" s="64">
        <v>58.67</v>
      </c>
      <c r="D26" s="64">
        <v>81.709999999999994</v>
      </c>
      <c r="E26" s="64">
        <v>9.0299999999999994</v>
      </c>
      <c r="F26" s="64">
        <v>19.03</v>
      </c>
      <c r="G26" s="64">
        <v>59.37</v>
      </c>
      <c r="H26" s="64">
        <v>25.9</v>
      </c>
      <c r="I26" s="64">
        <v>4.03</v>
      </c>
      <c r="J26" s="64">
        <v>0.7</v>
      </c>
      <c r="K26" s="64">
        <v>7.73</v>
      </c>
      <c r="L26" s="64">
        <v>21.84</v>
      </c>
      <c r="M26" s="64">
        <v>35.42</v>
      </c>
      <c r="N26" s="64">
        <v>66.599999999999994</v>
      </c>
      <c r="O26" s="64">
        <v>0</v>
      </c>
      <c r="P26" s="64">
        <v>0.75</v>
      </c>
      <c r="Q26" s="64">
        <v>9.7100000000000009</v>
      </c>
      <c r="R26" s="198"/>
      <c r="S26" s="198"/>
      <c r="T26" s="198"/>
      <c r="U26" s="198"/>
    </row>
    <row r="27" spans="1:21" s="12" customFormat="1" x14ac:dyDescent="0.25">
      <c r="A27" s="247" t="s">
        <v>1990</v>
      </c>
      <c r="B27" s="64">
        <v>34.21</v>
      </c>
      <c r="C27" s="64">
        <v>73.47</v>
      </c>
      <c r="D27" s="64">
        <v>107.68</v>
      </c>
      <c r="E27" s="64">
        <v>10.54</v>
      </c>
      <c r="F27" s="64">
        <v>13.64</v>
      </c>
      <c r="G27" s="64">
        <v>55.45</v>
      </c>
      <c r="H27" s="64">
        <v>22.04</v>
      </c>
      <c r="I27" s="64">
        <v>3.89</v>
      </c>
      <c r="J27" s="64">
        <v>0.85</v>
      </c>
      <c r="K27" s="64">
        <v>6.08</v>
      </c>
      <c r="L27" s="64">
        <v>21.41</v>
      </c>
      <c r="M27" s="64">
        <v>36.79</v>
      </c>
      <c r="N27" s="64">
        <v>66.2</v>
      </c>
      <c r="O27" s="64">
        <v>0</v>
      </c>
      <c r="P27" s="64">
        <v>0.76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47" t="s">
        <v>1991</v>
      </c>
      <c r="B28" s="64">
        <v>23.58</v>
      </c>
      <c r="C28" s="64">
        <v>60.09</v>
      </c>
      <c r="D28" s="64">
        <v>83.67</v>
      </c>
      <c r="E28" s="64">
        <v>8.7200000000000006</v>
      </c>
      <c r="F28" s="64">
        <v>16</v>
      </c>
      <c r="G28" s="64">
        <v>53.29</v>
      </c>
      <c r="H28" s="64">
        <v>21.3</v>
      </c>
      <c r="I28" s="64">
        <v>4.07</v>
      </c>
      <c r="J28" s="64">
        <v>0.49</v>
      </c>
      <c r="K28" s="64">
        <v>28.4</v>
      </c>
      <c r="L28" s="64">
        <v>21.34</v>
      </c>
      <c r="M28" s="64">
        <v>36.619999999999997</v>
      </c>
      <c r="N28" s="64">
        <v>66</v>
      </c>
      <c r="O28" s="64">
        <v>0</v>
      </c>
      <c r="P28" s="64">
        <v>0.73</v>
      </c>
      <c r="Q28" s="64">
        <v>9.68</v>
      </c>
      <c r="R28" s="198"/>
      <c r="S28" s="198"/>
      <c r="T28" s="198"/>
      <c r="U28" s="198"/>
    </row>
    <row r="29" spans="1:21" s="12" customFormat="1" x14ac:dyDescent="0.25">
      <c r="A29" s="247" t="s">
        <v>1992</v>
      </c>
      <c r="B29" s="64">
        <v>21.82</v>
      </c>
      <c r="C29" s="64">
        <v>59.13</v>
      </c>
      <c r="D29" s="64">
        <v>80.95</v>
      </c>
      <c r="E29" s="64">
        <v>8.5299999999999994</v>
      </c>
      <c r="F29" s="64">
        <v>15.85</v>
      </c>
      <c r="G29" s="64">
        <v>53.29</v>
      </c>
      <c r="H29" s="64">
        <v>21.3</v>
      </c>
      <c r="I29" s="64">
        <v>3.94</v>
      </c>
      <c r="J29" s="64">
        <v>0.32</v>
      </c>
      <c r="K29" s="64">
        <v>341.19</v>
      </c>
      <c r="L29" s="64">
        <v>21.23</v>
      </c>
      <c r="M29" s="64">
        <v>36.93</v>
      </c>
      <c r="N29" s="64">
        <v>66.099999999999994</v>
      </c>
      <c r="O29" s="64">
        <v>0</v>
      </c>
      <c r="P29" s="64">
        <v>0.74</v>
      </c>
      <c r="Q29" s="64">
        <v>9.68</v>
      </c>
      <c r="R29" s="198"/>
      <c r="S29" s="198"/>
      <c r="T29" s="198"/>
      <c r="U29" s="198"/>
    </row>
    <row r="30" spans="1:21" s="12" customFormat="1" x14ac:dyDescent="0.25">
      <c r="A30" s="247" t="s">
        <v>1993</v>
      </c>
      <c r="B30" s="64">
        <v>21.13</v>
      </c>
      <c r="C30" s="64">
        <v>60.05</v>
      </c>
      <c r="D30" s="64">
        <v>81.180000000000007</v>
      </c>
      <c r="E30" s="64">
        <v>9.07</v>
      </c>
      <c r="F30" s="64">
        <v>14.75</v>
      </c>
      <c r="G30" s="64">
        <v>53.29</v>
      </c>
      <c r="H30" s="64">
        <v>21.3</v>
      </c>
      <c r="I30" s="64">
        <v>4.1399999999999997</v>
      </c>
      <c r="J30" s="64">
        <v>0.64</v>
      </c>
      <c r="K30" s="64">
        <v>202.17</v>
      </c>
      <c r="L30" s="64">
        <v>21.08</v>
      </c>
      <c r="M30" s="64">
        <v>38.119999999999997</v>
      </c>
      <c r="N30" s="64">
        <v>66</v>
      </c>
      <c r="O30" s="64">
        <v>0</v>
      </c>
      <c r="P30" s="64">
        <v>0.71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47" t="s">
        <v>1994</v>
      </c>
      <c r="B31" s="64">
        <v>23.63</v>
      </c>
      <c r="C31" s="64">
        <v>64.17</v>
      </c>
      <c r="D31" s="64">
        <v>87.8</v>
      </c>
      <c r="E31" s="64">
        <v>6.15</v>
      </c>
      <c r="F31" s="64">
        <v>9.01</v>
      </c>
      <c r="G31" s="64">
        <v>55.18</v>
      </c>
      <c r="H31" s="64">
        <v>24.51</v>
      </c>
      <c r="I31" s="64">
        <v>3.96</v>
      </c>
      <c r="J31" s="64">
        <v>1.02</v>
      </c>
      <c r="K31" s="64">
        <v>176.64</v>
      </c>
      <c r="L31" s="64">
        <v>20.67</v>
      </c>
      <c r="M31" s="64">
        <v>41.25</v>
      </c>
      <c r="N31" s="64">
        <v>66</v>
      </c>
      <c r="O31" s="64">
        <v>0</v>
      </c>
      <c r="P31" s="64">
        <v>0.86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47" t="s">
        <v>1995</v>
      </c>
      <c r="B32" s="64">
        <v>23.98</v>
      </c>
      <c r="C32" s="64">
        <v>64.11</v>
      </c>
      <c r="D32" s="64">
        <v>88.09</v>
      </c>
      <c r="E32" s="64">
        <v>5.88</v>
      </c>
      <c r="F32" s="64">
        <v>9.77</v>
      </c>
      <c r="G32" s="64">
        <v>56.22</v>
      </c>
      <c r="H32" s="64">
        <v>25.55</v>
      </c>
      <c r="I32" s="64">
        <v>3.96</v>
      </c>
      <c r="J32" s="64">
        <v>0.47</v>
      </c>
      <c r="K32" s="64">
        <v>58.26</v>
      </c>
      <c r="L32" s="64">
        <v>20.440000000000001</v>
      </c>
      <c r="M32" s="64">
        <v>42.2</v>
      </c>
      <c r="N32" s="64">
        <v>66.8</v>
      </c>
      <c r="O32" s="64">
        <v>0</v>
      </c>
      <c r="P32" s="64">
        <v>0.77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47" t="s">
        <v>1996</v>
      </c>
      <c r="B33" s="64">
        <v>26.91</v>
      </c>
      <c r="C33" s="64">
        <v>61.76</v>
      </c>
      <c r="D33" s="64">
        <v>88.67</v>
      </c>
      <c r="E33" s="64">
        <v>3.69</v>
      </c>
      <c r="F33" s="64">
        <v>8.2200000000000006</v>
      </c>
      <c r="G33" s="64">
        <v>56.22</v>
      </c>
      <c r="H33" s="64">
        <v>25.55</v>
      </c>
      <c r="I33" s="64">
        <v>3.98</v>
      </c>
      <c r="J33" s="64">
        <v>0.9</v>
      </c>
      <c r="K33" s="64">
        <v>70.400000000000006</v>
      </c>
      <c r="L33" s="64">
        <v>20.8</v>
      </c>
      <c r="M33" s="64">
        <v>39.57</v>
      </c>
      <c r="N33" s="64">
        <v>68.7</v>
      </c>
      <c r="O33" s="64">
        <v>0</v>
      </c>
      <c r="P33" s="64">
        <v>0.96</v>
      </c>
      <c r="Q33" s="64">
        <v>9.67</v>
      </c>
      <c r="R33" s="198"/>
      <c r="S33" s="198"/>
      <c r="T33" s="198"/>
      <c r="U33" s="198"/>
    </row>
    <row r="34" spans="1:21" s="12" customFormat="1" x14ac:dyDescent="0.25">
      <c r="A34" s="247" t="s">
        <v>1997</v>
      </c>
      <c r="B34" s="64">
        <v>23.41</v>
      </c>
      <c r="C34" s="64">
        <v>59.78</v>
      </c>
      <c r="D34" s="64">
        <v>83.19</v>
      </c>
      <c r="E34" s="64">
        <v>4.04</v>
      </c>
      <c r="F34" s="64">
        <v>8.6</v>
      </c>
      <c r="G34" s="64">
        <v>56.22</v>
      </c>
      <c r="H34" s="64">
        <v>25.55</v>
      </c>
      <c r="I34" s="64">
        <v>4.0199999999999996</v>
      </c>
      <c r="J34" s="64">
        <v>0.76</v>
      </c>
      <c r="K34" s="64">
        <v>84.94</v>
      </c>
      <c r="L34" s="64">
        <v>20.99</v>
      </c>
      <c r="M34" s="64">
        <v>39.07</v>
      </c>
      <c r="N34" s="64">
        <v>78.7</v>
      </c>
      <c r="O34" s="64">
        <v>0</v>
      </c>
      <c r="P34" s="64">
        <v>0.87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47" t="s">
        <v>1998</v>
      </c>
      <c r="B35" s="64">
        <v>22.05</v>
      </c>
      <c r="C35" s="64">
        <v>62.57</v>
      </c>
      <c r="D35" s="64">
        <v>84.61</v>
      </c>
      <c r="E35" s="64">
        <v>3.66</v>
      </c>
      <c r="F35" s="64">
        <v>8.6</v>
      </c>
      <c r="G35" s="64">
        <v>61.27</v>
      </c>
      <c r="H35" s="64">
        <v>23.39</v>
      </c>
      <c r="I35" s="64">
        <v>4.1100000000000003</v>
      </c>
      <c r="J35" s="64">
        <v>0.57999999999999996</v>
      </c>
      <c r="K35" s="64">
        <v>59.06</v>
      </c>
      <c r="L35" s="64">
        <v>21.07</v>
      </c>
      <c r="M35" s="64">
        <v>38.92</v>
      </c>
      <c r="N35" s="64">
        <v>96.8</v>
      </c>
      <c r="O35" s="64">
        <v>0</v>
      </c>
      <c r="P35" s="64">
        <v>0.87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47" t="s">
        <v>1999</v>
      </c>
      <c r="B36" s="64">
        <v>24.44</v>
      </c>
      <c r="C36" s="64">
        <v>70.2</v>
      </c>
      <c r="D36" s="64">
        <v>94.63</v>
      </c>
      <c r="E36" s="64">
        <v>4.96</v>
      </c>
      <c r="F36" s="64">
        <v>8.7100000000000009</v>
      </c>
      <c r="G36" s="64">
        <v>64.05</v>
      </c>
      <c r="H36" s="64">
        <v>22.97</v>
      </c>
      <c r="I36" s="64">
        <v>3.95</v>
      </c>
      <c r="J36" s="64">
        <v>0.64</v>
      </c>
      <c r="K36" s="64">
        <v>26.17</v>
      </c>
      <c r="L36" s="64">
        <v>21.43</v>
      </c>
      <c r="M36" s="64">
        <v>37.96</v>
      </c>
      <c r="N36" s="64">
        <v>123.5</v>
      </c>
      <c r="O36" s="64">
        <v>0</v>
      </c>
      <c r="P36" s="64">
        <v>0.8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47" t="s">
        <v>2000</v>
      </c>
      <c r="B37" s="64">
        <v>30.27</v>
      </c>
      <c r="C37" s="64">
        <v>71.760000000000005</v>
      </c>
      <c r="D37" s="64">
        <v>102.03</v>
      </c>
      <c r="E37" s="64">
        <v>4.57</v>
      </c>
      <c r="F37" s="64">
        <v>9.16</v>
      </c>
      <c r="G37" s="64">
        <v>64.05</v>
      </c>
      <c r="H37" s="64">
        <v>22.97</v>
      </c>
      <c r="I37" s="64">
        <v>3.82</v>
      </c>
      <c r="J37" s="64">
        <v>0.55000000000000004</v>
      </c>
      <c r="K37" s="64">
        <v>19.71</v>
      </c>
      <c r="L37" s="64">
        <v>22.19</v>
      </c>
      <c r="M37" s="64">
        <v>38.04</v>
      </c>
      <c r="N37" s="64">
        <v>158.4</v>
      </c>
      <c r="O37" s="64">
        <v>0</v>
      </c>
      <c r="P37" s="64">
        <v>1.02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47" t="s">
        <v>2001</v>
      </c>
      <c r="B38" s="64">
        <v>25.43</v>
      </c>
      <c r="C38" s="64">
        <v>66.55</v>
      </c>
      <c r="D38" s="64">
        <v>91.99</v>
      </c>
      <c r="E38" s="64">
        <v>3.63</v>
      </c>
      <c r="F38" s="64">
        <v>9.86</v>
      </c>
      <c r="G38" s="64">
        <v>64.05</v>
      </c>
      <c r="H38" s="64">
        <v>22.97</v>
      </c>
      <c r="I38" s="64">
        <v>4</v>
      </c>
      <c r="J38" s="64">
        <v>1.03</v>
      </c>
      <c r="K38" s="64">
        <v>84.2</v>
      </c>
      <c r="L38" s="64">
        <v>22.65</v>
      </c>
      <c r="M38" s="64">
        <v>36.270000000000003</v>
      </c>
      <c r="N38" s="64">
        <v>198.9</v>
      </c>
      <c r="O38" s="64">
        <v>0</v>
      </c>
      <c r="P38" s="64">
        <v>1.08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47" t="s">
        <v>2002</v>
      </c>
      <c r="B39" s="64">
        <v>24.32</v>
      </c>
      <c r="C39" s="64">
        <v>68.36</v>
      </c>
      <c r="D39" s="64">
        <v>92.68</v>
      </c>
      <c r="E39" s="64">
        <v>3.1</v>
      </c>
      <c r="F39" s="64">
        <v>8.2100000000000009</v>
      </c>
      <c r="G39" s="64">
        <v>66.05</v>
      </c>
      <c r="H39" s="64">
        <v>23.31</v>
      </c>
      <c r="I39" s="64">
        <v>3.97</v>
      </c>
      <c r="J39" s="64">
        <v>1.2</v>
      </c>
      <c r="K39" s="64">
        <v>94.57</v>
      </c>
      <c r="L39" s="64">
        <v>22.97</v>
      </c>
      <c r="M39" s="64">
        <v>35.32</v>
      </c>
      <c r="N39" s="64">
        <v>243.7</v>
      </c>
      <c r="O39" s="64">
        <v>0</v>
      </c>
      <c r="P39" s="64">
        <v>1.06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47" t="s">
        <v>2003</v>
      </c>
      <c r="B40" s="64">
        <v>21.4</v>
      </c>
      <c r="C40" s="64">
        <v>69.05</v>
      </c>
      <c r="D40" s="64">
        <v>90.46</v>
      </c>
      <c r="E40" s="64">
        <v>4.53</v>
      </c>
      <c r="F40" s="64">
        <v>7.77</v>
      </c>
      <c r="G40" s="64">
        <v>67.150000000000006</v>
      </c>
      <c r="H40" s="64">
        <v>23.37</v>
      </c>
      <c r="I40" s="64">
        <v>3.83</v>
      </c>
      <c r="J40" s="64">
        <v>1</v>
      </c>
      <c r="K40" s="64">
        <v>88.9</v>
      </c>
      <c r="L40" s="64">
        <v>23.38</v>
      </c>
      <c r="M40" s="64">
        <v>35.36</v>
      </c>
      <c r="N40" s="64">
        <v>272.8</v>
      </c>
      <c r="O40" s="64">
        <v>0</v>
      </c>
      <c r="P40" s="64">
        <v>1.04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47" t="s">
        <v>2004</v>
      </c>
      <c r="B41" s="64">
        <v>24.16</v>
      </c>
      <c r="C41" s="64">
        <v>66.12</v>
      </c>
      <c r="D41" s="64">
        <v>90.28</v>
      </c>
      <c r="E41" s="64">
        <v>6.03</v>
      </c>
      <c r="F41" s="64">
        <v>8.9499999999999993</v>
      </c>
      <c r="G41" s="64">
        <v>67.150000000000006</v>
      </c>
      <c r="H41" s="64">
        <v>23.37</v>
      </c>
      <c r="I41" s="64">
        <v>4.13</v>
      </c>
      <c r="J41" s="64">
        <v>0.67</v>
      </c>
      <c r="K41" s="64">
        <v>47.66</v>
      </c>
      <c r="L41" s="64">
        <v>24.58</v>
      </c>
      <c r="M41" s="64">
        <v>33.409999999999997</v>
      </c>
      <c r="N41" s="64">
        <v>310.39999999999998</v>
      </c>
      <c r="O41" s="64">
        <v>0</v>
      </c>
      <c r="P41" s="64">
        <v>1.03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47" t="s">
        <v>2005</v>
      </c>
      <c r="B42" s="64">
        <v>22.3</v>
      </c>
      <c r="C42" s="64">
        <v>71.75</v>
      </c>
      <c r="D42" s="64">
        <v>94.06</v>
      </c>
      <c r="E42" s="64">
        <v>10.44</v>
      </c>
      <c r="F42" s="64">
        <v>10.37</v>
      </c>
      <c r="G42" s="64">
        <v>67.150000000000006</v>
      </c>
      <c r="H42" s="64">
        <v>23.37</v>
      </c>
      <c r="I42" s="64">
        <v>3.84</v>
      </c>
      <c r="J42" s="64">
        <v>0.59</v>
      </c>
      <c r="K42" s="64">
        <v>60.7</v>
      </c>
      <c r="L42" s="64">
        <v>25.56</v>
      </c>
      <c r="M42" s="64">
        <v>33.01</v>
      </c>
      <c r="N42" s="64">
        <v>343</v>
      </c>
      <c r="O42" s="64">
        <v>0</v>
      </c>
      <c r="P42" s="64">
        <v>1.03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47" t="s">
        <v>2006</v>
      </c>
      <c r="B43" s="64">
        <v>23.34</v>
      </c>
      <c r="C43" s="64">
        <v>71.040000000000006</v>
      </c>
      <c r="D43" s="64">
        <v>94.38</v>
      </c>
      <c r="E43" s="64">
        <v>15.34</v>
      </c>
      <c r="F43" s="64">
        <v>14.48</v>
      </c>
      <c r="G43" s="64">
        <v>69.180000000000007</v>
      </c>
      <c r="H43" s="64">
        <v>24.34</v>
      </c>
      <c r="I43" s="64">
        <v>4</v>
      </c>
      <c r="J43" s="64">
        <v>0.73</v>
      </c>
      <c r="K43" s="64">
        <v>73.33</v>
      </c>
      <c r="L43" s="64">
        <v>26.15</v>
      </c>
      <c r="M43" s="64">
        <v>32.090000000000003</v>
      </c>
      <c r="N43" s="64">
        <v>380</v>
      </c>
      <c r="O43" s="64">
        <v>0</v>
      </c>
      <c r="P43" s="64">
        <v>0.97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47" t="s">
        <v>2007</v>
      </c>
      <c r="B44" s="64">
        <v>20.7</v>
      </c>
      <c r="C44" s="64">
        <v>69.06</v>
      </c>
      <c r="D44" s="64">
        <v>89.76</v>
      </c>
      <c r="E44" s="64">
        <v>13.18</v>
      </c>
      <c r="F44" s="64">
        <v>13.83</v>
      </c>
      <c r="G44" s="64">
        <v>70.3</v>
      </c>
      <c r="H44" s="64">
        <v>24.53</v>
      </c>
      <c r="I44" s="64">
        <v>4.04</v>
      </c>
      <c r="J44" s="64">
        <v>0.65</v>
      </c>
      <c r="K44" s="64">
        <v>71.400000000000006</v>
      </c>
      <c r="L44" s="64">
        <v>26.63</v>
      </c>
      <c r="M44" s="64">
        <v>31.11</v>
      </c>
      <c r="N44" s="64">
        <v>426.9</v>
      </c>
      <c r="O44" s="64">
        <v>0</v>
      </c>
      <c r="P44" s="64">
        <v>0.96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47" t="s">
        <v>2008</v>
      </c>
      <c r="B45" s="64">
        <v>16.22</v>
      </c>
      <c r="C45" s="64">
        <v>68.92</v>
      </c>
      <c r="D45" s="64">
        <v>85.15</v>
      </c>
      <c r="E45" s="64">
        <v>14.77</v>
      </c>
      <c r="F45" s="64">
        <v>15.39</v>
      </c>
      <c r="G45" s="64">
        <v>70.3</v>
      </c>
      <c r="H45" s="64">
        <v>24.53</v>
      </c>
      <c r="I45" s="64">
        <v>3.78</v>
      </c>
      <c r="J45" s="64">
        <v>0.72</v>
      </c>
      <c r="K45" s="64">
        <v>84.12</v>
      </c>
      <c r="L45" s="64">
        <v>27.34</v>
      </c>
      <c r="M45" s="64">
        <v>30.18</v>
      </c>
      <c r="N45" s="64">
        <v>469.9</v>
      </c>
      <c r="O45" s="64">
        <v>0</v>
      </c>
      <c r="P45" s="64">
        <v>0.95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47" t="s">
        <v>2009</v>
      </c>
      <c r="B46" s="64">
        <v>20.6</v>
      </c>
      <c r="C46" s="64">
        <v>75.17</v>
      </c>
      <c r="D46" s="64">
        <v>95.77</v>
      </c>
      <c r="E46" s="64">
        <v>11.97</v>
      </c>
      <c r="F46" s="64">
        <v>13.66</v>
      </c>
      <c r="G46" s="64">
        <v>70.3</v>
      </c>
      <c r="H46" s="64">
        <v>24.53</v>
      </c>
      <c r="I46" s="64">
        <v>3.98</v>
      </c>
      <c r="J46" s="64">
        <v>1.05</v>
      </c>
      <c r="K46" s="64">
        <v>327.24</v>
      </c>
      <c r="L46" s="64">
        <v>30.09</v>
      </c>
      <c r="M46" s="64">
        <v>26.21</v>
      </c>
      <c r="N46" s="64">
        <v>491.6</v>
      </c>
      <c r="O46" s="64">
        <v>0</v>
      </c>
      <c r="P46" s="64">
        <v>1.02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47" t="s">
        <v>2010</v>
      </c>
      <c r="B47" s="64">
        <v>19.21</v>
      </c>
      <c r="C47" s="64">
        <v>77.03</v>
      </c>
      <c r="D47" s="64">
        <v>96.24</v>
      </c>
      <c r="E47" s="64">
        <v>16.59</v>
      </c>
      <c r="F47" s="64">
        <v>19.25</v>
      </c>
      <c r="G47" s="64">
        <v>73.599999999999994</v>
      </c>
      <c r="H47" s="64">
        <v>29.46</v>
      </c>
      <c r="I47" s="64">
        <v>4.05</v>
      </c>
      <c r="J47" s="64">
        <v>0.95</v>
      </c>
      <c r="K47" s="64">
        <v>333.52</v>
      </c>
      <c r="L47" s="64">
        <v>32.11</v>
      </c>
      <c r="M47" s="64">
        <v>23.8</v>
      </c>
      <c r="N47" s="64">
        <v>509.2</v>
      </c>
      <c r="O47" s="64">
        <v>0</v>
      </c>
      <c r="P47" s="64">
        <v>1.01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47" t="s">
        <v>2011</v>
      </c>
      <c r="B48" s="64">
        <v>17.579999999999998</v>
      </c>
      <c r="C48" s="64">
        <v>74.430000000000007</v>
      </c>
      <c r="D48" s="64">
        <v>92.01</v>
      </c>
      <c r="E48" s="64">
        <v>16.600000000000001</v>
      </c>
      <c r="F48" s="64">
        <v>23.02</v>
      </c>
      <c r="G48" s="64">
        <v>75.42</v>
      </c>
      <c r="H48" s="64">
        <v>31.06</v>
      </c>
      <c r="I48" s="64">
        <v>3.93</v>
      </c>
      <c r="J48" s="64">
        <v>1.1399999999999999</v>
      </c>
      <c r="K48" s="64">
        <v>349.45</v>
      </c>
      <c r="L48" s="64">
        <v>32.270000000000003</v>
      </c>
      <c r="M48" s="64">
        <v>23.56</v>
      </c>
      <c r="N48" s="64">
        <v>538</v>
      </c>
      <c r="O48" s="64">
        <v>0</v>
      </c>
      <c r="P48" s="64">
        <v>1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47" t="s">
        <v>2012</v>
      </c>
      <c r="B49" s="64">
        <v>15.15</v>
      </c>
      <c r="C49" s="64">
        <v>74.180000000000007</v>
      </c>
      <c r="D49" s="64">
        <v>89.32</v>
      </c>
      <c r="E49" s="64">
        <v>16.100000000000001</v>
      </c>
      <c r="F49" s="64">
        <v>21.07</v>
      </c>
      <c r="G49" s="64">
        <v>75.42</v>
      </c>
      <c r="H49" s="64">
        <v>31.06</v>
      </c>
      <c r="I49" s="64">
        <v>3.94</v>
      </c>
      <c r="J49" s="64">
        <v>1.34</v>
      </c>
      <c r="K49" s="64">
        <v>348.58</v>
      </c>
      <c r="L49" s="64">
        <v>33.1</v>
      </c>
      <c r="M49" s="64">
        <v>23.05</v>
      </c>
      <c r="N49" s="64">
        <v>555</v>
      </c>
      <c r="O49" s="64">
        <v>0</v>
      </c>
      <c r="P49" s="64">
        <v>1.01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47" t="s">
        <v>2013</v>
      </c>
      <c r="B50" s="64">
        <v>14.67</v>
      </c>
      <c r="C50" s="64">
        <v>76.89</v>
      </c>
      <c r="D50" s="64">
        <v>91.56</v>
      </c>
      <c r="E50" s="64">
        <v>8.7799999999999994</v>
      </c>
      <c r="F50" s="64">
        <v>18.190000000000001</v>
      </c>
      <c r="G50" s="64">
        <v>75.42</v>
      </c>
      <c r="H50" s="64">
        <v>31.06</v>
      </c>
      <c r="I50" s="64">
        <v>4.03</v>
      </c>
      <c r="J50" s="64">
        <v>1.28</v>
      </c>
      <c r="K50" s="64">
        <v>346.65</v>
      </c>
      <c r="L50" s="64">
        <v>34.01</v>
      </c>
      <c r="M50" s="64">
        <v>22.12</v>
      </c>
      <c r="N50" s="64">
        <v>582.9</v>
      </c>
      <c r="O50" s="64">
        <v>0</v>
      </c>
      <c r="P50" s="64">
        <v>1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47" t="s">
        <v>2014</v>
      </c>
      <c r="B51" s="64">
        <v>13.21</v>
      </c>
      <c r="C51" s="64">
        <v>82.43</v>
      </c>
      <c r="D51" s="64">
        <v>95.63</v>
      </c>
      <c r="E51" s="64">
        <v>8.9700000000000006</v>
      </c>
      <c r="F51" s="64">
        <v>12.18</v>
      </c>
      <c r="G51" s="64">
        <v>74.349999999999994</v>
      </c>
      <c r="H51" s="64">
        <v>30.24</v>
      </c>
      <c r="I51" s="64">
        <v>4.03</v>
      </c>
      <c r="J51" s="64">
        <v>1.34</v>
      </c>
      <c r="K51" s="64">
        <v>336.56</v>
      </c>
      <c r="L51" s="64">
        <v>34.86</v>
      </c>
      <c r="M51" s="64">
        <v>21.81</v>
      </c>
      <c r="N51" s="64">
        <v>597.79999999999995</v>
      </c>
      <c r="O51" s="64">
        <v>0</v>
      </c>
      <c r="P51" s="64">
        <v>1.04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47" t="s">
        <v>2015</v>
      </c>
      <c r="B52" s="64">
        <v>10.71</v>
      </c>
      <c r="C52" s="64">
        <v>81.66</v>
      </c>
      <c r="D52" s="64">
        <v>92.37</v>
      </c>
      <c r="E52" s="64">
        <v>5.38</v>
      </c>
      <c r="F52" s="64">
        <v>9.76</v>
      </c>
      <c r="G52" s="64">
        <v>73.760000000000005</v>
      </c>
      <c r="H52" s="64">
        <v>30.09</v>
      </c>
      <c r="I52" s="64">
        <v>4.0199999999999996</v>
      </c>
      <c r="J52" s="64">
        <v>1.27</v>
      </c>
      <c r="K52" s="64">
        <v>308.94</v>
      </c>
      <c r="L52" s="64">
        <v>34.880000000000003</v>
      </c>
      <c r="M52" s="64">
        <v>22.07</v>
      </c>
      <c r="N52" s="64">
        <v>612.29999999999995</v>
      </c>
      <c r="O52" s="64">
        <v>0</v>
      </c>
      <c r="P52" s="64">
        <v>1.03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47" t="s">
        <v>2016</v>
      </c>
      <c r="B53" s="64">
        <v>9.51</v>
      </c>
      <c r="C53" s="64">
        <v>79.459999999999994</v>
      </c>
      <c r="D53" s="64">
        <v>88.98</v>
      </c>
      <c r="E53" s="64">
        <v>5.23</v>
      </c>
      <c r="F53" s="64">
        <v>13.17</v>
      </c>
      <c r="G53" s="64">
        <v>73.760000000000005</v>
      </c>
      <c r="H53" s="64">
        <v>30.09</v>
      </c>
      <c r="I53" s="64">
        <v>4.0999999999999996</v>
      </c>
      <c r="J53" s="64">
        <v>0.88</v>
      </c>
      <c r="K53" s="64">
        <v>199.08</v>
      </c>
      <c r="L53" s="64">
        <v>31.96</v>
      </c>
      <c r="M53" s="64">
        <v>24.82</v>
      </c>
      <c r="N53" s="64">
        <v>611.1</v>
      </c>
      <c r="O53" s="64">
        <v>0</v>
      </c>
      <c r="P53" s="64">
        <v>0.99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47" t="s">
        <v>2017</v>
      </c>
      <c r="B54" s="64">
        <v>4.78</v>
      </c>
      <c r="C54" s="64">
        <v>72.650000000000006</v>
      </c>
      <c r="D54" s="64">
        <v>77.44</v>
      </c>
      <c r="E54" s="64">
        <v>5.37</v>
      </c>
      <c r="F54" s="64">
        <v>14.54</v>
      </c>
      <c r="G54" s="64">
        <v>73.760000000000005</v>
      </c>
      <c r="H54" s="64">
        <v>30.09</v>
      </c>
      <c r="I54" s="64">
        <v>4.18</v>
      </c>
      <c r="J54" s="64">
        <v>0.72</v>
      </c>
      <c r="K54" s="64">
        <v>171.93</v>
      </c>
      <c r="L54" s="64">
        <v>30.21</v>
      </c>
      <c r="M54" s="64">
        <v>27.03</v>
      </c>
      <c r="N54" s="64">
        <v>619.79999999999995</v>
      </c>
      <c r="O54" s="64">
        <v>0</v>
      </c>
      <c r="P54" s="64">
        <v>0.94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47" t="s">
        <v>2018</v>
      </c>
      <c r="B55" s="64">
        <v>6.35</v>
      </c>
      <c r="C55" s="64">
        <v>75.739999999999995</v>
      </c>
      <c r="D55" s="64">
        <v>82.09</v>
      </c>
      <c r="E55" s="64">
        <v>7.74</v>
      </c>
      <c r="F55" s="64">
        <v>17.12</v>
      </c>
      <c r="G55" s="64">
        <v>72.19</v>
      </c>
      <c r="H55" s="64">
        <v>28.33</v>
      </c>
      <c r="I55" s="64">
        <v>3.96</v>
      </c>
      <c r="J55" s="64">
        <v>1.28</v>
      </c>
      <c r="K55" s="64">
        <v>332.44</v>
      </c>
      <c r="L55" s="64">
        <v>33.700000000000003</v>
      </c>
      <c r="M55" s="64">
        <v>23.42</v>
      </c>
      <c r="N55" s="64">
        <v>611.6</v>
      </c>
      <c r="O55" s="64">
        <v>0</v>
      </c>
      <c r="P55" s="64">
        <v>0.94</v>
      </c>
      <c r="Q55" s="64">
        <v>9.5399999999999991</v>
      </c>
      <c r="R55" s="198"/>
      <c r="S55" s="198"/>
      <c r="T55" s="198"/>
      <c r="U55" s="198"/>
    </row>
    <row r="56" spans="1:21" s="12" customFormat="1" x14ac:dyDescent="0.25">
      <c r="A56" s="247" t="s">
        <v>2019</v>
      </c>
      <c r="B56" s="64">
        <v>4.6900000000000004</v>
      </c>
      <c r="C56" s="64">
        <v>74.59</v>
      </c>
      <c r="D56" s="64">
        <v>79.27</v>
      </c>
      <c r="E56" s="64">
        <v>5.45</v>
      </c>
      <c r="F56" s="64">
        <v>9.6300000000000008</v>
      </c>
      <c r="G56" s="64">
        <v>71.319999999999993</v>
      </c>
      <c r="H56" s="64">
        <v>27.99</v>
      </c>
      <c r="I56" s="64">
        <v>3.98</v>
      </c>
      <c r="J56" s="64">
        <v>0.85</v>
      </c>
      <c r="K56" s="64">
        <v>293.08999999999997</v>
      </c>
      <c r="L56" s="64">
        <v>33.97</v>
      </c>
      <c r="M56" s="64">
        <v>23.41</v>
      </c>
      <c r="N56" s="64">
        <v>603.79999999999995</v>
      </c>
      <c r="O56" s="64">
        <v>0</v>
      </c>
      <c r="P56" s="64">
        <v>0.95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47" t="s">
        <v>2020</v>
      </c>
      <c r="B57" s="64">
        <v>3.86</v>
      </c>
      <c r="C57" s="64">
        <v>75.45</v>
      </c>
      <c r="D57" s="64">
        <v>79.31</v>
      </c>
      <c r="E57" s="64">
        <v>4.51</v>
      </c>
      <c r="F57" s="64">
        <v>13.28</v>
      </c>
      <c r="G57" s="64">
        <v>71.319999999999993</v>
      </c>
      <c r="H57" s="64">
        <v>27.99</v>
      </c>
      <c r="I57" s="64">
        <v>4.17</v>
      </c>
      <c r="J57" s="64">
        <v>1.4</v>
      </c>
      <c r="K57" s="64">
        <v>305.56</v>
      </c>
      <c r="L57" s="64">
        <v>33.79</v>
      </c>
      <c r="M57" s="64">
        <v>24.2</v>
      </c>
      <c r="N57" s="64">
        <v>610.79999999999995</v>
      </c>
      <c r="O57" s="64">
        <v>0</v>
      </c>
      <c r="P57" s="64">
        <v>0.92</v>
      </c>
      <c r="Q57" s="64">
        <v>9.48</v>
      </c>
      <c r="R57" s="198"/>
      <c r="S57" s="198"/>
      <c r="T57" s="198"/>
      <c r="U57" s="198"/>
    </row>
    <row r="58" spans="1:21" s="12" customFormat="1" x14ac:dyDescent="0.25">
      <c r="A58" s="247" t="s">
        <v>2021</v>
      </c>
      <c r="B58" s="64">
        <v>3.43</v>
      </c>
      <c r="C58" s="64">
        <v>72.180000000000007</v>
      </c>
      <c r="D58" s="64">
        <v>75.61</v>
      </c>
      <c r="E58" s="64">
        <v>6.23</v>
      </c>
      <c r="F58" s="64">
        <v>16.36</v>
      </c>
      <c r="G58" s="64">
        <v>71.319999999999993</v>
      </c>
      <c r="H58" s="64">
        <v>27.99</v>
      </c>
      <c r="I58" s="64">
        <v>3.94</v>
      </c>
      <c r="J58" s="64">
        <v>0.95</v>
      </c>
      <c r="K58" s="64">
        <v>290.74</v>
      </c>
      <c r="L58" s="64">
        <v>34.4</v>
      </c>
      <c r="M58" s="64">
        <v>23.12</v>
      </c>
      <c r="N58" s="64">
        <v>611.1</v>
      </c>
      <c r="O58" s="64">
        <v>0</v>
      </c>
      <c r="P58" s="64">
        <v>0.92</v>
      </c>
      <c r="Q58" s="64">
        <v>9.48</v>
      </c>
      <c r="R58" s="198"/>
      <c r="S58" s="198"/>
      <c r="T58" s="198"/>
      <c r="U58" s="198"/>
    </row>
    <row r="59" spans="1:21" s="12" customFormat="1" x14ac:dyDescent="0.25">
      <c r="A59" s="247" t="s">
        <v>2022</v>
      </c>
      <c r="B59" s="64">
        <v>5.25</v>
      </c>
      <c r="C59" s="64">
        <v>72.44</v>
      </c>
      <c r="D59" s="64">
        <v>77.680000000000007</v>
      </c>
      <c r="E59" s="64">
        <v>15.61</v>
      </c>
      <c r="F59" s="64">
        <v>27.03</v>
      </c>
      <c r="G59" s="64">
        <v>72.81</v>
      </c>
      <c r="H59" s="64">
        <v>29.85</v>
      </c>
      <c r="I59" s="64">
        <v>4.05</v>
      </c>
      <c r="J59" s="64">
        <v>1.34</v>
      </c>
      <c r="K59" s="64">
        <v>332.59</v>
      </c>
      <c r="L59" s="64">
        <v>35.020000000000003</v>
      </c>
      <c r="M59" s="64">
        <v>22.35</v>
      </c>
      <c r="N59" s="64">
        <v>603.5</v>
      </c>
      <c r="O59" s="64">
        <v>0</v>
      </c>
      <c r="P59" s="64">
        <v>0.95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47" t="s">
        <v>2023</v>
      </c>
      <c r="B60" s="64">
        <v>5.42</v>
      </c>
      <c r="C60" s="64">
        <v>76.87</v>
      </c>
      <c r="D60" s="64">
        <v>82.29</v>
      </c>
      <c r="E60" s="64">
        <v>22.9</v>
      </c>
      <c r="F60" s="64">
        <v>25.76</v>
      </c>
      <c r="G60" s="64">
        <v>73.63</v>
      </c>
      <c r="H60" s="64">
        <v>30.21</v>
      </c>
      <c r="I60" s="64">
        <v>3.92</v>
      </c>
      <c r="J60" s="64">
        <v>0.67</v>
      </c>
      <c r="K60" s="64">
        <v>312.62</v>
      </c>
      <c r="L60" s="64">
        <v>34.69</v>
      </c>
      <c r="M60" s="64">
        <v>22.89</v>
      </c>
      <c r="N60" s="64">
        <v>574.79999999999995</v>
      </c>
      <c r="O60" s="64">
        <v>0</v>
      </c>
      <c r="P60" s="64">
        <v>1.05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47" t="s">
        <v>2024</v>
      </c>
      <c r="B61" s="64">
        <v>4.33</v>
      </c>
      <c r="C61" s="64">
        <v>79.67</v>
      </c>
      <c r="D61" s="64">
        <v>84.01</v>
      </c>
      <c r="E61" s="64">
        <v>17.149999999999999</v>
      </c>
      <c r="F61" s="64">
        <v>23.13</v>
      </c>
      <c r="G61" s="64">
        <v>73.63</v>
      </c>
      <c r="H61" s="64">
        <v>30.21</v>
      </c>
      <c r="I61" s="64">
        <v>4</v>
      </c>
      <c r="J61" s="64">
        <v>0.97</v>
      </c>
      <c r="K61" s="64">
        <v>301.14</v>
      </c>
      <c r="L61" s="64">
        <v>34.67</v>
      </c>
      <c r="M61" s="64">
        <v>23.67</v>
      </c>
      <c r="N61" s="64">
        <v>567.9</v>
      </c>
      <c r="O61" s="64">
        <v>0</v>
      </c>
      <c r="P61" s="64">
        <v>1.03</v>
      </c>
      <c r="Q61" s="64">
        <v>9.4600000000000009</v>
      </c>
      <c r="R61" s="198"/>
      <c r="S61" s="198"/>
      <c r="T61" s="198"/>
      <c r="U61" s="198"/>
    </row>
    <row r="62" spans="1:21" s="12" customFormat="1" x14ac:dyDescent="0.25">
      <c r="A62" s="247" t="s">
        <v>2025</v>
      </c>
      <c r="B62" s="64">
        <v>3.87</v>
      </c>
      <c r="C62" s="64">
        <v>77.099999999999994</v>
      </c>
      <c r="D62" s="64">
        <v>80.97</v>
      </c>
      <c r="E62" s="64">
        <v>14.13</v>
      </c>
      <c r="F62" s="64">
        <v>20.66</v>
      </c>
      <c r="G62" s="64">
        <v>73.63</v>
      </c>
      <c r="H62" s="64">
        <v>30.21</v>
      </c>
      <c r="I62" s="64">
        <v>3.98</v>
      </c>
      <c r="J62" s="64">
        <v>1.1299999999999999</v>
      </c>
      <c r="K62" s="64">
        <v>309.51</v>
      </c>
      <c r="L62" s="64">
        <v>34.409999999999997</v>
      </c>
      <c r="M62" s="64">
        <v>24.03</v>
      </c>
      <c r="N62" s="64">
        <v>578.4</v>
      </c>
      <c r="O62" s="64">
        <v>0</v>
      </c>
      <c r="P62" s="64">
        <v>1.08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47" t="s">
        <v>2026</v>
      </c>
      <c r="B63" s="64">
        <v>5.31</v>
      </c>
      <c r="C63" s="64">
        <v>76.44</v>
      </c>
      <c r="D63" s="64">
        <v>81.739999999999995</v>
      </c>
      <c r="E63" s="64">
        <v>8.7200000000000006</v>
      </c>
      <c r="F63" s="64">
        <v>26.59</v>
      </c>
      <c r="G63" s="64">
        <v>71.260000000000005</v>
      </c>
      <c r="H63" s="64">
        <v>31.12</v>
      </c>
      <c r="I63" s="64">
        <v>4.05</v>
      </c>
      <c r="J63" s="64">
        <v>1.29</v>
      </c>
      <c r="K63" s="64">
        <v>321.45999999999998</v>
      </c>
      <c r="L63" s="64">
        <v>35.19</v>
      </c>
      <c r="M63" s="64">
        <v>23.71</v>
      </c>
      <c r="N63" s="64">
        <v>560.6</v>
      </c>
      <c r="O63" s="64">
        <v>0</v>
      </c>
      <c r="P63" s="64">
        <v>1.04</v>
      </c>
      <c r="Q63" s="64">
        <v>9.56</v>
      </c>
      <c r="R63" s="198"/>
      <c r="S63" s="198"/>
      <c r="T63" s="198"/>
      <c r="U63" s="198"/>
    </row>
    <row r="64" spans="1:21" s="12" customFormat="1" x14ac:dyDescent="0.25">
      <c r="A64" s="247" t="s">
        <v>2027</v>
      </c>
      <c r="B64" s="64">
        <v>3.33</v>
      </c>
      <c r="C64" s="64">
        <v>66.569999999999993</v>
      </c>
      <c r="D64" s="64">
        <v>69.89</v>
      </c>
      <c r="E64" s="64">
        <v>13.49</v>
      </c>
      <c r="F64" s="64">
        <v>31.41</v>
      </c>
      <c r="G64" s="64">
        <v>69.95</v>
      </c>
      <c r="H64" s="64">
        <v>31.41</v>
      </c>
      <c r="I64" s="64">
        <v>4.21</v>
      </c>
      <c r="J64" s="64">
        <v>0.72</v>
      </c>
      <c r="K64" s="64">
        <v>279.81</v>
      </c>
      <c r="L64" s="64">
        <v>34.61</v>
      </c>
      <c r="M64" s="64">
        <v>23.37</v>
      </c>
      <c r="N64" s="64">
        <v>529</v>
      </c>
      <c r="O64" s="64">
        <v>0</v>
      </c>
      <c r="P64" s="64">
        <v>0.97</v>
      </c>
      <c r="Q64" s="64">
        <v>9.57</v>
      </c>
      <c r="R64" s="198"/>
      <c r="S64" s="198"/>
      <c r="T64" s="198"/>
      <c r="U64" s="198"/>
    </row>
    <row r="65" spans="1:21" s="12" customFormat="1" x14ac:dyDescent="0.25">
      <c r="A65" s="247" t="s">
        <v>2028</v>
      </c>
      <c r="B65" s="64">
        <v>4.24</v>
      </c>
      <c r="C65" s="64">
        <v>62.37</v>
      </c>
      <c r="D65" s="64">
        <v>66.61</v>
      </c>
      <c r="E65" s="64">
        <v>16</v>
      </c>
      <c r="F65" s="64">
        <v>34.76</v>
      </c>
      <c r="G65" s="64">
        <v>69.95</v>
      </c>
      <c r="H65" s="64">
        <v>31.41</v>
      </c>
      <c r="I65" s="64">
        <v>4.1399999999999997</v>
      </c>
      <c r="J65" s="64">
        <v>1.2</v>
      </c>
      <c r="K65" s="64">
        <v>318.14</v>
      </c>
      <c r="L65" s="64">
        <v>34.15</v>
      </c>
      <c r="M65" s="64">
        <v>25.27</v>
      </c>
      <c r="N65" s="64">
        <v>447.4</v>
      </c>
      <c r="O65" s="64">
        <v>0</v>
      </c>
      <c r="P65" s="64">
        <v>0.92</v>
      </c>
      <c r="Q65" s="64">
        <v>9.57</v>
      </c>
      <c r="R65" s="198"/>
      <c r="S65" s="198"/>
      <c r="T65" s="198"/>
      <c r="U65" s="198"/>
    </row>
    <row r="66" spans="1:21" s="12" customFormat="1" x14ac:dyDescent="0.25">
      <c r="A66" s="247" t="s">
        <v>2029</v>
      </c>
      <c r="B66" s="64">
        <v>7.54</v>
      </c>
      <c r="C66" s="64">
        <v>66.180000000000007</v>
      </c>
      <c r="D66" s="64">
        <v>73.709999999999994</v>
      </c>
      <c r="E66" s="64">
        <v>17.38</v>
      </c>
      <c r="F66" s="64">
        <v>45.94</v>
      </c>
      <c r="G66" s="64">
        <v>69.95</v>
      </c>
      <c r="H66" s="64">
        <v>31.41</v>
      </c>
      <c r="I66" s="64">
        <v>3.93</v>
      </c>
      <c r="J66" s="64">
        <v>1.26</v>
      </c>
      <c r="K66" s="64">
        <v>339.4</v>
      </c>
      <c r="L66" s="64">
        <v>34.979999999999997</v>
      </c>
      <c r="M66" s="64">
        <v>23.93</v>
      </c>
      <c r="N66" s="64">
        <v>445.4</v>
      </c>
      <c r="O66" s="64">
        <v>0</v>
      </c>
      <c r="P66" s="64">
        <v>0.86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47" t="s">
        <v>2030</v>
      </c>
      <c r="B67" s="64">
        <v>3.71</v>
      </c>
      <c r="C67" s="64">
        <v>63.3</v>
      </c>
      <c r="D67" s="64">
        <v>67.02</v>
      </c>
      <c r="E67" s="64">
        <v>13.39</v>
      </c>
      <c r="F67" s="64">
        <v>25.39</v>
      </c>
      <c r="G67" s="64">
        <v>75.89</v>
      </c>
      <c r="H67" s="64">
        <v>30.87</v>
      </c>
      <c r="I67" s="64">
        <v>4.0599999999999996</v>
      </c>
      <c r="J67" s="64">
        <v>1.07</v>
      </c>
      <c r="K67" s="64">
        <v>297.31</v>
      </c>
      <c r="L67" s="64">
        <v>34.520000000000003</v>
      </c>
      <c r="M67" s="64">
        <v>24.46</v>
      </c>
      <c r="N67" s="64">
        <v>361.2</v>
      </c>
      <c r="O67" s="64">
        <v>0</v>
      </c>
      <c r="P67" s="64">
        <v>0.88</v>
      </c>
      <c r="Q67" s="64">
        <v>9.5399999999999991</v>
      </c>
      <c r="R67" s="198"/>
      <c r="S67" s="198"/>
      <c r="T67" s="198"/>
      <c r="U67" s="198"/>
    </row>
    <row r="68" spans="1:21" s="12" customFormat="1" x14ac:dyDescent="0.25">
      <c r="A68" s="247" t="s">
        <v>2031</v>
      </c>
      <c r="B68" s="64">
        <v>3.5</v>
      </c>
      <c r="C68" s="64">
        <v>66.83</v>
      </c>
      <c r="D68" s="64">
        <v>70.33</v>
      </c>
      <c r="E68" s="64">
        <v>11.14</v>
      </c>
      <c r="F68" s="64">
        <v>28.62</v>
      </c>
      <c r="G68" s="64">
        <v>79.17</v>
      </c>
      <c r="H68" s="64">
        <v>30.77</v>
      </c>
      <c r="I68" s="64">
        <v>4.09</v>
      </c>
      <c r="J68" s="64">
        <v>1.1100000000000001</v>
      </c>
      <c r="K68" s="64">
        <v>303.5</v>
      </c>
      <c r="L68" s="64">
        <v>34.369999999999997</v>
      </c>
      <c r="M68" s="64">
        <v>24.57</v>
      </c>
      <c r="N68" s="64">
        <v>270.39999999999998</v>
      </c>
      <c r="O68" s="64">
        <v>0</v>
      </c>
      <c r="P68" s="64">
        <v>0.92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47" t="s">
        <v>2032</v>
      </c>
      <c r="B69" s="64">
        <v>5.37</v>
      </c>
      <c r="C69" s="64">
        <v>74.31</v>
      </c>
      <c r="D69" s="64">
        <v>79.680000000000007</v>
      </c>
      <c r="E69" s="64">
        <v>13.47</v>
      </c>
      <c r="F69" s="64">
        <v>29.77</v>
      </c>
      <c r="G69" s="64">
        <v>79.17</v>
      </c>
      <c r="H69" s="64">
        <v>30.77</v>
      </c>
      <c r="I69" s="64">
        <v>3.9</v>
      </c>
      <c r="J69" s="64">
        <v>1.1200000000000001</v>
      </c>
      <c r="K69" s="64">
        <v>312.58999999999997</v>
      </c>
      <c r="L69" s="64">
        <v>33.97</v>
      </c>
      <c r="M69" s="64">
        <v>25.21</v>
      </c>
      <c r="N69" s="64">
        <v>263.10000000000002</v>
      </c>
      <c r="O69" s="64">
        <v>0</v>
      </c>
      <c r="P69" s="64">
        <v>0.97</v>
      </c>
      <c r="Q69" s="64">
        <v>9.4</v>
      </c>
      <c r="R69" s="198"/>
      <c r="S69" s="198"/>
      <c r="T69" s="198"/>
      <c r="U69" s="198"/>
    </row>
    <row r="70" spans="1:21" s="12" customFormat="1" x14ac:dyDescent="0.25">
      <c r="A70" s="247" t="s">
        <v>2033</v>
      </c>
      <c r="B70" s="64">
        <v>4.88</v>
      </c>
      <c r="C70" s="64">
        <v>66.569999999999993</v>
      </c>
      <c r="D70" s="64">
        <v>71.45</v>
      </c>
      <c r="E70" s="64">
        <v>16.84</v>
      </c>
      <c r="F70" s="64">
        <v>29.87</v>
      </c>
      <c r="G70" s="64">
        <v>79.17</v>
      </c>
      <c r="H70" s="64">
        <v>30.77</v>
      </c>
      <c r="I70" s="64">
        <v>4</v>
      </c>
      <c r="J70" s="64">
        <v>1.05</v>
      </c>
      <c r="K70" s="64">
        <v>311.42</v>
      </c>
      <c r="L70" s="64">
        <v>33.79</v>
      </c>
      <c r="M70" s="64">
        <v>25.21</v>
      </c>
      <c r="N70" s="64">
        <v>241</v>
      </c>
      <c r="O70" s="64">
        <v>0</v>
      </c>
      <c r="P70" s="64">
        <v>0.99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47" t="s">
        <v>2034</v>
      </c>
      <c r="B71" s="64">
        <v>3.95</v>
      </c>
      <c r="C71" s="64">
        <v>71.64</v>
      </c>
      <c r="D71" s="64">
        <v>75.59</v>
      </c>
      <c r="E71" s="64">
        <v>14.07</v>
      </c>
      <c r="F71" s="64">
        <v>28.93</v>
      </c>
      <c r="G71" s="64">
        <v>77.22</v>
      </c>
      <c r="H71" s="64">
        <v>31.32</v>
      </c>
      <c r="I71" s="64">
        <v>3.88</v>
      </c>
      <c r="J71" s="64">
        <v>1.19</v>
      </c>
      <c r="K71" s="64">
        <v>307.45999999999998</v>
      </c>
      <c r="L71" s="64">
        <v>33.340000000000003</v>
      </c>
      <c r="M71" s="64">
        <v>25.71</v>
      </c>
      <c r="N71" s="64">
        <v>220.8</v>
      </c>
      <c r="O71" s="64">
        <v>0</v>
      </c>
      <c r="P71" s="64">
        <v>0.99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47" t="s">
        <v>2035</v>
      </c>
      <c r="B72" s="64">
        <v>4.01</v>
      </c>
      <c r="C72" s="64">
        <v>68.61</v>
      </c>
      <c r="D72" s="64">
        <v>72.61</v>
      </c>
      <c r="E72" s="64">
        <v>16.100000000000001</v>
      </c>
      <c r="F72" s="64">
        <v>39.979999999999997</v>
      </c>
      <c r="G72" s="64">
        <v>76.14</v>
      </c>
      <c r="H72" s="64">
        <v>31.6</v>
      </c>
      <c r="I72" s="64">
        <v>3.97</v>
      </c>
      <c r="J72" s="64">
        <v>0.99</v>
      </c>
      <c r="K72" s="64">
        <v>327.76</v>
      </c>
      <c r="L72" s="64">
        <v>32.74</v>
      </c>
      <c r="M72" s="64">
        <v>26.92</v>
      </c>
      <c r="N72" s="64">
        <v>211.1</v>
      </c>
      <c r="O72" s="64">
        <v>0</v>
      </c>
      <c r="P72" s="64">
        <v>1.2</v>
      </c>
      <c r="Q72" s="64">
        <v>9.3000000000000007</v>
      </c>
      <c r="R72" s="198"/>
      <c r="S72" s="198"/>
      <c r="T72" s="198"/>
      <c r="U72" s="198"/>
    </row>
    <row r="73" spans="1:21" s="12" customFormat="1" x14ac:dyDescent="0.25">
      <c r="A73" s="247" t="s">
        <v>2036</v>
      </c>
      <c r="B73" s="64">
        <v>10.4</v>
      </c>
      <c r="C73" s="64">
        <v>95.92</v>
      </c>
      <c r="D73" s="64">
        <v>106.32</v>
      </c>
      <c r="E73" s="64">
        <v>34.72</v>
      </c>
      <c r="F73" s="64">
        <v>46.87</v>
      </c>
      <c r="G73" s="64">
        <v>76.14</v>
      </c>
      <c r="H73" s="64">
        <v>31.6</v>
      </c>
      <c r="I73" s="64">
        <v>4.08</v>
      </c>
      <c r="J73" s="64">
        <v>1.04</v>
      </c>
      <c r="K73" s="64">
        <v>316.35000000000002</v>
      </c>
      <c r="L73" s="64">
        <v>32.58</v>
      </c>
      <c r="M73" s="64">
        <v>27.16</v>
      </c>
      <c r="N73" s="64">
        <v>200.3</v>
      </c>
      <c r="O73" s="64">
        <v>0</v>
      </c>
      <c r="P73" s="64">
        <v>1.25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47" t="s">
        <v>2037</v>
      </c>
      <c r="B74" s="64">
        <v>10.39</v>
      </c>
      <c r="C74" s="64">
        <v>95.03</v>
      </c>
      <c r="D74" s="64">
        <v>105.42</v>
      </c>
      <c r="E74" s="64">
        <v>45.81</v>
      </c>
      <c r="F74" s="64">
        <v>52.17</v>
      </c>
      <c r="G74" s="64">
        <v>76.14</v>
      </c>
      <c r="H74" s="64">
        <v>31.6</v>
      </c>
      <c r="I74" s="64">
        <v>3.88</v>
      </c>
      <c r="J74" s="64">
        <v>1.05</v>
      </c>
      <c r="K74" s="64">
        <v>341.49</v>
      </c>
      <c r="L74" s="64">
        <v>32.340000000000003</v>
      </c>
      <c r="M74" s="64">
        <v>27.92</v>
      </c>
      <c r="N74" s="64">
        <v>161.19999999999999</v>
      </c>
      <c r="O74" s="64">
        <v>0</v>
      </c>
      <c r="P74" s="64">
        <v>1.37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47" t="s">
        <v>2038</v>
      </c>
      <c r="B75" s="64">
        <v>7.82</v>
      </c>
      <c r="C75" s="64">
        <v>94.25</v>
      </c>
      <c r="D75" s="64">
        <v>102.07</v>
      </c>
      <c r="E75" s="64">
        <v>30.37</v>
      </c>
      <c r="F75" s="64">
        <v>42.31</v>
      </c>
      <c r="G75" s="64">
        <v>77.06</v>
      </c>
      <c r="H75" s="64">
        <v>32.229999999999997</v>
      </c>
      <c r="I75" s="64">
        <v>4.09</v>
      </c>
      <c r="J75" s="64">
        <v>0.97</v>
      </c>
      <c r="K75" s="64">
        <v>315.13</v>
      </c>
      <c r="L75" s="64">
        <v>31.88</v>
      </c>
      <c r="M75" s="64">
        <v>28.79</v>
      </c>
      <c r="N75" s="64">
        <v>132.80000000000001</v>
      </c>
      <c r="O75" s="64">
        <v>0</v>
      </c>
      <c r="P75" s="64">
        <v>1.22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47" t="s">
        <v>2039</v>
      </c>
      <c r="B76" s="64">
        <v>12.22</v>
      </c>
      <c r="C76" s="64">
        <v>97.6</v>
      </c>
      <c r="D76" s="64">
        <v>109.82</v>
      </c>
      <c r="E76" s="64">
        <v>35.880000000000003</v>
      </c>
      <c r="F76" s="64">
        <v>44.67</v>
      </c>
      <c r="G76" s="64">
        <v>77.569999999999993</v>
      </c>
      <c r="H76" s="64">
        <v>32.54</v>
      </c>
      <c r="I76" s="64">
        <v>3.99</v>
      </c>
      <c r="J76" s="64">
        <v>1.18</v>
      </c>
      <c r="K76" s="64">
        <v>331.77</v>
      </c>
      <c r="L76" s="64">
        <v>31.31</v>
      </c>
      <c r="M76" s="64">
        <v>30.43</v>
      </c>
      <c r="N76" s="64">
        <v>117</v>
      </c>
      <c r="O76" s="64">
        <v>0</v>
      </c>
      <c r="P76" s="64">
        <v>1.38</v>
      </c>
      <c r="Q76" s="64">
        <v>9.24</v>
      </c>
      <c r="R76" s="198"/>
      <c r="S76" s="198"/>
      <c r="T76" s="198"/>
      <c r="U76" s="198"/>
    </row>
    <row r="77" spans="1:21" s="12" customFormat="1" x14ac:dyDescent="0.25">
      <c r="A77" s="247" t="s">
        <v>2040</v>
      </c>
      <c r="B77" s="64">
        <v>26.44</v>
      </c>
      <c r="C77" s="64">
        <v>113.34</v>
      </c>
      <c r="D77" s="64">
        <v>139.78</v>
      </c>
      <c r="E77" s="64">
        <v>35.909999999999997</v>
      </c>
      <c r="F77" s="64">
        <v>47.02</v>
      </c>
      <c r="G77" s="64">
        <v>77.569999999999993</v>
      </c>
      <c r="H77" s="64">
        <v>32.54</v>
      </c>
      <c r="I77" s="64">
        <v>4.01</v>
      </c>
      <c r="J77" s="64">
        <v>1.25</v>
      </c>
      <c r="K77" s="64">
        <v>351.26</v>
      </c>
      <c r="L77" s="64">
        <v>30.83</v>
      </c>
      <c r="M77" s="64">
        <v>30.61</v>
      </c>
      <c r="N77" s="64">
        <v>104.5</v>
      </c>
      <c r="O77" s="64">
        <v>0</v>
      </c>
      <c r="P77" s="64">
        <v>1.61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47" t="s">
        <v>2041</v>
      </c>
      <c r="B78" s="64">
        <v>10.69</v>
      </c>
      <c r="C78" s="64">
        <v>92.72</v>
      </c>
      <c r="D78" s="64">
        <v>103.4</v>
      </c>
      <c r="E78" s="64">
        <v>32.450000000000003</v>
      </c>
      <c r="F78" s="64">
        <v>51.06</v>
      </c>
      <c r="G78" s="64">
        <v>77.569999999999993</v>
      </c>
      <c r="H78" s="64">
        <v>32.54</v>
      </c>
      <c r="I78" s="64">
        <v>4.0199999999999996</v>
      </c>
      <c r="J78" s="64">
        <v>1.42</v>
      </c>
      <c r="K78" s="64">
        <v>352.23</v>
      </c>
      <c r="L78" s="64">
        <v>30.24</v>
      </c>
      <c r="M78" s="64">
        <v>31.17</v>
      </c>
      <c r="N78" s="64">
        <v>94.6</v>
      </c>
      <c r="O78" s="64">
        <v>0</v>
      </c>
      <c r="P78" s="64">
        <v>1.52</v>
      </c>
      <c r="Q78" s="64">
        <v>9.27</v>
      </c>
      <c r="R78" s="198"/>
      <c r="S78" s="198"/>
      <c r="T78" s="198"/>
      <c r="U78" s="198"/>
    </row>
    <row r="79" spans="1:21" s="12" customFormat="1" x14ac:dyDescent="0.25">
      <c r="A79" s="247" t="s">
        <v>2042</v>
      </c>
      <c r="B79" s="64">
        <v>15.61</v>
      </c>
      <c r="C79" s="64">
        <v>130.1</v>
      </c>
      <c r="D79" s="64">
        <v>145.71</v>
      </c>
      <c r="E79" s="64">
        <v>31.5</v>
      </c>
      <c r="F79" s="64">
        <v>40.520000000000003</v>
      </c>
      <c r="G79" s="64">
        <v>79.66</v>
      </c>
      <c r="H79" s="64">
        <v>33.82</v>
      </c>
      <c r="I79" s="64">
        <v>4.07</v>
      </c>
      <c r="J79" s="64">
        <v>0.86</v>
      </c>
      <c r="K79" s="64">
        <v>4.8499999999999996</v>
      </c>
      <c r="L79" s="64">
        <v>29.62</v>
      </c>
      <c r="M79" s="64">
        <v>32.72</v>
      </c>
      <c r="N79" s="64">
        <v>83.7</v>
      </c>
      <c r="O79" s="64">
        <v>0</v>
      </c>
      <c r="P79" s="64">
        <v>1.76</v>
      </c>
      <c r="Q79" s="64">
        <v>9.2899999999999991</v>
      </c>
      <c r="R79" s="198"/>
      <c r="S79" s="198"/>
      <c r="T79" s="198"/>
      <c r="U79" s="198"/>
    </row>
    <row r="80" spans="1:21" s="12" customFormat="1" x14ac:dyDescent="0.25">
      <c r="A80" s="247" t="s">
        <v>2043</v>
      </c>
      <c r="B80" s="64">
        <v>44.74</v>
      </c>
      <c r="C80" s="64">
        <v>177.77</v>
      </c>
      <c r="D80" s="64">
        <v>222.51</v>
      </c>
      <c r="E80" s="64">
        <v>30.4</v>
      </c>
      <c r="F80" s="64">
        <v>24.16</v>
      </c>
      <c r="G80" s="64">
        <v>80.819999999999993</v>
      </c>
      <c r="H80" s="64">
        <v>34.56</v>
      </c>
      <c r="I80" s="64">
        <v>3.93</v>
      </c>
      <c r="J80" s="64">
        <v>0.8</v>
      </c>
      <c r="K80" s="64">
        <v>353.37</v>
      </c>
      <c r="L80" s="64">
        <v>28.93</v>
      </c>
      <c r="M80" s="64">
        <v>34.92</v>
      </c>
      <c r="N80" s="64">
        <v>74.5</v>
      </c>
      <c r="O80" s="64">
        <v>0</v>
      </c>
      <c r="P80" s="64">
        <v>2.98</v>
      </c>
      <c r="Q80" s="64">
        <v>9.31</v>
      </c>
      <c r="R80" s="198"/>
      <c r="S80" s="198"/>
      <c r="T80" s="198"/>
      <c r="U80" s="198"/>
    </row>
    <row r="81" spans="1:26" s="12" customFormat="1" x14ac:dyDescent="0.25">
      <c r="A81" s="247" t="s">
        <v>2044</v>
      </c>
      <c r="B81" s="64">
        <v>78.150000000000006</v>
      </c>
      <c r="C81" s="64">
        <v>215.67</v>
      </c>
      <c r="D81" s="64">
        <v>293.82</v>
      </c>
      <c r="E81" s="64">
        <v>26.68</v>
      </c>
      <c r="F81" s="64">
        <v>13.56</v>
      </c>
      <c r="G81" s="64">
        <v>80.819999999999993</v>
      </c>
      <c r="H81" s="64">
        <v>34.56</v>
      </c>
      <c r="I81" s="64">
        <v>3.97</v>
      </c>
      <c r="J81" s="64">
        <v>0.68</v>
      </c>
      <c r="K81" s="64">
        <v>352.64</v>
      </c>
      <c r="L81" s="64">
        <v>28.19</v>
      </c>
      <c r="M81" s="64">
        <v>37.79</v>
      </c>
      <c r="N81" s="64">
        <v>68.7</v>
      </c>
      <c r="O81" s="64">
        <v>0</v>
      </c>
      <c r="P81" s="64">
        <v>3.41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47" t="s">
        <v>2045</v>
      </c>
      <c r="B82" s="64">
        <v>24.94</v>
      </c>
      <c r="C82" s="64">
        <v>210.3</v>
      </c>
      <c r="D82" s="64">
        <v>235.24</v>
      </c>
      <c r="E82" s="64">
        <v>25.5</v>
      </c>
      <c r="F82" s="64">
        <v>13.79</v>
      </c>
      <c r="G82" s="64">
        <v>80.819999999999993</v>
      </c>
      <c r="H82" s="64">
        <v>34.56</v>
      </c>
      <c r="I82" s="64">
        <v>4.0599999999999996</v>
      </c>
      <c r="J82" s="64">
        <v>0.08</v>
      </c>
      <c r="K82" s="64">
        <v>138.18</v>
      </c>
      <c r="L82" s="64">
        <v>27.61</v>
      </c>
      <c r="M82" s="64">
        <v>37.76</v>
      </c>
      <c r="N82" s="64">
        <v>66.8</v>
      </c>
      <c r="O82" s="64">
        <v>0</v>
      </c>
      <c r="P82" s="64">
        <v>2.4700000000000002</v>
      </c>
      <c r="Q82" s="64">
        <v>9.3699999999999992</v>
      </c>
      <c r="R82" s="198"/>
      <c r="S82" s="198"/>
      <c r="T82" s="198"/>
      <c r="U82" s="198"/>
    </row>
    <row r="83" spans="1:26" s="12" customFormat="1" x14ac:dyDescent="0.25">
      <c r="A83" s="247" t="s">
        <v>2046</v>
      </c>
      <c r="B83" s="64">
        <v>6.26</v>
      </c>
      <c r="C83" s="64">
        <v>147.19999999999999</v>
      </c>
      <c r="D83" s="64">
        <v>153.46</v>
      </c>
      <c r="E83" s="64">
        <v>27.47</v>
      </c>
      <c r="F83" s="64">
        <v>28.57</v>
      </c>
      <c r="G83" s="64">
        <v>96.61</v>
      </c>
      <c r="H83" s="64">
        <v>37.06</v>
      </c>
      <c r="I83" s="64">
        <v>4.07</v>
      </c>
      <c r="J83" s="64">
        <v>0.06</v>
      </c>
      <c r="K83" s="64">
        <v>353.17</v>
      </c>
      <c r="L83" s="64">
        <v>27.16</v>
      </c>
      <c r="M83" s="64">
        <v>37.549999999999997</v>
      </c>
      <c r="N83" s="64">
        <v>66.5</v>
      </c>
      <c r="O83" s="64">
        <v>0</v>
      </c>
      <c r="P83" s="64">
        <v>2.2000000000000002</v>
      </c>
      <c r="Q83" s="64">
        <v>9.3699999999999992</v>
      </c>
      <c r="R83" s="198"/>
      <c r="S83" s="198"/>
      <c r="T83" s="198"/>
      <c r="U83" s="198"/>
    </row>
    <row r="84" spans="1:26" s="12" customFormat="1" x14ac:dyDescent="0.25">
      <c r="A84" s="247" t="s">
        <v>2047</v>
      </c>
      <c r="B84" s="64">
        <v>4.93</v>
      </c>
      <c r="C84" s="64">
        <v>142.22</v>
      </c>
      <c r="D84" s="64">
        <v>147.15</v>
      </c>
      <c r="E84" s="64">
        <v>27.45</v>
      </c>
      <c r="F84" s="64">
        <v>28.63</v>
      </c>
      <c r="G84" s="64">
        <v>105.33</v>
      </c>
      <c r="H84" s="64">
        <v>38.5</v>
      </c>
      <c r="I84" s="64">
        <v>3.98</v>
      </c>
      <c r="J84" s="64">
        <v>0.56999999999999995</v>
      </c>
      <c r="K84" s="64">
        <v>113.48</v>
      </c>
      <c r="L84" s="64">
        <v>27.12</v>
      </c>
      <c r="M84" s="64">
        <v>38.28</v>
      </c>
      <c r="N84" s="64">
        <v>66</v>
      </c>
      <c r="O84" s="64">
        <v>0</v>
      </c>
      <c r="P84" s="64">
        <v>2.09</v>
      </c>
      <c r="Q84" s="64">
        <v>9.3800000000000008</v>
      </c>
      <c r="R84" s="198"/>
      <c r="S84" s="198"/>
      <c r="T84" s="198"/>
      <c r="U84" s="198"/>
    </row>
    <row r="85" spans="1:26" s="12" customFormat="1" x14ac:dyDescent="0.25">
      <c r="A85" s="247" t="s">
        <v>2048</v>
      </c>
      <c r="B85" s="64">
        <v>11.76</v>
      </c>
      <c r="C85" s="64">
        <v>133.78</v>
      </c>
      <c r="D85" s="64">
        <v>145.54</v>
      </c>
      <c r="E85" s="64">
        <v>25.14</v>
      </c>
      <c r="F85" s="64">
        <v>28.51</v>
      </c>
      <c r="G85" s="64">
        <v>105.33</v>
      </c>
      <c r="H85" s="64">
        <v>38.5</v>
      </c>
      <c r="I85" s="64">
        <v>3.92</v>
      </c>
      <c r="J85" s="64">
        <v>0.64</v>
      </c>
      <c r="K85" s="64">
        <v>62.95</v>
      </c>
      <c r="L85" s="64">
        <v>27.28</v>
      </c>
      <c r="M85" s="64">
        <v>38.799999999999997</v>
      </c>
      <c r="N85" s="64">
        <v>66</v>
      </c>
      <c r="O85" s="64">
        <v>0</v>
      </c>
      <c r="P85" s="64">
        <v>1.98</v>
      </c>
      <c r="Q85" s="64">
        <v>9.36</v>
      </c>
      <c r="R85" s="198"/>
      <c r="S85" s="198"/>
      <c r="T85" s="198"/>
      <c r="U85" s="198"/>
    </row>
    <row r="86" spans="1:26" s="12" customFormat="1" x14ac:dyDescent="0.25">
      <c r="A86" s="247" t="s">
        <v>2049</v>
      </c>
      <c r="B86" s="64">
        <v>64.58</v>
      </c>
      <c r="C86" s="64">
        <v>161.37</v>
      </c>
      <c r="D86" s="64">
        <v>225.94</v>
      </c>
      <c r="E86" s="64">
        <v>24.09</v>
      </c>
      <c r="F86" s="64">
        <v>18.579999999999998</v>
      </c>
      <c r="G86" s="64">
        <v>105.33</v>
      </c>
      <c r="H86" s="64">
        <v>38.5</v>
      </c>
      <c r="I86" s="64">
        <v>3.89</v>
      </c>
      <c r="J86" s="64">
        <v>0.62</v>
      </c>
      <c r="K86" s="64">
        <v>40.44</v>
      </c>
      <c r="L86" s="64">
        <v>27.04</v>
      </c>
      <c r="M86" s="64">
        <v>39.799999999999997</v>
      </c>
      <c r="N86" s="64">
        <v>66.5</v>
      </c>
      <c r="O86" s="64">
        <v>0</v>
      </c>
      <c r="P86" s="64">
        <v>3.09</v>
      </c>
      <c r="Q86" s="64">
        <v>9.33</v>
      </c>
      <c r="R86" s="198"/>
      <c r="S86" s="198"/>
      <c r="T86" s="198"/>
      <c r="U86" s="198"/>
    </row>
    <row r="87" spans="1:26" s="12" customFormat="1" x14ac:dyDescent="0.25">
      <c r="A87" s="247" t="s">
        <v>2050</v>
      </c>
      <c r="B87" s="64">
        <v>6.09</v>
      </c>
      <c r="C87" s="64">
        <v>132.22999999999999</v>
      </c>
      <c r="D87" s="64">
        <v>138.33000000000001</v>
      </c>
      <c r="E87" s="64">
        <v>22.88</v>
      </c>
      <c r="F87" s="64">
        <v>26.73</v>
      </c>
      <c r="G87" s="64">
        <v>107</v>
      </c>
      <c r="H87" s="64">
        <v>40.86</v>
      </c>
      <c r="I87" s="64">
        <v>4.12</v>
      </c>
      <c r="J87" s="64">
        <v>0.47</v>
      </c>
      <c r="K87" s="64">
        <v>110.66</v>
      </c>
      <c r="L87" s="64">
        <v>27.17</v>
      </c>
      <c r="M87" s="64">
        <v>37.76</v>
      </c>
      <c r="N87" s="64">
        <v>65.900000000000006</v>
      </c>
      <c r="O87" s="64">
        <v>0</v>
      </c>
      <c r="P87" s="64">
        <v>1.57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47" t="s">
        <v>2051</v>
      </c>
      <c r="B88" s="64">
        <v>22.56</v>
      </c>
      <c r="C88" s="64">
        <v>148.75</v>
      </c>
      <c r="D88" s="64">
        <v>171.31</v>
      </c>
      <c r="E88" s="64">
        <v>22.62</v>
      </c>
      <c r="F88" s="64">
        <v>20.91</v>
      </c>
      <c r="G88" s="64">
        <v>107.92</v>
      </c>
      <c r="H88" s="64">
        <v>42.22</v>
      </c>
      <c r="I88" s="64">
        <v>4</v>
      </c>
      <c r="J88" s="64">
        <v>0.05</v>
      </c>
      <c r="K88" s="64">
        <v>307.64</v>
      </c>
      <c r="L88" s="64">
        <v>26.87</v>
      </c>
      <c r="M88" s="64">
        <v>38.57</v>
      </c>
      <c r="N88" s="64">
        <v>67.099999999999994</v>
      </c>
      <c r="O88" s="64">
        <v>0</v>
      </c>
      <c r="P88" s="64">
        <v>2.1800000000000002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47" t="s">
        <v>2052</v>
      </c>
      <c r="B89" s="64">
        <v>22.81</v>
      </c>
      <c r="C89" s="64">
        <v>158.58000000000001</v>
      </c>
      <c r="D89" s="64">
        <v>181.39</v>
      </c>
      <c r="E89" s="64">
        <v>19.96</v>
      </c>
      <c r="F89" s="64">
        <v>12.36</v>
      </c>
      <c r="G89" s="64">
        <v>107.92</v>
      </c>
      <c r="H89" s="64">
        <v>42.22</v>
      </c>
      <c r="I89" s="64">
        <v>4.08</v>
      </c>
      <c r="J89" s="64">
        <v>0.85</v>
      </c>
      <c r="K89" s="64">
        <v>217.82</v>
      </c>
      <c r="L89" s="64">
        <v>26.68</v>
      </c>
      <c r="M89" s="64">
        <v>38.49</v>
      </c>
      <c r="N89" s="64">
        <v>66.7</v>
      </c>
      <c r="O89" s="64">
        <v>0</v>
      </c>
      <c r="P89" s="64">
        <v>1.82</v>
      </c>
      <c r="Q89" s="64">
        <v>9.34</v>
      </c>
      <c r="R89" s="198"/>
      <c r="S89" s="198"/>
      <c r="T89" s="198"/>
      <c r="U89" s="198"/>
    </row>
    <row r="90" spans="1:26" s="12" customFormat="1" x14ac:dyDescent="0.25">
      <c r="A90" s="247" t="s">
        <v>2053</v>
      </c>
      <c r="B90" s="64">
        <v>11.22</v>
      </c>
      <c r="C90" s="64">
        <v>97.08</v>
      </c>
      <c r="D90" s="64">
        <v>108.3</v>
      </c>
      <c r="E90" s="64">
        <v>10.77</v>
      </c>
      <c r="F90" s="64">
        <v>17.41</v>
      </c>
      <c r="G90" s="64">
        <v>107.92</v>
      </c>
      <c r="H90" s="64">
        <v>42.22</v>
      </c>
      <c r="I90" s="64">
        <v>3.86</v>
      </c>
      <c r="J90" s="64">
        <v>1.1299999999999999</v>
      </c>
      <c r="K90" s="64">
        <v>208.19</v>
      </c>
      <c r="L90" s="64">
        <v>26.35</v>
      </c>
      <c r="M90" s="64">
        <v>40.42</v>
      </c>
      <c r="N90" s="64">
        <v>67.2</v>
      </c>
      <c r="O90" s="64">
        <v>0</v>
      </c>
      <c r="P90" s="64">
        <v>1.73</v>
      </c>
      <c r="Q90" s="64">
        <v>9.34</v>
      </c>
      <c r="R90" s="198"/>
      <c r="S90" s="198"/>
      <c r="T90" s="198"/>
      <c r="U90" s="198"/>
    </row>
    <row r="91" spans="1:26" s="12" customFormat="1" x14ac:dyDescent="0.25">
      <c r="A91" s="247" t="s">
        <v>2054</v>
      </c>
      <c r="B91" s="64">
        <v>9.6300000000000008</v>
      </c>
      <c r="C91" s="64">
        <v>87.87</v>
      </c>
      <c r="D91" s="64">
        <v>97.5</v>
      </c>
      <c r="E91" s="64">
        <v>7.86</v>
      </c>
      <c r="F91" s="64">
        <v>21.94</v>
      </c>
      <c r="G91" s="64">
        <v>113.72</v>
      </c>
      <c r="H91" s="64">
        <v>41.82</v>
      </c>
      <c r="I91" s="64">
        <v>4.03</v>
      </c>
      <c r="J91" s="64">
        <v>0.91</v>
      </c>
      <c r="K91" s="64">
        <v>216.9</v>
      </c>
      <c r="L91" s="64">
        <v>25.64</v>
      </c>
      <c r="M91" s="64">
        <v>45.15</v>
      </c>
      <c r="N91" s="64">
        <v>67.599999999999994</v>
      </c>
      <c r="O91" s="64">
        <v>0</v>
      </c>
      <c r="P91" s="64">
        <v>1.61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47" t="s">
        <v>2055</v>
      </c>
      <c r="B92" s="64">
        <v>7.46</v>
      </c>
      <c r="C92" s="64">
        <v>80.55</v>
      </c>
      <c r="D92" s="64">
        <v>88.02</v>
      </c>
      <c r="E92" s="64">
        <v>7.94</v>
      </c>
      <c r="F92" s="64">
        <v>22.86</v>
      </c>
      <c r="G92" s="64">
        <v>116.91</v>
      </c>
      <c r="H92" s="64">
        <v>41.58</v>
      </c>
      <c r="I92" s="64">
        <v>4.1100000000000003</v>
      </c>
      <c r="J92" s="64">
        <v>0.87</v>
      </c>
      <c r="K92" s="64">
        <v>221.94</v>
      </c>
      <c r="L92" s="64">
        <v>25.04</v>
      </c>
      <c r="M92" s="64">
        <v>48.93</v>
      </c>
      <c r="N92" s="64">
        <v>67.5</v>
      </c>
      <c r="O92" s="64">
        <v>0</v>
      </c>
      <c r="P92" s="64">
        <v>1.42</v>
      </c>
      <c r="Q92" s="64">
        <v>9.35</v>
      </c>
      <c r="R92" s="198"/>
      <c r="S92" s="198"/>
      <c r="T92" s="198"/>
      <c r="U92" s="198"/>
    </row>
    <row r="93" spans="1:26" s="12" customFormat="1" x14ac:dyDescent="0.25">
      <c r="A93" s="247" t="s">
        <v>2056</v>
      </c>
      <c r="B93" s="64">
        <v>5.26</v>
      </c>
      <c r="C93" s="64">
        <v>74.63</v>
      </c>
      <c r="D93" s="64">
        <v>79.900000000000006</v>
      </c>
      <c r="E93" s="64">
        <v>9.32</v>
      </c>
      <c r="F93" s="64">
        <v>23.28</v>
      </c>
      <c r="G93" s="64">
        <v>116.91</v>
      </c>
      <c r="H93" s="64">
        <v>41.58</v>
      </c>
      <c r="I93" s="64">
        <v>3.99</v>
      </c>
      <c r="J93" s="64">
        <v>0.56999999999999995</v>
      </c>
      <c r="K93" s="64">
        <v>239.17</v>
      </c>
      <c r="L93" s="64">
        <v>24.56</v>
      </c>
      <c r="M93" s="64">
        <v>51.68</v>
      </c>
      <c r="N93" s="64">
        <v>67.400000000000006</v>
      </c>
      <c r="O93" s="64">
        <v>0</v>
      </c>
      <c r="P93" s="64">
        <v>1.31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47" t="s">
        <v>2057</v>
      </c>
      <c r="B94" s="64">
        <v>10.28</v>
      </c>
      <c r="C94" s="64">
        <v>87.4</v>
      </c>
      <c r="D94" s="64">
        <v>97.68</v>
      </c>
      <c r="E94" s="64">
        <v>7.69</v>
      </c>
      <c r="F94" s="64">
        <v>23.92</v>
      </c>
      <c r="G94" s="64">
        <v>116.91</v>
      </c>
      <c r="H94" s="64">
        <v>41.58</v>
      </c>
      <c r="I94" s="64">
        <v>4.0199999999999996</v>
      </c>
      <c r="J94" s="64">
        <v>7.0000000000000007E-2</v>
      </c>
      <c r="K94" s="64">
        <v>213.5</v>
      </c>
      <c r="L94" s="64">
        <v>24.31</v>
      </c>
      <c r="M94" s="64">
        <v>51.32</v>
      </c>
      <c r="N94" s="64">
        <v>67</v>
      </c>
      <c r="O94" s="64">
        <v>0</v>
      </c>
      <c r="P94" s="64">
        <v>1.36</v>
      </c>
      <c r="Q94" s="64">
        <v>9.33</v>
      </c>
      <c r="R94" s="198"/>
      <c r="S94" s="198"/>
      <c r="T94" s="198"/>
      <c r="U94" s="198"/>
    </row>
    <row r="95" spans="1:26" s="12" customFormat="1" x14ac:dyDescent="0.25">
      <c r="A95" s="247" t="s">
        <v>2058</v>
      </c>
      <c r="B95" s="64">
        <v>4.1100000000000003</v>
      </c>
      <c r="C95" s="64">
        <v>75.03</v>
      </c>
      <c r="D95" s="64">
        <v>79.14</v>
      </c>
      <c r="E95" s="64">
        <v>11.11</v>
      </c>
      <c r="F95" s="64">
        <v>34.01</v>
      </c>
      <c r="G95" s="64">
        <v>103.02</v>
      </c>
      <c r="H95" s="64">
        <v>37.85</v>
      </c>
      <c r="I95" s="64">
        <v>3.88</v>
      </c>
      <c r="J95" s="64">
        <v>0.47</v>
      </c>
      <c r="K95" s="64">
        <v>164.02</v>
      </c>
      <c r="L95" s="64">
        <v>24.21</v>
      </c>
      <c r="M95" s="64">
        <v>51.24</v>
      </c>
      <c r="N95" s="64">
        <v>67</v>
      </c>
      <c r="O95" s="64">
        <v>0</v>
      </c>
      <c r="P95" s="64">
        <v>1.02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47" t="s">
        <v>2059</v>
      </c>
      <c r="B96" s="64">
        <v>3.66</v>
      </c>
      <c r="C96" s="64">
        <v>66.290000000000006</v>
      </c>
      <c r="D96" s="64">
        <v>69.95</v>
      </c>
      <c r="E96" s="64">
        <v>10.53</v>
      </c>
      <c r="F96" s="64">
        <v>32.840000000000003</v>
      </c>
      <c r="G96" s="64">
        <v>95.36</v>
      </c>
      <c r="H96" s="64">
        <v>35.69</v>
      </c>
      <c r="I96" s="64">
        <v>3.81</v>
      </c>
      <c r="J96" s="64">
        <v>0.88</v>
      </c>
      <c r="K96" s="64">
        <v>172.02</v>
      </c>
      <c r="L96" s="64">
        <v>24.18</v>
      </c>
      <c r="M96" s="64">
        <v>51.03</v>
      </c>
      <c r="N96" s="64">
        <v>66.5</v>
      </c>
      <c r="O96" s="64">
        <v>0</v>
      </c>
      <c r="P96" s="64">
        <v>0.9</v>
      </c>
      <c r="Q96" s="64">
        <v>9.2799999999999994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2060</v>
      </c>
      <c r="B97" s="64">
        <v>3.58</v>
      </c>
      <c r="C97" s="64">
        <v>57.67</v>
      </c>
      <c r="D97" s="64">
        <v>61.24</v>
      </c>
      <c r="E97" s="64">
        <v>11.11</v>
      </c>
      <c r="F97" s="64">
        <v>33.57</v>
      </c>
      <c r="G97" s="64">
        <v>95.36</v>
      </c>
      <c r="H97" s="64">
        <v>35.69</v>
      </c>
      <c r="I97" s="64">
        <v>4.13</v>
      </c>
      <c r="J97" s="64">
        <v>0.36</v>
      </c>
      <c r="K97" s="64">
        <v>256.16000000000003</v>
      </c>
      <c r="L97" s="64">
        <v>24.01</v>
      </c>
      <c r="M97" s="64">
        <v>52.22</v>
      </c>
      <c r="N97" s="64">
        <v>67.400000000000006</v>
      </c>
      <c r="O97" s="64">
        <v>0</v>
      </c>
      <c r="P97" s="64">
        <v>0.87</v>
      </c>
      <c r="Q97" s="64">
        <v>9.25</v>
      </c>
      <c r="R97" s="198"/>
      <c r="S97" s="198"/>
      <c r="T97" s="198"/>
      <c r="U97" s="198"/>
    </row>
    <row r="98" spans="1:33" s="12" customFormat="1" x14ac:dyDescent="0.25">
      <c r="A98" s="247" t="s">
        <v>2061</v>
      </c>
      <c r="B98" s="64">
        <v>3.25</v>
      </c>
      <c r="C98" s="64">
        <v>54.4</v>
      </c>
      <c r="D98" s="64">
        <v>57.65</v>
      </c>
      <c r="E98" s="64">
        <v>11.15</v>
      </c>
      <c r="F98" s="64">
        <v>33.799999999999997</v>
      </c>
      <c r="G98" s="64">
        <v>95.36</v>
      </c>
      <c r="H98" s="64">
        <v>35.69</v>
      </c>
      <c r="I98" s="64">
        <v>3.95</v>
      </c>
      <c r="J98" s="64">
        <v>0.33</v>
      </c>
      <c r="K98" s="64">
        <v>246.79</v>
      </c>
      <c r="L98" s="64">
        <v>23.78</v>
      </c>
      <c r="M98" s="64">
        <v>52.44</v>
      </c>
      <c r="N98" s="64">
        <v>67.2</v>
      </c>
      <c r="O98" s="64">
        <v>0</v>
      </c>
      <c r="P98" s="64">
        <v>0.94</v>
      </c>
      <c r="Q98" s="64">
        <v>9.2200000000000006</v>
      </c>
      <c r="R98" s="198"/>
      <c r="S98" s="198"/>
      <c r="T98" s="198"/>
      <c r="U98" s="198"/>
    </row>
    <row r="99" spans="1:33" s="12" customFormat="1" x14ac:dyDescent="0.25">
      <c r="A99" s="247" t="s">
        <v>2062</v>
      </c>
      <c r="B99" s="64">
        <v>3.32</v>
      </c>
      <c r="C99" s="64">
        <v>55.48</v>
      </c>
      <c r="D99" s="64">
        <v>58.8</v>
      </c>
      <c r="E99" s="64">
        <v>11.58</v>
      </c>
      <c r="F99" s="64">
        <v>35.26</v>
      </c>
      <c r="G99" s="64">
        <v>88.92</v>
      </c>
      <c r="H99" s="64">
        <v>33.42</v>
      </c>
      <c r="I99" s="64">
        <v>4.04</v>
      </c>
      <c r="J99" s="64">
        <v>0.66</v>
      </c>
      <c r="K99" s="64">
        <v>209.77</v>
      </c>
      <c r="L99" s="64">
        <v>23.77</v>
      </c>
      <c r="M99" s="64">
        <v>51.74</v>
      </c>
      <c r="N99" s="64">
        <v>66.8</v>
      </c>
      <c r="O99" s="64">
        <v>0</v>
      </c>
      <c r="P99" s="64">
        <v>0.77</v>
      </c>
      <c r="Q99" s="64">
        <v>9.19</v>
      </c>
      <c r="R99" s="198"/>
      <c r="S99" s="198"/>
      <c r="T99" s="198"/>
      <c r="U99" s="198"/>
    </row>
    <row r="100" spans="1:33" s="12" customFormat="1" x14ac:dyDescent="0.25">
      <c r="A100" s="247" t="s">
        <v>2063</v>
      </c>
      <c r="B100" s="64">
        <v>3.75</v>
      </c>
      <c r="C100" s="64">
        <v>68.03</v>
      </c>
      <c r="D100" s="64">
        <v>71.77</v>
      </c>
      <c r="E100" s="64">
        <v>10.6</v>
      </c>
      <c r="F100" s="64">
        <v>31.42</v>
      </c>
      <c r="G100" s="64">
        <v>85.37</v>
      </c>
      <c r="H100" s="64">
        <v>32.11</v>
      </c>
      <c r="I100" s="64">
        <v>3.78</v>
      </c>
      <c r="J100" s="64">
        <v>0.8</v>
      </c>
      <c r="K100" s="64">
        <v>199.25</v>
      </c>
      <c r="L100" s="64">
        <v>23.64</v>
      </c>
      <c r="M100" s="64">
        <v>51.87</v>
      </c>
      <c r="N100" s="64">
        <v>66.5</v>
      </c>
      <c r="O100" s="64">
        <v>0</v>
      </c>
      <c r="P100" s="64">
        <v>0.91</v>
      </c>
      <c r="Q100" s="64">
        <v>9.15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2064</v>
      </c>
      <c r="B101" s="64">
        <v>3.92</v>
      </c>
      <c r="C101" s="64">
        <v>55.18</v>
      </c>
      <c r="D101" s="64">
        <v>59.1</v>
      </c>
      <c r="E101" s="64">
        <v>7.48</v>
      </c>
      <c r="F101" s="64">
        <v>21.8</v>
      </c>
      <c r="G101" s="64">
        <v>85.37</v>
      </c>
      <c r="H101" s="64">
        <v>32.11</v>
      </c>
      <c r="I101" s="64">
        <v>4</v>
      </c>
      <c r="J101" s="64">
        <v>1.5</v>
      </c>
      <c r="K101" s="64">
        <v>166.78</v>
      </c>
      <c r="L101" s="64">
        <v>23.56</v>
      </c>
      <c r="M101" s="64">
        <v>52.08</v>
      </c>
      <c r="N101" s="64">
        <v>66.5</v>
      </c>
      <c r="O101" s="64">
        <v>0</v>
      </c>
      <c r="P101" s="64">
        <v>1.1000000000000001</v>
      </c>
      <c r="Q101" s="64">
        <v>9.14</v>
      </c>
      <c r="R101" s="198"/>
      <c r="S101" s="198"/>
      <c r="T101" s="198"/>
      <c r="U101" s="198"/>
    </row>
    <row r="102" spans="1:33" s="12" customFormat="1" x14ac:dyDescent="0.25">
      <c r="A102" s="247" t="s">
        <v>2065</v>
      </c>
      <c r="B102" s="64">
        <v>3.84</v>
      </c>
      <c r="C102" s="64">
        <v>55.11</v>
      </c>
      <c r="D102" s="64">
        <v>58.95</v>
      </c>
      <c r="E102" s="64">
        <v>6.35</v>
      </c>
      <c r="F102" s="64">
        <v>20.98</v>
      </c>
      <c r="G102" s="64">
        <v>85.37</v>
      </c>
      <c r="H102" s="64">
        <v>32.11</v>
      </c>
      <c r="I102" s="64">
        <v>3.9</v>
      </c>
      <c r="J102" s="64">
        <v>1.2</v>
      </c>
      <c r="K102" s="64">
        <v>171.49</v>
      </c>
      <c r="L102" s="64">
        <v>23.31</v>
      </c>
      <c r="M102" s="64">
        <v>52.53</v>
      </c>
      <c r="N102" s="64">
        <v>66.900000000000006</v>
      </c>
      <c r="O102" s="64">
        <v>0</v>
      </c>
      <c r="P102" s="64">
        <v>1.0900000000000001</v>
      </c>
      <c r="Q102" s="64">
        <v>9.09</v>
      </c>
      <c r="R102" s="198"/>
      <c r="S102" s="198"/>
      <c r="T102" s="198"/>
      <c r="U102" s="198"/>
    </row>
    <row r="103" spans="1:33" s="12" customFormat="1" x14ac:dyDescent="0.25">
      <c r="A103" s="247" t="s">
        <v>2066</v>
      </c>
      <c r="B103" s="64">
        <v>3.98</v>
      </c>
      <c r="C103" s="64">
        <v>61.87</v>
      </c>
      <c r="D103" s="64">
        <v>65.849999999999994</v>
      </c>
      <c r="E103" s="64">
        <v>5.75</v>
      </c>
      <c r="F103" s="64">
        <v>14.98</v>
      </c>
      <c r="G103" s="64">
        <v>76.19</v>
      </c>
      <c r="H103" s="64">
        <v>30.52</v>
      </c>
      <c r="I103" s="64">
        <v>4.05</v>
      </c>
      <c r="J103" s="64">
        <v>1.17</v>
      </c>
      <c r="K103" s="64">
        <v>164.97</v>
      </c>
      <c r="L103" s="64">
        <v>23.26</v>
      </c>
      <c r="M103" s="64">
        <v>51.39</v>
      </c>
      <c r="N103" s="64">
        <v>66.7</v>
      </c>
      <c r="O103" s="64">
        <v>0</v>
      </c>
      <c r="P103" s="64">
        <v>1.1399999999999999</v>
      </c>
      <c r="Q103" s="64">
        <v>9.0500000000000007</v>
      </c>
      <c r="R103" s="198"/>
      <c r="S103" s="198"/>
      <c r="T103" s="198"/>
      <c r="U103" s="198"/>
    </row>
    <row r="104" spans="1:33" s="12" customFormat="1" x14ac:dyDescent="0.25">
      <c r="A104" s="247" t="s">
        <v>2067</v>
      </c>
      <c r="B104" s="64">
        <v>3.63</v>
      </c>
      <c r="C104" s="64">
        <v>59</v>
      </c>
      <c r="D104" s="64">
        <v>62.63</v>
      </c>
      <c r="E104" s="64">
        <v>3.78</v>
      </c>
      <c r="F104" s="64">
        <v>14.57</v>
      </c>
      <c r="G104" s="64">
        <v>71.13</v>
      </c>
      <c r="H104" s="64">
        <v>29.6</v>
      </c>
      <c r="I104" s="64">
        <v>3.95</v>
      </c>
      <c r="J104" s="64">
        <v>1.21</v>
      </c>
      <c r="K104" s="64">
        <v>165.16</v>
      </c>
      <c r="L104" s="64">
        <v>23.31</v>
      </c>
      <c r="M104" s="64">
        <v>50.06</v>
      </c>
      <c r="N104" s="64">
        <v>66.7</v>
      </c>
      <c r="O104" s="64">
        <v>0</v>
      </c>
      <c r="P104" s="64">
        <v>1.0900000000000001</v>
      </c>
      <c r="Q104" s="64">
        <v>9.0299999999999994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3.25</v>
      </c>
      <c r="C106" s="67">
        <f>MIN(C9:C104)</f>
        <v>54.4</v>
      </c>
      <c r="D106" s="67">
        <f t="shared" ref="D106:Q106" si="0">MIN(D9:D104)</f>
        <v>57.65</v>
      </c>
      <c r="E106" s="67">
        <f t="shared" si="0"/>
        <v>3.1</v>
      </c>
      <c r="F106" s="67">
        <f t="shared" si="0"/>
        <v>7.77</v>
      </c>
      <c r="G106" s="67">
        <f t="shared" si="0"/>
        <v>53.29</v>
      </c>
      <c r="H106" s="67">
        <f t="shared" si="0"/>
        <v>21.3</v>
      </c>
      <c r="I106" s="67">
        <f t="shared" si="0"/>
        <v>3.78</v>
      </c>
      <c r="J106" s="67">
        <f t="shared" si="0"/>
        <v>0.05</v>
      </c>
      <c r="K106" s="67">
        <f t="shared" si="0"/>
        <v>4.8499999999999996</v>
      </c>
      <c r="L106" s="67">
        <f t="shared" si="0"/>
        <v>20.440000000000001</v>
      </c>
      <c r="M106" s="67">
        <f t="shared" si="0"/>
        <v>21.81</v>
      </c>
      <c r="N106" s="67">
        <f t="shared" si="0"/>
        <v>65</v>
      </c>
      <c r="O106" s="67">
        <f t="shared" si="0"/>
        <v>0</v>
      </c>
      <c r="P106" s="67">
        <f t="shared" si="0"/>
        <v>0.7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78.150000000000006</v>
      </c>
      <c r="C107" s="66">
        <f t="shared" ref="C107:Q107" si="1">MAX(C9:C104)</f>
        <v>215.67</v>
      </c>
      <c r="D107" s="66">
        <f t="shared" si="1"/>
        <v>293.82</v>
      </c>
      <c r="E107" s="66">
        <f t="shared" si="1"/>
        <v>45.81</v>
      </c>
      <c r="F107" s="66">
        <f t="shared" si="1"/>
        <v>52.17</v>
      </c>
      <c r="G107" s="66">
        <f t="shared" si="1"/>
        <v>150.56</v>
      </c>
      <c r="H107" s="66">
        <f t="shared" si="1"/>
        <v>42.22</v>
      </c>
      <c r="I107" s="66">
        <f t="shared" si="1"/>
        <v>4.21</v>
      </c>
      <c r="J107" s="66">
        <f t="shared" si="1"/>
        <v>1.5</v>
      </c>
      <c r="K107" s="66">
        <f t="shared" si="1"/>
        <v>353.37</v>
      </c>
      <c r="L107" s="66">
        <f t="shared" si="1"/>
        <v>35.19</v>
      </c>
      <c r="M107" s="66">
        <f t="shared" si="1"/>
        <v>52.53</v>
      </c>
      <c r="N107" s="66">
        <f t="shared" si="1"/>
        <v>619.79999999999995</v>
      </c>
      <c r="O107" s="66">
        <f t="shared" si="1"/>
        <v>0</v>
      </c>
      <c r="P107" s="66">
        <f t="shared" si="1"/>
        <v>3.41</v>
      </c>
      <c r="Q107" s="66">
        <f t="shared" si="1"/>
        <v>10.039999999999999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19.403020833333333</v>
      </c>
      <c r="C108" s="67">
        <f t="shared" ref="C108:Q108" si="2">AVERAGE(C9:C104)</f>
        <v>81.274583333333325</v>
      </c>
      <c r="D108" s="67">
        <f t="shared" si="2"/>
        <v>100.67739583333332</v>
      </c>
      <c r="E108" s="67">
        <f t="shared" si="2"/>
        <v>13.240520833333328</v>
      </c>
      <c r="F108" s="67">
        <f t="shared" si="2"/>
        <v>21.38989583333333</v>
      </c>
      <c r="G108" s="67">
        <f t="shared" si="2"/>
        <v>82.240625000000009</v>
      </c>
      <c r="H108" s="67">
        <f t="shared" si="2"/>
        <v>31.254791666666652</v>
      </c>
      <c r="I108" s="67">
        <f t="shared" si="2"/>
        <v>3.9980208333333329</v>
      </c>
      <c r="J108" s="67">
        <f t="shared" si="2"/>
        <v>0.84374999999999967</v>
      </c>
      <c r="K108" s="67">
        <f t="shared" si="2"/>
        <v>183.12177083333336</v>
      </c>
      <c r="L108" s="67">
        <f t="shared" si="2"/>
        <v>27.133854166666666</v>
      </c>
      <c r="M108" s="67">
        <f t="shared" si="2"/>
        <v>34.634270833333339</v>
      </c>
      <c r="N108" s="67">
        <f t="shared" si="2"/>
        <v>216.23749999999998</v>
      </c>
      <c r="O108" s="67">
        <f t="shared" si="2"/>
        <v>0</v>
      </c>
      <c r="P108" s="67">
        <f t="shared" si="2"/>
        <v>1.2214583333333335</v>
      </c>
      <c r="Q108" s="67">
        <f t="shared" si="2"/>
        <v>9.5276041666666718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16.420310473363987</v>
      </c>
      <c r="C109" s="67">
        <f t="shared" ref="C109:Q109" si="3">STDEV(C9:C104)</f>
        <v>31.888422809826292</v>
      </c>
      <c r="D109" s="67">
        <f t="shared" si="3"/>
        <v>39.005821407493087</v>
      </c>
      <c r="E109" s="67">
        <f t="shared" si="3"/>
        <v>8.8985367655577328</v>
      </c>
      <c r="F109" s="67">
        <f t="shared" si="3"/>
        <v>10.683180040536088</v>
      </c>
      <c r="G109" s="67">
        <f t="shared" si="3"/>
        <v>21.057704968790638</v>
      </c>
      <c r="H109" s="67">
        <f t="shared" si="3"/>
        <v>5.6517520300144826</v>
      </c>
      <c r="I109" s="67">
        <f t="shared" si="3"/>
        <v>9.4775299820893999E-2</v>
      </c>
      <c r="J109" s="67">
        <f t="shared" si="3"/>
        <v>0.3212778761200511</v>
      </c>
      <c r="K109" s="67">
        <f t="shared" si="3"/>
        <v>126.65998584685653</v>
      </c>
      <c r="L109" s="67">
        <f t="shared" si="3"/>
        <v>4.9299282304569516</v>
      </c>
      <c r="M109" s="67">
        <f t="shared" si="3"/>
        <v>8.9157879770771018</v>
      </c>
      <c r="N109" s="67">
        <f t="shared" si="3"/>
        <v>205.96598710006774</v>
      </c>
      <c r="O109" s="67">
        <f t="shared" si="3"/>
        <v>0</v>
      </c>
      <c r="P109" s="67">
        <f t="shared" si="3"/>
        <v>0.50801984869359795</v>
      </c>
      <c r="Q109" s="67">
        <f t="shared" si="3"/>
        <v>0.23399840211630163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2068</v>
      </c>
      <c r="B9" s="64">
        <v>3.36</v>
      </c>
      <c r="C9" s="64">
        <v>56.05</v>
      </c>
      <c r="D9" s="64">
        <v>59.41</v>
      </c>
      <c r="E9" s="64">
        <v>4.55</v>
      </c>
      <c r="F9" s="64">
        <v>16.190000000000001</v>
      </c>
      <c r="G9" s="64">
        <v>71.13</v>
      </c>
      <c r="H9" s="64">
        <v>29.6</v>
      </c>
      <c r="I9" s="64">
        <v>4.04</v>
      </c>
      <c r="J9" s="64">
        <v>1.1200000000000001</v>
      </c>
      <c r="K9" s="64">
        <v>172.15</v>
      </c>
      <c r="L9" s="64">
        <v>23.32</v>
      </c>
      <c r="M9" s="64">
        <v>49.03</v>
      </c>
      <c r="N9" s="64">
        <v>66.8</v>
      </c>
      <c r="O9" s="64">
        <v>0</v>
      </c>
      <c r="P9" s="64">
        <v>1.01</v>
      </c>
      <c r="Q9" s="64">
        <v>8.99</v>
      </c>
      <c r="R9" s="198"/>
      <c r="S9" s="198"/>
      <c r="T9" s="198"/>
      <c r="U9" s="198"/>
    </row>
    <row r="10" spans="1:21" s="12" customFormat="1" x14ac:dyDescent="0.25">
      <c r="A10" s="247" t="s">
        <v>2069</v>
      </c>
      <c r="B10" s="64">
        <v>3.36</v>
      </c>
      <c r="C10" s="64">
        <v>59.97</v>
      </c>
      <c r="D10" s="64">
        <v>63.33</v>
      </c>
      <c r="E10" s="64">
        <v>3.64</v>
      </c>
      <c r="F10" s="64">
        <v>15.33</v>
      </c>
      <c r="G10" s="64">
        <v>71.13</v>
      </c>
      <c r="H10" s="64">
        <v>29.6</v>
      </c>
      <c r="I10" s="64">
        <v>4.03</v>
      </c>
      <c r="J10" s="64">
        <v>1.47</v>
      </c>
      <c r="K10" s="64">
        <v>163.34</v>
      </c>
      <c r="L10" s="64">
        <v>23.26</v>
      </c>
      <c r="M10" s="64">
        <v>48.33</v>
      </c>
      <c r="N10" s="64">
        <v>66.7</v>
      </c>
      <c r="O10" s="64">
        <v>0</v>
      </c>
      <c r="P10" s="64">
        <v>1.05</v>
      </c>
      <c r="Q10" s="64">
        <v>8.9600000000000009</v>
      </c>
      <c r="R10" s="198"/>
      <c r="S10" s="198"/>
      <c r="T10" s="198"/>
      <c r="U10" s="198"/>
    </row>
    <row r="11" spans="1:21" s="12" customFormat="1" x14ac:dyDescent="0.25">
      <c r="A11" s="247" t="s">
        <v>2070</v>
      </c>
      <c r="B11" s="64">
        <v>3.25</v>
      </c>
      <c r="C11" s="64">
        <v>57.03</v>
      </c>
      <c r="D11" s="64">
        <v>60.29</v>
      </c>
      <c r="E11" s="64">
        <v>3.84</v>
      </c>
      <c r="F11" s="64">
        <v>15.93</v>
      </c>
      <c r="G11" s="64">
        <v>55.11</v>
      </c>
      <c r="H11" s="64">
        <v>29.53</v>
      </c>
      <c r="I11" s="64">
        <v>4.12</v>
      </c>
      <c r="J11" s="64">
        <v>1.1499999999999999</v>
      </c>
      <c r="K11" s="64">
        <v>164.49</v>
      </c>
      <c r="L11" s="64">
        <v>23.06</v>
      </c>
      <c r="M11" s="64">
        <v>49.05</v>
      </c>
      <c r="N11" s="64">
        <v>67.099999999999994</v>
      </c>
      <c r="O11" s="64">
        <v>0</v>
      </c>
      <c r="P11" s="64">
        <v>0.93</v>
      </c>
      <c r="Q11" s="64">
        <v>8.91</v>
      </c>
      <c r="R11" s="198"/>
      <c r="S11" s="198"/>
      <c r="T11" s="198"/>
      <c r="U11" s="198"/>
    </row>
    <row r="12" spans="1:21" s="12" customFormat="1" x14ac:dyDescent="0.25">
      <c r="A12" s="247" t="s">
        <v>2071</v>
      </c>
      <c r="B12" s="64">
        <v>3.17</v>
      </c>
      <c r="C12" s="64">
        <v>52.89</v>
      </c>
      <c r="D12" s="64">
        <v>56.06</v>
      </c>
      <c r="E12" s="64">
        <v>4.8899999999999997</v>
      </c>
      <c r="F12" s="64">
        <v>17.5</v>
      </c>
      <c r="G12" s="64">
        <v>46.28</v>
      </c>
      <c r="H12" s="64">
        <v>29.48</v>
      </c>
      <c r="I12" s="64">
        <v>4.01</v>
      </c>
      <c r="J12" s="64">
        <v>0.85</v>
      </c>
      <c r="K12" s="64">
        <v>179.62</v>
      </c>
      <c r="L12" s="64">
        <v>22.83</v>
      </c>
      <c r="M12" s="64">
        <v>49.92</v>
      </c>
      <c r="N12" s="64">
        <v>67.099999999999994</v>
      </c>
      <c r="O12" s="64">
        <v>0</v>
      </c>
      <c r="P12" s="64">
        <v>0.84</v>
      </c>
      <c r="Q12" s="64">
        <v>8.89</v>
      </c>
      <c r="R12" s="198"/>
      <c r="S12" s="198"/>
      <c r="T12" s="198"/>
      <c r="U12" s="198"/>
    </row>
    <row r="13" spans="1:21" s="12" customFormat="1" x14ac:dyDescent="0.25">
      <c r="A13" s="247" t="s">
        <v>2072</v>
      </c>
      <c r="B13" s="64">
        <v>3.22</v>
      </c>
      <c r="C13" s="64">
        <v>51.98</v>
      </c>
      <c r="D13" s="64">
        <v>55.2</v>
      </c>
      <c r="E13" s="64">
        <v>4.53</v>
      </c>
      <c r="F13" s="64">
        <v>16.88</v>
      </c>
      <c r="G13" s="64">
        <v>46.28</v>
      </c>
      <c r="H13" s="64">
        <v>29.48</v>
      </c>
      <c r="I13" s="64">
        <v>3.87</v>
      </c>
      <c r="J13" s="64">
        <v>0.84</v>
      </c>
      <c r="K13" s="64">
        <v>166.29</v>
      </c>
      <c r="L13" s="64">
        <v>22.51</v>
      </c>
      <c r="M13" s="64">
        <v>50.86</v>
      </c>
      <c r="N13" s="64">
        <v>67.3</v>
      </c>
      <c r="O13" s="64">
        <v>0</v>
      </c>
      <c r="P13" s="64">
        <v>0.8</v>
      </c>
      <c r="Q13" s="64">
        <v>8.85</v>
      </c>
      <c r="R13" s="198"/>
      <c r="S13" s="198"/>
      <c r="T13" s="198"/>
      <c r="U13" s="198"/>
    </row>
    <row r="14" spans="1:21" s="12" customFormat="1" x14ac:dyDescent="0.25">
      <c r="A14" s="247" t="s">
        <v>2073</v>
      </c>
      <c r="B14" s="64">
        <v>3.37</v>
      </c>
      <c r="C14" s="64">
        <v>53.69</v>
      </c>
      <c r="D14" s="64">
        <v>57.06</v>
      </c>
      <c r="E14" s="64">
        <v>3.77</v>
      </c>
      <c r="F14" s="64">
        <v>13.12</v>
      </c>
      <c r="G14" s="64">
        <v>46.28</v>
      </c>
      <c r="H14" s="64">
        <v>29.48</v>
      </c>
      <c r="I14" s="64">
        <v>3.92</v>
      </c>
      <c r="J14" s="64">
        <v>1.1299999999999999</v>
      </c>
      <c r="K14" s="64">
        <v>161.04</v>
      </c>
      <c r="L14" s="64">
        <v>22.36</v>
      </c>
      <c r="M14" s="64">
        <v>51.98</v>
      </c>
      <c r="N14" s="64">
        <v>66.900000000000006</v>
      </c>
      <c r="O14" s="64">
        <v>0</v>
      </c>
      <c r="P14" s="64">
        <v>0.93</v>
      </c>
      <c r="Q14" s="64">
        <v>8.84</v>
      </c>
      <c r="R14" s="198"/>
      <c r="S14" s="198"/>
      <c r="T14" s="198"/>
      <c r="U14" s="198"/>
    </row>
    <row r="15" spans="1:21" s="12" customFormat="1" x14ac:dyDescent="0.25">
      <c r="A15" s="247" t="s">
        <v>2074</v>
      </c>
      <c r="B15" s="64">
        <v>3.48</v>
      </c>
      <c r="C15" s="64">
        <v>54.93</v>
      </c>
      <c r="D15" s="64">
        <v>58.41</v>
      </c>
      <c r="E15" s="64">
        <v>3.23</v>
      </c>
      <c r="F15" s="64">
        <v>12.33</v>
      </c>
      <c r="G15" s="64">
        <v>43.33</v>
      </c>
      <c r="H15" s="64">
        <v>27.25</v>
      </c>
      <c r="I15" s="64">
        <v>3.92</v>
      </c>
      <c r="J15" s="64">
        <v>1.41</v>
      </c>
      <c r="K15" s="64">
        <v>174.74</v>
      </c>
      <c r="L15" s="64">
        <v>22.35</v>
      </c>
      <c r="M15" s="64">
        <v>52.32</v>
      </c>
      <c r="N15" s="64">
        <v>66.7</v>
      </c>
      <c r="O15" s="64">
        <v>0</v>
      </c>
      <c r="P15" s="64">
        <v>0.93</v>
      </c>
      <c r="Q15" s="64">
        <v>8.82</v>
      </c>
      <c r="R15" s="198"/>
      <c r="S15" s="198"/>
      <c r="T15" s="198"/>
      <c r="U15" s="198"/>
    </row>
    <row r="16" spans="1:21" s="12" customFormat="1" x14ac:dyDescent="0.25">
      <c r="A16" s="247" t="s">
        <v>2075</v>
      </c>
      <c r="B16" s="64">
        <v>3.5</v>
      </c>
      <c r="C16" s="64">
        <v>54.49</v>
      </c>
      <c r="D16" s="64">
        <v>57.99</v>
      </c>
      <c r="E16" s="64">
        <v>3.57</v>
      </c>
      <c r="F16" s="64">
        <v>14.38</v>
      </c>
      <c r="G16" s="64">
        <v>41.71</v>
      </c>
      <c r="H16" s="64">
        <v>25.96</v>
      </c>
      <c r="I16" s="64">
        <v>4.05</v>
      </c>
      <c r="J16" s="64">
        <v>1.41</v>
      </c>
      <c r="K16" s="64">
        <v>163.34</v>
      </c>
      <c r="L16" s="64">
        <v>22.17</v>
      </c>
      <c r="M16" s="64">
        <v>53.68</v>
      </c>
      <c r="N16" s="64">
        <v>67.2</v>
      </c>
      <c r="O16" s="64">
        <v>0</v>
      </c>
      <c r="P16" s="64">
        <v>0.85</v>
      </c>
      <c r="Q16" s="64">
        <v>8.8000000000000007</v>
      </c>
      <c r="R16" s="198"/>
      <c r="S16" s="198"/>
      <c r="T16" s="198"/>
      <c r="U16" s="198"/>
    </row>
    <row r="17" spans="1:21" s="12" customFormat="1" x14ac:dyDescent="0.25">
      <c r="A17" s="247" t="s">
        <v>2076</v>
      </c>
      <c r="B17" s="64">
        <v>3.42</v>
      </c>
      <c r="C17" s="64">
        <v>48.46</v>
      </c>
      <c r="D17" s="64">
        <v>51.88</v>
      </c>
      <c r="E17" s="64">
        <v>3.6</v>
      </c>
      <c r="F17" s="64">
        <v>19.05</v>
      </c>
      <c r="G17" s="64">
        <v>41.71</v>
      </c>
      <c r="H17" s="64">
        <v>25.96</v>
      </c>
      <c r="I17" s="64">
        <v>3.92</v>
      </c>
      <c r="J17" s="64">
        <v>1.42</v>
      </c>
      <c r="K17" s="64">
        <v>155.12</v>
      </c>
      <c r="L17" s="64">
        <v>21.88</v>
      </c>
      <c r="M17" s="64">
        <v>55.42</v>
      </c>
      <c r="N17" s="64">
        <v>67.3</v>
      </c>
      <c r="O17" s="64">
        <v>0</v>
      </c>
      <c r="P17" s="64">
        <v>0.81</v>
      </c>
      <c r="Q17" s="64">
        <v>8.7899999999999991</v>
      </c>
      <c r="R17" s="198"/>
      <c r="S17" s="198"/>
      <c r="T17" s="198"/>
      <c r="U17" s="198"/>
    </row>
    <row r="18" spans="1:21" s="12" customFormat="1" x14ac:dyDescent="0.25">
      <c r="A18" s="247" t="s">
        <v>2077</v>
      </c>
      <c r="B18" s="64">
        <v>3.44</v>
      </c>
      <c r="C18" s="64">
        <v>44.42</v>
      </c>
      <c r="D18" s="64">
        <v>47.86</v>
      </c>
      <c r="E18" s="64">
        <v>4.5199999999999996</v>
      </c>
      <c r="F18" s="64">
        <v>23</v>
      </c>
      <c r="G18" s="64">
        <v>41.71</v>
      </c>
      <c r="H18" s="64">
        <v>25.96</v>
      </c>
      <c r="I18" s="64">
        <v>4.07</v>
      </c>
      <c r="J18" s="64">
        <v>1.07</v>
      </c>
      <c r="K18" s="64">
        <v>164.25</v>
      </c>
      <c r="L18" s="64">
        <v>21.79</v>
      </c>
      <c r="M18" s="64">
        <v>56.47</v>
      </c>
      <c r="N18" s="64">
        <v>67.099999999999994</v>
      </c>
      <c r="O18" s="64">
        <v>0</v>
      </c>
      <c r="P18" s="64">
        <v>0.7</v>
      </c>
      <c r="Q18" s="64">
        <v>8.81</v>
      </c>
      <c r="R18" s="198"/>
      <c r="S18" s="198"/>
      <c r="T18" s="198"/>
      <c r="U18" s="198"/>
    </row>
    <row r="19" spans="1:21" s="12" customFormat="1" x14ac:dyDescent="0.25">
      <c r="A19" s="247" t="s">
        <v>2078</v>
      </c>
      <c r="B19" s="64">
        <v>3.44</v>
      </c>
      <c r="C19" s="64">
        <v>39.130000000000003</v>
      </c>
      <c r="D19" s="64">
        <v>42.57</v>
      </c>
      <c r="E19" s="64">
        <v>5.28</v>
      </c>
      <c r="F19" s="64">
        <v>22.79</v>
      </c>
      <c r="G19" s="64">
        <v>39.57</v>
      </c>
      <c r="H19" s="64">
        <v>22.54</v>
      </c>
      <c r="I19" s="64">
        <v>4.01</v>
      </c>
      <c r="J19" s="64">
        <v>1.1499999999999999</v>
      </c>
      <c r="K19" s="64">
        <v>161.63999999999999</v>
      </c>
      <c r="L19" s="64">
        <v>21.71</v>
      </c>
      <c r="M19" s="64">
        <v>57.7</v>
      </c>
      <c r="N19" s="64">
        <v>66.900000000000006</v>
      </c>
      <c r="O19" s="64">
        <v>0</v>
      </c>
      <c r="P19" s="64">
        <v>0.66</v>
      </c>
      <c r="Q19" s="64">
        <v>8.81</v>
      </c>
      <c r="R19" s="198"/>
      <c r="S19" s="198"/>
      <c r="T19" s="198"/>
      <c r="U19" s="198"/>
    </row>
    <row r="20" spans="1:21" s="12" customFormat="1" x14ac:dyDescent="0.25">
      <c r="A20" s="247" t="s">
        <v>2079</v>
      </c>
      <c r="B20" s="64">
        <v>3.7</v>
      </c>
      <c r="C20" s="64">
        <v>41.23</v>
      </c>
      <c r="D20" s="64">
        <v>44.92</v>
      </c>
      <c r="E20" s="64">
        <v>4.8099999999999996</v>
      </c>
      <c r="F20" s="64">
        <v>20.94</v>
      </c>
      <c r="G20" s="64">
        <v>38.39</v>
      </c>
      <c r="H20" s="64">
        <v>20.55</v>
      </c>
      <c r="I20" s="64">
        <v>3.93</v>
      </c>
      <c r="J20" s="64">
        <v>0.96</v>
      </c>
      <c r="K20" s="64">
        <v>170.86</v>
      </c>
      <c r="L20" s="64">
        <v>21.67</v>
      </c>
      <c r="M20" s="64">
        <v>58.24</v>
      </c>
      <c r="N20" s="64">
        <v>67</v>
      </c>
      <c r="O20" s="64">
        <v>0</v>
      </c>
      <c r="P20" s="64">
        <v>0.68</v>
      </c>
      <c r="Q20" s="64">
        <v>8.82</v>
      </c>
      <c r="R20" s="198"/>
      <c r="S20" s="198"/>
      <c r="T20" s="198"/>
      <c r="U20" s="198"/>
    </row>
    <row r="21" spans="1:21" s="12" customFormat="1" x14ac:dyDescent="0.25">
      <c r="A21" s="247" t="s">
        <v>2080</v>
      </c>
      <c r="B21" s="64">
        <v>3.74</v>
      </c>
      <c r="C21" s="64">
        <v>40.22</v>
      </c>
      <c r="D21" s="64">
        <v>43.96</v>
      </c>
      <c r="E21" s="64">
        <v>5.36</v>
      </c>
      <c r="F21" s="64">
        <v>19.55</v>
      </c>
      <c r="G21" s="64">
        <v>38.39</v>
      </c>
      <c r="H21" s="64">
        <v>20.55</v>
      </c>
      <c r="I21" s="64">
        <v>3.82</v>
      </c>
      <c r="J21" s="64">
        <v>1.1599999999999999</v>
      </c>
      <c r="K21" s="64">
        <v>165.3</v>
      </c>
      <c r="L21" s="64">
        <v>21.44</v>
      </c>
      <c r="M21" s="64">
        <v>59.23</v>
      </c>
      <c r="N21" s="64">
        <v>67.099999999999994</v>
      </c>
      <c r="O21" s="64">
        <v>0</v>
      </c>
      <c r="P21" s="64">
        <v>0.69</v>
      </c>
      <c r="Q21" s="64">
        <v>8.82</v>
      </c>
      <c r="R21" s="198"/>
      <c r="S21" s="198"/>
      <c r="T21" s="198"/>
      <c r="U21" s="198"/>
    </row>
    <row r="22" spans="1:21" s="12" customFormat="1" x14ac:dyDescent="0.25">
      <c r="A22" s="247" t="s">
        <v>2081</v>
      </c>
      <c r="B22" s="64">
        <v>4.03</v>
      </c>
      <c r="C22" s="64">
        <v>45.11</v>
      </c>
      <c r="D22" s="64">
        <v>49.14</v>
      </c>
      <c r="E22" s="64">
        <v>4.28</v>
      </c>
      <c r="F22" s="64">
        <v>18.84</v>
      </c>
      <c r="G22" s="64">
        <v>38.39</v>
      </c>
      <c r="H22" s="64">
        <v>20.55</v>
      </c>
      <c r="I22" s="64">
        <v>3.95</v>
      </c>
      <c r="J22" s="64">
        <v>0.97</v>
      </c>
      <c r="K22" s="64">
        <v>170.56</v>
      </c>
      <c r="L22" s="64">
        <v>21.44</v>
      </c>
      <c r="M22" s="64">
        <v>59.76</v>
      </c>
      <c r="N22" s="64">
        <v>67</v>
      </c>
      <c r="O22" s="64">
        <v>0</v>
      </c>
      <c r="P22" s="64">
        <v>0.71</v>
      </c>
      <c r="Q22" s="64">
        <v>8.8000000000000007</v>
      </c>
      <c r="R22" s="198"/>
      <c r="S22" s="198"/>
      <c r="T22" s="198"/>
      <c r="U22" s="198"/>
    </row>
    <row r="23" spans="1:21" s="12" customFormat="1" x14ac:dyDescent="0.25">
      <c r="A23" s="247" t="s">
        <v>2082</v>
      </c>
      <c r="B23" s="64">
        <v>3.67</v>
      </c>
      <c r="C23" s="64">
        <v>39.99</v>
      </c>
      <c r="D23" s="64">
        <v>43.66</v>
      </c>
      <c r="E23" s="64">
        <v>5.97</v>
      </c>
      <c r="F23" s="64">
        <v>23.98</v>
      </c>
      <c r="G23" s="64">
        <v>44.46</v>
      </c>
      <c r="H23" s="64">
        <v>23.92</v>
      </c>
      <c r="I23" s="64">
        <v>3.92</v>
      </c>
      <c r="J23" s="64">
        <v>0.26</v>
      </c>
      <c r="K23" s="64">
        <v>224.15</v>
      </c>
      <c r="L23" s="64">
        <v>21.32</v>
      </c>
      <c r="M23" s="64">
        <v>60.23</v>
      </c>
      <c r="N23" s="64">
        <v>67.3</v>
      </c>
      <c r="O23" s="64">
        <v>0</v>
      </c>
      <c r="P23" s="64">
        <v>0.6</v>
      </c>
      <c r="Q23" s="64">
        <v>8.7799999999999994</v>
      </c>
      <c r="R23" s="198"/>
      <c r="S23" s="198"/>
      <c r="T23" s="198"/>
      <c r="U23" s="198"/>
    </row>
    <row r="24" spans="1:21" s="12" customFormat="1" x14ac:dyDescent="0.25">
      <c r="A24" s="247" t="s">
        <v>2083</v>
      </c>
      <c r="B24" s="64">
        <v>3.97</v>
      </c>
      <c r="C24" s="64">
        <v>44.14</v>
      </c>
      <c r="D24" s="64">
        <v>48.11</v>
      </c>
      <c r="E24" s="64">
        <v>5.44</v>
      </c>
      <c r="F24" s="64">
        <v>14.39</v>
      </c>
      <c r="G24" s="64">
        <v>47.81</v>
      </c>
      <c r="H24" s="64">
        <v>25.87</v>
      </c>
      <c r="I24" s="64">
        <v>3.98</v>
      </c>
      <c r="J24" s="64">
        <v>0.61</v>
      </c>
      <c r="K24" s="64">
        <v>174.13</v>
      </c>
      <c r="L24" s="64">
        <v>21.19</v>
      </c>
      <c r="M24" s="64">
        <v>61.09</v>
      </c>
      <c r="N24" s="64">
        <v>67.2</v>
      </c>
      <c r="O24" s="64">
        <v>0</v>
      </c>
      <c r="P24" s="64">
        <v>0.71</v>
      </c>
      <c r="Q24" s="64">
        <v>8.77</v>
      </c>
      <c r="R24" s="198"/>
      <c r="S24" s="198"/>
      <c r="T24" s="198"/>
      <c r="U24" s="198"/>
    </row>
    <row r="25" spans="1:21" s="12" customFormat="1" x14ac:dyDescent="0.25">
      <c r="A25" s="247" t="s">
        <v>2084</v>
      </c>
      <c r="B25" s="64">
        <v>4.47</v>
      </c>
      <c r="C25" s="64">
        <v>51.12</v>
      </c>
      <c r="D25" s="64">
        <v>55.59</v>
      </c>
      <c r="E25" s="64">
        <v>4.8600000000000003</v>
      </c>
      <c r="F25" s="64">
        <v>14.07</v>
      </c>
      <c r="G25" s="64">
        <v>47.81</v>
      </c>
      <c r="H25" s="64">
        <v>25.87</v>
      </c>
      <c r="I25" s="64">
        <v>4.05</v>
      </c>
      <c r="J25" s="64">
        <v>0.31</v>
      </c>
      <c r="K25" s="64">
        <v>214.66</v>
      </c>
      <c r="L25" s="64">
        <v>21.11</v>
      </c>
      <c r="M25" s="64">
        <v>61.46</v>
      </c>
      <c r="N25" s="64">
        <v>67.099999999999994</v>
      </c>
      <c r="O25" s="64">
        <v>0</v>
      </c>
      <c r="P25" s="64">
        <v>0.72</v>
      </c>
      <c r="Q25" s="64">
        <v>8.76</v>
      </c>
      <c r="R25" s="198"/>
      <c r="S25" s="198"/>
      <c r="T25" s="198"/>
      <c r="U25" s="198"/>
    </row>
    <row r="26" spans="1:21" s="12" customFormat="1" x14ac:dyDescent="0.25">
      <c r="A26" s="247" t="s">
        <v>2085</v>
      </c>
      <c r="B26" s="64">
        <v>4.91</v>
      </c>
      <c r="C26" s="64">
        <v>53.25</v>
      </c>
      <c r="D26" s="64">
        <v>58.17</v>
      </c>
      <c r="E26" s="64">
        <v>4.6900000000000004</v>
      </c>
      <c r="F26" s="64">
        <v>13.18</v>
      </c>
      <c r="G26" s="64">
        <v>47.81</v>
      </c>
      <c r="H26" s="64">
        <v>25.87</v>
      </c>
      <c r="I26" s="64">
        <v>3.95</v>
      </c>
      <c r="J26" s="64">
        <v>0.55000000000000004</v>
      </c>
      <c r="K26" s="64">
        <v>291.33999999999997</v>
      </c>
      <c r="L26" s="64">
        <v>21.07</v>
      </c>
      <c r="M26" s="64">
        <v>62.99</v>
      </c>
      <c r="N26" s="64">
        <v>67.599999999999994</v>
      </c>
      <c r="O26" s="64">
        <v>0</v>
      </c>
      <c r="P26" s="64">
        <v>0.74</v>
      </c>
      <c r="Q26" s="64">
        <v>8.74</v>
      </c>
      <c r="R26" s="198"/>
      <c r="S26" s="198"/>
      <c r="T26" s="198"/>
      <c r="U26" s="198"/>
    </row>
    <row r="27" spans="1:21" s="12" customFormat="1" x14ac:dyDescent="0.25">
      <c r="A27" s="247" t="s">
        <v>2086</v>
      </c>
      <c r="B27" s="64">
        <v>11.78</v>
      </c>
      <c r="C27" s="64">
        <v>67.56</v>
      </c>
      <c r="D27" s="64">
        <v>79.34</v>
      </c>
      <c r="E27" s="64">
        <v>4.57</v>
      </c>
      <c r="F27" s="64">
        <v>9.16</v>
      </c>
      <c r="G27" s="64">
        <v>49.58</v>
      </c>
      <c r="H27" s="64">
        <v>23.8</v>
      </c>
      <c r="I27" s="64">
        <v>4.0199999999999996</v>
      </c>
      <c r="J27" s="64">
        <v>0.79</v>
      </c>
      <c r="K27" s="64">
        <v>324.43</v>
      </c>
      <c r="L27" s="64">
        <v>20.61</v>
      </c>
      <c r="M27" s="64">
        <v>67.3</v>
      </c>
      <c r="N27" s="64">
        <v>67.400000000000006</v>
      </c>
      <c r="O27" s="64">
        <v>0</v>
      </c>
      <c r="P27" s="64">
        <v>0.77</v>
      </c>
      <c r="Q27" s="64">
        <v>8.75</v>
      </c>
      <c r="R27" s="198"/>
      <c r="S27" s="198"/>
      <c r="T27" s="198"/>
      <c r="U27" s="198"/>
    </row>
    <row r="28" spans="1:21" s="12" customFormat="1" x14ac:dyDescent="0.25">
      <c r="A28" s="247" t="s">
        <v>2087</v>
      </c>
      <c r="B28" s="64">
        <v>17.84</v>
      </c>
      <c r="C28" s="64">
        <v>65.97</v>
      </c>
      <c r="D28" s="64">
        <v>83.81</v>
      </c>
      <c r="E28" s="64">
        <v>4.51</v>
      </c>
      <c r="F28" s="64">
        <v>11.52</v>
      </c>
      <c r="G28" s="64">
        <v>50.55</v>
      </c>
      <c r="H28" s="64">
        <v>22.61</v>
      </c>
      <c r="I28" s="64">
        <v>4.03</v>
      </c>
      <c r="J28" s="64">
        <v>0.46</v>
      </c>
      <c r="K28" s="64">
        <v>290.69</v>
      </c>
      <c r="L28" s="64">
        <v>20.350000000000001</v>
      </c>
      <c r="M28" s="64">
        <v>69.319999999999993</v>
      </c>
      <c r="N28" s="64">
        <v>67.599999999999994</v>
      </c>
      <c r="O28" s="64">
        <v>0</v>
      </c>
      <c r="P28" s="64">
        <v>0.88</v>
      </c>
      <c r="Q28" s="64">
        <v>8.8000000000000007</v>
      </c>
      <c r="R28" s="198"/>
      <c r="S28" s="198"/>
      <c r="T28" s="198"/>
      <c r="U28" s="198"/>
    </row>
    <row r="29" spans="1:21" s="12" customFormat="1" x14ac:dyDescent="0.25">
      <c r="A29" s="247" t="s">
        <v>2088</v>
      </c>
      <c r="B29" s="64">
        <v>9.23</v>
      </c>
      <c r="C29" s="64">
        <v>66.11</v>
      </c>
      <c r="D29" s="64">
        <v>75.33</v>
      </c>
      <c r="E29" s="64">
        <v>4.21</v>
      </c>
      <c r="F29" s="64">
        <v>10.220000000000001</v>
      </c>
      <c r="G29" s="64">
        <v>50.55</v>
      </c>
      <c r="H29" s="64">
        <v>22.61</v>
      </c>
      <c r="I29" s="64">
        <v>3.96</v>
      </c>
      <c r="J29" s="64">
        <v>0.85</v>
      </c>
      <c r="K29" s="64">
        <v>221.04</v>
      </c>
      <c r="L29" s="64">
        <v>21.05</v>
      </c>
      <c r="M29" s="64">
        <v>61.93</v>
      </c>
      <c r="N29" s="64">
        <v>66.5</v>
      </c>
      <c r="O29" s="64">
        <v>0</v>
      </c>
      <c r="P29" s="64">
        <v>0.76</v>
      </c>
      <c r="Q29" s="64">
        <v>8.8699999999999992</v>
      </c>
      <c r="R29" s="198"/>
      <c r="S29" s="198"/>
      <c r="T29" s="198"/>
      <c r="U29" s="198"/>
    </row>
    <row r="30" spans="1:21" s="12" customFormat="1" x14ac:dyDescent="0.25">
      <c r="A30" s="247" t="s">
        <v>2089</v>
      </c>
      <c r="B30" s="64">
        <v>8.31</v>
      </c>
      <c r="C30" s="64">
        <v>68.900000000000006</v>
      </c>
      <c r="D30" s="64">
        <v>77.22</v>
      </c>
      <c r="E30" s="64">
        <v>4.1100000000000003</v>
      </c>
      <c r="F30" s="64">
        <v>11.26</v>
      </c>
      <c r="G30" s="64">
        <v>50.55</v>
      </c>
      <c r="H30" s="64">
        <v>22.61</v>
      </c>
      <c r="I30" s="64">
        <v>3.9</v>
      </c>
      <c r="J30" s="64">
        <v>0.73</v>
      </c>
      <c r="K30" s="64">
        <v>237.22</v>
      </c>
      <c r="L30" s="64">
        <v>21.28</v>
      </c>
      <c r="M30" s="64">
        <v>60.79</v>
      </c>
      <c r="N30" s="64">
        <v>67</v>
      </c>
      <c r="O30" s="64">
        <v>0</v>
      </c>
      <c r="P30" s="64">
        <v>0.77</v>
      </c>
      <c r="Q30" s="64">
        <v>8.91</v>
      </c>
      <c r="R30" s="198"/>
      <c r="S30" s="198"/>
      <c r="T30" s="198"/>
      <c r="U30" s="198"/>
    </row>
    <row r="31" spans="1:21" s="12" customFormat="1" x14ac:dyDescent="0.25">
      <c r="A31" s="247" t="s">
        <v>2090</v>
      </c>
      <c r="B31" s="64">
        <v>7.59</v>
      </c>
      <c r="C31" s="64">
        <v>63.73</v>
      </c>
      <c r="D31" s="64">
        <v>71.33</v>
      </c>
      <c r="E31" s="64">
        <v>4.07</v>
      </c>
      <c r="F31" s="64">
        <v>14.15</v>
      </c>
      <c r="G31" s="64">
        <v>52.42</v>
      </c>
      <c r="H31" s="64">
        <v>22.89</v>
      </c>
      <c r="I31" s="64">
        <v>4.05</v>
      </c>
      <c r="J31" s="64">
        <v>0.64</v>
      </c>
      <c r="K31" s="64">
        <v>203.95</v>
      </c>
      <c r="L31" s="64">
        <v>21.12</v>
      </c>
      <c r="M31" s="64">
        <v>61.38</v>
      </c>
      <c r="N31" s="64">
        <v>67.2</v>
      </c>
      <c r="O31" s="64">
        <v>0</v>
      </c>
      <c r="P31" s="64">
        <v>0.73</v>
      </c>
      <c r="Q31" s="64">
        <v>8.93</v>
      </c>
      <c r="R31" s="198"/>
      <c r="S31" s="198"/>
      <c r="T31" s="198"/>
      <c r="U31" s="198"/>
    </row>
    <row r="32" spans="1:21" s="12" customFormat="1" x14ac:dyDescent="0.25">
      <c r="A32" s="247" t="s">
        <v>2091</v>
      </c>
      <c r="B32" s="64">
        <v>7.5</v>
      </c>
      <c r="C32" s="64">
        <v>64.86</v>
      </c>
      <c r="D32" s="64">
        <v>72.36</v>
      </c>
      <c r="E32" s="64">
        <v>3.47</v>
      </c>
      <c r="F32" s="64">
        <v>11.81</v>
      </c>
      <c r="G32" s="64">
        <v>53.45</v>
      </c>
      <c r="H32" s="64">
        <v>23.06</v>
      </c>
      <c r="I32" s="64">
        <v>4.08</v>
      </c>
      <c r="J32" s="64">
        <v>0.6</v>
      </c>
      <c r="K32" s="64">
        <v>237.25</v>
      </c>
      <c r="L32" s="64">
        <v>20.98</v>
      </c>
      <c r="M32" s="64">
        <v>62.44</v>
      </c>
      <c r="N32" s="64">
        <v>68</v>
      </c>
      <c r="O32" s="64">
        <v>0</v>
      </c>
      <c r="P32" s="64">
        <v>0.75</v>
      </c>
      <c r="Q32" s="64">
        <v>8.93</v>
      </c>
      <c r="R32" s="198"/>
      <c r="S32" s="198"/>
      <c r="T32" s="198"/>
      <c r="U32" s="198"/>
    </row>
    <row r="33" spans="1:21" s="12" customFormat="1" x14ac:dyDescent="0.25">
      <c r="A33" s="247" t="s">
        <v>2092</v>
      </c>
      <c r="B33" s="64">
        <v>6.53</v>
      </c>
      <c r="C33" s="64">
        <v>56.58</v>
      </c>
      <c r="D33" s="64">
        <v>63.11</v>
      </c>
      <c r="E33" s="64">
        <v>3.73</v>
      </c>
      <c r="F33" s="64">
        <v>12.33</v>
      </c>
      <c r="G33" s="64">
        <v>53.45</v>
      </c>
      <c r="H33" s="64">
        <v>23.06</v>
      </c>
      <c r="I33" s="64">
        <v>3.83</v>
      </c>
      <c r="J33" s="64">
        <v>0.66</v>
      </c>
      <c r="K33" s="64">
        <v>227.51</v>
      </c>
      <c r="L33" s="64">
        <v>20.81</v>
      </c>
      <c r="M33" s="64">
        <v>63.46</v>
      </c>
      <c r="N33" s="64">
        <v>72.099999999999994</v>
      </c>
      <c r="O33" s="64">
        <v>0</v>
      </c>
      <c r="P33" s="64">
        <v>0.75</v>
      </c>
      <c r="Q33" s="64">
        <v>8.92</v>
      </c>
      <c r="R33" s="198"/>
      <c r="S33" s="198"/>
      <c r="T33" s="198"/>
      <c r="U33" s="198"/>
    </row>
    <row r="34" spans="1:21" s="12" customFormat="1" x14ac:dyDescent="0.25">
      <c r="A34" s="247" t="s">
        <v>2093</v>
      </c>
      <c r="B34" s="64">
        <v>6.43</v>
      </c>
      <c r="C34" s="64">
        <v>61.45</v>
      </c>
      <c r="D34" s="64">
        <v>67.87</v>
      </c>
      <c r="E34" s="64">
        <v>4.43</v>
      </c>
      <c r="F34" s="64">
        <v>14.89</v>
      </c>
      <c r="G34" s="64">
        <v>53.45</v>
      </c>
      <c r="H34" s="64">
        <v>23.06</v>
      </c>
      <c r="I34" s="64">
        <v>3.98</v>
      </c>
      <c r="J34" s="64">
        <v>0.48</v>
      </c>
      <c r="K34" s="64">
        <v>249.04</v>
      </c>
      <c r="L34" s="64">
        <v>20.83</v>
      </c>
      <c r="M34" s="64">
        <v>64.040000000000006</v>
      </c>
      <c r="N34" s="64">
        <v>82.5</v>
      </c>
      <c r="O34" s="64">
        <v>0</v>
      </c>
      <c r="P34" s="64">
        <v>0.8</v>
      </c>
      <c r="Q34" s="64">
        <v>8.89</v>
      </c>
      <c r="R34" s="198"/>
      <c r="S34" s="198"/>
      <c r="T34" s="198"/>
      <c r="U34" s="198"/>
    </row>
    <row r="35" spans="1:21" s="12" customFormat="1" x14ac:dyDescent="0.25">
      <c r="A35" s="247" t="s">
        <v>2094</v>
      </c>
      <c r="B35" s="64">
        <v>16.7</v>
      </c>
      <c r="C35" s="64">
        <v>67.540000000000006</v>
      </c>
      <c r="D35" s="64">
        <v>84.24</v>
      </c>
      <c r="E35" s="64">
        <v>4.47</v>
      </c>
      <c r="F35" s="64">
        <v>12.36</v>
      </c>
      <c r="G35" s="64">
        <v>56.67</v>
      </c>
      <c r="H35" s="64">
        <v>21.86</v>
      </c>
      <c r="I35" s="64">
        <v>4.07</v>
      </c>
      <c r="J35" s="64">
        <v>0.69</v>
      </c>
      <c r="K35" s="64">
        <v>297.22000000000003</v>
      </c>
      <c r="L35" s="64">
        <v>20.86</v>
      </c>
      <c r="M35" s="64">
        <v>66.739999999999995</v>
      </c>
      <c r="N35" s="64">
        <v>102.7</v>
      </c>
      <c r="O35" s="64">
        <v>0</v>
      </c>
      <c r="P35" s="64">
        <v>0.91</v>
      </c>
      <c r="Q35" s="64">
        <v>8.91</v>
      </c>
      <c r="R35" s="198"/>
      <c r="S35" s="198"/>
      <c r="T35" s="198"/>
      <c r="U35" s="198"/>
    </row>
    <row r="36" spans="1:21" s="12" customFormat="1" x14ac:dyDescent="0.25">
      <c r="A36" s="247" t="s">
        <v>2095</v>
      </c>
      <c r="B36" s="64">
        <v>29.16</v>
      </c>
      <c r="C36" s="64">
        <v>70.66</v>
      </c>
      <c r="D36" s="64">
        <v>99.82</v>
      </c>
      <c r="E36" s="64">
        <v>5.51</v>
      </c>
      <c r="F36" s="64">
        <v>12.94</v>
      </c>
      <c r="G36" s="64">
        <v>58.45</v>
      </c>
      <c r="H36" s="64">
        <v>21.16</v>
      </c>
      <c r="I36" s="64">
        <v>3.98</v>
      </c>
      <c r="J36" s="64">
        <v>0.66</v>
      </c>
      <c r="K36" s="64">
        <v>327.95</v>
      </c>
      <c r="L36" s="64">
        <v>21.56</v>
      </c>
      <c r="M36" s="64">
        <v>65.3</v>
      </c>
      <c r="N36" s="64">
        <v>133.1</v>
      </c>
      <c r="O36" s="64">
        <v>0</v>
      </c>
      <c r="P36" s="64">
        <v>1</v>
      </c>
      <c r="Q36" s="64">
        <v>8.9600000000000009</v>
      </c>
      <c r="R36" s="198"/>
      <c r="S36" s="198"/>
      <c r="T36" s="198"/>
      <c r="U36" s="198"/>
    </row>
    <row r="37" spans="1:21" s="12" customFormat="1" x14ac:dyDescent="0.25">
      <c r="A37" s="247" t="s">
        <v>2096</v>
      </c>
      <c r="B37" s="64">
        <v>26.61</v>
      </c>
      <c r="C37" s="64">
        <v>71.44</v>
      </c>
      <c r="D37" s="64">
        <v>98.05</v>
      </c>
      <c r="E37" s="64">
        <v>5.88</v>
      </c>
      <c r="F37" s="64">
        <v>13.12</v>
      </c>
      <c r="G37" s="64">
        <v>58.45</v>
      </c>
      <c r="H37" s="64">
        <v>21.16</v>
      </c>
      <c r="I37" s="64">
        <v>3.98</v>
      </c>
      <c r="J37" s="64">
        <v>0.7</v>
      </c>
      <c r="K37" s="64">
        <v>313.99</v>
      </c>
      <c r="L37" s="64">
        <v>22.8</v>
      </c>
      <c r="M37" s="64">
        <v>60.65</v>
      </c>
      <c r="N37" s="64">
        <v>165.9</v>
      </c>
      <c r="O37" s="64">
        <v>0</v>
      </c>
      <c r="P37" s="64">
        <v>0.93</v>
      </c>
      <c r="Q37" s="64">
        <v>9.01</v>
      </c>
      <c r="R37" s="198"/>
      <c r="S37" s="198"/>
      <c r="T37" s="198"/>
      <c r="U37" s="198"/>
    </row>
    <row r="38" spans="1:21" s="12" customFormat="1" x14ac:dyDescent="0.25">
      <c r="A38" s="247" t="s">
        <v>2097</v>
      </c>
      <c r="B38" s="64">
        <v>23.05</v>
      </c>
      <c r="C38" s="64">
        <v>68.5</v>
      </c>
      <c r="D38" s="64">
        <v>91.55</v>
      </c>
      <c r="E38" s="64">
        <v>6.35</v>
      </c>
      <c r="F38" s="64">
        <v>12.71</v>
      </c>
      <c r="G38" s="64">
        <v>58.45</v>
      </c>
      <c r="H38" s="64">
        <v>21.16</v>
      </c>
      <c r="I38" s="64">
        <v>3.92</v>
      </c>
      <c r="J38" s="64">
        <v>0.83</v>
      </c>
      <c r="K38" s="64">
        <v>299.95999999999998</v>
      </c>
      <c r="L38" s="64">
        <v>24.33</v>
      </c>
      <c r="M38" s="64">
        <v>52.99</v>
      </c>
      <c r="N38" s="64">
        <v>204.4</v>
      </c>
      <c r="O38" s="64">
        <v>0</v>
      </c>
      <c r="P38" s="64">
        <v>1.01</v>
      </c>
      <c r="Q38" s="64">
        <v>9.06</v>
      </c>
      <c r="R38" s="198"/>
      <c r="S38" s="198"/>
      <c r="T38" s="198"/>
      <c r="U38" s="198"/>
    </row>
    <row r="39" spans="1:21" s="12" customFormat="1" x14ac:dyDescent="0.25">
      <c r="A39" s="247" t="s">
        <v>2098</v>
      </c>
      <c r="B39" s="64">
        <v>17.170000000000002</v>
      </c>
      <c r="C39" s="64">
        <v>66.040000000000006</v>
      </c>
      <c r="D39" s="64">
        <v>83.21</v>
      </c>
      <c r="E39" s="64">
        <v>6.78</v>
      </c>
      <c r="F39" s="64">
        <v>11.21</v>
      </c>
      <c r="G39" s="64">
        <v>59.09</v>
      </c>
      <c r="H39" s="64">
        <v>24.1</v>
      </c>
      <c r="I39" s="64">
        <v>3.92</v>
      </c>
      <c r="J39" s="64">
        <v>1.04</v>
      </c>
      <c r="K39" s="64">
        <v>307.52999999999997</v>
      </c>
      <c r="L39" s="64">
        <v>25.72</v>
      </c>
      <c r="M39" s="64">
        <v>47.59</v>
      </c>
      <c r="N39" s="64">
        <v>241.9</v>
      </c>
      <c r="O39" s="64">
        <v>0</v>
      </c>
      <c r="P39" s="64">
        <v>0.89</v>
      </c>
      <c r="Q39" s="64">
        <v>9.1199999999999992</v>
      </c>
      <c r="R39" s="198"/>
      <c r="S39" s="198"/>
      <c r="T39" s="198"/>
      <c r="U39" s="198"/>
    </row>
    <row r="40" spans="1:21" s="12" customFormat="1" x14ac:dyDescent="0.25">
      <c r="A40" s="247" t="s">
        <v>2099</v>
      </c>
      <c r="B40" s="64">
        <v>28.04</v>
      </c>
      <c r="C40" s="64">
        <v>76.36</v>
      </c>
      <c r="D40" s="64">
        <v>104.4</v>
      </c>
      <c r="E40" s="64">
        <v>7.5</v>
      </c>
      <c r="F40" s="64">
        <v>14.73</v>
      </c>
      <c r="G40" s="64">
        <v>59.44</v>
      </c>
      <c r="H40" s="64">
        <v>25.79</v>
      </c>
      <c r="I40" s="64">
        <v>3.93</v>
      </c>
      <c r="J40" s="64">
        <v>0.9</v>
      </c>
      <c r="K40" s="64">
        <v>333.76</v>
      </c>
      <c r="L40" s="64">
        <v>27.14</v>
      </c>
      <c r="M40" s="64">
        <v>43.86</v>
      </c>
      <c r="N40" s="64">
        <v>279.39999999999998</v>
      </c>
      <c r="O40" s="64">
        <v>0</v>
      </c>
      <c r="P40" s="64">
        <v>1.05</v>
      </c>
      <c r="Q40" s="64">
        <v>9.15</v>
      </c>
      <c r="R40" s="198"/>
      <c r="S40" s="198"/>
      <c r="T40" s="198"/>
      <c r="U40" s="198"/>
    </row>
    <row r="41" spans="1:21" s="12" customFormat="1" x14ac:dyDescent="0.25">
      <c r="A41" s="247" t="s">
        <v>2100</v>
      </c>
      <c r="B41" s="64">
        <v>21.83</v>
      </c>
      <c r="C41" s="64">
        <v>74.08</v>
      </c>
      <c r="D41" s="64">
        <v>95.91</v>
      </c>
      <c r="E41" s="64">
        <v>11.49</v>
      </c>
      <c r="F41" s="64">
        <v>16.11</v>
      </c>
      <c r="G41" s="64">
        <v>59.44</v>
      </c>
      <c r="H41" s="64">
        <v>25.79</v>
      </c>
      <c r="I41" s="64">
        <v>3.86</v>
      </c>
      <c r="J41" s="64">
        <v>0.52</v>
      </c>
      <c r="K41" s="64">
        <v>322.11</v>
      </c>
      <c r="L41" s="64">
        <v>27.44</v>
      </c>
      <c r="M41" s="64">
        <v>42.55</v>
      </c>
      <c r="N41" s="64">
        <v>312.8</v>
      </c>
      <c r="O41" s="64">
        <v>0</v>
      </c>
      <c r="P41" s="64">
        <v>1.04</v>
      </c>
      <c r="Q41" s="64">
        <v>9.18</v>
      </c>
      <c r="R41" s="198"/>
      <c r="S41" s="198"/>
      <c r="T41" s="198"/>
      <c r="U41" s="198"/>
    </row>
    <row r="42" spans="1:21" s="12" customFormat="1" x14ac:dyDescent="0.25">
      <c r="A42" s="247" t="s">
        <v>2101</v>
      </c>
      <c r="B42" s="64">
        <v>15.81</v>
      </c>
      <c r="C42" s="64">
        <v>70.099999999999994</v>
      </c>
      <c r="D42" s="64">
        <v>85.92</v>
      </c>
      <c r="E42" s="64">
        <v>5.48</v>
      </c>
      <c r="F42" s="64">
        <v>8.1300000000000008</v>
      </c>
      <c r="G42" s="64">
        <v>59.44</v>
      </c>
      <c r="H42" s="64">
        <v>25.79</v>
      </c>
      <c r="I42" s="64">
        <v>4.09</v>
      </c>
      <c r="J42" s="64">
        <v>0.88</v>
      </c>
      <c r="K42" s="64">
        <v>297.02</v>
      </c>
      <c r="L42" s="64">
        <v>28.43</v>
      </c>
      <c r="M42" s="64">
        <v>41</v>
      </c>
      <c r="N42" s="64">
        <v>356.4</v>
      </c>
      <c r="O42" s="64">
        <v>0</v>
      </c>
      <c r="P42" s="64">
        <v>0.92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47" t="s">
        <v>2102</v>
      </c>
      <c r="B43" s="64">
        <v>15.83</v>
      </c>
      <c r="C43" s="64">
        <v>73.13</v>
      </c>
      <c r="D43" s="64">
        <v>88.95</v>
      </c>
      <c r="E43" s="64">
        <v>5.27</v>
      </c>
      <c r="F43" s="64">
        <v>9.07</v>
      </c>
      <c r="G43" s="64">
        <v>64.7</v>
      </c>
      <c r="H43" s="64">
        <v>27.75</v>
      </c>
      <c r="I43" s="64">
        <v>3.93</v>
      </c>
      <c r="J43" s="64">
        <v>0.8</v>
      </c>
      <c r="K43" s="64">
        <v>286.45999999999998</v>
      </c>
      <c r="L43" s="64">
        <v>28.98</v>
      </c>
      <c r="M43" s="64">
        <v>40.08</v>
      </c>
      <c r="N43" s="64">
        <v>394.5</v>
      </c>
      <c r="O43" s="64">
        <v>0</v>
      </c>
      <c r="P43" s="64">
        <v>0.95</v>
      </c>
      <c r="Q43" s="64">
        <v>9.18</v>
      </c>
      <c r="R43" s="198"/>
      <c r="S43" s="198"/>
      <c r="T43" s="198"/>
      <c r="U43" s="198"/>
    </row>
    <row r="44" spans="1:21" s="12" customFormat="1" x14ac:dyDescent="0.25">
      <c r="A44" s="247" t="s">
        <v>2103</v>
      </c>
      <c r="B44" s="64">
        <v>14.62</v>
      </c>
      <c r="C44" s="64">
        <v>73.95</v>
      </c>
      <c r="D44" s="64">
        <v>88.57</v>
      </c>
      <c r="E44" s="64">
        <v>5.64</v>
      </c>
      <c r="F44" s="64">
        <v>9.89</v>
      </c>
      <c r="G44" s="64">
        <v>67.61</v>
      </c>
      <c r="H44" s="64">
        <v>28.88</v>
      </c>
      <c r="I44" s="64">
        <v>4.03</v>
      </c>
      <c r="J44" s="64">
        <v>0.68</v>
      </c>
      <c r="K44" s="64">
        <v>278.27999999999997</v>
      </c>
      <c r="L44" s="64">
        <v>28.95</v>
      </c>
      <c r="M44" s="64">
        <v>41.49</v>
      </c>
      <c r="N44" s="64">
        <v>453.2</v>
      </c>
      <c r="O44" s="64">
        <v>0</v>
      </c>
      <c r="P44" s="64">
        <v>0.99</v>
      </c>
      <c r="Q44" s="64">
        <v>9.15</v>
      </c>
      <c r="R44" s="198"/>
      <c r="S44" s="198"/>
      <c r="T44" s="198"/>
      <c r="U44" s="198"/>
    </row>
    <row r="45" spans="1:21" s="12" customFormat="1" x14ac:dyDescent="0.25">
      <c r="A45" s="247" t="s">
        <v>2104</v>
      </c>
      <c r="B45" s="64">
        <v>12</v>
      </c>
      <c r="C45" s="64">
        <v>71.23</v>
      </c>
      <c r="D45" s="64">
        <v>83.22</v>
      </c>
      <c r="E45" s="64">
        <v>4.25</v>
      </c>
      <c r="F45" s="64">
        <v>9.34</v>
      </c>
      <c r="G45" s="64">
        <v>67.61</v>
      </c>
      <c r="H45" s="64">
        <v>28.88</v>
      </c>
      <c r="I45" s="64">
        <v>4.03</v>
      </c>
      <c r="J45" s="64">
        <v>0.78</v>
      </c>
      <c r="K45" s="64">
        <v>237.77</v>
      </c>
      <c r="L45" s="64">
        <v>27.82</v>
      </c>
      <c r="M45" s="64">
        <v>45.11</v>
      </c>
      <c r="N45" s="64">
        <v>492.2</v>
      </c>
      <c r="O45" s="64">
        <v>0</v>
      </c>
      <c r="P45" s="64">
        <v>0.96</v>
      </c>
      <c r="Q45" s="64">
        <v>9.11</v>
      </c>
      <c r="R45" s="198"/>
      <c r="S45" s="198"/>
      <c r="T45" s="198"/>
      <c r="U45" s="198"/>
    </row>
    <row r="46" spans="1:21" s="12" customFormat="1" x14ac:dyDescent="0.25">
      <c r="A46" s="247" t="s">
        <v>2105</v>
      </c>
      <c r="B46" s="64">
        <v>10.61</v>
      </c>
      <c r="C46" s="64">
        <v>71.150000000000006</v>
      </c>
      <c r="D46" s="64">
        <v>81.760000000000005</v>
      </c>
      <c r="E46" s="64">
        <v>4.07</v>
      </c>
      <c r="F46" s="64">
        <v>7.85</v>
      </c>
      <c r="G46" s="64">
        <v>67.61</v>
      </c>
      <c r="H46" s="64">
        <v>28.88</v>
      </c>
      <c r="I46" s="64">
        <v>3.97</v>
      </c>
      <c r="J46" s="64">
        <v>1</v>
      </c>
      <c r="K46" s="64">
        <v>293.29000000000002</v>
      </c>
      <c r="L46" s="64">
        <v>29.75</v>
      </c>
      <c r="M46" s="64">
        <v>41.9</v>
      </c>
      <c r="N46" s="64">
        <v>518.20000000000005</v>
      </c>
      <c r="O46" s="64">
        <v>0</v>
      </c>
      <c r="P46" s="64">
        <v>0.96</v>
      </c>
      <c r="Q46" s="64">
        <v>9.06</v>
      </c>
      <c r="R46" s="198"/>
      <c r="S46" s="198"/>
      <c r="T46" s="198"/>
      <c r="U46" s="198"/>
    </row>
    <row r="47" spans="1:21" s="12" customFormat="1" x14ac:dyDescent="0.25">
      <c r="A47" s="247" t="s">
        <v>2106</v>
      </c>
      <c r="B47" s="64">
        <v>9.14</v>
      </c>
      <c r="C47" s="64">
        <v>72.08</v>
      </c>
      <c r="D47" s="64">
        <v>81.22</v>
      </c>
      <c r="E47" s="64">
        <v>3.8</v>
      </c>
      <c r="F47" s="64">
        <v>8.7899999999999991</v>
      </c>
      <c r="G47" s="64">
        <v>72.2</v>
      </c>
      <c r="H47" s="64">
        <v>28.94</v>
      </c>
      <c r="I47" s="64">
        <v>3.95</v>
      </c>
      <c r="J47" s="64">
        <v>1.22</v>
      </c>
      <c r="K47" s="64">
        <v>293.98</v>
      </c>
      <c r="L47" s="64">
        <v>31.04</v>
      </c>
      <c r="M47" s="64">
        <v>39.72</v>
      </c>
      <c r="N47" s="64">
        <v>546.9</v>
      </c>
      <c r="O47" s="64">
        <v>0</v>
      </c>
      <c r="P47" s="64">
        <v>0.96</v>
      </c>
      <c r="Q47" s="64">
        <v>9.0299999999999994</v>
      </c>
      <c r="R47" s="198"/>
      <c r="S47" s="198"/>
      <c r="T47" s="198"/>
      <c r="U47" s="198"/>
    </row>
    <row r="48" spans="1:21" s="12" customFormat="1" x14ac:dyDescent="0.25">
      <c r="A48" s="247" t="s">
        <v>2107</v>
      </c>
      <c r="B48" s="64">
        <v>7.73</v>
      </c>
      <c r="C48" s="64">
        <v>72.540000000000006</v>
      </c>
      <c r="D48" s="64">
        <v>80.28</v>
      </c>
      <c r="E48" s="64">
        <v>3.13</v>
      </c>
      <c r="F48" s="64">
        <v>10.16</v>
      </c>
      <c r="G48" s="64">
        <v>74.73</v>
      </c>
      <c r="H48" s="64">
        <v>28.98</v>
      </c>
      <c r="I48" s="64">
        <v>3.71</v>
      </c>
      <c r="J48" s="64">
        <v>1.55</v>
      </c>
      <c r="K48" s="64">
        <v>305.77</v>
      </c>
      <c r="L48" s="64">
        <v>32.07</v>
      </c>
      <c r="M48" s="64">
        <v>35.76</v>
      </c>
      <c r="N48" s="64">
        <v>585.9</v>
      </c>
      <c r="O48" s="64">
        <v>0</v>
      </c>
      <c r="P48" s="64">
        <v>0.95</v>
      </c>
      <c r="Q48" s="64">
        <v>9</v>
      </c>
      <c r="R48" s="198"/>
      <c r="S48" s="198"/>
      <c r="T48" s="198"/>
      <c r="U48" s="198"/>
    </row>
    <row r="49" spans="1:21" s="12" customFormat="1" x14ac:dyDescent="0.25">
      <c r="A49" s="247" t="s">
        <v>2108</v>
      </c>
      <c r="B49" s="64">
        <v>7.36</v>
      </c>
      <c r="C49" s="64">
        <v>73.260000000000005</v>
      </c>
      <c r="D49" s="64">
        <v>80.62</v>
      </c>
      <c r="E49" s="64">
        <v>3.96</v>
      </c>
      <c r="F49" s="64">
        <v>9.58</v>
      </c>
      <c r="G49" s="64">
        <v>74.73</v>
      </c>
      <c r="H49" s="64">
        <v>28.98</v>
      </c>
      <c r="I49" s="64">
        <v>3.94</v>
      </c>
      <c r="J49" s="64">
        <v>1.38</v>
      </c>
      <c r="K49" s="64">
        <v>305.81</v>
      </c>
      <c r="L49" s="64">
        <v>32.76</v>
      </c>
      <c r="M49" s="64">
        <v>33.83</v>
      </c>
      <c r="N49" s="64">
        <v>612.20000000000005</v>
      </c>
      <c r="O49" s="64">
        <v>0</v>
      </c>
      <c r="P49" s="64">
        <v>0.92</v>
      </c>
      <c r="Q49" s="64">
        <v>8.9700000000000006</v>
      </c>
      <c r="R49" s="198"/>
      <c r="S49" s="198"/>
      <c r="T49" s="198"/>
      <c r="U49" s="198"/>
    </row>
    <row r="50" spans="1:21" s="12" customFormat="1" x14ac:dyDescent="0.25">
      <c r="A50" s="247" t="s">
        <v>2109</v>
      </c>
      <c r="B50" s="64">
        <v>8.3699999999999992</v>
      </c>
      <c r="C50" s="64">
        <v>72.489999999999995</v>
      </c>
      <c r="D50" s="64">
        <v>80.86</v>
      </c>
      <c r="E50" s="64">
        <v>2.89</v>
      </c>
      <c r="F50" s="64">
        <v>9.5500000000000007</v>
      </c>
      <c r="G50" s="64">
        <v>74.73</v>
      </c>
      <c r="H50" s="64">
        <v>28.98</v>
      </c>
      <c r="I50" s="64">
        <v>3.82</v>
      </c>
      <c r="J50" s="64">
        <v>1.29</v>
      </c>
      <c r="K50" s="64">
        <v>300.97000000000003</v>
      </c>
      <c r="L50" s="64">
        <v>32.58</v>
      </c>
      <c r="M50" s="64">
        <v>33.93</v>
      </c>
      <c r="N50" s="64">
        <v>632.4</v>
      </c>
      <c r="O50" s="64">
        <v>0</v>
      </c>
      <c r="P50" s="64">
        <v>0.92</v>
      </c>
      <c r="Q50" s="64">
        <v>8.98</v>
      </c>
      <c r="R50" s="198"/>
      <c r="S50" s="198"/>
      <c r="T50" s="198"/>
      <c r="U50" s="198"/>
    </row>
    <row r="51" spans="1:21" s="12" customFormat="1" x14ac:dyDescent="0.25">
      <c r="A51" s="247" t="s">
        <v>2110</v>
      </c>
      <c r="B51" s="64">
        <v>7.78</v>
      </c>
      <c r="C51" s="64">
        <v>73.87</v>
      </c>
      <c r="D51" s="64">
        <v>81.650000000000006</v>
      </c>
      <c r="E51" s="64">
        <v>4.0999999999999996</v>
      </c>
      <c r="F51" s="64">
        <v>12.13</v>
      </c>
      <c r="G51" s="64">
        <v>71.88</v>
      </c>
      <c r="H51" s="64">
        <v>28</v>
      </c>
      <c r="I51" s="64">
        <v>3.95</v>
      </c>
      <c r="J51" s="64">
        <v>1.04</v>
      </c>
      <c r="K51" s="64">
        <v>287.14999999999998</v>
      </c>
      <c r="L51" s="64">
        <v>33.17</v>
      </c>
      <c r="M51" s="64">
        <v>32.31</v>
      </c>
      <c r="N51" s="64">
        <v>633.4</v>
      </c>
      <c r="O51" s="64">
        <v>0</v>
      </c>
      <c r="P51" s="64">
        <v>0.92</v>
      </c>
      <c r="Q51" s="64">
        <v>8.9499999999999993</v>
      </c>
      <c r="R51" s="198"/>
      <c r="S51" s="198"/>
      <c r="T51" s="198"/>
      <c r="U51" s="198"/>
    </row>
    <row r="52" spans="1:21" s="12" customFormat="1" x14ac:dyDescent="0.25">
      <c r="A52" s="247" t="s">
        <v>2111</v>
      </c>
      <c r="B52" s="64">
        <v>5.5</v>
      </c>
      <c r="C52" s="64">
        <v>71.22</v>
      </c>
      <c r="D52" s="64">
        <v>76.72</v>
      </c>
      <c r="E52" s="64">
        <v>4.9000000000000004</v>
      </c>
      <c r="F52" s="64">
        <v>11.18</v>
      </c>
      <c r="G52" s="64">
        <v>70.31</v>
      </c>
      <c r="H52" s="64">
        <v>27.43</v>
      </c>
      <c r="I52" s="64">
        <v>3.99</v>
      </c>
      <c r="J52" s="64">
        <v>0.97</v>
      </c>
      <c r="K52" s="64">
        <v>277.02999999999997</v>
      </c>
      <c r="L52" s="64">
        <v>32.67</v>
      </c>
      <c r="M52" s="64">
        <v>31.08</v>
      </c>
      <c r="N52" s="64">
        <v>649</v>
      </c>
      <c r="O52" s="64">
        <v>0</v>
      </c>
      <c r="P52" s="64">
        <v>0.95</v>
      </c>
      <c r="Q52" s="64">
        <v>8.9499999999999993</v>
      </c>
      <c r="R52" s="198"/>
      <c r="S52" s="198"/>
      <c r="T52" s="198"/>
      <c r="U52" s="198"/>
    </row>
    <row r="53" spans="1:21" s="12" customFormat="1" x14ac:dyDescent="0.25">
      <c r="A53" s="247" t="s">
        <v>2112</v>
      </c>
      <c r="B53" s="64">
        <v>4.37</v>
      </c>
      <c r="C53" s="64">
        <v>69.599999999999994</v>
      </c>
      <c r="D53" s="64">
        <v>73.97</v>
      </c>
      <c r="E53" s="64">
        <v>3.37</v>
      </c>
      <c r="F53" s="64">
        <v>10.78</v>
      </c>
      <c r="G53" s="64">
        <v>70.31</v>
      </c>
      <c r="H53" s="64">
        <v>27.43</v>
      </c>
      <c r="I53" s="64">
        <v>4.13</v>
      </c>
      <c r="J53" s="64">
        <v>0.8</v>
      </c>
      <c r="K53" s="64">
        <v>252.75</v>
      </c>
      <c r="L53" s="64">
        <v>30.97</v>
      </c>
      <c r="M53" s="64">
        <v>32.369999999999997</v>
      </c>
      <c r="N53" s="64">
        <v>674.1</v>
      </c>
      <c r="O53" s="64">
        <v>0</v>
      </c>
      <c r="P53" s="64">
        <v>0.91</v>
      </c>
      <c r="Q53" s="64">
        <v>8.93</v>
      </c>
      <c r="R53" s="198"/>
      <c r="S53" s="198"/>
      <c r="T53" s="198"/>
      <c r="U53" s="198"/>
    </row>
    <row r="54" spans="1:21" s="12" customFormat="1" x14ac:dyDescent="0.25">
      <c r="A54" s="247" t="s">
        <v>2113</v>
      </c>
      <c r="B54" s="64">
        <v>4.0199999999999996</v>
      </c>
      <c r="C54" s="64">
        <v>66.489999999999995</v>
      </c>
      <c r="D54" s="64">
        <v>70.510000000000005</v>
      </c>
      <c r="E54" s="64">
        <v>2.74</v>
      </c>
      <c r="F54" s="64">
        <v>10.26</v>
      </c>
      <c r="G54" s="64">
        <v>70.31</v>
      </c>
      <c r="H54" s="64">
        <v>27.43</v>
      </c>
      <c r="I54" s="64">
        <v>4.12</v>
      </c>
      <c r="J54" s="64">
        <v>0.96</v>
      </c>
      <c r="K54" s="64">
        <v>242.54</v>
      </c>
      <c r="L54" s="64">
        <v>30.61</v>
      </c>
      <c r="M54" s="64">
        <v>31.47</v>
      </c>
      <c r="N54" s="64">
        <v>685.6</v>
      </c>
      <c r="O54" s="64">
        <v>0</v>
      </c>
      <c r="P54" s="64">
        <v>0.85</v>
      </c>
      <c r="Q54" s="64">
        <v>8.91</v>
      </c>
      <c r="R54" s="198"/>
      <c r="S54" s="198"/>
      <c r="T54" s="198"/>
      <c r="U54" s="198"/>
    </row>
    <row r="55" spans="1:21" s="12" customFormat="1" x14ac:dyDescent="0.25">
      <c r="A55" s="247" t="s">
        <v>2114</v>
      </c>
      <c r="B55" s="64">
        <v>5.89</v>
      </c>
      <c r="C55" s="64">
        <v>64.06</v>
      </c>
      <c r="D55" s="64">
        <v>69.95</v>
      </c>
      <c r="E55" s="64">
        <v>2.95</v>
      </c>
      <c r="F55" s="64">
        <v>11.53</v>
      </c>
      <c r="G55" s="64">
        <v>62.93</v>
      </c>
      <c r="H55" s="64">
        <v>25.18</v>
      </c>
      <c r="I55" s="64">
        <v>3.89</v>
      </c>
      <c r="J55" s="64">
        <v>0.94</v>
      </c>
      <c r="K55" s="64">
        <v>283.16000000000003</v>
      </c>
      <c r="L55" s="64">
        <v>32.049999999999997</v>
      </c>
      <c r="M55" s="64">
        <v>30.13</v>
      </c>
      <c r="N55" s="64">
        <v>672.8</v>
      </c>
      <c r="O55" s="64">
        <v>0</v>
      </c>
      <c r="P55" s="64">
        <v>0.78</v>
      </c>
      <c r="Q55" s="64">
        <v>8.89</v>
      </c>
      <c r="R55" s="198"/>
      <c r="S55" s="198"/>
      <c r="T55" s="198"/>
      <c r="U55" s="198"/>
    </row>
    <row r="56" spans="1:21" s="12" customFormat="1" x14ac:dyDescent="0.25">
      <c r="A56" s="247" t="s">
        <v>2115</v>
      </c>
      <c r="B56" s="64">
        <v>4.58</v>
      </c>
      <c r="C56" s="64">
        <v>60.3</v>
      </c>
      <c r="D56" s="64">
        <v>64.87</v>
      </c>
      <c r="E56" s="64">
        <v>3.48</v>
      </c>
      <c r="F56" s="64">
        <v>13.41</v>
      </c>
      <c r="G56" s="64">
        <v>58.86</v>
      </c>
      <c r="H56" s="64">
        <v>23.89</v>
      </c>
      <c r="I56" s="64">
        <v>4.0999999999999996</v>
      </c>
      <c r="J56" s="64">
        <v>0.69</v>
      </c>
      <c r="K56" s="64">
        <v>231.58</v>
      </c>
      <c r="L56" s="64">
        <v>32.07</v>
      </c>
      <c r="M56" s="64">
        <v>28.24</v>
      </c>
      <c r="N56" s="64">
        <v>684.8</v>
      </c>
      <c r="O56" s="64">
        <v>0</v>
      </c>
      <c r="P56" s="64">
        <v>0.75</v>
      </c>
      <c r="Q56" s="64">
        <v>8.8800000000000008</v>
      </c>
      <c r="R56" s="198"/>
      <c r="S56" s="198"/>
      <c r="T56" s="198"/>
      <c r="U56" s="198"/>
    </row>
    <row r="57" spans="1:21" s="12" customFormat="1" x14ac:dyDescent="0.25">
      <c r="A57" s="247" t="s">
        <v>2116</v>
      </c>
      <c r="B57" s="64">
        <v>5.01</v>
      </c>
      <c r="C57" s="64">
        <v>59.08</v>
      </c>
      <c r="D57" s="64">
        <v>64.099999999999994</v>
      </c>
      <c r="E57" s="64">
        <v>3.08</v>
      </c>
      <c r="F57" s="64">
        <v>13.15</v>
      </c>
      <c r="G57" s="64">
        <v>58.86</v>
      </c>
      <c r="H57" s="64">
        <v>23.89</v>
      </c>
      <c r="I57" s="64">
        <v>3.79</v>
      </c>
      <c r="J57" s="64">
        <v>0.81</v>
      </c>
      <c r="K57" s="64">
        <v>225.72</v>
      </c>
      <c r="L57" s="64">
        <v>32.07</v>
      </c>
      <c r="M57" s="64">
        <v>27.3</v>
      </c>
      <c r="N57" s="64">
        <v>698</v>
      </c>
      <c r="O57" s="64">
        <v>0</v>
      </c>
      <c r="P57" s="64">
        <v>0.68</v>
      </c>
      <c r="Q57" s="64">
        <v>8.86</v>
      </c>
      <c r="R57" s="198"/>
      <c r="S57" s="198"/>
      <c r="T57" s="198"/>
      <c r="U57" s="198"/>
    </row>
    <row r="58" spans="1:21" s="12" customFormat="1" x14ac:dyDescent="0.25">
      <c r="A58" s="247" t="s">
        <v>2117</v>
      </c>
      <c r="B58" s="64">
        <v>5.0599999999999996</v>
      </c>
      <c r="C58" s="64">
        <v>57.34</v>
      </c>
      <c r="D58" s="64">
        <v>62.4</v>
      </c>
      <c r="E58" s="64">
        <v>3.09</v>
      </c>
      <c r="F58" s="64">
        <v>11.63</v>
      </c>
      <c r="G58" s="64">
        <v>58.86</v>
      </c>
      <c r="H58" s="64">
        <v>23.89</v>
      </c>
      <c r="I58" s="64">
        <v>3.95</v>
      </c>
      <c r="J58" s="64">
        <v>0.81</v>
      </c>
      <c r="K58" s="64">
        <v>236.15</v>
      </c>
      <c r="L58" s="64">
        <v>32.86</v>
      </c>
      <c r="M58" s="64">
        <v>24.7</v>
      </c>
      <c r="N58" s="64">
        <v>702.1</v>
      </c>
      <c r="O58" s="64">
        <v>0</v>
      </c>
      <c r="P58" s="64">
        <v>0.66</v>
      </c>
      <c r="Q58" s="64">
        <v>8.85</v>
      </c>
      <c r="R58" s="198"/>
      <c r="S58" s="198"/>
      <c r="T58" s="198"/>
      <c r="U58" s="198"/>
    </row>
    <row r="59" spans="1:21" s="12" customFormat="1" x14ac:dyDescent="0.25">
      <c r="A59" s="247" t="s">
        <v>2118</v>
      </c>
      <c r="B59" s="64">
        <v>4.05</v>
      </c>
      <c r="C59" s="64">
        <v>60.06</v>
      </c>
      <c r="D59" s="64">
        <v>64.12</v>
      </c>
      <c r="E59" s="64">
        <v>2.84</v>
      </c>
      <c r="F59" s="64">
        <v>11.33</v>
      </c>
      <c r="G59" s="64">
        <v>50.13</v>
      </c>
      <c r="H59" s="64">
        <v>24.14</v>
      </c>
      <c r="I59" s="64">
        <v>4.1500000000000004</v>
      </c>
      <c r="J59" s="64">
        <v>1.1299999999999999</v>
      </c>
      <c r="K59" s="64">
        <v>191.83</v>
      </c>
      <c r="L59" s="64">
        <v>31.18</v>
      </c>
      <c r="M59" s="64">
        <v>25.35</v>
      </c>
      <c r="N59" s="64">
        <v>715</v>
      </c>
      <c r="O59" s="64">
        <v>0</v>
      </c>
      <c r="P59" s="64">
        <v>0.63</v>
      </c>
      <c r="Q59" s="64">
        <v>8.84</v>
      </c>
      <c r="R59" s="198"/>
      <c r="S59" s="198"/>
      <c r="T59" s="198"/>
      <c r="U59" s="198"/>
    </row>
    <row r="60" spans="1:21" s="12" customFormat="1" x14ac:dyDescent="0.25">
      <c r="A60" s="247" t="s">
        <v>2119</v>
      </c>
      <c r="B60" s="64">
        <v>3.63</v>
      </c>
      <c r="C60" s="64">
        <v>58.94</v>
      </c>
      <c r="D60" s="64">
        <v>62.57</v>
      </c>
      <c r="E60" s="64">
        <v>2.69</v>
      </c>
      <c r="F60" s="64">
        <v>10.02</v>
      </c>
      <c r="G60" s="64">
        <v>45.32</v>
      </c>
      <c r="H60" s="64">
        <v>24.28</v>
      </c>
      <c r="I60" s="64">
        <v>4.1500000000000004</v>
      </c>
      <c r="J60" s="64">
        <v>1.06</v>
      </c>
      <c r="K60" s="64">
        <v>266.29000000000002</v>
      </c>
      <c r="L60" s="64">
        <v>32.119999999999997</v>
      </c>
      <c r="M60" s="64">
        <v>22.64</v>
      </c>
      <c r="N60" s="64">
        <v>717</v>
      </c>
      <c r="O60" s="64">
        <v>0</v>
      </c>
      <c r="P60" s="64">
        <v>0.61</v>
      </c>
      <c r="Q60" s="64">
        <v>8.81</v>
      </c>
      <c r="R60" s="198"/>
      <c r="S60" s="198"/>
      <c r="T60" s="198"/>
      <c r="U60" s="198"/>
    </row>
    <row r="61" spans="1:21" s="12" customFormat="1" x14ac:dyDescent="0.25">
      <c r="A61" s="247" t="s">
        <v>2120</v>
      </c>
      <c r="B61" s="64">
        <v>4.53</v>
      </c>
      <c r="C61" s="64">
        <v>60.07</v>
      </c>
      <c r="D61" s="64">
        <v>64.599999999999994</v>
      </c>
      <c r="E61" s="64">
        <v>2.92</v>
      </c>
      <c r="F61" s="64">
        <v>11.31</v>
      </c>
      <c r="G61" s="64">
        <v>45.32</v>
      </c>
      <c r="H61" s="64">
        <v>24.28</v>
      </c>
      <c r="I61" s="64">
        <v>3.79</v>
      </c>
      <c r="J61" s="64">
        <v>0.88</v>
      </c>
      <c r="K61" s="64">
        <v>214.34</v>
      </c>
      <c r="L61" s="64">
        <v>32.799999999999997</v>
      </c>
      <c r="M61" s="64">
        <v>20.72</v>
      </c>
      <c r="N61" s="64">
        <v>716.6</v>
      </c>
      <c r="O61" s="64">
        <v>0</v>
      </c>
      <c r="P61" s="64">
        <v>0.54</v>
      </c>
      <c r="Q61" s="64">
        <v>8.7799999999999994</v>
      </c>
      <c r="R61" s="198"/>
      <c r="S61" s="198"/>
      <c r="T61" s="198"/>
      <c r="U61" s="198"/>
    </row>
    <row r="62" spans="1:21" s="12" customFormat="1" x14ac:dyDescent="0.25">
      <c r="A62" s="247" t="s">
        <v>2121</v>
      </c>
      <c r="B62" s="64">
        <v>5.52</v>
      </c>
      <c r="C62" s="64">
        <v>59.22</v>
      </c>
      <c r="D62" s="64">
        <v>64.739999999999995</v>
      </c>
      <c r="E62" s="64">
        <v>2.73</v>
      </c>
      <c r="F62" s="64">
        <v>14.34</v>
      </c>
      <c r="G62" s="64">
        <v>45.32</v>
      </c>
      <c r="H62" s="64">
        <v>24.28</v>
      </c>
      <c r="I62" s="64">
        <v>4.05</v>
      </c>
      <c r="J62" s="64">
        <v>0.9</v>
      </c>
      <c r="K62" s="64">
        <v>216.93</v>
      </c>
      <c r="L62" s="64">
        <v>31.82</v>
      </c>
      <c r="M62" s="64">
        <v>22.47</v>
      </c>
      <c r="N62" s="64">
        <v>701.5</v>
      </c>
      <c r="O62" s="64">
        <v>0</v>
      </c>
      <c r="P62" s="64">
        <v>0.52</v>
      </c>
      <c r="Q62" s="64">
        <v>8.77</v>
      </c>
      <c r="R62" s="198"/>
      <c r="S62" s="198"/>
      <c r="T62" s="198"/>
      <c r="U62" s="198"/>
    </row>
    <row r="63" spans="1:21" s="12" customFormat="1" x14ac:dyDescent="0.25">
      <c r="A63" s="247" t="s">
        <v>2122</v>
      </c>
      <c r="B63" s="64">
        <v>6.11</v>
      </c>
      <c r="C63" s="64">
        <v>57.83</v>
      </c>
      <c r="D63" s="64">
        <v>63.95</v>
      </c>
      <c r="E63" s="64">
        <v>2.52</v>
      </c>
      <c r="F63" s="64">
        <v>12.53</v>
      </c>
      <c r="G63" s="64">
        <v>43.02</v>
      </c>
      <c r="H63" s="64">
        <v>19.39</v>
      </c>
      <c r="I63" s="64">
        <v>4.01</v>
      </c>
      <c r="J63" s="64">
        <v>0.76</v>
      </c>
      <c r="K63" s="64">
        <v>249.95</v>
      </c>
      <c r="L63" s="64">
        <v>32.97</v>
      </c>
      <c r="M63" s="64">
        <v>20.91</v>
      </c>
      <c r="N63" s="64">
        <v>668.3</v>
      </c>
      <c r="O63" s="64">
        <v>0</v>
      </c>
      <c r="P63" s="64">
        <v>0.51</v>
      </c>
      <c r="Q63" s="64">
        <v>8.76</v>
      </c>
      <c r="R63" s="198"/>
      <c r="S63" s="198"/>
      <c r="T63" s="198"/>
      <c r="U63" s="198"/>
    </row>
    <row r="64" spans="1:21" s="12" customFormat="1" x14ac:dyDescent="0.25">
      <c r="A64" s="247" t="s">
        <v>2123</v>
      </c>
      <c r="B64" s="64">
        <v>3.97</v>
      </c>
      <c r="C64" s="64">
        <v>56.52</v>
      </c>
      <c r="D64" s="64">
        <v>60.5</v>
      </c>
      <c r="E64" s="64">
        <v>2.09</v>
      </c>
      <c r="F64" s="64">
        <v>11.36</v>
      </c>
      <c r="G64" s="64">
        <v>41.76</v>
      </c>
      <c r="H64" s="64">
        <v>16.559999999999999</v>
      </c>
      <c r="I64" s="64">
        <v>3.95</v>
      </c>
      <c r="J64" s="64">
        <v>0.73</v>
      </c>
      <c r="K64" s="64">
        <v>256.04000000000002</v>
      </c>
      <c r="L64" s="64">
        <v>32.659999999999997</v>
      </c>
      <c r="M64" s="64">
        <v>22.57</v>
      </c>
      <c r="N64" s="64">
        <v>615.1</v>
      </c>
      <c r="O64" s="64">
        <v>0</v>
      </c>
      <c r="P64" s="64">
        <v>0.48</v>
      </c>
      <c r="Q64" s="64">
        <v>8.7200000000000006</v>
      </c>
      <c r="R64" s="198"/>
      <c r="S64" s="198"/>
      <c r="T64" s="198"/>
      <c r="U64" s="198"/>
    </row>
    <row r="65" spans="1:21" s="12" customFormat="1" x14ac:dyDescent="0.25">
      <c r="A65" s="247" t="s">
        <v>2124</v>
      </c>
      <c r="B65" s="64">
        <v>4.04</v>
      </c>
      <c r="C65" s="64">
        <v>54.2</v>
      </c>
      <c r="D65" s="64">
        <v>58.23</v>
      </c>
      <c r="E65" s="64">
        <v>2.48</v>
      </c>
      <c r="F65" s="64">
        <v>12.64</v>
      </c>
      <c r="G65" s="64">
        <v>41.76</v>
      </c>
      <c r="H65" s="64">
        <v>16.559999999999999</v>
      </c>
      <c r="I65" s="64">
        <v>3.94</v>
      </c>
      <c r="J65" s="64">
        <v>0.85</v>
      </c>
      <c r="K65" s="64">
        <v>289.73</v>
      </c>
      <c r="L65" s="64">
        <v>33.81</v>
      </c>
      <c r="M65" s="64">
        <v>21.16</v>
      </c>
      <c r="N65" s="64">
        <v>540.20000000000005</v>
      </c>
      <c r="O65" s="64">
        <v>0</v>
      </c>
      <c r="P65" s="64">
        <v>0.47</v>
      </c>
      <c r="Q65" s="64">
        <v>8.7100000000000009</v>
      </c>
      <c r="R65" s="198"/>
      <c r="S65" s="198"/>
      <c r="T65" s="198"/>
      <c r="U65" s="198"/>
    </row>
    <row r="66" spans="1:21" s="12" customFormat="1" x14ac:dyDescent="0.25">
      <c r="A66" s="247" t="s">
        <v>2125</v>
      </c>
      <c r="B66" s="64">
        <v>4.28</v>
      </c>
      <c r="C66" s="64">
        <v>47.52</v>
      </c>
      <c r="D66" s="64">
        <v>51.8</v>
      </c>
      <c r="E66" s="64">
        <v>3.05</v>
      </c>
      <c r="F66" s="64">
        <v>20.13</v>
      </c>
      <c r="G66" s="64">
        <v>41.76</v>
      </c>
      <c r="H66" s="64">
        <v>16.559999999999999</v>
      </c>
      <c r="I66" s="64">
        <v>3.96</v>
      </c>
      <c r="J66" s="64">
        <v>0.71</v>
      </c>
      <c r="K66" s="64">
        <v>251.56</v>
      </c>
      <c r="L66" s="64">
        <v>32.46</v>
      </c>
      <c r="M66" s="64">
        <v>22.13</v>
      </c>
      <c r="N66" s="64">
        <v>539.9</v>
      </c>
      <c r="O66" s="64">
        <v>0</v>
      </c>
      <c r="P66" s="64">
        <v>0.43</v>
      </c>
      <c r="Q66" s="64">
        <v>8.69</v>
      </c>
      <c r="R66" s="198"/>
      <c r="S66" s="198"/>
      <c r="T66" s="198"/>
      <c r="U66" s="198"/>
    </row>
    <row r="67" spans="1:21" s="12" customFormat="1" x14ac:dyDescent="0.25">
      <c r="A67" s="247" t="s">
        <v>2126</v>
      </c>
      <c r="B67" s="64">
        <v>3.36</v>
      </c>
      <c r="C67" s="64">
        <v>42.85</v>
      </c>
      <c r="D67" s="64">
        <v>46.21</v>
      </c>
      <c r="E67" s="64">
        <v>2.79</v>
      </c>
      <c r="F67" s="64">
        <v>19.64</v>
      </c>
      <c r="G67" s="64">
        <v>39.869999999999997</v>
      </c>
      <c r="H67" s="64">
        <v>14.51</v>
      </c>
      <c r="I67" s="64">
        <v>3.9</v>
      </c>
      <c r="J67" s="64">
        <v>0.74</v>
      </c>
      <c r="K67" s="64">
        <v>198.91</v>
      </c>
      <c r="L67" s="64">
        <v>32.15</v>
      </c>
      <c r="M67" s="64">
        <v>21.83</v>
      </c>
      <c r="N67" s="64">
        <v>430.6</v>
      </c>
      <c r="O67" s="64">
        <v>0</v>
      </c>
      <c r="P67" s="64">
        <v>0.37</v>
      </c>
      <c r="Q67" s="64">
        <v>8.67</v>
      </c>
      <c r="R67" s="198"/>
      <c r="S67" s="198"/>
      <c r="T67" s="198"/>
      <c r="U67" s="198"/>
    </row>
    <row r="68" spans="1:21" s="12" customFormat="1" x14ac:dyDescent="0.25">
      <c r="A68" s="247" t="s">
        <v>2127</v>
      </c>
      <c r="B68" s="64">
        <v>4.5</v>
      </c>
      <c r="C68" s="64">
        <v>45.32</v>
      </c>
      <c r="D68" s="64">
        <v>49.82</v>
      </c>
      <c r="E68" s="64">
        <v>3.41</v>
      </c>
      <c r="F68" s="64">
        <v>20.16</v>
      </c>
      <c r="G68" s="64">
        <v>38.83</v>
      </c>
      <c r="H68" s="64">
        <v>13.32</v>
      </c>
      <c r="I68" s="64">
        <v>4.07</v>
      </c>
      <c r="J68" s="64">
        <v>0.97</v>
      </c>
      <c r="K68" s="64">
        <v>301.38</v>
      </c>
      <c r="L68" s="64">
        <v>32.44</v>
      </c>
      <c r="M68" s="64">
        <v>24.16</v>
      </c>
      <c r="N68" s="64">
        <v>266.5</v>
      </c>
      <c r="O68" s="64">
        <v>0</v>
      </c>
      <c r="P68" s="64">
        <v>0.38</v>
      </c>
      <c r="Q68" s="64">
        <v>8.66</v>
      </c>
      <c r="R68" s="198"/>
      <c r="S68" s="198"/>
      <c r="T68" s="198"/>
      <c r="U68" s="198"/>
    </row>
    <row r="69" spans="1:21" s="12" customFormat="1" x14ac:dyDescent="0.25">
      <c r="A69" s="247" t="s">
        <v>2128</v>
      </c>
      <c r="B69" s="64">
        <v>7.3</v>
      </c>
      <c r="C69" s="64">
        <v>55.81</v>
      </c>
      <c r="D69" s="64">
        <v>63.11</v>
      </c>
      <c r="E69" s="64">
        <v>4.7300000000000004</v>
      </c>
      <c r="F69" s="64">
        <v>19.55</v>
      </c>
      <c r="G69" s="64">
        <v>38.83</v>
      </c>
      <c r="H69" s="64">
        <v>13.32</v>
      </c>
      <c r="I69" s="64">
        <v>4.09</v>
      </c>
      <c r="J69" s="64">
        <v>1.1100000000000001</v>
      </c>
      <c r="K69" s="64">
        <v>301.04000000000002</v>
      </c>
      <c r="L69" s="64">
        <v>33.08</v>
      </c>
      <c r="M69" s="64">
        <v>24.78</v>
      </c>
      <c r="N69" s="64">
        <v>270.7</v>
      </c>
      <c r="O69" s="64">
        <v>0</v>
      </c>
      <c r="P69" s="64">
        <v>0.49</v>
      </c>
      <c r="Q69" s="64">
        <v>8.67</v>
      </c>
      <c r="R69" s="198"/>
      <c r="S69" s="198"/>
      <c r="T69" s="198"/>
      <c r="U69" s="198"/>
    </row>
    <row r="70" spans="1:21" s="12" customFormat="1" x14ac:dyDescent="0.25">
      <c r="A70" s="247" t="s">
        <v>2129</v>
      </c>
      <c r="B70" s="64">
        <v>6.81</v>
      </c>
      <c r="C70" s="64">
        <v>48.97</v>
      </c>
      <c r="D70" s="64">
        <v>55.78</v>
      </c>
      <c r="E70" s="64">
        <v>4.51</v>
      </c>
      <c r="F70" s="64">
        <v>23.09</v>
      </c>
      <c r="G70" s="64">
        <v>38.83</v>
      </c>
      <c r="H70" s="64">
        <v>13.32</v>
      </c>
      <c r="I70" s="64">
        <v>4.0599999999999996</v>
      </c>
      <c r="J70" s="64">
        <v>0.76</v>
      </c>
      <c r="K70" s="64">
        <v>257.64999999999998</v>
      </c>
      <c r="L70" s="64">
        <v>31.71</v>
      </c>
      <c r="M70" s="64">
        <v>25.87</v>
      </c>
      <c r="N70" s="64">
        <v>251.9</v>
      </c>
      <c r="O70" s="64">
        <v>0</v>
      </c>
      <c r="P70" s="64">
        <v>0.41</v>
      </c>
      <c r="Q70" s="64">
        <v>8.6999999999999993</v>
      </c>
      <c r="R70" s="198"/>
      <c r="S70" s="198"/>
      <c r="T70" s="198"/>
      <c r="U70" s="198"/>
    </row>
    <row r="71" spans="1:21" s="12" customFormat="1" x14ac:dyDescent="0.25">
      <c r="A71" s="247" t="s">
        <v>2130</v>
      </c>
      <c r="B71" s="64">
        <v>5.09</v>
      </c>
      <c r="C71" s="64">
        <v>48.97</v>
      </c>
      <c r="D71" s="64">
        <v>54.07</v>
      </c>
      <c r="E71" s="64">
        <v>5.96</v>
      </c>
      <c r="F71" s="64">
        <v>20.95</v>
      </c>
      <c r="G71" s="64">
        <v>35.67</v>
      </c>
      <c r="H71" s="64">
        <v>12.08</v>
      </c>
      <c r="I71" s="64">
        <v>4.07</v>
      </c>
      <c r="J71" s="64">
        <v>0.82</v>
      </c>
      <c r="K71" s="64">
        <v>241.14</v>
      </c>
      <c r="L71" s="64">
        <v>31.32</v>
      </c>
      <c r="M71" s="64">
        <v>26.38</v>
      </c>
      <c r="N71" s="64">
        <v>239.1</v>
      </c>
      <c r="O71" s="64">
        <v>0</v>
      </c>
      <c r="P71" s="64">
        <v>0.41</v>
      </c>
      <c r="Q71" s="64">
        <v>8.73</v>
      </c>
      <c r="R71" s="198"/>
      <c r="S71" s="198"/>
      <c r="T71" s="198"/>
      <c r="U71" s="198"/>
    </row>
    <row r="72" spans="1:21" s="12" customFormat="1" x14ac:dyDescent="0.25">
      <c r="A72" s="247" t="s">
        <v>2131</v>
      </c>
      <c r="B72" s="64">
        <v>4.3899999999999997</v>
      </c>
      <c r="C72" s="64">
        <v>43.94</v>
      </c>
      <c r="D72" s="64">
        <v>48.33</v>
      </c>
      <c r="E72" s="64">
        <v>4.75</v>
      </c>
      <c r="F72" s="64">
        <v>23.32</v>
      </c>
      <c r="G72" s="64">
        <v>33.93</v>
      </c>
      <c r="H72" s="64">
        <v>11.36</v>
      </c>
      <c r="I72" s="64">
        <v>3.97</v>
      </c>
      <c r="J72" s="64">
        <v>0.84</v>
      </c>
      <c r="K72" s="64">
        <v>283.8</v>
      </c>
      <c r="L72" s="64">
        <v>31.14</v>
      </c>
      <c r="M72" s="64">
        <v>27.33</v>
      </c>
      <c r="N72" s="64">
        <v>253.1</v>
      </c>
      <c r="O72" s="64">
        <v>0</v>
      </c>
      <c r="P72" s="64">
        <v>0.4</v>
      </c>
      <c r="Q72" s="64">
        <v>8.75</v>
      </c>
      <c r="R72" s="198"/>
      <c r="S72" s="198"/>
      <c r="T72" s="198"/>
      <c r="U72" s="198"/>
    </row>
    <row r="73" spans="1:21" s="12" customFormat="1" x14ac:dyDescent="0.25">
      <c r="A73" s="247" t="s">
        <v>2132</v>
      </c>
      <c r="B73" s="64">
        <v>8.65</v>
      </c>
      <c r="C73" s="64">
        <v>54.12</v>
      </c>
      <c r="D73" s="64">
        <v>62.77</v>
      </c>
      <c r="E73" s="64">
        <v>9.61</v>
      </c>
      <c r="F73" s="64">
        <v>30.01</v>
      </c>
      <c r="G73" s="64">
        <v>33.93</v>
      </c>
      <c r="H73" s="64">
        <v>11.36</v>
      </c>
      <c r="I73" s="64">
        <v>4.1399999999999997</v>
      </c>
      <c r="J73" s="64">
        <v>0.36</v>
      </c>
      <c r="K73" s="64">
        <v>291.14</v>
      </c>
      <c r="L73" s="64">
        <v>31.6</v>
      </c>
      <c r="M73" s="64">
        <v>26.3</v>
      </c>
      <c r="N73" s="64">
        <v>241.7</v>
      </c>
      <c r="O73" s="64">
        <v>0</v>
      </c>
      <c r="P73" s="64">
        <v>0.45</v>
      </c>
      <c r="Q73" s="64">
        <v>8.76</v>
      </c>
      <c r="R73" s="198"/>
      <c r="S73" s="198"/>
      <c r="T73" s="198"/>
      <c r="U73" s="198"/>
    </row>
    <row r="74" spans="1:21" s="12" customFormat="1" x14ac:dyDescent="0.25">
      <c r="A74" s="247" t="s">
        <v>2133</v>
      </c>
      <c r="B74" s="64">
        <v>7.52</v>
      </c>
      <c r="C74" s="64">
        <v>54.7</v>
      </c>
      <c r="D74" s="64">
        <v>62.22</v>
      </c>
      <c r="E74" s="64">
        <v>8.2799999999999994</v>
      </c>
      <c r="F74" s="64">
        <v>15.89</v>
      </c>
      <c r="G74" s="64">
        <v>33.93</v>
      </c>
      <c r="H74" s="64">
        <v>11.36</v>
      </c>
      <c r="I74" s="64">
        <v>3.95</v>
      </c>
      <c r="J74" s="64">
        <v>1.1299999999999999</v>
      </c>
      <c r="K74" s="64">
        <v>300.42</v>
      </c>
      <c r="L74" s="64">
        <v>31.14</v>
      </c>
      <c r="M74" s="64">
        <v>27.48</v>
      </c>
      <c r="N74" s="64">
        <v>171.4</v>
      </c>
      <c r="O74" s="64">
        <v>0</v>
      </c>
      <c r="P74" s="64">
        <v>0.44</v>
      </c>
      <c r="Q74" s="64">
        <v>8.76</v>
      </c>
      <c r="R74" s="198"/>
      <c r="S74" s="198"/>
      <c r="T74" s="198"/>
      <c r="U74" s="198"/>
    </row>
    <row r="75" spans="1:21" s="12" customFormat="1" x14ac:dyDescent="0.25">
      <c r="A75" s="247" t="s">
        <v>2134</v>
      </c>
      <c r="B75" s="64">
        <v>9.3699999999999992</v>
      </c>
      <c r="C75" s="64">
        <v>55.55</v>
      </c>
      <c r="D75" s="64">
        <v>64.92</v>
      </c>
      <c r="E75" s="64">
        <v>9.42</v>
      </c>
      <c r="F75" s="64">
        <v>21.94</v>
      </c>
      <c r="G75" s="64">
        <v>33.76</v>
      </c>
      <c r="H75" s="64">
        <v>11.89</v>
      </c>
      <c r="I75" s="64">
        <v>4.16</v>
      </c>
      <c r="J75" s="64">
        <v>1.36</v>
      </c>
      <c r="K75" s="64">
        <v>313.07</v>
      </c>
      <c r="L75" s="64">
        <v>30.98</v>
      </c>
      <c r="M75" s="64">
        <v>28.11</v>
      </c>
      <c r="N75" s="64">
        <v>141</v>
      </c>
      <c r="O75" s="64">
        <v>0</v>
      </c>
      <c r="P75" s="64">
        <v>0.49</v>
      </c>
      <c r="Q75" s="64">
        <v>8.7799999999999994</v>
      </c>
      <c r="R75" s="198"/>
      <c r="S75" s="198"/>
      <c r="T75" s="198"/>
      <c r="U75" s="198"/>
    </row>
    <row r="76" spans="1:21" s="12" customFormat="1" x14ac:dyDescent="0.25">
      <c r="A76" s="247" t="s">
        <v>2135</v>
      </c>
      <c r="B76" s="64">
        <v>9.08</v>
      </c>
      <c r="C76" s="64">
        <v>64.06</v>
      </c>
      <c r="D76" s="64">
        <v>73.13</v>
      </c>
      <c r="E76" s="64">
        <v>11.91</v>
      </c>
      <c r="F76" s="64">
        <v>17.53</v>
      </c>
      <c r="G76" s="64">
        <v>33.659999999999997</v>
      </c>
      <c r="H76" s="64">
        <v>12.2</v>
      </c>
      <c r="I76" s="64">
        <v>3.89</v>
      </c>
      <c r="J76" s="64">
        <v>1.44</v>
      </c>
      <c r="K76" s="64">
        <v>313.35000000000002</v>
      </c>
      <c r="L76" s="64">
        <v>30.53</v>
      </c>
      <c r="M76" s="64">
        <v>28.33</v>
      </c>
      <c r="N76" s="64">
        <v>123.2</v>
      </c>
      <c r="O76" s="64">
        <v>0</v>
      </c>
      <c r="P76" s="64">
        <v>0.5</v>
      </c>
      <c r="Q76" s="64">
        <v>8.81</v>
      </c>
      <c r="R76" s="198"/>
      <c r="S76" s="198"/>
      <c r="T76" s="198"/>
      <c r="U76" s="198"/>
    </row>
    <row r="77" spans="1:21" s="12" customFormat="1" x14ac:dyDescent="0.25">
      <c r="A77" s="247" t="s">
        <v>2136</v>
      </c>
      <c r="B77" s="64">
        <v>7.36</v>
      </c>
      <c r="C77" s="64">
        <v>61.34</v>
      </c>
      <c r="D77" s="64">
        <v>68.7</v>
      </c>
      <c r="E77" s="64">
        <v>11.92</v>
      </c>
      <c r="F77" s="64">
        <v>15.64</v>
      </c>
      <c r="G77" s="64">
        <v>33.659999999999997</v>
      </c>
      <c r="H77" s="64">
        <v>12.2</v>
      </c>
      <c r="I77" s="64">
        <v>4.08</v>
      </c>
      <c r="J77" s="64">
        <v>1.1599999999999999</v>
      </c>
      <c r="K77" s="64">
        <v>303.32</v>
      </c>
      <c r="L77" s="64">
        <v>30.13</v>
      </c>
      <c r="M77" s="64">
        <v>28.94</v>
      </c>
      <c r="N77" s="64">
        <v>111.4</v>
      </c>
      <c r="O77" s="64">
        <v>0</v>
      </c>
      <c r="P77" s="64">
        <v>0.5</v>
      </c>
      <c r="Q77" s="64">
        <v>8.82</v>
      </c>
      <c r="R77" s="198"/>
      <c r="S77" s="198"/>
      <c r="T77" s="198"/>
      <c r="U77" s="198"/>
    </row>
    <row r="78" spans="1:21" s="12" customFormat="1" x14ac:dyDescent="0.25">
      <c r="A78" s="247" t="s">
        <v>2137</v>
      </c>
      <c r="B78" s="64">
        <v>8.56</v>
      </c>
      <c r="C78" s="64">
        <v>64.44</v>
      </c>
      <c r="D78" s="64">
        <v>73</v>
      </c>
      <c r="E78" s="64">
        <v>8.68</v>
      </c>
      <c r="F78" s="64">
        <v>15.99</v>
      </c>
      <c r="G78" s="64">
        <v>33.659999999999997</v>
      </c>
      <c r="H78" s="64">
        <v>12.2</v>
      </c>
      <c r="I78" s="64">
        <v>4.08</v>
      </c>
      <c r="J78" s="64">
        <v>1.26</v>
      </c>
      <c r="K78" s="64">
        <v>291.77999999999997</v>
      </c>
      <c r="L78" s="64">
        <v>29.7</v>
      </c>
      <c r="M78" s="64">
        <v>29.12</v>
      </c>
      <c r="N78" s="64">
        <v>99.9</v>
      </c>
      <c r="O78" s="64">
        <v>0</v>
      </c>
      <c r="P78" s="64">
        <v>0.52</v>
      </c>
      <c r="Q78" s="64">
        <v>8.81</v>
      </c>
      <c r="R78" s="198"/>
      <c r="S78" s="198"/>
      <c r="T78" s="198"/>
      <c r="U78" s="198"/>
    </row>
    <row r="79" spans="1:21" s="12" customFormat="1" x14ac:dyDescent="0.25">
      <c r="A79" s="247" t="s">
        <v>2138</v>
      </c>
      <c r="B79" s="64">
        <v>11.25</v>
      </c>
      <c r="C79" s="64">
        <v>67.42</v>
      </c>
      <c r="D79" s="64">
        <v>78.67</v>
      </c>
      <c r="E79" s="64">
        <v>16.02</v>
      </c>
      <c r="F79" s="64">
        <v>20.96</v>
      </c>
      <c r="G79" s="64">
        <v>33.950000000000003</v>
      </c>
      <c r="H79" s="64">
        <v>11.59</v>
      </c>
      <c r="I79" s="64">
        <v>3.88</v>
      </c>
      <c r="J79" s="64">
        <v>0.88</v>
      </c>
      <c r="K79" s="64">
        <v>296</v>
      </c>
      <c r="L79" s="64">
        <v>29.25</v>
      </c>
      <c r="M79" s="64">
        <v>29.99</v>
      </c>
      <c r="N79" s="64">
        <v>86</v>
      </c>
      <c r="O79" s="64">
        <v>0</v>
      </c>
      <c r="P79" s="64">
        <v>0.69</v>
      </c>
      <c r="Q79" s="64">
        <v>8.8000000000000007</v>
      </c>
      <c r="R79" s="198"/>
      <c r="S79" s="198"/>
      <c r="T79" s="198"/>
      <c r="U79" s="198"/>
    </row>
    <row r="80" spans="1:21" s="12" customFormat="1" x14ac:dyDescent="0.25">
      <c r="A80" s="247" t="s">
        <v>2139</v>
      </c>
      <c r="B80" s="64">
        <v>14.42</v>
      </c>
      <c r="C80" s="64">
        <v>81.23</v>
      </c>
      <c r="D80" s="64">
        <v>95.65</v>
      </c>
      <c r="E80" s="64">
        <v>25.91</v>
      </c>
      <c r="F80" s="64">
        <v>24.79</v>
      </c>
      <c r="G80" s="64">
        <v>34.11</v>
      </c>
      <c r="H80" s="64">
        <v>11.23</v>
      </c>
      <c r="I80" s="64">
        <v>4.08</v>
      </c>
      <c r="J80" s="64">
        <v>0.85</v>
      </c>
      <c r="K80" s="64">
        <v>290.7</v>
      </c>
      <c r="L80" s="64">
        <v>28.75</v>
      </c>
      <c r="M80" s="64">
        <v>30.54</v>
      </c>
      <c r="N80" s="64">
        <v>75.3</v>
      </c>
      <c r="O80" s="64">
        <v>0</v>
      </c>
      <c r="P80" s="64">
        <v>0.78</v>
      </c>
      <c r="Q80" s="64">
        <v>8.82</v>
      </c>
      <c r="R80" s="198"/>
      <c r="S80" s="198"/>
      <c r="T80" s="198"/>
      <c r="U80" s="198"/>
    </row>
    <row r="81" spans="1:26" s="12" customFormat="1" x14ac:dyDescent="0.25">
      <c r="A81" s="247" t="s">
        <v>2140</v>
      </c>
      <c r="B81" s="64">
        <v>26.91</v>
      </c>
      <c r="C81" s="64">
        <v>102.61</v>
      </c>
      <c r="D81" s="64">
        <v>129.52000000000001</v>
      </c>
      <c r="E81" s="64">
        <v>31.56</v>
      </c>
      <c r="F81" s="64">
        <v>23.38</v>
      </c>
      <c r="G81" s="64">
        <v>34.11</v>
      </c>
      <c r="H81" s="64">
        <v>11.23</v>
      </c>
      <c r="I81" s="64">
        <v>3.93</v>
      </c>
      <c r="J81" s="64">
        <v>0.85</v>
      </c>
      <c r="K81" s="64">
        <v>290.93</v>
      </c>
      <c r="L81" s="64">
        <v>28.2</v>
      </c>
      <c r="M81" s="64">
        <v>31.34</v>
      </c>
      <c r="N81" s="64">
        <v>68</v>
      </c>
      <c r="O81" s="64">
        <v>0</v>
      </c>
      <c r="P81" s="64">
        <v>1.17</v>
      </c>
      <c r="Q81" s="64">
        <v>8.84</v>
      </c>
      <c r="R81" s="198"/>
      <c r="S81" s="198"/>
      <c r="T81" s="198"/>
      <c r="U81" s="198"/>
    </row>
    <row r="82" spans="1:26" s="12" customFormat="1" x14ac:dyDescent="0.25">
      <c r="A82" s="247" t="s">
        <v>2141</v>
      </c>
      <c r="B82" s="64">
        <v>29.44</v>
      </c>
      <c r="C82" s="64">
        <v>118.67</v>
      </c>
      <c r="D82" s="64">
        <v>148.1</v>
      </c>
      <c r="E82" s="64">
        <v>29.58</v>
      </c>
      <c r="F82" s="64">
        <v>19.12</v>
      </c>
      <c r="G82" s="64">
        <v>34.11</v>
      </c>
      <c r="H82" s="64">
        <v>11.23</v>
      </c>
      <c r="I82" s="64">
        <v>3.94</v>
      </c>
      <c r="J82" s="64">
        <v>0.67</v>
      </c>
      <c r="K82" s="64">
        <v>293.95999999999998</v>
      </c>
      <c r="L82" s="64">
        <v>27.62</v>
      </c>
      <c r="M82" s="64">
        <v>32.71</v>
      </c>
      <c r="N82" s="64">
        <v>66.099999999999994</v>
      </c>
      <c r="O82" s="64">
        <v>0</v>
      </c>
      <c r="P82" s="64">
        <v>1.63</v>
      </c>
      <c r="Q82" s="64">
        <v>8.8800000000000008</v>
      </c>
      <c r="R82" s="198"/>
      <c r="S82" s="198"/>
      <c r="T82" s="198"/>
      <c r="U82" s="198"/>
    </row>
    <row r="83" spans="1:26" s="12" customFormat="1" x14ac:dyDescent="0.25">
      <c r="A83" s="247" t="s">
        <v>2142</v>
      </c>
      <c r="B83" s="64">
        <v>43.01</v>
      </c>
      <c r="C83" s="64">
        <v>136.80000000000001</v>
      </c>
      <c r="D83" s="64">
        <v>179.81</v>
      </c>
      <c r="E83" s="64">
        <v>24.09</v>
      </c>
      <c r="F83" s="64">
        <v>14.56</v>
      </c>
      <c r="G83" s="64">
        <v>37.380000000000003</v>
      </c>
      <c r="H83" s="64">
        <v>12.13</v>
      </c>
      <c r="I83" s="64">
        <v>4.2</v>
      </c>
      <c r="J83" s="64">
        <v>0.28999999999999998</v>
      </c>
      <c r="K83" s="64">
        <v>245.46</v>
      </c>
      <c r="L83" s="64">
        <v>27.13</v>
      </c>
      <c r="M83" s="64">
        <v>33.18</v>
      </c>
      <c r="N83" s="64">
        <v>65.599999999999994</v>
      </c>
      <c r="O83" s="64">
        <v>0</v>
      </c>
      <c r="P83" s="64">
        <v>2.27</v>
      </c>
      <c r="Q83" s="64">
        <v>8.9700000000000006</v>
      </c>
      <c r="R83" s="198"/>
      <c r="S83" s="198"/>
      <c r="T83" s="198"/>
      <c r="U83" s="198"/>
    </row>
    <row r="84" spans="1:26" s="12" customFormat="1" x14ac:dyDescent="0.25">
      <c r="A84" s="247" t="s">
        <v>2143</v>
      </c>
      <c r="B84" s="64">
        <v>37.74</v>
      </c>
      <c r="C84" s="64">
        <v>130.05000000000001</v>
      </c>
      <c r="D84" s="64">
        <v>167.79</v>
      </c>
      <c r="E84" s="64">
        <v>21.66</v>
      </c>
      <c r="F84" s="64">
        <v>13.87</v>
      </c>
      <c r="G84" s="64">
        <v>39.18</v>
      </c>
      <c r="H84" s="64">
        <v>12.66</v>
      </c>
      <c r="I84" s="64">
        <v>4.01</v>
      </c>
      <c r="J84" s="64">
        <v>0.51</v>
      </c>
      <c r="K84" s="64">
        <v>297.27999999999997</v>
      </c>
      <c r="L84" s="64">
        <v>26.78</v>
      </c>
      <c r="M84" s="64">
        <v>34.72</v>
      </c>
      <c r="N84" s="64">
        <v>65.8</v>
      </c>
      <c r="O84" s="64">
        <v>0</v>
      </c>
      <c r="P84" s="64">
        <v>2.5099999999999998</v>
      </c>
      <c r="Q84" s="64">
        <v>9.07</v>
      </c>
      <c r="R84" s="198"/>
      <c r="S84" s="198"/>
      <c r="T84" s="198"/>
      <c r="U84" s="198"/>
    </row>
    <row r="85" spans="1:26" s="12" customFormat="1" x14ac:dyDescent="0.25">
      <c r="A85" s="247" t="s">
        <v>2144</v>
      </c>
      <c r="B85" s="64">
        <v>70.540000000000006</v>
      </c>
      <c r="C85" s="64">
        <v>147.28</v>
      </c>
      <c r="D85" s="64">
        <v>217.82</v>
      </c>
      <c r="E85" s="64">
        <v>22.02</v>
      </c>
      <c r="F85" s="64">
        <v>10.67</v>
      </c>
      <c r="G85" s="64">
        <v>39.18</v>
      </c>
      <c r="H85" s="64">
        <v>12.66</v>
      </c>
      <c r="I85" s="64">
        <v>4.09</v>
      </c>
      <c r="J85" s="64">
        <v>0.48</v>
      </c>
      <c r="K85" s="64">
        <v>335.67</v>
      </c>
      <c r="L85" s="64">
        <v>26.47</v>
      </c>
      <c r="M85" s="64">
        <v>36.049999999999997</v>
      </c>
      <c r="N85" s="64">
        <v>65.8</v>
      </c>
      <c r="O85" s="64">
        <v>0</v>
      </c>
      <c r="P85" s="64">
        <v>3.12</v>
      </c>
      <c r="Q85" s="64">
        <v>9.23</v>
      </c>
      <c r="R85" s="198"/>
      <c r="S85" s="198"/>
      <c r="T85" s="198"/>
      <c r="U85" s="198"/>
    </row>
    <row r="86" spans="1:26" s="12" customFormat="1" x14ac:dyDescent="0.25">
      <c r="A86" s="247" t="s">
        <v>2145</v>
      </c>
      <c r="B86" s="64">
        <v>96.69</v>
      </c>
      <c r="C86" s="64">
        <v>150.07</v>
      </c>
      <c r="D86" s="64">
        <v>246.76</v>
      </c>
      <c r="E86" s="64">
        <v>23.8</v>
      </c>
      <c r="F86" s="64">
        <v>10.53</v>
      </c>
      <c r="G86" s="64">
        <v>39.18</v>
      </c>
      <c r="H86" s="64">
        <v>12.66</v>
      </c>
      <c r="I86" s="64">
        <v>3.88</v>
      </c>
      <c r="J86" s="64">
        <v>0.41</v>
      </c>
      <c r="K86" s="64">
        <v>323.06</v>
      </c>
      <c r="L86" s="64">
        <v>26.24</v>
      </c>
      <c r="M86" s="64">
        <v>36.04</v>
      </c>
      <c r="N86" s="64">
        <v>65.5</v>
      </c>
      <c r="O86" s="64">
        <v>0</v>
      </c>
      <c r="P86" s="64">
        <v>3.05</v>
      </c>
      <c r="Q86" s="64">
        <v>9.2899999999999991</v>
      </c>
      <c r="R86" s="198"/>
      <c r="S86" s="198"/>
      <c r="T86" s="198"/>
      <c r="U86" s="198"/>
    </row>
    <row r="87" spans="1:26" s="12" customFormat="1" x14ac:dyDescent="0.25">
      <c r="A87" s="247" t="s">
        <v>2146</v>
      </c>
      <c r="B87" s="64">
        <v>23.75</v>
      </c>
      <c r="C87" s="64">
        <v>144.86000000000001</v>
      </c>
      <c r="D87" s="64">
        <v>168.61</v>
      </c>
      <c r="E87" s="64">
        <v>19.97</v>
      </c>
      <c r="F87" s="64">
        <v>15.94</v>
      </c>
      <c r="G87" s="64">
        <v>52.71</v>
      </c>
      <c r="H87" s="64">
        <v>16.309999999999999</v>
      </c>
      <c r="I87" s="64">
        <v>3.92</v>
      </c>
      <c r="J87" s="64">
        <v>0.47</v>
      </c>
      <c r="K87" s="64">
        <v>337.39</v>
      </c>
      <c r="L87" s="64">
        <v>26.02</v>
      </c>
      <c r="M87" s="64">
        <v>35.229999999999997</v>
      </c>
      <c r="N87" s="64">
        <v>65.599999999999994</v>
      </c>
      <c r="O87" s="64">
        <v>0</v>
      </c>
      <c r="P87" s="64">
        <v>2.1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47" t="s">
        <v>2147</v>
      </c>
      <c r="B88" s="64">
        <v>14.71</v>
      </c>
      <c r="C88" s="64">
        <v>121.75</v>
      </c>
      <c r="D88" s="64">
        <v>136.46</v>
      </c>
      <c r="E88" s="64">
        <v>15.18</v>
      </c>
      <c r="F88" s="64">
        <v>21.26</v>
      </c>
      <c r="G88" s="64">
        <v>60.17</v>
      </c>
      <c r="H88" s="64">
        <v>18.420000000000002</v>
      </c>
      <c r="I88" s="64">
        <v>4.1500000000000004</v>
      </c>
      <c r="J88" s="64">
        <v>0.56000000000000005</v>
      </c>
      <c r="K88" s="64">
        <v>307.69</v>
      </c>
      <c r="L88" s="64">
        <v>26.11</v>
      </c>
      <c r="M88" s="64">
        <v>33.14</v>
      </c>
      <c r="N88" s="64">
        <v>65.3</v>
      </c>
      <c r="O88" s="64">
        <v>0</v>
      </c>
      <c r="P88" s="64">
        <v>1.82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47" t="s">
        <v>2148</v>
      </c>
      <c r="B89" s="64">
        <v>18.899999999999999</v>
      </c>
      <c r="C89" s="64">
        <v>127.1</v>
      </c>
      <c r="D89" s="64">
        <v>146</v>
      </c>
      <c r="E89" s="64">
        <v>13.25</v>
      </c>
      <c r="F89" s="64">
        <v>20.95</v>
      </c>
      <c r="G89" s="64">
        <v>60.17</v>
      </c>
      <c r="H89" s="64">
        <v>18.420000000000002</v>
      </c>
      <c r="I89" s="64">
        <v>3.99</v>
      </c>
      <c r="J89" s="64">
        <v>0.35</v>
      </c>
      <c r="K89" s="64">
        <v>296.47000000000003</v>
      </c>
      <c r="L89" s="64">
        <v>26.48</v>
      </c>
      <c r="M89" s="64">
        <v>32.28</v>
      </c>
      <c r="N89" s="64">
        <v>64.8</v>
      </c>
      <c r="O89" s="64">
        <v>0</v>
      </c>
      <c r="P89" s="64">
        <v>2.11</v>
      </c>
      <c r="Q89" s="64">
        <v>9.3800000000000008</v>
      </c>
      <c r="R89" s="198"/>
      <c r="S89" s="198"/>
      <c r="T89" s="198"/>
      <c r="U89" s="198"/>
    </row>
    <row r="90" spans="1:26" s="12" customFormat="1" x14ac:dyDescent="0.25">
      <c r="A90" s="247" t="s">
        <v>2149</v>
      </c>
      <c r="B90" s="64">
        <v>16.89</v>
      </c>
      <c r="C90" s="64">
        <v>111.62</v>
      </c>
      <c r="D90" s="64">
        <v>128.5</v>
      </c>
      <c r="E90" s="64">
        <v>12.24</v>
      </c>
      <c r="F90" s="64">
        <v>20.99</v>
      </c>
      <c r="G90" s="64">
        <v>60.17</v>
      </c>
      <c r="H90" s="64">
        <v>18.420000000000002</v>
      </c>
      <c r="I90" s="64">
        <v>3.98</v>
      </c>
      <c r="J90" s="64">
        <v>0.52</v>
      </c>
      <c r="K90" s="64">
        <v>269.98</v>
      </c>
      <c r="L90" s="64">
        <v>26.48</v>
      </c>
      <c r="M90" s="64">
        <v>32.33</v>
      </c>
      <c r="N90" s="64">
        <v>64.8</v>
      </c>
      <c r="O90" s="64">
        <v>0</v>
      </c>
      <c r="P90" s="64">
        <v>2.0499999999999998</v>
      </c>
      <c r="Q90" s="64">
        <v>9.39</v>
      </c>
      <c r="R90" s="198"/>
      <c r="S90" s="198"/>
      <c r="T90" s="198"/>
      <c r="U90" s="198"/>
    </row>
    <row r="91" spans="1:26" s="12" customFormat="1" x14ac:dyDescent="0.25">
      <c r="A91" s="247" t="s">
        <v>2150</v>
      </c>
      <c r="B91" s="64">
        <v>29.92</v>
      </c>
      <c r="C91" s="64">
        <v>118.01</v>
      </c>
      <c r="D91" s="64">
        <v>147.93</v>
      </c>
      <c r="E91" s="64">
        <v>11.42</v>
      </c>
      <c r="F91" s="64">
        <v>18.350000000000001</v>
      </c>
      <c r="G91" s="64">
        <v>64.11</v>
      </c>
      <c r="H91" s="64">
        <v>24.52</v>
      </c>
      <c r="I91" s="64">
        <v>4.0599999999999996</v>
      </c>
      <c r="J91" s="64">
        <v>0.48</v>
      </c>
      <c r="K91" s="64">
        <v>264.81</v>
      </c>
      <c r="L91" s="64">
        <v>26.2</v>
      </c>
      <c r="M91" s="64">
        <v>32.53</v>
      </c>
      <c r="N91" s="64">
        <v>65.3</v>
      </c>
      <c r="O91" s="64">
        <v>0</v>
      </c>
      <c r="P91" s="64">
        <v>1.71</v>
      </c>
      <c r="Q91" s="64">
        <v>9.41</v>
      </c>
      <c r="R91" s="198"/>
      <c r="S91" s="198"/>
      <c r="T91" s="198"/>
      <c r="U91" s="198"/>
    </row>
    <row r="92" spans="1:26" s="12" customFormat="1" x14ac:dyDescent="0.25">
      <c r="A92" s="247" t="s">
        <v>2151</v>
      </c>
      <c r="B92" s="64">
        <v>25.9</v>
      </c>
      <c r="C92" s="64">
        <v>113.99</v>
      </c>
      <c r="D92" s="64">
        <v>139.88999999999999</v>
      </c>
      <c r="E92" s="64">
        <v>11.26</v>
      </c>
      <c r="F92" s="64">
        <v>18.420000000000002</v>
      </c>
      <c r="G92" s="64">
        <v>66.290000000000006</v>
      </c>
      <c r="H92" s="64">
        <v>28.05</v>
      </c>
      <c r="I92" s="64">
        <v>4.1900000000000004</v>
      </c>
      <c r="J92" s="64">
        <v>0.46</v>
      </c>
      <c r="K92" s="64">
        <v>266.26</v>
      </c>
      <c r="L92" s="64">
        <v>25.94</v>
      </c>
      <c r="M92" s="64">
        <v>33.43</v>
      </c>
      <c r="N92" s="64">
        <v>65.400000000000006</v>
      </c>
      <c r="O92" s="64">
        <v>0</v>
      </c>
      <c r="P92" s="64">
        <v>1.81</v>
      </c>
      <c r="Q92" s="64">
        <v>9.4</v>
      </c>
      <c r="R92" s="198"/>
      <c r="S92" s="198"/>
      <c r="T92" s="198"/>
      <c r="U92" s="198"/>
    </row>
    <row r="93" spans="1:26" s="12" customFormat="1" x14ac:dyDescent="0.25">
      <c r="A93" s="247" t="s">
        <v>2152</v>
      </c>
      <c r="B93" s="64">
        <v>29.44</v>
      </c>
      <c r="C93" s="64">
        <v>114.64</v>
      </c>
      <c r="D93" s="64">
        <v>144.09</v>
      </c>
      <c r="E93" s="64">
        <v>10.55</v>
      </c>
      <c r="F93" s="64">
        <v>15.67</v>
      </c>
      <c r="G93" s="64">
        <v>66.290000000000006</v>
      </c>
      <c r="H93" s="64">
        <v>28.05</v>
      </c>
      <c r="I93" s="64">
        <v>4.05</v>
      </c>
      <c r="J93" s="64">
        <v>0.27</v>
      </c>
      <c r="K93" s="64">
        <v>280.10000000000002</v>
      </c>
      <c r="L93" s="64">
        <v>25.29</v>
      </c>
      <c r="M93" s="64">
        <v>35.58</v>
      </c>
      <c r="N93" s="64">
        <v>65.7</v>
      </c>
      <c r="O93" s="64">
        <v>0</v>
      </c>
      <c r="P93" s="64">
        <v>1.67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47" t="s">
        <v>2153</v>
      </c>
      <c r="B94" s="64">
        <v>50.68</v>
      </c>
      <c r="C94" s="64">
        <v>124.98</v>
      </c>
      <c r="D94" s="64">
        <v>175.66</v>
      </c>
      <c r="E94" s="64">
        <v>10.84</v>
      </c>
      <c r="F94" s="64">
        <v>11.1</v>
      </c>
      <c r="G94" s="64">
        <v>66.290000000000006</v>
      </c>
      <c r="H94" s="64">
        <v>28.05</v>
      </c>
      <c r="I94" s="64">
        <v>3.91</v>
      </c>
      <c r="J94" s="64">
        <v>0.53</v>
      </c>
      <c r="K94" s="64">
        <v>297.72000000000003</v>
      </c>
      <c r="L94" s="64">
        <v>24.84</v>
      </c>
      <c r="M94" s="64">
        <v>36.85</v>
      </c>
      <c r="N94" s="64">
        <v>65.7</v>
      </c>
      <c r="O94" s="64">
        <v>0</v>
      </c>
      <c r="P94" s="64">
        <v>2.0699999999999998</v>
      </c>
      <c r="Q94" s="64">
        <v>9.4</v>
      </c>
      <c r="R94" s="198"/>
      <c r="S94" s="198"/>
      <c r="T94" s="198"/>
      <c r="U94" s="198"/>
    </row>
    <row r="95" spans="1:26" s="12" customFormat="1" x14ac:dyDescent="0.25">
      <c r="A95" s="247" t="s">
        <v>2154</v>
      </c>
      <c r="B95" s="64">
        <v>43.34</v>
      </c>
      <c r="C95" s="64">
        <v>120.43</v>
      </c>
      <c r="D95" s="64">
        <v>163.78</v>
      </c>
      <c r="E95" s="64">
        <v>10.63</v>
      </c>
      <c r="F95" s="64">
        <v>11.05</v>
      </c>
      <c r="G95" s="64">
        <v>69.13</v>
      </c>
      <c r="H95" s="64">
        <v>26.94</v>
      </c>
      <c r="I95" s="64">
        <v>3.97</v>
      </c>
      <c r="J95" s="64">
        <v>0.65</v>
      </c>
      <c r="K95" s="64">
        <v>321.77</v>
      </c>
      <c r="L95" s="64">
        <v>24.54</v>
      </c>
      <c r="M95" s="64">
        <v>37.520000000000003</v>
      </c>
      <c r="N95" s="64">
        <v>65.7</v>
      </c>
      <c r="O95" s="64">
        <v>0</v>
      </c>
      <c r="P95" s="64">
        <v>1.91</v>
      </c>
      <c r="Q95" s="64">
        <v>9.39</v>
      </c>
      <c r="R95" s="198"/>
      <c r="S95" s="198"/>
      <c r="T95" s="198"/>
      <c r="U95" s="198"/>
    </row>
    <row r="96" spans="1:26" s="12" customFormat="1" x14ac:dyDescent="0.25">
      <c r="A96" s="247" t="s">
        <v>2155</v>
      </c>
      <c r="B96" s="64">
        <v>48.95</v>
      </c>
      <c r="C96" s="64">
        <v>119.47</v>
      </c>
      <c r="D96" s="64">
        <v>168.42</v>
      </c>
      <c r="E96" s="64">
        <v>9.6999999999999993</v>
      </c>
      <c r="F96" s="64">
        <v>10.42</v>
      </c>
      <c r="G96" s="64">
        <v>70.7</v>
      </c>
      <c r="H96" s="64">
        <v>26.29</v>
      </c>
      <c r="I96" s="64">
        <v>4.0199999999999996</v>
      </c>
      <c r="J96" s="64">
        <v>0.53</v>
      </c>
      <c r="K96" s="64">
        <v>303.77</v>
      </c>
      <c r="L96" s="64">
        <v>24.28</v>
      </c>
      <c r="M96" s="64">
        <v>38.409999999999997</v>
      </c>
      <c r="N96" s="64">
        <v>65.7</v>
      </c>
      <c r="O96" s="64">
        <v>0</v>
      </c>
      <c r="P96" s="64">
        <v>1.86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2156</v>
      </c>
      <c r="B97" s="64">
        <v>36.36</v>
      </c>
      <c r="C97" s="64">
        <v>117.23</v>
      </c>
      <c r="D97" s="64">
        <v>153.59</v>
      </c>
      <c r="E97" s="64">
        <v>8.48</v>
      </c>
      <c r="F97" s="64">
        <v>9.52</v>
      </c>
      <c r="G97" s="64">
        <v>70.7</v>
      </c>
      <c r="H97" s="64">
        <v>26.29</v>
      </c>
      <c r="I97" s="64">
        <v>3.93</v>
      </c>
      <c r="J97" s="64">
        <v>0.38</v>
      </c>
      <c r="K97" s="64">
        <v>229.95</v>
      </c>
      <c r="L97" s="64">
        <v>24.06</v>
      </c>
      <c r="M97" s="64">
        <v>39.61</v>
      </c>
      <c r="N97" s="64">
        <v>65.5</v>
      </c>
      <c r="O97" s="64">
        <v>0</v>
      </c>
      <c r="P97" s="64">
        <v>1.56</v>
      </c>
      <c r="Q97" s="64">
        <v>9.36</v>
      </c>
      <c r="R97" s="198"/>
      <c r="S97" s="198"/>
      <c r="T97" s="198"/>
      <c r="U97" s="198"/>
    </row>
    <row r="98" spans="1:33" s="12" customFormat="1" x14ac:dyDescent="0.25">
      <c r="A98" s="247" t="s">
        <v>2157</v>
      </c>
      <c r="B98" s="64">
        <v>42.54</v>
      </c>
      <c r="C98" s="64">
        <v>109.54</v>
      </c>
      <c r="D98" s="64">
        <v>152.08000000000001</v>
      </c>
      <c r="E98" s="64">
        <v>8.1199999999999992</v>
      </c>
      <c r="F98" s="64">
        <v>8.8699999999999992</v>
      </c>
      <c r="G98" s="64">
        <v>70.7</v>
      </c>
      <c r="H98" s="64">
        <v>26.29</v>
      </c>
      <c r="I98" s="64">
        <v>3.99</v>
      </c>
      <c r="J98" s="64">
        <v>0.63</v>
      </c>
      <c r="K98" s="64">
        <v>225.5</v>
      </c>
      <c r="L98" s="64">
        <v>24.1</v>
      </c>
      <c r="M98" s="64">
        <v>41.09</v>
      </c>
      <c r="N98" s="64">
        <v>65.099999999999994</v>
      </c>
      <c r="O98" s="64">
        <v>0</v>
      </c>
      <c r="P98" s="64">
        <v>1.34</v>
      </c>
      <c r="Q98" s="64">
        <v>9.3800000000000008</v>
      </c>
      <c r="R98" s="198"/>
      <c r="S98" s="198"/>
      <c r="T98" s="198"/>
      <c r="U98" s="198"/>
    </row>
    <row r="99" spans="1:33" s="12" customFormat="1" x14ac:dyDescent="0.25">
      <c r="A99" s="247" t="s">
        <v>2158</v>
      </c>
      <c r="B99" s="64">
        <v>76.19</v>
      </c>
      <c r="C99" s="64">
        <v>112.92</v>
      </c>
      <c r="D99" s="64">
        <v>189.1</v>
      </c>
      <c r="E99" s="64">
        <v>7.98</v>
      </c>
      <c r="F99" s="64">
        <v>7.97</v>
      </c>
      <c r="G99" s="64">
        <v>74.2</v>
      </c>
      <c r="H99" s="64">
        <v>25.26</v>
      </c>
      <c r="I99" s="64">
        <v>3.86</v>
      </c>
      <c r="J99" s="64">
        <v>0.45</v>
      </c>
      <c r="K99" s="64">
        <v>330.87</v>
      </c>
      <c r="L99" s="64">
        <v>23.92</v>
      </c>
      <c r="M99" s="64">
        <v>42.63</v>
      </c>
      <c r="N99" s="64">
        <v>65.8</v>
      </c>
      <c r="O99" s="64">
        <v>0</v>
      </c>
      <c r="P99" s="64">
        <v>1.49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47" t="s">
        <v>2159</v>
      </c>
      <c r="B100" s="64">
        <v>32.479999999999997</v>
      </c>
      <c r="C100" s="64">
        <v>107.04</v>
      </c>
      <c r="D100" s="64">
        <v>139.53</v>
      </c>
      <c r="E100" s="64">
        <v>7.24</v>
      </c>
      <c r="F100" s="64">
        <v>9.1999999999999993</v>
      </c>
      <c r="G100" s="64">
        <v>76.13</v>
      </c>
      <c r="H100" s="64">
        <v>24.66</v>
      </c>
      <c r="I100" s="64">
        <v>3.93</v>
      </c>
      <c r="J100" s="64">
        <v>0.25</v>
      </c>
      <c r="K100" s="64">
        <v>82.03</v>
      </c>
      <c r="L100" s="64">
        <v>23.51</v>
      </c>
      <c r="M100" s="64">
        <v>41.62</v>
      </c>
      <c r="N100" s="64">
        <v>65.8</v>
      </c>
      <c r="O100" s="64">
        <v>0</v>
      </c>
      <c r="P100" s="64">
        <v>1.19</v>
      </c>
      <c r="Q100" s="64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2160</v>
      </c>
      <c r="B101" s="64">
        <v>84.58</v>
      </c>
      <c r="C101" s="64">
        <v>115.02</v>
      </c>
      <c r="D101" s="64">
        <v>199.59</v>
      </c>
      <c r="E101" s="64">
        <v>6.88</v>
      </c>
      <c r="F101" s="64">
        <v>8.27</v>
      </c>
      <c r="G101" s="64">
        <v>76.13</v>
      </c>
      <c r="H101" s="64">
        <v>24.66</v>
      </c>
      <c r="I101" s="64">
        <v>3.95</v>
      </c>
      <c r="J101" s="64">
        <v>0.16</v>
      </c>
      <c r="K101" s="64">
        <v>329.73</v>
      </c>
      <c r="L101" s="64">
        <v>23.2</v>
      </c>
      <c r="M101" s="64">
        <v>42.92</v>
      </c>
      <c r="N101" s="64">
        <v>65.900000000000006</v>
      </c>
      <c r="O101" s="64">
        <v>0</v>
      </c>
      <c r="P101" s="64">
        <v>1.29</v>
      </c>
      <c r="Q101" s="64">
        <v>9.3800000000000008</v>
      </c>
      <c r="R101" s="198"/>
      <c r="S101" s="198"/>
      <c r="T101" s="198"/>
      <c r="U101" s="198"/>
    </row>
    <row r="102" spans="1:33" s="12" customFormat="1" x14ac:dyDescent="0.25">
      <c r="A102" s="247" t="s">
        <v>2161</v>
      </c>
      <c r="B102" s="64">
        <v>138.97</v>
      </c>
      <c r="C102" s="64">
        <v>128.27000000000001</v>
      </c>
      <c r="D102" s="64">
        <v>267.23</v>
      </c>
      <c r="E102" s="64">
        <v>7.29</v>
      </c>
      <c r="F102" s="64">
        <v>7.49</v>
      </c>
      <c r="G102" s="64">
        <v>76.13</v>
      </c>
      <c r="H102" s="64">
        <v>24.66</v>
      </c>
      <c r="I102" s="64">
        <v>3.91</v>
      </c>
      <c r="J102" s="64">
        <v>0.49</v>
      </c>
      <c r="K102" s="64">
        <v>109.69</v>
      </c>
      <c r="L102" s="64">
        <v>22.95</v>
      </c>
      <c r="M102" s="64">
        <v>47.06</v>
      </c>
      <c r="N102" s="64">
        <v>65.7</v>
      </c>
      <c r="O102" s="64">
        <v>0</v>
      </c>
      <c r="P102" s="64">
        <v>1.25</v>
      </c>
      <c r="Q102" s="64">
        <v>9.36</v>
      </c>
      <c r="R102" s="198"/>
      <c r="S102" s="198"/>
      <c r="T102" s="198"/>
      <c r="U102" s="198"/>
    </row>
    <row r="103" spans="1:33" s="12" customFormat="1" x14ac:dyDescent="0.25">
      <c r="A103" s="247" t="s">
        <v>2162</v>
      </c>
      <c r="B103" s="64">
        <v>84.92</v>
      </c>
      <c r="C103" s="64">
        <v>110.35</v>
      </c>
      <c r="D103" s="64">
        <v>195.27</v>
      </c>
      <c r="E103" s="64">
        <v>7.36</v>
      </c>
      <c r="F103" s="64">
        <v>7.79</v>
      </c>
      <c r="G103" s="64">
        <v>75.77</v>
      </c>
      <c r="H103" s="64">
        <v>24</v>
      </c>
      <c r="I103" s="64">
        <v>4.01</v>
      </c>
      <c r="J103" s="64">
        <v>0.64</v>
      </c>
      <c r="K103" s="64">
        <v>258.81</v>
      </c>
      <c r="L103" s="64">
        <v>22.86</v>
      </c>
      <c r="M103" s="64">
        <v>47.54</v>
      </c>
      <c r="N103" s="64">
        <v>65.7</v>
      </c>
      <c r="O103" s="64">
        <v>0</v>
      </c>
      <c r="P103" s="64">
        <v>1.28</v>
      </c>
      <c r="Q103" s="64">
        <v>9.35</v>
      </c>
      <c r="R103" s="198"/>
      <c r="S103" s="198"/>
      <c r="T103" s="198"/>
      <c r="U103" s="198"/>
    </row>
    <row r="104" spans="1:33" s="12" customFormat="1" x14ac:dyDescent="0.25">
      <c r="A104" s="247" t="s">
        <v>2163</v>
      </c>
      <c r="B104" s="64">
        <v>80.64</v>
      </c>
      <c r="C104" s="64">
        <v>111.06</v>
      </c>
      <c r="D104" s="64">
        <v>191.7</v>
      </c>
      <c r="E104" s="64">
        <v>7.36</v>
      </c>
      <c r="F104" s="64">
        <v>8.67</v>
      </c>
      <c r="G104" s="64">
        <v>75.569999999999993</v>
      </c>
      <c r="H104" s="64">
        <v>23.62</v>
      </c>
      <c r="I104" s="64">
        <v>4.12</v>
      </c>
      <c r="J104" s="64">
        <v>0.66</v>
      </c>
      <c r="K104" s="64">
        <v>257.2</v>
      </c>
      <c r="L104" s="64">
        <v>22.81</v>
      </c>
      <c r="M104" s="64">
        <v>47.39</v>
      </c>
      <c r="N104" s="64">
        <v>65.7</v>
      </c>
      <c r="O104" s="64">
        <v>0</v>
      </c>
      <c r="P104" s="64">
        <v>0.96</v>
      </c>
      <c r="Q104" s="64">
        <v>9.4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3.17</v>
      </c>
      <c r="C106" s="67">
        <f>MIN(C9:C104)</f>
        <v>39.130000000000003</v>
      </c>
      <c r="D106" s="67">
        <f t="shared" ref="D106:Q106" si="0">MIN(D9:D104)</f>
        <v>42.57</v>
      </c>
      <c r="E106" s="67">
        <f t="shared" si="0"/>
        <v>2.09</v>
      </c>
      <c r="F106" s="67">
        <f t="shared" si="0"/>
        <v>7.49</v>
      </c>
      <c r="G106" s="67">
        <f t="shared" si="0"/>
        <v>33.659999999999997</v>
      </c>
      <c r="H106" s="67">
        <f t="shared" si="0"/>
        <v>11.23</v>
      </c>
      <c r="I106" s="67">
        <f t="shared" si="0"/>
        <v>3.71</v>
      </c>
      <c r="J106" s="67">
        <f t="shared" si="0"/>
        <v>0.16</v>
      </c>
      <c r="K106" s="67">
        <f t="shared" si="0"/>
        <v>82.03</v>
      </c>
      <c r="L106" s="67">
        <f t="shared" si="0"/>
        <v>20.350000000000001</v>
      </c>
      <c r="M106" s="67">
        <f t="shared" si="0"/>
        <v>20.72</v>
      </c>
      <c r="N106" s="67">
        <f t="shared" si="0"/>
        <v>64.8</v>
      </c>
      <c r="O106" s="67">
        <f t="shared" si="0"/>
        <v>0</v>
      </c>
      <c r="P106" s="67">
        <f t="shared" si="0"/>
        <v>0.37</v>
      </c>
      <c r="Q106" s="67">
        <f t="shared" si="0"/>
        <v>8.66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138.97</v>
      </c>
      <c r="C107" s="66">
        <f t="shared" ref="C107:Q107" si="1">MAX(C9:C104)</f>
        <v>150.07</v>
      </c>
      <c r="D107" s="66">
        <f t="shared" si="1"/>
        <v>267.23</v>
      </c>
      <c r="E107" s="66">
        <f t="shared" si="1"/>
        <v>31.56</v>
      </c>
      <c r="F107" s="66">
        <f t="shared" si="1"/>
        <v>30.01</v>
      </c>
      <c r="G107" s="66">
        <f t="shared" si="1"/>
        <v>76.13</v>
      </c>
      <c r="H107" s="66">
        <f t="shared" si="1"/>
        <v>29.6</v>
      </c>
      <c r="I107" s="66">
        <f t="shared" si="1"/>
        <v>4.2</v>
      </c>
      <c r="J107" s="66">
        <f t="shared" si="1"/>
        <v>1.55</v>
      </c>
      <c r="K107" s="66">
        <f t="shared" si="1"/>
        <v>337.39</v>
      </c>
      <c r="L107" s="66">
        <f t="shared" si="1"/>
        <v>33.81</v>
      </c>
      <c r="M107" s="66">
        <f t="shared" si="1"/>
        <v>69.319999999999993</v>
      </c>
      <c r="N107" s="66">
        <f t="shared" si="1"/>
        <v>717</v>
      </c>
      <c r="O107" s="66">
        <f t="shared" si="1"/>
        <v>0</v>
      </c>
      <c r="P107" s="66">
        <f t="shared" si="1"/>
        <v>3.12</v>
      </c>
      <c r="Q107" s="66">
        <f t="shared" si="1"/>
        <v>9.41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18.481562499999999</v>
      </c>
      <c r="C108" s="67">
        <f t="shared" ref="C108:Q108" si="2">AVERAGE(C9:C104)</f>
        <v>75.277187499999982</v>
      </c>
      <c r="D108" s="67">
        <f t="shared" si="2"/>
        <v>93.758854166666666</v>
      </c>
      <c r="E108" s="67">
        <f t="shared" si="2"/>
        <v>7.4561458333333333</v>
      </c>
      <c r="F108" s="67">
        <f t="shared" si="2"/>
        <v>14.516458333333331</v>
      </c>
      <c r="G108" s="67">
        <f t="shared" si="2"/>
        <v>53.35916666666666</v>
      </c>
      <c r="H108" s="67">
        <f t="shared" si="2"/>
        <v>22.077187500000004</v>
      </c>
      <c r="I108" s="67">
        <f t="shared" si="2"/>
        <v>3.9882291666666667</v>
      </c>
      <c r="J108" s="67">
        <f t="shared" si="2"/>
        <v>0.80604166666666632</v>
      </c>
      <c r="K108" s="67">
        <f t="shared" si="2"/>
        <v>255.65177083333325</v>
      </c>
      <c r="L108" s="67">
        <f t="shared" si="2"/>
        <v>26.687291666666667</v>
      </c>
      <c r="M108" s="67">
        <f t="shared" si="2"/>
        <v>41.008645833333318</v>
      </c>
      <c r="N108" s="67">
        <f t="shared" si="2"/>
        <v>236.96875</v>
      </c>
      <c r="O108" s="67">
        <f t="shared" si="2"/>
        <v>0</v>
      </c>
      <c r="P108" s="67">
        <f t="shared" si="2"/>
        <v>1.0069791666666663</v>
      </c>
      <c r="Q108" s="67">
        <f t="shared" si="2"/>
        <v>8.9781249999999986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24.023314260509743</v>
      </c>
      <c r="C109" s="67">
        <f t="shared" ref="C109:Q109" si="3">STDEV(C9:C104)</f>
        <v>28.916864782487853</v>
      </c>
      <c r="D109" s="67">
        <f t="shared" si="3"/>
        <v>49.725983779949182</v>
      </c>
      <c r="E109" s="67">
        <f t="shared" si="3"/>
        <v>6.1576951207055863</v>
      </c>
      <c r="F109" s="67">
        <f t="shared" si="3"/>
        <v>4.8708752005464362</v>
      </c>
      <c r="G109" s="67">
        <f t="shared" si="3"/>
        <v>13.845760792741689</v>
      </c>
      <c r="H109" s="67">
        <f t="shared" si="3"/>
        <v>5.9727152783346718</v>
      </c>
      <c r="I109" s="67">
        <f t="shared" si="3"/>
        <v>9.546556052113267E-2</v>
      </c>
      <c r="J109" s="67">
        <f t="shared" si="3"/>
        <v>0.3174486420680952</v>
      </c>
      <c r="K109" s="67">
        <f t="shared" si="3"/>
        <v>57.136807732702515</v>
      </c>
      <c r="L109" s="67">
        <f t="shared" si="3"/>
        <v>4.3449342504059878</v>
      </c>
      <c r="M109" s="67">
        <f t="shared" si="3"/>
        <v>13.743348448176087</v>
      </c>
      <c r="N109" s="67">
        <f t="shared" si="3"/>
        <v>237.11673621257799</v>
      </c>
      <c r="O109" s="67">
        <f t="shared" si="3"/>
        <v>0</v>
      </c>
      <c r="P109" s="67">
        <f t="shared" si="3"/>
        <v>0.56232622071958616</v>
      </c>
      <c r="Q109" s="67">
        <f t="shared" si="3"/>
        <v>0.23144085296475347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33" sqref="G33:G3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2164</v>
      </c>
      <c r="B9" s="64">
        <v>42.07</v>
      </c>
      <c r="C9" s="64">
        <v>105.16</v>
      </c>
      <c r="D9" s="64">
        <v>147.22999999999999</v>
      </c>
      <c r="E9" s="64">
        <v>8.84</v>
      </c>
      <c r="F9" s="64">
        <v>10.44</v>
      </c>
      <c r="G9" s="64">
        <v>75.569999999999993</v>
      </c>
      <c r="H9" s="64">
        <v>23.62</v>
      </c>
      <c r="I9" s="64">
        <v>4.01</v>
      </c>
      <c r="J9" s="64">
        <v>0.49</v>
      </c>
      <c r="K9" s="64">
        <v>270.13</v>
      </c>
      <c r="L9" s="64">
        <v>23.11</v>
      </c>
      <c r="M9" s="64">
        <v>46.2</v>
      </c>
      <c r="N9" s="64">
        <v>65.400000000000006</v>
      </c>
      <c r="O9" s="64">
        <v>0</v>
      </c>
      <c r="P9" s="64">
        <v>0.96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47" t="s">
        <v>2165</v>
      </c>
      <c r="B10" s="64">
        <v>12.24</v>
      </c>
      <c r="C10" s="64">
        <v>62.33</v>
      </c>
      <c r="D10" s="64">
        <v>74.569999999999993</v>
      </c>
      <c r="E10" s="64">
        <v>9.2799999999999994</v>
      </c>
      <c r="F10" s="64">
        <v>23.71</v>
      </c>
      <c r="G10" s="64">
        <v>75.569999999999993</v>
      </c>
      <c r="H10" s="64">
        <v>23.62</v>
      </c>
      <c r="I10" s="64">
        <v>4.03</v>
      </c>
      <c r="J10" s="64">
        <v>0.55000000000000004</v>
      </c>
      <c r="K10" s="64">
        <v>187.23</v>
      </c>
      <c r="L10" s="64">
        <v>23.54</v>
      </c>
      <c r="M10" s="64">
        <v>41.57</v>
      </c>
      <c r="N10" s="64">
        <v>65.2</v>
      </c>
      <c r="O10" s="64">
        <v>0</v>
      </c>
      <c r="P10" s="64">
        <v>0.67</v>
      </c>
      <c r="Q10" s="64">
        <v>9.48</v>
      </c>
      <c r="R10" s="198"/>
      <c r="S10" s="198"/>
      <c r="T10" s="198"/>
      <c r="U10" s="198"/>
    </row>
    <row r="11" spans="1:21" s="12" customFormat="1" x14ac:dyDescent="0.25">
      <c r="A11" s="247" t="s">
        <v>2166</v>
      </c>
      <c r="B11" s="64">
        <v>12.08</v>
      </c>
      <c r="C11" s="64">
        <v>46.44</v>
      </c>
      <c r="D11" s="64">
        <v>58.52</v>
      </c>
      <c r="E11" s="64">
        <v>9.5299999999999994</v>
      </c>
      <c r="F11" s="64">
        <v>27</v>
      </c>
      <c r="G11" s="64">
        <v>74.709999999999994</v>
      </c>
      <c r="H11" s="64">
        <v>24.62</v>
      </c>
      <c r="I11" s="64">
        <v>3.94</v>
      </c>
      <c r="J11" s="64">
        <v>0.28000000000000003</v>
      </c>
      <c r="K11" s="64">
        <v>207.07</v>
      </c>
      <c r="L11" s="64">
        <v>23.56</v>
      </c>
      <c r="M11" s="64">
        <v>41.98</v>
      </c>
      <c r="N11" s="64">
        <v>65.599999999999994</v>
      </c>
      <c r="O11" s="64">
        <v>0</v>
      </c>
      <c r="P11" s="64">
        <v>0.62</v>
      </c>
      <c r="Q11" s="64">
        <v>9.51</v>
      </c>
      <c r="R11" s="198"/>
      <c r="S11" s="198"/>
      <c r="T11" s="198"/>
      <c r="U11" s="198"/>
    </row>
    <row r="12" spans="1:21" s="12" customFormat="1" x14ac:dyDescent="0.25">
      <c r="A12" s="247" t="s">
        <v>2167</v>
      </c>
      <c r="B12" s="64">
        <v>12</v>
      </c>
      <c r="C12" s="64">
        <v>45.02</v>
      </c>
      <c r="D12" s="64">
        <v>57.02</v>
      </c>
      <c r="E12" s="64">
        <v>9.11</v>
      </c>
      <c r="F12" s="64">
        <v>26.28</v>
      </c>
      <c r="G12" s="64">
        <v>74.23</v>
      </c>
      <c r="H12" s="64">
        <v>25.2</v>
      </c>
      <c r="I12" s="64">
        <v>4.03</v>
      </c>
      <c r="J12" s="64">
        <v>0.3</v>
      </c>
      <c r="K12" s="64">
        <v>240.53</v>
      </c>
      <c r="L12" s="64">
        <v>23.5</v>
      </c>
      <c r="M12" s="64">
        <v>42.88</v>
      </c>
      <c r="N12" s="64">
        <v>65.599999999999994</v>
      </c>
      <c r="O12" s="64">
        <v>0</v>
      </c>
      <c r="P12" s="64">
        <v>0.62</v>
      </c>
      <c r="Q12" s="64">
        <v>9.5399999999999991</v>
      </c>
      <c r="R12" s="198"/>
      <c r="S12" s="198"/>
      <c r="T12" s="198"/>
      <c r="U12" s="198"/>
    </row>
    <row r="13" spans="1:21" s="12" customFormat="1" x14ac:dyDescent="0.25">
      <c r="A13" s="247" t="s">
        <v>2168</v>
      </c>
      <c r="B13" s="64">
        <v>16.940000000000001</v>
      </c>
      <c r="C13" s="64">
        <v>43.75</v>
      </c>
      <c r="D13" s="64">
        <v>60.69</v>
      </c>
      <c r="E13" s="64">
        <v>9.31</v>
      </c>
      <c r="F13" s="64">
        <v>25.82</v>
      </c>
      <c r="G13" s="64">
        <v>74.23</v>
      </c>
      <c r="H13" s="64">
        <v>25.2</v>
      </c>
      <c r="I13" s="64">
        <v>4.1500000000000004</v>
      </c>
      <c r="J13" s="64">
        <v>0.35</v>
      </c>
      <c r="K13" s="64">
        <v>225.8</v>
      </c>
      <c r="L13" s="64">
        <v>23.24</v>
      </c>
      <c r="M13" s="64">
        <v>43.69</v>
      </c>
      <c r="N13" s="64">
        <v>65.7</v>
      </c>
      <c r="O13" s="64">
        <v>0</v>
      </c>
      <c r="P13" s="64">
        <v>0.56000000000000005</v>
      </c>
      <c r="Q13" s="64">
        <v>9.5299999999999994</v>
      </c>
      <c r="R13" s="198"/>
      <c r="S13" s="198"/>
      <c r="T13" s="198"/>
      <c r="U13" s="198"/>
    </row>
    <row r="14" spans="1:21" s="12" customFormat="1" x14ac:dyDescent="0.25">
      <c r="A14" s="247" t="s">
        <v>2169</v>
      </c>
      <c r="B14" s="64">
        <v>16.45</v>
      </c>
      <c r="C14" s="64">
        <v>52.01</v>
      </c>
      <c r="D14" s="64">
        <v>68.47</v>
      </c>
      <c r="E14" s="64">
        <v>8.76</v>
      </c>
      <c r="F14" s="64">
        <v>21.78</v>
      </c>
      <c r="G14" s="64">
        <v>74.23</v>
      </c>
      <c r="H14" s="64">
        <v>25.2</v>
      </c>
      <c r="I14" s="64">
        <v>4.05</v>
      </c>
      <c r="J14" s="64">
        <v>0.7</v>
      </c>
      <c r="K14" s="64">
        <v>160.47999999999999</v>
      </c>
      <c r="L14" s="64">
        <v>23.35</v>
      </c>
      <c r="M14" s="64">
        <v>43.29</v>
      </c>
      <c r="N14" s="64">
        <v>65.400000000000006</v>
      </c>
      <c r="O14" s="64">
        <v>0</v>
      </c>
      <c r="P14" s="64">
        <v>0.66</v>
      </c>
      <c r="Q14" s="64">
        <v>9.52</v>
      </c>
      <c r="R14" s="198"/>
      <c r="S14" s="198"/>
      <c r="T14" s="198"/>
      <c r="U14" s="198"/>
    </row>
    <row r="15" spans="1:21" s="12" customFormat="1" x14ac:dyDescent="0.25">
      <c r="A15" s="247" t="s">
        <v>2170</v>
      </c>
      <c r="B15" s="64">
        <v>23.03</v>
      </c>
      <c r="C15" s="64">
        <v>48.75</v>
      </c>
      <c r="D15" s="64">
        <v>71.78</v>
      </c>
      <c r="E15" s="64">
        <v>7.69</v>
      </c>
      <c r="F15" s="64">
        <v>20.73</v>
      </c>
      <c r="G15" s="64">
        <v>71</v>
      </c>
      <c r="H15" s="64">
        <v>24.62</v>
      </c>
      <c r="I15" s="64">
        <v>4.09</v>
      </c>
      <c r="J15" s="64">
        <v>0.83</v>
      </c>
      <c r="K15" s="64">
        <v>152.68</v>
      </c>
      <c r="L15" s="64">
        <v>23.4</v>
      </c>
      <c r="M15" s="64">
        <v>44</v>
      </c>
      <c r="N15" s="64">
        <v>65.3</v>
      </c>
      <c r="O15" s="64">
        <v>0</v>
      </c>
      <c r="P15" s="64">
        <v>0.78</v>
      </c>
      <c r="Q15" s="64">
        <v>9.5</v>
      </c>
      <c r="R15" s="198"/>
      <c r="S15" s="198"/>
      <c r="T15" s="198"/>
      <c r="U15" s="198"/>
    </row>
    <row r="16" spans="1:21" s="12" customFormat="1" x14ac:dyDescent="0.25">
      <c r="A16" s="247" t="s">
        <v>2171</v>
      </c>
      <c r="B16" s="64">
        <v>27.16</v>
      </c>
      <c r="C16" s="64">
        <v>60.21</v>
      </c>
      <c r="D16" s="64">
        <v>87.38</v>
      </c>
      <c r="E16" s="64">
        <v>6.76</v>
      </c>
      <c r="F16" s="64">
        <v>14.94</v>
      </c>
      <c r="G16" s="64">
        <v>69.22</v>
      </c>
      <c r="H16" s="64">
        <v>24.28</v>
      </c>
      <c r="I16" s="64">
        <v>4.04</v>
      </c>
      <c r="J16" s="64">
        <v>0.62</v>
      </c>
      <c r="K16" s="64">
        <v>261.01</v>
      </c>
      <c r="L16" s="64">
        <v>23.55</v>
      </c>
      <c r="M16" s="64">
        <v>45.89</v>
      </c>
      <c r="N16" s="64">
        <v>65.8</v>
      </c>
      <c r="O16" s="64">
        <v>0</v>
      </c>
      <c r="P16" s="64">
        <v>0.9</v>
      </c>
      <c r="Q16" s="64">
        <v>9.49</v>
      </c>
      <c r="R16" s="198"/>
      <c r="S16" s="198"/>
      <c r="T16" s="198"/>
      <c r="U16" s="198"/>
    </row>
    <row r="17" spans="1:21" s="12" customFormat="1" x14ac:dyDescent="0.25">
      <c r="A17" s="247" t="s">
        <v>2172</v>
      </c>
      <c r="B17" s="64">
        <v>27.5</v>
      </c>
      <c r="C17" s="64">
        <v>61.74</v>
      </c>
      <c r="D17" s="64">
        <v>89.24</v>
      </c>
      <c r="E17" s="64">
        <v>6.13</v>
      </c>
      <c r="F17" s="64">
        <v>12.5</v>
      </c>
      <c r="G17" s="64">
        <v>69.22</v>
      </c>
      <c r="H17" s="64">
        <v>24.28</v>
      </c>
      <c r="I17" s="64">
        <v>4.0599999999999996</v>
      </c>
      <c r="J17" s="64">
        <v>1.47</v>
      </c>
      <c r="K17" s="64">
        <v>330.61</v>
      </c>
      <c r="L17" s="64">
        <v>23.22</v>
      </c>
      <c r="M17" s="64">
        <v>49.27</v>
      </c>
      <c r="N17" s="64">
        <v>66.099999999999994</v>
      </c>
      <c r="O17" s="64">
        <v>0</v>
      </c>
      <c r="P17" s="64">
        <v>0.92</v>
      </c>
      <c r="Q17" s="64">
        <v>9.4600000000000009</v>
      </c>
      <c r="R17" s="198"/>
      <c r="S17" s="198"/>
      <c r="T17" s="198"/>
      <c r="U17" s="198"/>
    </row>
    <row r="18" spans="1:21" s="12" customFormat="1" x14ac:dyDescent="0.25">
      <c r="A18" s="247" t="s">
        <v>2173</v>
      </c>
      <c r="B18" s="64">
        <v>30.82</v>
      </c>
      <c r="C18" s="64">
        <v>68.45</v>
      </c>
      <c r="D18" s="64">
        <v>99.27</v>
      </c>
      <c r="E18" s="64">
        <v>5.15</v>
      </c>
      <c r="F18" s="64">
        <v>9.5299999999999994</v>
      </c>
      <c r="G18" s="64">
        <v>69.22</v>
      </c>
      <c r="H18" s="64">
        <v>24.28</v>
      </c>
      <c r="I18" s="64">
        <v>4</v>
      </c>
      <c r="J18" s="64">
        <v>2.09</v>
      </c>
      <c r="K18" s="64">
        <v>332.45</v>
      </c>
      <c r="L18" s="64">
        <v>23.08</v>
      </c>
      <c r="M18" s="64">
        <v>48.57</v>
      </c>
      <c r="N18" s="64">
        <v>65.7</v>
      </c>
      <c r="O18" s="64">
        <v>0</v>
      </c>
      <c r="P18" s="64">
        <v>1.02</v>
      </c>
      <c r="Q18" s="64">
        <v>9.44</v>
      </c>
      <c r="R18" s="198"/>
      <c r="S18" s="198"/>
      <c r="T18" s="198"/>
      <c r="U18" s="198"/>
    </row>
    <row r="19" spans="1:21" s="12" customFormat="1" x14ac:dyDescent="0.25">
      <c r="A19" s="247" t="s">
        <v>2174</v>
      </c>
      <c r="B19" s="64">
        <v>27.03</v>
      </c>
      <c r="C19" s="64">
        <v>64.5</v>
      </c>
      <c r="D19" s="64">
        <v>91.54</v>
      </c>
      <c r="E19" s="64">
        <v>6.52</v>
      </c>
      <c r="F19" s="64">
        <v>10.01</v>
      </c>
      <c r="G19" s="64">
        <v>70.42</v>
      </c>
      <c r="H19" s="64">
        <v>22.51</v>
      </c>
      <c r="I19" s="64">
        <v>4.05</v>
      </c>
      <c r="J19" s="64">
        <v>1.98</v>
      </c>
      <c r="K19" s="64">
        <v>338.56</v>
      </c>
      <c r="L19" s="64">
        <v>23.14</v>
      </c>
      <c r="M19" s="64">
        <v>47.99</v>
      </c>
      <c r="N19" s="64">
        <v>66.099999999999994</v>
      </c>
      <c r="O19" s="64">
        <v>0</v>
      </c>
      <c r="P19" s="64">
        <v>1</v>
      </c>
      <c r="Q19" s="64">
        <v>9.44</v>
      </c>
      <c r="R19" s="198"/>
      <c r="S19" s="198"/>
      <c r="T19" s="198"/>
      <c r="U19" s="198"/>
    </row>
    <row r="20" spans="1:21" s="12" customFormat="1" x14ac:dyDescent="0.25">
      <c r="A20" s="247" t="s">
        <v>2175</v>
      </c>
      <c r="B20" s="64">
        <v>25.15</v>
      </c>
      <c r="C20" s="64">
        <v>71.510000000000005</v>
      </c>
      <c r="D20" s="64">
        <v>96.66</v>
      </c>
      <c r="E20" s="64">
        <v>8.8000000000000007</v>
      </c>
      <c r="F20" s="64">
        <v>7.23</v>
      </c>
      <c r="G20" s="64">
        <v>71.08</v>
      </c>
      <c r="H20" s="64">
        <v>21.48</v>
      </c>
      <c r="I20" s="64">
        <v>4.26</v>
      </c>
      <c r="J20" s="64">
        <v>1.93</v>
      </c>
      <c r="K20" s="64">
        <v>352.41</v>
      </c>
      <c r="L20" s="64">
        <v>22.83</v>
      </c>
      <c r="M20" s="64">
        <v>48.51</v>
      </c>
      <c r="N20" s="64">
        <v>66.400000000000006</v>
      </c>
      <c r="O20" s="64">
        <v>0</v>
      </c>
      <c r="P20" s="64">
        <v>1</v>
      </c>
      <c r="Q20" s="64">
        <v>9.42</v>
      </c>
      <c r="R20" s="198"/>
      <c r="S20" s="198"/>
      <c r="T20" s="198"/>
      <c r="U20" s="198"/>
    </row>
    <row r="21" spans="1:21" s="12" customFormat="1" x14ac:dyDescent="0.25">
      <c r="A21" s="247" t="s">
        <v>2176</v>
      </c>
      <c r="B21" s="64">
        <v>18.829999999999998</v>
      </c>
      <c r="C21" s="64">
        <v>69.92</v>
      </c>
      <c r="D21" s="64">
        <v>88.75</v>
      </c>
      <c r="E21" s="64">
        <v>15.06</v>
      </c>
      <c r="F21" s="64">
        <v>8.9</v>
      </c>
      <c r="G21" s="64">
        <v>71.08</v>
      </c>
      <c r="H21" s="64">
        <v>21.48</v>
      </c>
      <c r="I21" s="64">
        <v>4.12</v>
      </c>
      <c r="J21" s="64">
        <v>1.72</v>
      </c>
      <c r="K21" s="64">
        <v>359.98</v>
      </c>
      <c r="L21" s="64">
        <v>22.76</v>
      </c>
      <c r="M21" s="64">
        <v>46.99</v>
      </c>
      <c r="N21" s="64">
        <v>66.2</v>
      </c>
      <c r="O21" s="64">
        <v>0</v>
      </c>
      <c r="P21" s="64">
        <v>0.95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47" t="s">
        <v>2177</v>
      </c>
      <c r="B22" s="64">
        <v>17.62</v>
      </c>
      <c r="C22" s="64">
        <v>68.94</v>
      </c>
      <c r="D22" s="64">
        <v>86.56</v>
      </c>
      <c r="E22" s="64">
        <v>15.06</v>
      </c>
      <c r="F22" s="64">
        <v>9.4600000000000009</v>
      </c>
      <c r="G22" s="64">
        <v>71.08</v>
      </c>
      <c r="H22" s="64">
        <v>21.48</v>
      </c>
      <c r="I22" s="64">
        <v>3.89</v>
      </c>
      <c r="J22" s="64">
        <v>2.09</v>
      </c>
      <c r="K22" s="64">
        <v>356.56</v>
      </c>
      <c r="L22" s="64">
        <v>22.55</v>
      </c>
      <c r="M22" s="64">
        <v>47.91</v>
      </c>
      <c r="N22" s="64">
        <v>66.2</v>
      </c>
      <c r="O22" s="64">
        <v>0</v>
      </c>
      <c r="P22" s="64">
        <v>0.94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47" t="s">
        <v>2178</v>
      </c>
      <c r="B23" s="64">
        <v>17.66</v>
      </c>
      <c r="C23" s="64">
        <v>76.42</v>
      </c>
      <c r="D23" s="64">
        <v>94.08</v>
      </c>
      <c r="E23" s="64">
        <v>24.22</v>
      </c>
      <c r="F23" s="64">
        <v>8.76</v>
      </c>
      <c r="G23" s="64">
        <v>82.28</v>
      </c>
      <c r="H23" s="64">
        <v>24.36</v>
      </c>
      <c r="I23" s="64">
        <v>4.08</v>
      </c>
      <c r="J23" s="64">
        <v>1.83</v>
      </c>
      <c r="K23" s="64">
        <v>3.17</v>
      </c>
      <c r="L23" s="64">
        <v>22.36</v>
      </c>
      <c r="M23" s="64">
        <v>48.39</v>
      </c>
      <c r="N23" s="64">
        <v>65.900000000000006</v>
      </c>
      <c r="O23" s="64">
        <v>0</v>
      </c>
      <c r="P23" s="64">
        <v>0.94</v>
      </c>
      <c r="Q23" s="64">
        <v>9.3800000000000008</v>
      </c>
      <c r="R23" s="198"/>
      <c r="S23" s="198"/>
      <c r="T23" s="198"/>
      <c r="U23" s="198"/>
    </row>
    <row r="24" spans="1:21" s="12" customFormat="1" x14ac:dyDescent="0.25">
      <c r="A24" s="247" t="s">
        <v>2179</v>
      </c>
      <c r="B24" s="64">
        <v>17.11</v>
      </c>
      <c r="C24" s="64">
        <v>78.89</v>
      </c>
      <c r="D24" s="64">
        <v>96</v>
      </c>
      <c r="E24" s="64">
        <v>16.13</v>
      </c>
      <c r="F24" s="64">
        <v>8.86</v>
      </c>
      <c r="G24" s="64">
        <v>88.46</v>
      </c>
      <c r="H24" s="64">
        <v>26.03</v>
      </c>
      <c r="I24" s="64">
        <v>4.1100000000000003</v>
      </c>
      <c r="J24" s="64">
        <v>1.0900000000000001</v>
      </c>
      <c r="K24" s="64">
        <v>355.71</v>
      </c>
      <c r="L24" s="64">
        <v>22.23</v>
      </c>
      <c r="M24" s="64">
        <v>49</v>
      </c>
      <c r="N24" s="64">
        <v>66</v>
      </c>
      <c r="O24" s="64">
        <v>0</v>
      </c>
      <c r="P24" s="64">
        <v>0.95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47" t="s">
        <v>2180</v>
      </c>
      <c r="B25" s="64">
        <v>16.079999999999998</v>
      </c>
      <c r="C25" s="64">
        <v>80.56</v>
      </c>
      <c r="D25" s="64">
        <v>96.63</v>
      </c>
      <c r="E25" s="64">
        <v>21.84</v>
      </c>
      <c r="F25" s="64">
        <v>9.73</v>
      </c>
      <c r="G25" s="64">
        <v>88.46</v>
      </c>
      <c r="H25" s="64">
        <v>26.03</v>
      </c>
      <c r="I25" s="64">
        <v>4.0599999999999996</v>
      </c>
      <c r="J25" s="64">
        <v>1.05</v>
      </c>
      <c r="K25" s="64">
        <v>0.4</v>
      </c>
      <c r="L25" s="64">
        <v>22.02</v>
      </c>
      <c r="M25" s="64">
        <v>49.84</v>
      </c>
      <c r="N25" s="64">
        <v>66</v>
      </c>
      <c r="O25" s="64">
        <v>0</v>
      </c>
      <c r="P25" s="64">
        <v>0.97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47" t="s">
        <v>2181</v>
      </c>
      <c r="B26" s="64">
        <v>15.25</v>
      </c>
      <c r="C26" s="64">
        <v>69.44</v>
      </c>
      <c r="D26" s="64">
        <v>84.68</v>
      </c>
      <c r="E26" s="64">
        <v>20.95</v>
      </c>
      <c r="F26" s="64">
        <v>11.95</v>
      </c>
      <c r="G26" s="64">
        <v>88.46</v>
      </c>
      <c r="H26" s="64">
        <v>26.03</v>
      </c>
      <c r="I26" s="64">
        <v>3.95</v>
      </c>
      <c r="J26" s="64">
        <v>1.1200000000000001</v>
      </c>
      <c r="K26" s="64">
        <v>4.71</v>
      </c>
      <c r="L26" s="64">
        <v>21.95</v>
      </c>
      <c r="M26" s="64">
        <v>49.74</v>
      </c>
      <c r="N26" s="64">
        <v>65.8</v>
      </c>
      <c r="O26" s="64">
        <v>0</v>
      </c>
      <c r="P26" s="64">
        <v>0.9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47" t="s">
        <v>2182</v>
      </c>
      <c r="B27" s="64">
        <v>15.17</v>
      </c>
      <c r="C27" s="64">
        <v>64.62</v>
      </c>
      <c r="D27" s="64">
        <v>79.8</v>
      </c>
      <c r="E27" s="64">
        <v>20.56</v>
      </c>
      <c r="F27" s="64">
        <v>15.1</v>
      </c>
      <c r="G27" s="64">
        <v>94.58</v>
      </c>
      <c r="H27" s="64">
        <v>27.57</v>
      </c>
      <c r="I27" s="64">
        <v>3.97</v>
      </c>
      <c r="J27" s="64">
        <v>1.1299999999999999</v>
      </c>
      <c r="K27" s="64">
        <v>11.43</v>
      </c>
      <c r="L27" s="64">
        <v>21.85</v>
      </c>
      <c r="M27" s="64">
        <v>51.1</v>
      </c>
      <c r="N27" s="64">
        <v>66</v>
      </c>
      <c r="O27" s="64">
        <v>0</v>
      </c>
      <c r="P27" s="64">
        <v>0.85</v>
      </c>
      <c r="Q27" s="64">
        <v>9.41</v>
      </c>
      <c r="R27" s="198"/>
      <c r="S27" s="198"/>
      <c r="T27" s="198"/>
      <c r="U27" s="198"/>
    </row>
    <row r="28" spans="1:21" s="12" customFormat="1" x14ac:dyDescent="0.25">
      <c r="A28" s="247" t="s">
        <v>2183</v>
      </c>
      <c r="B28" s="64">
        <v>16.03</v>
      </c>
      <c r="C28" s="64">
        <v>64.56</v>
      </c>
      <c r="D28" s="64">
        <v>80.59</v>
      </c>
      <c r="E28" s="64">
        <v>19.8</v>
      </c>
      <c r="F28" s="64">
        <v>15.17</v>
      </c>
      <c r="G28" s="64">
        <v>97.95</v>
      </c>
      <c r="H28" s="64">
        <v>28.47</v>
      </c>
      <c r="I28" s="64">
        <v>3.86</v>
      </c>
      <c r="J28" s="64">
        <v>0.73</v>
      </c>
      <c r="K28" s="64">
        <v>24.55</v>
      </c>
      <c r="L28" s="64">
        <v>21.59</v>
      </c>
      <c r="M28" s="64">
        <v>52.23</v>
      </c>
      <c r="N28" s="64">
        <v>65.900000000000006</v>
      </c>
      <c r="O28" s="64">
        <v>0</v>
      </c>
      <c r="P28" s="64">
        <v>0.84</v>
      </c>
      <c r="Q28" s="64">
        <v>9.4</v>
      </c>
      <c r="R28" s="198"/>
      <c r="S28" s="198"/>
      <c r="T28" s="198"/>
      <c r="U28" s="198"/>
    </row>
    <row r="29" spans="1:21" s="12" customFormat="1" x14ac:dyDescent="0.25">
      <c r="A29" s="247" t="s">
        <v>2184</v>
      </c>
      <c r="B29" s="64">
        <v>14.92</v>
      </c>
      <c r="C29" s="64">
        <v>61.22</v>
      </c>
      <c r="D29" s="64">
        <v>76.14</v>
      </c>
      <c r="E29" s="64">
        <v>14.55</v>
      </c>
      <c r="F29" s="64">
        <v>14.29</v>
      </c>
      <c r="G29" s="64">
        <v>97.95</v>
      </c>
      <c r="H29" s="64">
        <v>28.47</v>
      </c>
      <c r="I29" s="64">
        <v>3.94</v>
      </c>
      <c r="J29" s="64">
        <v>0.53</v>
      </c>
      <c r="K29" s="64">
        <v>38.159999999999997</v>
      </c>
      <c r="L29" s="64">
        <v>21.35</v>
      </c>
      <c r="M29" s="64">
        <v>53.46</v>
      </c>
      <c r="N29" s="64">
        <v>66</v>
      </c>
      <c r="O29" s="64">
        <v>0</v>
      </c>
      <c r="P29" s="64">
        <v>0.82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47" t="s">
        <v>2185</v>
      </c>
      <c r="B30" s="64">
        <v>14.94</v>
      </c>
      <c r="C30" s="64">
        <v>60.88</v>
      </c>
      <c r="D30" s="64">
        <v>75.819999999999993</v>
      </c>
      <c r="E30" s="64">
        <v>12.83</v>
      </c>
      <c r="F30" s="64">
        <v>11.48</v>
      </c>
      <c r="G30" s="64">
        <v>97.95</v>
      </c>
      <c r="H30" s="64">
        <v>28.47</v>
      </c>
      <c r="I30" s="64">
        <v>4.05</v>
      </c>
      <c r="J30" s="64">
        <v>1.1100000000000001</v>
      </c>
      <c r="K30" s="64">
        <v>95.73</v>
      </c>
      <c r="L30" s="64">
        <v>21.14</v>
      </c>
      <c r="M30" s="64">
        <v>55.29</v>
      </c>
      <c r="N30" s="64">
        <v>65.7</v>
      </c>
      <c r="O30" s="64">
        <v>0</v>
      </c>
      <c r="P30" s="64">
        <v>0.82</v>
      </c>
      <c r="Q30" s="64">
        <v>9.39</v>
      </c>
      <c r="R30" s="198"/>
      <c r="S30" s="198"/>
      <c r="T30" s="198"/>
      <c r="U30" s="198"/>
    </row>
    <row r="31" spans="1:21" s="12" customFormat="1" x14ac:dyDescent="0.25">
      <c r="A31" s="247" t="s">
        <v>2186</v>
      </c>
      <c r="B31" s="64">
        <v>11.29</v>
      </c>
      <c r="C31" s="64">
        <v>56.88</v>
      </c>
      <c r="D31" s="64">
        <v>68.17</v>
      </c>
      <c r="E31" s="64">
        <v>9.86</v>
      </c>
      <c r="F31" s="64">
        <v>14.83</v>
      </c>
      <c r="G31" s="64">
        <v>89.6</v>
      </c>
      <c r="H31" s="64">
        <v>29.21</v>
      </c>
      <c r="I31" s="64">
        <v>4.1399999999999997</v>
      </c>
      <c r="J31" s="64">
        <v>0.9</v>
      </c>
      <c r="K31" s="64">
        <v>91.56</v>
      </c>
      <c r="L31" s="64">
        <v>21.01</v>
      </c>
      <c r="M31" s="64">
        <v>57.66</v>
      </c>
      <c r="N31" s="64">
        <v>65.900000000000006</v>
      </c>
      <c r="O31" s="64">
        <v>0</v>
      </c>
      <c r="P31" s="64">
        <v>0.82</v>
      </c>
      <c r="Q31" s="64">
        <v>9.3800000000000008</v>
      </c>
      <c r="R31" s="198"/>
      <c r="S31" s="198"/>
      <c r="T31" s="198"/>
      <c r="U31" s="198"/>
    </row>
    <row r="32" spans="1:21" s="12" customFormat="1" x14ac:dyDescent="0.25">
      <c r="A32" s="247" t="s">
        <v>2187</v>
      </c>
      <c r="B32" s="64">
        <v>9.61</v>
      </c>
      <c r="C32" s="64">
        <v>54.07</v>
      </c>
      <c r="D32" s="64">
        <v>63.68</v>
      </c>
      <c r="E32" s="64">
        <v>9.7799999999999994</v>
      </c>
      <c r="F32" s="64">
        <v>16.010000000000002</v>
      </c>
      <c r="G32" s="64">
        <v>84.99</v>
      </c>
      <c r="H32" s="64">
        <v>29.63</v>
      </c>
      <c r="I32" s="64">
        <v>4.07</v>
      </c>
      <c r="J32" s="64">
        <v>1.1299999999999999</v>
      </c>
      <c r="K32" s="64">
        <v>98.59</v>
      </c>
      <c r="L32" s="64">
        <v>20.84</v>
      </c>
      <c r="M32" s="64">
        <v>60.09</v>
      </c>
      <c r="N32" s="64">
        <v>66.599999999999994</v>
      </c>
      <c r="O32" s="64">
        <v>0</v>
      </c>
      <c r="P32" s="64">
        <v>0.81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47" t="s">
        <v>2188</v>
      </c>
      <c r="B33" s="64">
        <v>11.76</v>
      </c>
      <c r="C33" s="64">
        <v>57.57</v>
      </c>
      <c r="D33" s="64">
        <v>69.34</v>
      </c>
      <c r="E33" s="64">
        <v>8.44</v>
      </c>
      <c r="F33" s="64">
        <v>12.06</v>
      </c>
      <c r="G33" s="64">
        <v>84.99</v>
      </c>
      <c r="H33" s="64">
        <v>29.63</v>
      </c>
      <c r="I33" s="64">
        <v>4.04</v>
      </c>
      <c r="J33" s="64">
        <v>1.45</v>
      </c>
      <c r="K33" s="64">
        <v>99.03</v>
      </c>
      <c r="L33" s="64">
        <v>20.71</v>
      </c>
      <c r="M33" s="64">
        <v>62.83</v>
      </c>
      <c r="N33" s="64">
        <v>71.099999999999994</v>
      </c>
      <c r="O33" s="64">
        <v>0</v>
      </c>
      <c r="P33" s="64">
        <v>0.84</v>
      </c>
      <c r="Q33" s="64">
        <v>9.33</v>
      </c>
      <c r="R33" s="198"/>
      <c r="S33" s="198"/>
      <c r="T33" s="198"/>
      <c r="U33" s="198"/>
    </row>
    <row r="34" spans="1:21" s="12" customFormat="1" x14ac:dyDescent="0.25">
      <c r="A34" s="247" t="s">
        <v>2189</v>
      </c>
      <c r="B34" s="64">
        <v>12.88</v>
      </c>
      <c r="C34" s="64">
        <v>67.73</v>
      </c>
      <c r="D34" s="64">
        <v>80.61</v>
      </c>
      <c r="E34" s="64">
        <v>6.72</v>
      </c>
      <c r="F34" s="64">
        <v>7.5</v>
      </c>
      <c r="G34" s="64">
        <v>84.99</v>
      </c>
      <c r="H34" s="64">
        <v>29.63</v>
      </c>
      <c r="I34" s="64">
        <v>4.09</v>
      </c>
      <c r="J34" s="64">
        <v>2.14</v>
      </c>
      <c r="K34" s="64">
        <v>95.4</v>
      </c>
      <c r="L34" s="64">
        <v>45.25</v>
      </c>
      <c r="M34" s="64">
        <v>64.53</v>
      </c>
      <c r="N34" s="64">
        <v>81.7</v>
      </c>
      <c r="O34" s="64">
        <v>0</v>
      </c>
      <c r="P34" s="64">
        <v>0.86</v>
      </c>
      <c r="Q34" s="64">
        <v>0</v>
      </c>
      <c r="R34" s="198"/>
      <c r="S34" s="198"/>
      <c r="T34" s="198"/>
      <c r="U34" s="198"/>
    </row>
    <row r="35" spans="1:21" s="12" customFormat="1" x14ac:dyDescent="0.25">
      <c r="A35" s="247" t="s">
        <v>2190</v>
      </c>
      <c r="B35" s="64">
        <v>11.59</v>
      </c>
      <c r="C35" s="64">
        <v>65.66</v>
      </c>
      <c r="D35" s="64">
        <v>77.25</v>
      </c>
      <c r="E35" s="64">
        <v>7.76</v>
      </c>
      <c r="F35" s="64">
        <v>8.86</v>
      </c>
      <c r="G35" s="64">
        <v>85.64</v>
      </c>
      <c r="H35" s="64">
        <v>28.11</v>
      </c>
      <c r="I35" s="64">
        <v>4.03</v>
      </c>
      <c r="J35" s="64">
        <v>1.21</v>
      </c>
      <c r="K35" s="64">
        <v>83.02</v>
      </c>
      <c r="L35" s="64">
        <v>20.83</v>
      </c>
      <c r="M35" s="64">
        <v>64.91</v>
      </c>
      <c r="N35" s="64">
        <v>100</v>
      </c>
      <c r="O35" s="64">
        <v>0</v>
      </c>
      <c r="P35" s="64">
        <v>0.86</v>
      </c>
      <c r="Q35" s="64">
        <v>0</v>
      </c>
      <c r="R35" s="198"/>
      <c r="S35" s="198"/>
      <c r="T35" s="198"/>
      <c r="U35" s="198"/>
    </row>
    <row r="36" spans="1:21" s="12" customFormat="1" x14ac:dyDescent="0.25">
      <c r="A36" s="247" t="s">
        <v>2191</v>
      </c>
      <c r="B36" s="64">
        <v>10.8</v>
      </c>
      <c r="C36" s="64">
        <v>66.400000000000006</v>
      </c>
      <c r="D36" s="64">
        <v>77.2</v>
      </c>
      <c r="E36" s="64">
        <v>5.64</v>
      </c>
      <c r="F36" s="64">
        <v>7.53</v>
      </c>
      <c r="G36" s="64">
        <v>85.64</v>
      </c>
      <c r="H36" s="64">
        <v>28.11</v>
      </c>
      <c r="I36" s="64">
        <v>3.96</v>
      </c>
      <c r="J36" s="64">
        <v>1.97</v>
      </c>
      <c r="K36" s="64">
        <v>101.9</v>
      </c>
      <c r="L36" s="64">
        <v>20.83</v>
      </c>
      <c r="M36" s="64">
        <v>64.989999999999995</v>
      </c>
      <c r="N36" s="64">
        <v>114.4</v>
      </c>
      <c r="O36" s="64">
        <v>0</v>
      </c>
      <c r="P36" s="64">
        <v>0.84</v>
      </c>
      <c r="Q36" s="64">
        <v>9.17</v>
      </c>
      <c r="R36" s="198"/>
      <c r="S36" s="198"/>
      <c r="T36" s="198"/>
      <c r="U36" s="198"/>
    </row>
    <row r="37" spans="1:21" s="12" customFormat="1" x14ac:dyDescent="0.25">
      <c r="A37" s="247" t="s">
        <v>2192</v>
      </c>
      <c r="B37" s="64">
        <v>9.41</v>
      </c>
      <c r="C37" s="64">
        <v>66.040000000000006</v>
      </c>
      <c r="D37" s="64">
        <v>75.45</v>
      </c>
      <c r="E37" s="64">
        <v>5.37</v>
      </c>
      <c r="F37" s="64">
        <v>8.6999999999999993</v>
      </c>
      <c r="G37" s="64">
        <v>85.64</v>
      </c>
      <c r="H37" s="64">
        <v>28.11</v>
      </c>
      <c r="I37" s="64">
        <v>3.87</v>
      </c>
      <c r="J37" s="64">
        <v>1.19</v>
      </c>
      <c r="K37" s="64">
        <v>93.67</v>
      </c>
      <c r="L37" s="64">
        <v>20.95</v>
      </c>
      <c r="M37" s="64">
        <v>63.88</v>
      </c>
      <c r="N37" s="64">
        <v>131.5</v>
      </c>
      <c r="O37" s="64">
        <v>0</v>
      </c>
      <c r="P37" s="64">
        <v>0.83</v>
      </c>
      <c r="Q37" s="64">
        <v>9.1300000000000008</v>
      </c>
      <c r="R37" s="198"/>
      <c r="S37" s="198"/>
      <c r="T37" s="198"/>
      <c r="U37" s="198"/>
    </row>
    <row r="38" spans="1:21" s="12" customFormat="1" x14ac:dyDescent="0.25">
      <c r="A38" s="247" t="s">
        <v>2193</v>
      </c>
      <c r="B38" s="64">
        <v>8.27</v>
      </c>
      <c r="C38" s="64">
        <v>65.36</v>
      </c>
      <c r="D38" s="64">
        <v>73.63</v>
      </c>
      <c r="E38" s="64">
        <v>4.78</v>
      </c>
      <c r="F38" s="64">
        <v>7.75</v>
      </c>
      <c r="G38" s="64">
        <v>85.64</v>
      </c>
      <c r="H38" s="64">
        <v>28.11</v>
      </c>
      <c r="I38" s="64">
        <v>4.07</v>
      </c>
      <c r="J38" s="64">
        <v>0.82</v>
      </c>
      <c r="K38" s="64">
        <v>157.32</v>
      </c>
      <c r="L38" s="64">
        <v>21.14</v>
      </c>
      <c r="M38" s="64">
        <v>63.07</v>
      </c>
      <c r="N38" s="64">
        <v>166.5</v>
      </c>
      <c r="O38" s="64">
        <v>0</v>
      </c>
      <c r="P38" s="64">
        <v>0.88</v>
      </c>
      <c r="Q38" s="64">
        <v>9.11</v>
      </c>
      <c r="R38" s="198"/>
      <c r="S38" s="198"/>
      <c r="T38" s="198"/>
      <c r="U38" s="198"/>
    </row>
    <row r="39" spans="1:21" s="12" customFormat="1" x14ac:dyDescent="0.25">
      <c r="A39" s="247" t="s">
        <v>2194</v>
      </c>
      <c r="B39" s="64">
        <v>7.71</v>
      </c>
      <c r="C39" s="64">
        <v>65.849999999999994</v>
      </c>
      <c r="D39" s="64">
        <v>73.55</v>
      </c>
      <c r="E39" s="64">
        <v>4.38</v>
      </c>
      <c r="F39" s="64">
        <v>8.1999999999999993</v>
      </c>
      <c r="G39" s="64">
        <v>83.4</v>
      </c>
      <c r="H39" s="64">
        <v>28.34</v>
      </c>
      <c r="I39" s="64">
        <v>4.08</v>
      </c>
      <c r="J39" s="64">
        <v>0.97</v>
      </c>
      <c r="K39" s="64">
        <v>163.35</v>
      </c>
      <c r="L39" s="64">
        <v>21.68</v>
      </c>
      <c r="M39" s="64">
        <v>61.25</v>
      </c>
      <c r="N39" s="64">
        <v>179.3</v>
      </c>
      <c r="O39" s="64">
        <v>0</v>
      </c>
      <c r="P39" s="64">
        <v>0.87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47" t="s">
        <v>2195</v>
      </c>
      <c r="B40" s="64">
        <v>7.14</v>
      </c>
      <c r="C40" s="64">
        <v>65.97</v>
      </c>
      <c r="D40" s="64">
        <v>73.11</v>
      </c>
      <c r="E40" s="64">
        <v>2.46</v>
      </c>
      <c r="F40" s="64">
        <v>7.97</v>
      </c>
      <c r="G40" s="64">
        <v>82.16</v>
      </c>
      <c r="H40" s="64">
        <v>28.47</v>
      </c>
      <c r="I40" s="64">
        <v>4.07</v>
      </c>
      <c r="J40" s="64">
        <v>0.77</v>
      </c>
      <c r="K40" s="64">
        <v>145.30000000000001</v>
      </c>
      <c r="L40" s="64">
        <v>21.87</v>
      </c>
      <c r="M40" s="64">
        <v>60.99</v>
      </c>
      <c r="N40" s="64">
        <v>187.4</v>
      </c>
      <c r="O40" s="64">
        <v>0</v>
      </c>
      <c r="P40" s="64">
        <v>0.87</v>
      </c>
      <c r="Q40" s="64">
        <v>9.0500000000000007</v>
      </c>
      <c r="R40" s="198"/>
      <c r="S40" s="198"/>
      <c r="T40" s="198"/>
      <c r="U40" s="198"/>
    </row>
    <row r="41" spans="1:21" s="12" customFormat="1" x14ac:dyDescent="0.25">
      <c r="A41" s="247" t="s">
        <v>2196</v>
      </c>
      <c r="B41" s="64">
        <v>6.82</v>
      </c>
      <c r="C41" s="64">
        <v>65.260000000000005</v>
      </c>
      <c r="D41" s="64">
        <v>72.069999999999993</v>
      </c>
      <c r="E41" s="64">
        <v>4.6900000000000004</v>
      </c>
      <c r="F41" s="64">
        <v>9.0399999999999991</v>
      </c>
      <c r="G41" s="64">
        <v>82.16</v>
      </c>
      <c r="H41" s="64">
        <v>28.47</v>
      </c>
      <c r="I41" s="64">
        <v>4</v>
      </c>
      <c r="J41" s="64">
        <v>1.2</v>
      </c>
      <c r="K41" s="64">
        <v>167.26</v>
      </c>
      <c r="L41" s="64">
        <v>22.51</v>
      </c>
      <c r="M41" s="64">
        <v>58.28</v>
      </c>
      <c r="N41" s="64">
        <v>285.8</v>
      </c>
      <c r="O41" s="64">
        <v>0</v>
      </c>
      <c r="P41" s="64">
        <v>0.87</v>
      </c>
      <c r="Q41" s="64">
        <v>9.0299999999999994</v>
      </c>
      <c r="R41" s="198"/>
      <c r="S41" s="198"/>
      <c r="T41" s="198"/>
      <c r="U41" s="198"/>
    </row>
    <row r="42" spans="1:21" s="12" customFormat="1" x14ac:dyDescent="0.25">
      <c r="A42" s="247" t="s">
        <v>2197</v>
      </c>
      <c r="B42" s="64">
        <v>6.44</v>
      </c>
      <c r="C42" s="64">
        <v>65.13</v>
      </c>
      <c r="D42" s="64">
        <v>71.569999999999993</v>
      </c>
      <c r="E42" s="64">
        <v>3.56</v>
      </c>
      <c r="F42" s="64">
        <v>7.11</v>
      </c>
      <c r="G42" s="64">
        <v>82.16</v>
      </c>
      <c r="H42" s="64">
        <v>28.47</v>
      </c>
      <c r="I42" s="64">
        <v>3.92</v>
      </c>
      <c r="J42" s="64">
        <v>1.26</v>
      </c>
      <c r="K42" s="64">
        <v>171.7</v>
      </c>
      <c r="L42" s="64">
        <v>22.97</v>
      </c>
      <c r="M42" s="64">
        <v>56.95</v>
      </c>
      <c r="N42" s="64">
        <v>263.39999999999998</v>
      </c>
      <c r="O42" s="64">
        <v>0</v>
      </c>
      <c r="P42" s="64">
        <v>0.87</v>
      </c>
      <c r="Q42" s="64">
        <v>9.01</v>
      </c>
      <c r="R42" s="198"/>
      <c r="S42" s="198"/>
      <c r="T42" s="198"/>
      <c r="U42" s="198"/>
    </row>
    <row r="43" spans="1:21" s="12" customFormat="1" x14ac:dyDescent="0.25">
      <c r="A43" s="247" t="s">
        <v>2198</v>
      </c>
      <c r="B43" s="64">
        <v>5.92</v>
      </c>
      <c r="C43" s="64">
        <v>65.69</v>
      </c>
      <c r="D43" s="64">
        <v>71.61</v>
      </c>
      <c r="E43" s="64">
        <v>4.26</v>
      </c>
      <c r="F43" s="64">
        <v>9.6300000000000008</v>
      </c>
      <c r="G43" s="64">
        <v>80.7</v>
      </c>
      <c r="H43" s="64">
        <v>29.64</v>
      </c>
      <c r="I43" s="64">
        <v>4.0199999999999996</v>
      </c>
      <c r="J43" s="64">
        <v>1.03</v>
      </c>
      <c r="K43" s="64">
        <v>167.47</v>
      </c>
      <c r="L43" s="64">
        <v>23.18</v>
      </c>
      <c r="M43" s="64">
        <v>55.82</v>
      </c>
      <c r="N43" s="64">
        <v>328.7</v>
      </c>
      <c r="O43" s="64">
        <v>0</v>
      </c>
      <c r="P43" s="64">
        <v>0.87</v>
      </c>
      <c r="Q43" s="64">
        <v>9</v>
      </c>
      <c r="R43" s="198"/>
      <c r="S43" s="198"/>
      <c r="T43" s="198"/>
      <c r="U43" s="198"/>
    </row>
    <row r="44" spans="1:21" s="12" customFormat="1" x14ac:dyDescent="0.25">
      <c r="A44" s="247" t="s">
        <v>2199</v>
      </c>
      <c r="B44" s="64">
        <v>7.31</v>
      </c>
      <c r="C44" s="64">
        <v>64.400000000000006</v>
      </c>
      <c r="D44" s="64">
        <v>71.72</v>
      </c>
      <c r="E44" s="64">
        <v>6.29</v>
      </c>
      <c r="F44" s="64">
        <v>13.07</v>
      </c>
      <c r="G44" s="64">
        <v>79.900000000000006</v>
      </c>
      <c r="H44" s="64">
        <v>30.32</v>
      </c>
      <c r="I44" s="64">
        <v>4.05</v>
      </c>
      <c r="J44" s="64">
        <v>0.74</v>
      </c>
      <c r="K44" s="64">
        <v>156.13</v>
      </c>
      <c r="L44" s="64">
        <v>24.65</v>
      </c>
      <c r="M44" s="64">
        <v>50.73</v>
      </c>
      <c r="N44" s="64">
        <v>432.2</v>
      </c>
      <c r="O44" s="64">
        <v>0</v>
      </c>
      <c r="P44" s="64">
        <v>0.9</v>
      </c>
      <c r="Q44" s="64">
        <v>8.98</v>
      </c>
      <c r="R44" s="198"/>
      <c r="S44" s="198"/>
      <c r="T44" s="198"/>
      <c r="U44" s="198"/>
    </row>
    <row r="45" spans="1:21" s="12" customFormat="1" x14ac:dyDescent="0.25">
      <c r="A45" s="247" t="s">
        <v>2200</v>
      </c>
      <c r="B45" s="64">
        <v>6.1</v>
      </c>
      <c r="C45" s="64">
        <v>61.48</v>
      </c>
      <c r="D45" s="64">
        <v>67.58</v>
      </c>
      <c r="E45" s="64">
        <v>7.38</v>
      </c>
      <c r="F45" s="64">
        <v>16.34</v>
      </c>
      <c r="G45" s="64">
        <v>79.900000000000006</v>
      </c>
      <c r="H45" s="64">
        <v>30.32</v>
      </c>
      <c r="I45" s="64">
        <v>3.96</v>
      </c>
      <c r="J45" s="64">
        <v>1.35</v>
      </c>
      <c r="K45" s="64">
        <v>145.25</v>
      </c>
      <c r="L45" s="64">
        <v>25.55</v>
      </c>
      <c r="M45" s="64">
        <v>47.7</v>
      </c>
      <c r="N45" s="64">
        <v>507.3</v>
      </c>
      <c r="O45" s="64">
        <v>0</v>
      </c>
      <c r="P45" s="64">
        <v>0.85</v>
      </c>
      <c r="Q45" s="64">
        <v>8.9700000000000006</v>
      </c>
      <c r="R45" s="198"/>
      <c r="S45" s="198"/>
      <c r="T45" s="198"/>
      <c r="U45" s="198"/>
    </row>
    <row r="46" spans="1:21" s="12" customFormat="1" x14ac:dyDescent="0.25">
      <c r="A46" s="247" t="s">
        <v>2201</v>
      </c>
      <c r="B46" s="64">
        <v>6.1</v>
      </c>
      <c r="C46" s="64">
        <v>62.79</v>
      </c>
      <c r="D46" s="64">
        <v>68.89</v>
      </c>
      <c r="E46" s="64">
        <v>6.47</v>
      </c>
      <c r="F46" s="64">
        <v>10.39</v>
      </c>
      <c r="G46" s="64">
        <v>79.900000000000006</v>
      </c>
      <c r="H46" s="64">
        <v>30.32</v>
      </c>
      <c r="I46" s="64">
        <v>3.84</v>
      </c>
      <c r="J46" s="64">
        <v>0.85</v>
      </c>
      <c r="K46" s="64">
        <v>253.97</v>
      </c>
      <c r="L46" s="64">
        <v>27.05</v>
      </c>
      <c r="M46" s="64">
        <v>43.9</v>
      </c>
      <c r="N46" s="64">
        <v>522.4</v>
      </c>
      <c r="O46" s="64">
        <v>0</v>
      </c>
      <c r="P46" s="64">
        <v>0.85</v>
      </c>
      <c r="Q46" s="64">
        <v>8.9600000000000009</v>
      </c>
      <c r="R46" s="198"/>
      <c r="S46" s="198"/>
      <c r="T46" s="198"/>
      <c r="U46" s="198"/>
    </row>
    <row r="47" spans="1:21" s="12" customFormat="1" x14ac:dyDescent="0.25">
      <c r="A47" s="247" t="s">
        <v>2202</v>
      </c>
      <c r="B47" s="64">
        <v>5.33</v>
      </c>
      <c r="C47" s="64">
        <v>63.27</v>
      </c>
      <c r="D47" s="64">
        <v>68.599999999999994</v>
      </c>
      <c r="E47" s="64">
        <v>6.32</v>
      </c>
      <c r="F47" s="64">
        <v>14.13</v>
      </c>
      <c r="G47" s="64">
        <v>77.650000000000006</v>
      </c>
      <c r="H47" s="64">
        <v>29.6</v>
      </c>
      <c r="I47" s="64">
        <v>4</v>
      </c>
      <c r="J47" s="64">
        <v>0.62</v>
      </c>
      <c r="K47" s="64">
        <v>229.45</v>
      </c>
      <c r="L47" s="64">
        <v>27.99</v>
      </c>
      <c r="M47" s="64">
        <v>41.14</v>
      </c>
      <c r="N47" s="64">
        <v>537.20000000000005</v>
      </c>
      <c r="O47" s="64">
        <v>0</v>
      </c>
      <c r="P47" s="64">
        <v>0.85</v>
      </c>
      <c r="Q47" s="64">
        <v>8.9700000000000006</v>
      </c>
      <c r="R47" s="198"/>
      <c r="S47" s="198"/>
      <c r="T47" s="198"/>
      <c r="U47" s="198"/>
    </row>
    <row r="48" spans="1:21" s="12" customFormat="1" x14ac:dyDescent="0.25">
      <c r="A48" s="247" t="s">
        <v>2203</v>
      </c>
      <c r="B48" s="64">
        <v>5.1100000000000003</v>
      </c>
      <c r="C48" s="64">
        <v>63.18</v>
      </c>
      <c r="D48" s="64">
        <v>68.290000000000006</v>
      </c>
      <c r="E48" s="64">
        <v>7.97</v>
      </c>
      <c r="F48" s="64">
        <v>17.53</v>
      </c>
      <c r="G48" s="64">
        <v>76.41</v>
      </c>
      <c r="H48" s="64">
        <v>29.18</v>
      </c>
      <c r="I48" s="64">
        <v>3.97</v>
      </c>
      <c r="J48" s="64">
        <v>0.67</v>
      </c>
      <c r="K48" s="64">
        <v>167.49</v>
      </c>
      <c r="L48" s="64">
        <v>27.89</v>
      </c>
      <c r="M48" s="64">
        <v>41.96</v>
      </c>
      <c r="N48" s="64">
        <v>511.6</v>
      </c>
      <c r="O48" s="64">
        <v>0</v>
      </c>
      <c r="P48" s="64">
        <v>0.83</v>
      </c>
      <c r="Q48" s="64">
        <v>8.94</v>
      </c>
      <c r="R48" s="198"/>
      <c r="S48" s="198"/>
      <c r="T48" s="198"/>
      <c r="U48" s="198"/>
    </row>
    <row r="49" spans="1:21" s="12" customFormat="1" x14ac:dyDescent="0.25">
      <c r="A49" s="247" t="s">
        <v>2204</v>
      </c>
      <c r="B49" s="64">
        <v>4.5199999999999996</v>
      </c>
      <c r="C49" s="64">
        <v>60.56</v>
      </c>
      <c r="D49" s="64">
        <v>65.08</v>
      </c>
      <c r="E49" s="64">
        <v>7.85</v>
      </c>
      <c r="F49" s="64">
        <v>16.23</v>
      </c>
      <c r="G49" s="64">
        <v>76.41</v>
      </c>
      <c r="H49" s="64">
        <v>29.18</v>
      </c>
      <c r="I49" s="64">
        <v>4.08</v>
      </c>
      <c r="J49" s="64">
        <v>1.06</v>
      </c>
      <c r="K49" s="64">
        <v>166.62</v>
      </c>
      <c r="L49" s="64">
        <v>27.17</v>
      </c>
      <c r="M49" s="64">
        <v>44.66</v>
      </c>
      <c r="N49" s="64">
        <v>338.4</v>
      </c>
      <c r="O49" s="64">
        <v>0</v>
      </c>
      <c r="P49" s="64">
        <v>0.83</v>
      </c>
      <c r="Q49" s="64">
        <v>8.94</v>
      </c>
      <c r="R49" s="198"/>
      <c r="S49" s="198"/>
      <c r="T49" s="198"/>
      <c r="U49" s="198"/>
    </row>
    <row r="50" spans="1:21" s="12" customFormat="1" x14ac:dyDescent="0.25">
      <c r="A50" s="247" t="s">
        <v>2205</v>
      </c>
      <c r="B50" s="64">
        <v>4.16</v>
      </c>
      <c r="C50" s="64">
        <v>60.16</v>
      </c>
      <c r="D50" s="64">
        <v>64.319999999999993</v>
      </c>
      <c r="E50" s="64">
        <v>5.56</v>
      </c>
      <c r="F50" s="64">
        <v>12.39</v>
      </c>
      <c r="G50" s="64">
        <v>76.41</v>
      </c>
      <c r="H50" s="64">
        <v>29.18</v>
      </c>
      <c r="I50" s="64">
        <v>3.94</v>
      </c>
      <c r="J50" s="64">
        <v>1.55</v>
      </c>
      <c r="K50" s="64">
        <v>168.6</v>
      </c>
      <c r="L50" s="64">
        <v>26.39</v>
      </c>
      <c r="M50" s="64">
        <v>45.12</v>
      </c>
      <c r="N50" s="64">
        <v>447.8</v>
      </c>
      <c r="O50" s="64">
        <v>0</v>
      </c>
      <c r="P50" s="64">
        <v>0.8</v>
      </c>
      <c r="Q50" s="64">
        <v>8.92</v>
      </c>
      <c r="R50" s="198"/>
      <c r="S50" s="198"/>
      <c r="T50" s="198"/>
      <c r="U50" s="198"/>
    </row>
    <row r="51" spans="1:21" s="12" customFormat="1" x14ac:dyDescent="0.25">
      <c r="A51" s="247" t="s">
        <v>2206</v>
      </c>
      <c r="B51" s="64">
        <v>4.05</v>
      </c>
      <c r="C51" s="64">
        <v>60.85</v>
      </c>
      <c r="D51" s="64">
        <v>64.900000000000006</v>
      </c>
      <c r="E51" s="64">
        <v>4.49</v>
      </c>
      <c r="F51" s="64">
        <v>9.92</v>
      </c>
      <c r="G51" s="64">
        <v>73.09</v>
      </c>
      <c r="H51" s="64">
        <v>28.73</v>
      </c>
      <c r="I51" s="64">
        <v>4.26</v>
      </c>
      <c r="J51" s="64">
        <v>1.03</v>
      </c>
      <c r="K51" s="64">
        <v>186.73</v>
      </c>
      <c r="L51" s="64">
        <v>27.64</v>
      </c>
      <c r="M51" s="64">
        <v>39.19</v>
      </c>
      <c r="N51" s="64">
        <v>507.1</v>
      </c>
      <c r="O51" s="64">
        <v>0</v>
      </c>
      <c r="P51" s="64">
        <v>0.79</v>
      </c>
      <c r="Q51" s="64">
        <v>8.91</v>
      </c>
      <c r="R51" s="198"/>
      <c r="S51" s="198"/>
      <c r="T51" s="198"/>
      <c r="U51" s="198"/>
    </row>
    <row r="52" spans="1:21" s="12" customFormat="1" x14ac:dyDescent="0.25">
      <c r="A52" s="247" t="s">
        <v>2207</v>
      </c>
      <c r="B52" s="64">
        <v>3.94</v>
      </c>
      <c r="C52" s="64">
        <v>61.32</v>
      </c>
      <c r="D52" s="64">
        <v>65.260000000000005</v>
      </c>
      <c r="E52" s="64">
        <v>4.1399999999999997</v>
      </c>
      <c r="F52" s="64">
        <v>9.1300000000000008</v>
      </c>
      <c r="G52" s="64">
        <v>71.260000000000005</v>
      </c>
      <c r="H52" s="64">
        <v>28.47</v>
      </c>
      <c r="I52" s="64">
        <v>3.97</v>
      </c>
      <c r="J52" s="64">
        <v>1.06</v>
      </c>
      <c r="K52" s="64">
        <v>221.19</v>
      </c>
      <c r="L52" s="64">
        <v>27.37</v>
      </c>
      <c r="M52" s="64">
        <v>39.03</v>
      </c>
      <c r="N52" s="64">
        <v>522.4</v>
      </c>
      <c r="O52" s="64">
        <v>0</v>
      </c>
      <c r="P52" s="64">
        <v>0.76</v>
      </c>
      <c r="Q52" s="64">
        <v>8.89</v>
      </c>
      <c r="R52" s="198"/>
      <c r="S52" s="198"/>
      <c r="T52" s="198"/>
      <c r="U52" s="198"/>
    </row>
    <row r="53" spans="1:21" s="12" customFormat="1" x14ac:dyDescent="0.25">
      <c r="A53" s="247" t="s">
        <v>2208</v>
      </c>
      <c r="B53" s="64">
        <v>4.2</v>
      </c>
      <c r="C53" s="64">
        <v>58.76</v>
      </c>
      <c r="D53" s="64">
        <v>62.96</v>
      </c>
      <c r="E53" s="64">
        <v>4.3099999999999996</v>
      </c>
      <c r="F53" s="64">
        <v>10.99</v>
      </c>
      <c r="G53" s="64">
        <v>71.260000000000005</v>
      </c>
      <c r="H53" s="64">
        <v>28.47</v>
      </c>
      <c r="I53" s="64">
        <v>4.0599999999999996</v>
      </c>
      <c r="J53" s="64">
        <v>1.64</v>
      </c>
      <c r="K53" s="64">
        <v>173.11</v>
      </c>
      <c r="L53" s="64">
        <v>28.06</v>
      </c>
      <c r="M53" s="64">
        <v>40.44</v>
      </c>
      <c r="N53" s="64">
        <v>733.7</v>
      </c>
      <c r="O53" s="64">
        <v>0</v>
      </c>
      <c r="P53" s="64">
        <v>0.68</v>
      </c>
      <c r="Q53" s="64">
        <v>8.8800000000000008</v>
      </c>
      <c r="R53" s="198"/>
      <c r="S53" s="198"/>
      <c r="T53" s="198"/>
      <c r="U53" s="198"/>
    </row>
    <row r="54" spans="1:21" s="12" customFormat="1" x14ac:dyDescent="0.25">
      <c r="A54" s="247" t="s">
        <v>2209</v>
      </c>
      <c r="B54" s="64">
        <v>3.44</v>
      </c>
      <c r="C54" s="64">
        <v>57.96</v>
      </c>
      <c r="D54" s="64">
        <v>61.41</v>
      </c>
      <c r="E54" s="64">
        <v>4.22</v>
      </c>
      <c r="F54" s="64">
        <v>11.39</v>
      </c>
      <c r="G54" s="64">
        <v>71.260000000000005</v>
      </c>
      <c r="H54" s="64">
        <v>28.47</v>
      </c>
      <c r="I54" s="64">
        <v>4.25</v>
      </c>
      <c r="J54" s="64">
        <v>1.8</v>
      </c>
      <c r="K54" s="64">
        <v>171.58</v>
      </c>
      <c r="L54" s="64">
        <v>28.58</v>
      </c>
      <c r="M54" s="64">
        <v>37.700000000000003</v>
      </c>
      <c r="N54" s="64">
        <v>716.7</v>
      </c>
      <c r="O54" s="64">
        <v>0</v>
      </c>
      <c r="P54" s="64">
        <v>0.65</v>
      </c>
      <c r="Q54" s="64">
        <v>8.8699999999999992</v>
      </c>
      <c r="R54" s="198"/>
      <c r="S54" s="198"/>
      <c r="T54" s="198"/>
      <c r="U54" s="198"/>
    </row>
    <row r="55" spans="1:21" s="12" customFormat="1" x14ac:dyDescent="0.25">
      <c r="A55" s="247" t="s">
        <v>2210</v>
      </c>
      <c r="B55" s="64">
        <v>3.38</v>
      </c>
      <c r="C55" s="64">
        <v>57.55</v>
      </c>
      <c r="D55" s="64">
        <v>60.92</v>
      </c>
      <c r="E55" s="64">
        <v>3.87</v>
      </c>
      <c r="F55" s="64">
        <v>9.2200000000000006</v>
      </c>
      <c r="G55" s="64">
        <v>64.760000000000005</v>
      </c>
      <c r="H55" s="64">
        <v>26.12</v>
      </c>
      <c r="I55" s="64">
        <v>4.0599999999999996</v>
      </c>
      <c r="J55" s="64">
        <v>1.76</v>
      </c>
      <c r="K55" s="64">
        <v>186.61</v>
      </c>
      <c r="L55" s="64">
        <v>28.41</v>
      </c>
      <c r="M55" s="64">
        <v>38.36</v>
      </c>
      <c r="N55" s="64">
        <v>717.2</v>
      </c>
      <c r="O55" s="64">
        <v>0</v>
      </c>
      <c r="P55" s="64">
        <v>0.61</v>
      </c>
      <c r="Q55" s="64">
        <v>8.85</v>
      </c>
      <c r="R55" s="198"/>
      <c r="S55" s="198"/>
      <c r="T55" s="198"/>
      <c r="U55" s="198"/>
    </row>
    <row r="56" spans="1:21" s="12" customFormat="1" x14ac:dyDescent="0.25">
      <c r="A56" s="247" t="s">
        <v>2211</v>
      </c>
      <c r="B56" s="64">
        <v>3.18</v>
      </c>
      <c r="C56" s="64">
        <v>55.26</v>
      </c>
      <c r="D56" s="64">
        <v>58.44</v>
      </c>
      <c r="E56" s="64">
        <v>4.13</v>
      </c>
      <c r="F56" s="64">
        <v>11.92</v>
      </c>
      <c r="G56" s="64">
        <v>61.17</v>
      </c>
      <c r="H56" s="64">
        <v>24.76</v>
      </c>
      <c r="I56" s="64">
        <v>3.99</v>
      </c>
      <c r="J56" s="64">
        <v>1.52</v>
      </c>
      <c r="K56" s="64">
        <v>166.32</v>
      </c>
      <c r="L56" s="64">
        <v>28.78</v>
      </c>
      <c r="M56" s="64">
        <v>38.6</v>
      </c>
      <c r="N56" s="64">
        <v>712.6</v>
      </c>
      <c r="O56" s="64">
        <v>0</v>
      </c>
      <c r="P56" s="64">
        <v>0.57999999999999996</v>
      </c>
      <c r="Q56" s="64">
        <v>8.84</v>
      </c>
      <c r="R56" s="198"/>
      <c r="S56" s="198"/>
      <c r="T56" s="198"/>
      <c r="U56" s="198"/>
    </row>
    <row r="57" spans="1:21" s="12" customFormat="1" x14ac:dyDescent="0.25">
      <c r="A57" s="247" t="s">
        <v>2212</v>
      </c>
      <c r="B57" s="64">
        <v>3.21</v>
      </c>
      <c r="C57" s="64">
        <v>55.07</v>
      </c>
      <c r="D57" s="64">
        <v>58.28</v>
      </c>
      <c r="E57" s="64">
        <v>3.34</v>
      </c>
      <c r="F57" s="64">
        <v>9.41</v>
      </c>
      <c r="G57" s="64">
        <v>61.17</v>
      </c>
      <c r="H57" s="64">
        <v>24.76</v>
      </c>
      <c r="I57" s="64">
        <v>4.0599999999999996</v>
      </c>
      <c r="J57" s="64">
        <v>1.1399999999999999</v>
      </c>
      <c r="K57" s="64">
        <v>260.51</v>
      </c>
      <c r="L57" s="64">
        <v>30.05</v>
      </c>
      <c r="M57" s="64">
        <v>32.840000000000003</v>
      </c>
      <c r="N57" s="64">
        <v>712.4</v>
      </c>
      <c r="O57" s="64">
        <v>0</v>
      </c>
      <c r="P57" s="64">
        <v>0.56000000000000005</v>
      </c>
      <c r="Q57" s="64">
        <v>8.83</v>
      </c>
      <c r="R57" s="198"/>
      <c r="S57" s="198"/>
      <c r="T57" s="198"/>
      <c r="U57" s="198"/>
    </row>
    <row r="58" spans="1:21" s="12" customFormat="1" x14ac:dyDescent="0.25">
      <c r="A58" s="247" t="s">
        <v>2213</v>
      </c>
      <c r="B58" s="64">
        <v>5.16</v>
      </c>
      <c r="C58" s="64">
        <v>59.43</v>
      </c>
      <c r="D58" s="64">
        <v>64.599999999999994</v>
      </c>
      <c r="E58" s="64">
        <v>3.92</v>
      </c>
      <c r="F58" s="64">
        <v>11.67</v>
      </c>
      <c r="G58" s="64">
        <v>61.17</v>
      </c>
      <c r="H58" s="64">
        <v>24.76</v>
      </c>
      <c r="I58" s="64">
        <v>3.98</v>
      </c>
      <c r="J58" s="64">
        <v>0.68</v>
      </c>
      <c r="K58" s="64">
        <v>251.42</v>
      </c>
      <c r="L58" s="64">
        <v>31.65</v>
      </c>
      <c r="M58" s="64">
        <v>29.07</v>
      </c>
      <c r="N58" s="64">
        <v>741.2</v>
      </c>
      <c r="O58" s="64">
        <v>0</v>
      </c>
      <c r="P58" s="64">
        <v>0.54</v>
      </c>
      <c r="Q58" s="64">
        <v>8.82</v>
      </c>
      <c r="R58" s="198"/>
      <c r="S58" s="198"/>
      <c r="T58" s="198"/>
      <c r="U58" s="198"/>
    </row>
    <row r="59" spans="1:21" s="12" customFormat="1" x14ac:dyDescent="0.25">
      <c r="A59" s="247" t="s">
        <v>2214</v>
      </c>
      <c r="B59" s="64">
        <v>3.64</v>
      </c>
      <c r="C59" s="64">
        <v>56.96</v>
      </c>
      <c r="D59" s="64">
        <v>60.59</v>
      </c>
      <c r="E59" s="64">
        <v>3.55</v>
      </c>
      <c r="F59" s="64">
        <v>11.81</v>
      </c>
      <c r="G59" s="64">
        <v>53.64</v>
      </c>
      <c r="H59" s="64">
        <v>23.24</v>
      </c>
      <c r="I59" s="64">
        <v>4.03</v>
      </c>
      <c r="J59" s="64">
        <v>0.88</v>
      </c>
      <c r="K59" s="64">
        <v>223</v>
      </c>
      <c r="L59" s="64">
        <v>30.92</v>
      </c>
      <c r="M59" s="64">
        <v>30.3</v>
      </c>
      <c r="N59" s="64">
        <v>765.6</v>
      </c>
      <c r="O59" s="64">
        <v>0</v>
      </c>
      <c r="P59" s="64">
        <v>0.51</v>
      </c>
      <c r="Q59" s="64">
        <v>8.81</v>
      </c>
      <c r="R59" s="198"/>
      <c r="S59" s="198"/>
      <c r="T59" s="198"/>
      <c r="U59" s="198"/>
    </row>
    <row r="60" spans="1:21" s="12" customFormat="1" x14ac:dyDescent="0.25">
      <c r="A60" s="247" t="s">
        <v>2215</v>
      </c>
      <c r="B60" s="64">
        <v>3.19</v>
      </c>
      <c r="C60" s="64">
        <v>55.18</v>
      </c>
      <c r="D60" s="64">
        <v>58.38</v>
      </c>
      <c r="E60" s="64">
        <v>3.42</v>
      </c>
      <c r="F60" s="64">
        <v>11.39</v>
      </c>
      <c r="G60" s="64">
        <v>49.49</v>
      </c>
      <c r="H60" s="64">
        <v>22.36</v>
      </c>
      <c r="I60" s="64">
        <v>3.9</v>
      </c>
      <c r="J60" s="64">
        <v>1.23</v>
      </c>
      <c r="K60" s="64">
        <v>211.19</v>
      </c>
      <c r="L60" s="64">
        <v>30.58</v>
      </c>
      <c r="M60" s="64">
        <v>30.36</v>
      </c>
      <c r="N60" s="64">
        <v>759.3</v>
      </c>
      <c r="O60" s="64">
        <v>0</v>
      </c>
      <c r="P60" s="64">
        <v>0.49</v>
      </c>
      <c r="Q60" s="64">
        <v>8.7899999999999991</v>
      </c>
      <c r="R60" s="198"/>
      <c r="S60" s="198"/>
      <c r="T60" s="198"/>
      <c r="U60" s="198"/>
    </row>
    <row r="61" spans="1:21" s="12" customFormat="1" x14ac:dyDescent="0.25">
      <c r="A61" s="247" t="s">
        <v>2216</v>
      </c>
      <c r="B61" s="64">
        <v>3.04</v>
      </c>
      <c r="C61" s="64">
        <v>53.37</v>
      </c>
      <c r="D61" s="64">
        <v>56.41</v>
      </c>
      <c r="E61" s="64">
        <v>3.99</v>
      </c>
      <c r="F61" s="64">
        <v>12.86</v>
      </c>
      <c r="G61" s="64">
        <v>49.49</v>
      </c>
      <c r="H61" s="64">
        <v>22.36</v>
      </c>
      <c r="I61" s="64">
        <v>4</v>
      </c>
      <c r="J61" s="64">
        <v>1.23</v>
      </c>
      <c r="K61" s="64">
        <v>181.84</v>
      </c>
      <c r="L61" s="64">
        <v>30.83</v>
      </c>
      <c r="M61" s="64">
        <v>29.8</v>
      </c>
      <c r="N61" s="64">
        <v>728.6</v>
      </c>
      <c r="O61" s="64">
        <v>0</v>
      </c>
      <c r="P61" s="64">
        <v>0.45</v>
      </c>
      <c r="Q61" s="64">
        <v>8.7799999999999994</v>
      </c>
      <c r="R61" s="198"/>
      <c r="S61" s="198"/>
      <c r="T61" s="198"/>
      <c r="U61" s="198"/>
    </row>
    <row r="62" spans="1:21" s="12" customFormat="1" x14ac:dyDescent="0.25">
      <c r="A62" s="247" t="s">
        <v>2217</v>
      </c>
      <c r="B62" s="64">
        <v>3.06</v>
      </c>
      <c r="C62" s="64">
        <v>50.52</v>
      </c>
      <c r="D62" s="64">
        <v>53.58</v>
      </c>
      <c r="E62" s="64">
        <v>3.1</v>
      </c>
      <c r="F62" s="64">
        <v>14.33</v>
      </c>
      <c r="G62" s="64">
        <v>49.49</v>
      </c>
      <c r="H62" s="64">
        <v>22.36</v>
      </c>
      <c r="I62" s="64">
        <v>4.04</v>
      </c>
      <c r="J62" s="64">
        <v>1.24</v>
      </c>
      <c r="K62" s="64">
        <v>193.66</v>
      </c>
      <c r="L62" s="64">
        <v>30.54</v>
      </c>
      <c r="M62" s="64">
        <v>30.22</v>
      </c>
      <c r="N62" s="64">
        <v>642.29999999999995</v>
      </c>
      <c r="O62" s="64">
        <v>0</v>
      </c>
      <c r="P62" s="64">
        <v>0.43</v>
      </c>
      <c r="Q62" s="64">
        <v>8.76</v>
      </c>
      <c r="R62" s="198"/>
      <c r="S62" s="198"/>
      <c r="T62" s="198"/>
      <c r="U62" s="198"/>
    </row>
    <row r="63" spans="1:21" s="12" customFormat="1" x14ac:dyDescent="0.25">
      <c r="A63" s="247" t="s">
        <v>2218</v>
      </c>
      <c r="B63" s="64">
        <v>3.09</v>
      </c>
      <c r="C63" s="64">
        <v>49.32</v>
      </c>
      <c r="D63" s="64">
        <v>52.42</v>
      </c>
      <c r="E63" s="64">
        <v>3.69</v>
      </c>
      <c r="F63" s="64">
        <v>13.55</v>
      </c>
      <c r="G63" s="64">
        <v>47.5</v>
      </c>
      <c r="H63" s="64">
        <v>21.45</v>
      </c>
      <c r="I63" s="64">
        <v>3.89</v>
      </c>
      <c r="J63" s="64">
        <v>1.23</v>
      </c>
      <c r="K63" s="64">
        <v>202.13</v>
      </c>
      <c r="L63" s="64">
        <v>30.09</v>
      </c>
      <c r="M63" s="64">
        <v>30.53</v>
      </c>
      <c r="N63" s="64">
        <v>512.20000000000005</v>
      </c>
      <c r="O63" s="64">
        <v>0</v>
      </c>
      <c r="P63" s="64">
        <v>0.41</v>
      </c>
      <c r="Q63" s="64">
        <v>8.76</v>
      </c>
      <c r="R63" s="198"/>
      <c r="S63" s="198"/>
      <c r="T63" s="198"/>
      <c r="U63" s="198"/>
    </row>
    <row r="64" spans="1:21" s="12" customFormat="1" x14ac:dyDescent="0.25">
      <c r="A64" s="247" t="s">
        <v>2219</v>
      </c>
      <c r="B64" s="64">
        <v>3.21</v>
      </c>
      <c r="C64" s="64">
        <v>49.78</v>
      </c>
      <c r="D64" s="64">
        <v>52.99</v>
      </c>
      <c r="E64" s="64">
        <v>3.43</v>
      </c>
      <c r="F64" s="64">
        <v>15.62</v>
      </c>
      <c r="G64" s="64">
        <v>46.4</v>
      </c>
      <c r="H64" s="64">
        <v>20.92</v>
      </c>
      <c r="I64" s="64">
        <v>4.04</v>
      </c>
      <c r="J64" s="64">
        <v>0.85</v>
      </c>
      <c r="K64" s="64">
        <v>213.29</v>
      </c>
      <c r="L64" s="64">
        <v>30.22</v>
      </c>
      <c r="M64" s="64">
        <v>30.58</v>
      </c>
      <c r="N64" s="64">
        <v>348.2</v>
      </c>
      <c r="O64" s="64">
        <v>0</v>
      </c>
      <c r="P64" s="64">
        <v>0.41</v>
      </c>
      <c r="Q64" s="64">
        <v>8.75</v>
      </c>
      <c r="R64" s="198"/>
      <c r="S64" s="198"/>
      <c r="T64" s="198"/>
      <c r="U64" s="198"/>
    </row>
    <row r="65" spans="1:21" s="12" customFormat="1" x14ac:dyDescent="0.25">
      <c r="A65" s="247" t="s">
        <v>2220</v>
      </c>
      <c r="B65" s="64">
        <v>3.39</v>
      </c>
      <c r="C65" s="64">
        <v>49.23</v>
      </c>
      <c r="D65" s="64">
        <v>52.62</v>
      </c>
      <c r="E65" s="64">
        <v>3.78</v>
      </c>
      <c r="F65" s="64">
        <v>14.08</v>
      </c>
      <c r="G65" s="64">
        <v>46.4</v>
      </c>
      <c r="H65" s="64">
        <v>20.92</v>
      </c>
      <c r="I65" s="64">
        <v>4.1399999999999997</v>
      </c>
      <c r="J65" s="64">
        <v>1.1000000000000001</v>
      </c>
      <c r="K65" s="64">
        <v>272.02999999999997</v>
      </c>
      <c r="L65" s="64">
        <v>30.41</v>
      </c>
      <c r="M65" s="64">
        <v>31.66</v>
      </c>
      <c r="N65" s="64">
        <v>429.5</v>
      </c>
      <c r="O65" s="64">
        <v>0</v>
      </c>
      <c r="P65" s="64">
        <v>0.4</v>
      </c>
      <c r="Q65" s="64">
        <v>8.75</v>
      </c>
      <c r="R65" s="198"/>
      <c r="S65" s="198"/>
      <c r="T65" s="198"/>
      <c r="U65" s="198"/>
    </row>
    <row r="66" spans="1:21" s="12" customFormat="1" x14ac:dyDescent="0.25">
      <c r="A66" s="247" t="s">
        <v>2221</v>
      </c>
      <c r="B66" s="64">
        <v>3.67</v>
      </c>
      <c r="C66" s="64">
        <v>51.72</v>
      </c>
      <c r="D66" s="64">
        <v>55.39</v>
      </c>
      <c r="E66" s="64">
        <v>3.72</v>
      </c>
      <c r="F66" s="64">
        <v>12.52</v>
      </c>
      <c r="G66" s="64">
        <v>46.4</v>
      </c>
      <c r="H66" s="64">
        <v>20.92</v>
      </c>
      <c r="I66" s="64">
        <v>3.95</v>
      </c>
      <c r="J66" s="64">
        <v>1</v>
      </c>
      <c r="K66" s="64">
        <v>279.37</v>
      </c>
      <c r="L66" s="64">
        <v>30.98</v>
      </c>
      <c r="M66" s="64">
        <v>31</v>
      </c>
      <c r="N66" s="64">
        <v>261.3</v>
      </c>
      <c r="O66" s="64">
        <v>0</v>
      </c>
      <c r="P66" s="64">
        <v>0.41</v>
      </c>
      <c r="Q66" s="64">
        <v>8.76</v>
      </c>
      <c r="R66" s="198"/>
      <c r="S66" s="198"/>
      <c r="T66" s="198"/>
      <c r="U66" s="198"/>
    </row>
    <row r="67" spans="1:21" s="12" customFormat="1" x14ac:dyDescent="0.25">
      <c r="A67" s="247" t="s">
        <v>2222</v>
      </c>
      <c r="B67" s="64">
        <v>9.4700000000000006</v>
      </c>
      <c r="C67" s="64">
        <v>52.57</v>
      </c>
      <c r="D67" s="64">
        <v>62.05</v>
      </c>
      <c r="E67" s="64">
        <v>5.6</v>
      </c>
      <c r="F67" s="64">
        <v>19.97</v>
      </c>
      <c r="G67" s="64">
        <v>42.35</v>
      </c>
      <c r="H67" s="64">
        <v>18.11</v>
      </c>
      <c r="I67" s="64">
        <v>4.09</v>
      </c>
      <c r="J67" s="64">
        <v>0.78</v>
      </c>
      <c r="K67" s="64">
        <v>310.77</v>
      </c>
      <c r="L67" s="64">
        <v>30.42</v>
      </c>
      <c r="M67" s="64">
        <v>32.409999999999997</v>
      </c>
      <c r="N67" s="64">
        <v>291.8</v>
      </c>
      <c r="O67" s="64">
        <v>0</v>
      </c>
      <c r="P67" s="64">
        <v>0.41</v>
      </c>
      <c r="Q67" s="64">
        <v>8.77</v>
      </c>
      <c r="R67" s="198"/>
      <c r="S67" s="198"/>
      <c r="T67" s="198"/>
      <c r="U67" s="198"/>
    </row>
    <row r="68" spans="1:21" s="12" customFormat="1" x14ac:dyDescent="0.25">
      <c r="A68" s="247" t="s">
        <v>2223</v>
      </c>
      <c r="B68" s="64">
        <v>6.33</v>
      </c>
      <c r="C68" s="64">
        <v>54.59</v>
      </c>
      <c r="D68" s="64">
        <v>60.92</v>
      </c>
      <c r="E68" s="64">
        <v>4.93</v>
      </c>
      <c r="F68" s="64">
        <v>16.04</v>
      </c>
      <c r="G68" s="64">
        <v>40.119999999999997</v>
      </c>
      <c r="H68" s="64">
        <v>16.48</v>
      </c>
      <c r="I68" s="64">
        <v>4.01</v>
      </c>
      <c r="J68" s="64">
        <v>0.98</v>
      </c>
      <c r="K68" s="64">
        <v>278.77999999999997</v>
      </c>
      <c r="L68" s="64">
        <v>29.87</v>
      </c>
      <c r="M68" s="64">
        <v>33.61</v>
      </c>
      <c r="N68" s="64">
        <v>142.69999999999999</v>
      </c>
      <c r="O68" s="64">
        <v>0</v>
      </c>
      <c r="P68" s="64">
        <v>0.44</v>
      </c>
      <c r="Q68" s="64">
        <v>8.7899999999999991</v>
      </c>
      <c r="R68" s="198"/>
      <c r="S68" s="198"/>
      <c r="T68" s="198"/>
      <c r="U68" s="198"/>
    </row>
    <row r="69" spans="1:21" s="12" customFormat="1" x14ac:dyDescent="0.25">
      <c r="A69" s="247" t="s">
        <v>2224</v>
      </c>
      <c r="B69" s="64">
        <v>6.85</v>
      </c>
      <c r="C69" s="64">
        <v>61.74</v>
      </c>
      <c r="D69" s="64">
        <v>68.59</v>
      </c>
      <c r="E69" s="64">
        <v>5.51</v>
      </c>
      <c r="F69" s="64">
        <v>16.579999999999998</v>
      </c>
      <c r="G69" s="64">
        <v>40.119999999999997</v>
      </c>
      <c r="H69" s="64">
        <v>16.48</v>
      </c>
      <c r="I69" s="64">
        <v>3.92</v>
      </c>
      <c r="J69" s="64">
        <v>0.95</v>
      </c>
      <c r="K69" s="64">
        <v>289.49</v>
      </c>
      <c r="L69" s="64">
        <v>29.31</v>
      </c>
      <c r="M69" s="64">
        <v>35.47</v>
      </c>
      <c r="N69" s="64">
        <v>96.6</v>
      </c>
      <c r="O69" s="64">
        <v>0</v>
      </c>
      <c r="P69" s="64">
        <v>0.47</v>
      </c>
      <c r="Q69" s="64">
        <v>8.7899999999999991</v>
      </c>
      <c r="R69" s="198"/>
      <c r="S69" s="198"/>
      <c r="T69" s="198"/>
      <c r="U69" s="198"/>
    </row>
    <row r="70" spans="1:21" s="12" customFormat="1" x14ac:dyDescent="0.25">
      <c r="A70" s="247" t="s">
        <v>2225</v>
      </c>
      <c r="B70" s="64">
        <v>7.03</v>
      </c>
      <c r="C70" s="64">
        <v>60.11</v>
      </c>
      <c r="D70" s="64">
        <v>67.150000000000006</v>
      </c>
      <c r="E70" s="64">
        <v>5.72</v>
      </c>
      <c r="F70" s="64">
        <v>13.82</v>
      </c>
      <c r="G70" s="64">
        <v>40.119999999999997</v>
      </c>
      <c r="H70" s="64">
        <v>16.48</v>
      </c>
      <c r="I70" s="64">
        <v>3.9</v>
      </c>
      <c r="J70" s="64">
        <v>0.73</v>
      </c>
      <c r="K70" s="64">
        <v>220.89</v>
      </c>
      <c r="L70" s="64">
        <v>27.86</v>
      </c>
      <c r="M70" s="64">
        <v>41.69</v>
      </c>
      <c r="N70" s="64">
        <v>94.7</v>
      </c>
      <c r="O70" s="64">
        <v>0</v>
      </c>
      <c r="P70" s="64">
        <v>0.5</v>
      </c>
      <c r="Q70" s="64">
        <v>8.8000000000000007</v>
      </c>
      <c r="R70" s="198"/>
      <c r="S70" s="198"/>
      <c r="T70" s="198"/>
      <c r="U70" s="198"/>
    </row>
    <row r="71" spans="1:21" s="12" customFormat="1" x14ac:dyDescent="0.25">
      <c r="A71" s="247" t="s">
        <v>2226</v>
      </c>
      <c r="B71" s="64">
        <v>4.67</v>
      </c>
      <c r="C71" s="64">
        <v>58.87</v>
      </c>
      <c r="D71" s="64">
        <v>63.54</v>
      </c>
      <c r="E71" s="64">
        <v>4.25</v>
      </c>
      <c r="F71" s="64">
        <v>12.46</v>
      </c>
      <c r="G71" s="64">
        <v>47.14</v>
      </c>
      <c r="H71" s="64">
        <v>16.29</v>
      </c>
      <c r="I71" s="64">
        <v>4.1399999999999997</v>
      </c>
      <c r="J71" s="64">
        <v>1.81</v>
      </c>
      <c r="K71" s="64">
        <v>160.61000000000001</v>
      </c>
      <c r="L71" s="64">
        <v>20.79</v>
      </c>
      <c r="M71" s="64">
        <v>73.5</v>
      </c>
      <c r="N71" s="64">
        <v>131.4</v>
      </c>
      <c r="O71" s="64">
        <v>0</v>
      </c>
      <c r="P71" s="64">
        <v>0.45</v>
      </c>
      <c r="Q71" s="64">
        <v>8.81</v>
      </c>
      <c r="R71" s="198"/>
      <c r="S71" s="198"/>
      <c r="T71" s="198"/>
      <c r="U71" s="198"/>
    </row>
    <row r="72" spans="1:21" s="12" customFormat="1" x14ac:dyDescent="0.25">
      <c r="A72" s="247" t="s">
        <v>2227</v>
      </c>
      <c r="B72" s="64">
        <v>3.59</v>
      </c>
      <c r="C72" s="64">
        <v>56.24</v>
      </c>
      <c r="D72" s="64">
        <v>59.82</v>
      </c>
      <c r="E72" s="64">
        <v>2.6</v>
      </c>
      <c r="F72" s="64">
        <v>13.08</v>
      </c>
      <c r="G72" s="64">
        <v>51.02</v>
      </c>
      <c r="H72" s="64">
        <v>16.18</v>
      </c>
      <c r="I72" s="64">
        <v>4.2300000000000004</v>
      </c>
      <c r="J72" s="64">
        <v>1.31</v>
      </c>
      <c r="K72" s="64">
        <v>86.04</v>
      </c>
      <c r="L72" s="64">
        <v>20.72</v>
      </c>
      <c r="M72" s="64">
        <v>76.55</v>
      </c>
      <c r="N72" s="64">
        <v>124.1</v>
      </c>
      <c r="O72" s="64">
        <v>0</v>
      </c>
      <c r="P72" s="64">
        <v>0.42</v>
      </c>
      <c r="Q72" s="64">
        <v>8.82</v>
      </c>
      <c r="R72" s="198"/>
      <c r="S72" s="198"/>
      <c r="T72" s="198"/>
      <c r="U72" s="198"/>
    </row>
    <row r="73" spans="1:21" s="12" customFormat="1" x14ac:dyDescent="0.25">
      <c r="A73" s="247" t="s">
        <v>2228</v>
      </c>
      <c r="B73" s="64">
        <v>5.07</v>
      </c>
      <c r="C73" s="64">
        <v>57.97</v>
      </c>
      <c r="D73" s="64">
        <v>63.04</v>
      </c>
      <c r="E73" s="64">
        <v>3.33</v>
      </c>
      <c r="F73" s="64">
        <v>13.84</v>
      </c>
      <c r="G73" s="64">
        <v>51.02</v>
      </c>
      <c r="H73" s="64">
        <v>16.18</v>
      </c>
      <c r="I73" s="64">
        <v>3.91</v>
      </c>
      <c r="J73" s="64">
        <v>1.43</v>
      </c>
      <c r="K73" s="64">
        <v>90.16</v>
      </c>
      <c r="L73" s="64">
        <v>21.74</v>
      </c>
      <c r="M73" s="64">
        <v>72.209999999999994</v>
      </c>
      <c r="N73" s="64">
        <v>157.4</v>
      </c>
      <c r="O73" s="64">
        <v>0</v>
      </c>
      <c r="P73" s="64">
        <v>0.43</v>
      </c>
      <c r="Q73" s="64">
        <v>8.82</v>
      </c>
      <c r="R73" s="198"/>
      <c r="S73" s="198"/>
      <c r="T73" s="198"/>
      <c r="U73" s="198"/>
    </row>
    <row r="74" spans="1:21" s="12" customFormat="1" x14ac:dyDescent="0.25">
      <c r="A74" s="247" t="s">
        <v>2229</v>
      </c>
      <c r="B74" s="64">
        <v>3.88</v>
      </c>
      <c r="C74" s="64">
        <v>56.68</v>
      </c>
      <c r="D74" s="64">
        <v>60.56</v>
      </c>
      <c r="E74" s="64">
        <v>2.97</v>
      </c>
      <c r="F74" s="64">
        <v>10.96</v>
      </c>
      <c r="G74" s="64">
        <v>51.02</v>
      </c>
      <c r="H74" s="64">
        <v>16.18</v>
      </c>
      <c r="I74" s="64">
        <v>3.97</v>
      </c>
      <c r="J74" s="64">
        <v>2.0499999999999998</v>
      </c>
      <c r="K74" s="64">
        <v>100.21</v>
      </c>
      <c r="L74" s="64">
        <v>22.06</v>
      </c>
      <c r="M74" s="64">
        <v>66.150000000000006</v>
      </c>
      <c r="N74" s="64">
        <v>163.5</v>
      </c>
      <c r="O74" s="64">
        <v>0</v>
      </c>
      <c r="P74" s="64">
        <v>0.42</v>
      </c>
      <c r="Q74" s="64">
        <v>8.83</v>
      </c>
      <c r="R74" s="198"/>
      <c r="S74" s="198"/>
      <c r="T74" s="198"/>
      <c r="U74" s="198"/>
    </row>
    <row r="75" spans="1:21" s="12" customFormat="1" x14ac:dyDescent="0.25">
      <c r="A75" s="247" t="s">
        <v>2230</v>
      </c>
      <c r="B75" s="64">
        <v>3.78</v>
      </c>
      <c r="C75" s="64">
        <v>56.35</v>
      </c>
      <c r="D75" s="64">
        <v>60.12</v>
      </c>
      <c r="E75" s="64">
        <v>3.1</v>
      </c>
      <c r="F75" s="64">
        <v>9.5500000000000007</v>
      </c>
      <c r="G75" s="64">
        <v>48.23</v>
      </c>
      <c r="H75" s="64">
        <v>15.92</v>
      </c>
      <c r="I75" s="64">
        <v>3.88</v>
      </c>
      <c r="J75" s="64">
        <v>1.43</v>
      </c>
      <c r="K75" s="64">
        <v>118.84</v>
      </c>
      <c r="L75" s="64">
        <v>22.91</v>
      </c>
      <c r="M75" s="64">
        <v>59.8</v>
      </c>
      <c r="N75" s="64">
        <v>138.4</v>
      </c>
      <c r="O75" s="64">
        <v>0</v>
      </c>
      <c r="P75" s="64">
        <v>0.42</v>
      </c>
      <c r="Q75" s="64">
        <v>8.83</v>
      </c>
      <c r="R75" s="198"/>
      <c r="S75" s="198"/>
      <c r="T75" s="198"/>
      <c r="U75" s="198"/>
    </row>
    <row r="76" spans="1:21" s="12" customFormat="1" x14ac:dyDescent="0.25">
      <c r="A76" s="247" t="s">
        <v>2231</v>
      </c>
      <c r="B76" s="64">
        <v>4.47</v>
      </c>
      <c r="C76" s="64">
        <v>60.25</v>
      </c>
      <c r="D76" s="64">
        <v>64.72</v>
      </c>
      <c r="E76" s="64">
        <v>3.03</v>
      </c>
      <c r="F76" s="64">
        <v>9.6300000000000008</v>
      </c>
      <c r="G76" s="64">
        <v>46.69</v>
      </c>
      <c r="H76" s="64">
        <v>15.77</v>
      </c>
      <c r="I76" s="64">
        <v>3.87</v>
      </c>
      <c r="J76" s="64">
        <v>0.66</v>
      </c>
      <c r="K76" s="64">
        <v>138.78</v>
      </c>
      <c r="L76" s="64">
        <v>22.71</v>
      </c>
      <c r="M76" s="64">
        <v>64.55</v>
      </c>
      <c r="N76" s="64">
        <v>126.3</v>
      </c>
      <c r="O76" s="64">
        <v>0</v>
      </c>
      <c r="P76" s="64">
        <v>0.43</v>
      </c>
      <c r="Q76" s="64">
        <v>8.82</v>
      </c>
      <c r="R76" s="198"/>
      <c r="S76" s="198"/>
      <c r="T76" s="198"/>
      <c r="U76" s="198"/>
    </row>
    <row r="77" spans="1:21" s="12" customFormat="1" x14ac:dyDescent="0.25">
      <c r="A77" s="247" t="s">
        <v>2232</v>
      </c>
      <c r="B77" s="64">
        <v>6.32</v>
      </c>
      <c r="C77" s="64">
        <v>63.2</v>
      </c>
      <c r="D77" s="64">
        <v>69.52</v>
      </c>
      <c r="E77" s="64">
        <v>4.0999999999999996</v>
      </c>
      <c r="F77" s="64">
        <v>16.89</v>
      </c>
      <c r="G77" s="64">
        <v>46.69</v>
      </c>
      <c r="H77" s="64">
        <v>15.77</v>
      </c>
      <c r="I77" s="64">
        <v>3.87</v>
      </c>
      <c r="J77" s="64">
        <v>0.43</v>
      </c>
      <c r="K77" s="64">
        <v>76.900000000000006</v>
      </c>
      <c r="L77" s="64">
        <v>22.78</v>
      </c>
      <c r="M77" s="64">
        <v>63.27</v>
      </c>
      <c r="N77" s="64">
        <v>127.5</v>
      </c>
      <c r="O77" s="64">
        <v>0</v>
      </c>
      <c r="P77" s="64">
        <v>0.44</v>
      </c>
      <c r="Q77" s="64">
        <v>8.82</v>
      </c>
      <c r="R77" s="198"/>
      <c r="S77" s="198"/>
      <c r="T77" s="198"/>
      <c r="U77" s="198"/>
    </row>
    <row r="78" spans="1:21" s="12" customFormat="1" x14ac:dyDescent="0.25">
      <c r="A78" s="247" t="s">
        <v>2233</v>
      </c>
      <c r="B78" s="64">
        <v>9.01</v>
      </c>
      <c r="C78" s="64">
        <v>66.430000000000007</v>
      </c>
      <c r="D78" s="64">
        <v>75.44</v>
      </c>
      <c r="E78" s="64">
        <v>5.04</v>
      </c>
      <c r="F78" s="64">
        <v>17.649999999999999</v>
      </c>
      <c r="G78" s="64">
        <v>46.69</v>
      </c>
      <c r="H78" s="64">
        <v>15.77</v>
      </c>
      <c r="I78" s="64">
        <v>3.99</v>
      </c>
      <c r="J78" s="64">
        <v>0.49</v>
      </c>
      <c r="K78" s="64">
        <v>54.91</v>
      </c>
      <c r="L78" s="64">
        <v>23.11</v>
      </c>
      <c r="M78" s="64">
        <v>59.9</v>
      </c>
      <c r="N78" s="64">
        <v>108.1</v>
      </c>
      <c r="O78" s="64">
        <v>0</v>
      </c>
      <c r="P78" s="64">
        <v>0.47</v>
      </c>
      <c r="Q78" s="64">
        <v>8.85</v>
      </c>
      <c r="R78" s="198"/>
      <c r="S78" s="198"/>
      <c r="T78" s="198"/>
      <c r="U78" s="198"/>
    </row>
    <row r="79" spans="1:21" s="12" customFormat="1" x14ac:dyDescent="0.25">
      <c r="A79" s="247" t="s">
        <v>2234</v>
      </c>
      <c r="B79" s="64">
        <v>5.9</v>
      </c>
      <c r="C79" s="64">
        <v>72.86</v>
      </c>
      <c r="D79" s="64">
        <v>78.760000000000005</v>
      </c>
      <c r="E79" s="64">
        <v>6.21</v>
      </c>
      <c r="F79" s="64">
        <v>20.18</v>
      </c>
      <c r="G79" s="64">
        <v>44.09</v>
      </c>
      <c r="H79" s="64">
        <v>14.96</v>
      </c>
      <c r="I79" s="64">
        <v>3.96</v>
      </c>
      <c r="J79" s="64">
        <v>0.56999999999999995</v>
      </c>
      <c r="K79" s="64">
        <v>106.22</v>
      </c>
      <c r="L79" s="64">
        <v>23.31</v>
      </c>
      <c r="M79" s="64">
        <v>59.68</v>
      </c>
      <c r="N79" s="64">
        <v>102.4</v>
      </c>
      <c r="O79" s="64">
        <v>0</v>
      </c>
      <c r="P79" s="64">
        <v>0.57999999999999996</v>
      </c>
      <c r="Q79" s="64">
        <v>8.86</v>
      </c>
      <c r="R79" s="198"/>
      <c r="S79" s="198"/>
      <c r="T79" s="198"/>
      <c r="U79" s="198"/>
    </row>
    <row r="80" spans="1:21" s="12" customFormat="1" x14ac:dyDescent="0.25">
      <c r="A80" s="247" t="s">
        <v>2235</v>
      </c>
      <c r="B80" s="64">
        <v>18.04</v>
      </c>
      <c r="C80" s="64">
        <v>85.35</v>
      </c>
      <c r="D80" s="64">
        <v>103.4</v>
      </c>
      <c r="E80" s="64">
        <v>6.53</v>
      </c>
      <c r="F80" s="64">
        <v>17.829999999999998</v>
      </c>
      <c r="G80" s="64">
        <v>42.65</v>
      </c>
      <c r="H80" s="64">
        <v>14.49</v>
      </c>
      <c r="I80" s="64">
        <v>4.05</v>
      </c>
      <c r="J80" s="64">
        <v>0.23</v>
      </c>
      <c r="K80" s="64">
        <v>213.66</v>
      </c>
      <c r="L80" s="64">
        <v>23.47</v>
      </c>
      <c r="M80" s="64">
        <v>58.12</v>
      </c>
      <c r="N80" s="64">
        <v>90.9</v>
      </c>
      <c r="O80" s="64">
        <v>0</v>
      </c>
      <c r="P80" s="64">
        <v>0.81</v>
      </c>
      <c r="Q80" s="64">
        <v>8.91</v>
      </c>
      <c r="R80" s="198"/>
      <c r="S80" s="198"/>
      <c r="T80" s="198"/>
      <c r="U80" s="198"/>
    </row>
    <row r="81" spans="1:26" s="12" customFormat="1" x14ac:dyDescent="0.25">
      <c r="A81" s="247" t="s">
        <v>2236</v>
      </c>
      <c r="B81" s="64">
        <v>31.73</v>
      </c>
      <c r="C81" s="64">
        <v>99.61</v>
      </c>
      <c r="D81" s="64">
        <v>131.35</v>
      </c>
      <c r="E81" s="64">
        <v>6.88</v>
      </c>
      <c r="F81" s="64">
        <v>13.44</v>
      </c>
      <c r="G81" s="64">
        <v>42.65</v>
      </c>
      <c r="H81" s="64">
        <v>14.49</v>
      </c>
      <c r="I81" s="64">
        <v>3.86</v>
      </c>
      <c r="J81" s="64">
        <v>0.12</v>
      </c>
      <c r="K81" s="64">
        <v>165.91</v>
      </c>
      <c r="L81" s="64">
        <v>23.39</v>
      </c>
      <c r="M81" s="64">
        <v>61.34</v>
      </c>
      <c r="N81" s="64">
        <v>82.3</v>
      </c>
      <c r="O81" s="64">
        <v>0</v>
      </c>
      <c r="P81" s="64">
        <v>1.18</v>
      </c>
      <c r="Q81" s="64">
        <v>8.94</v>
      </c>
      <c r="R81" s="198"/>
      <c r="S81" s="198"/>
      <c r="T81" s="198"/>
      <c r="U81" s="198"/>
    </row>
    <row r="82" spans="1:26" s="12" customFormat="1" x14ac:dyDescent="0.25">
      <c r="A82" s="247" t="s">
        <v>2237</v>
      </c>
      <c r="B82" s="64">
        <v>15.57</v>
      </c>
      <c r="C82" s="64">
        <v>86.19</v>
      </c>
      <c r="D82" s="64">
        <v>101.76</v>
      </c>
      <c r="E82" s="64">
        <v>7.15</v>
      </c>
      <c r="F82" s="64">
        <v>16.600000000000001</v>
      </c>
      <c r="G82" s="64">
        <v>42.65</v>
      </c>
      <c r="H82" s="64">
        <v>14.49</v>
      </c>
      <c r="I82" s="64">
        <v>4.01</v>
      </c>
      <c r="J82" s="64">
        <v>0.19</v>
      </c>
      <c r="K82" s="64">
        <v>297.99</v>
      </c>
      <c r="L82" s="64">
        <v>23.42</v>
      </c>
      <c r="M82" s="64">
        <v>58.01</v>
      </c>
      <c r="N82" s="64">
        <v>80.400000000000006</v>
      </c>
      <c r="O82" s="64">
        <v>0</v>
      </c>
      <c r="P82" s="64">
        <v>1.03</v>
      </c>
      <c r="Q82" s="64">
        <v>9</v>
      </c>
      <c r="R82" s="198"/>
      <c r="S82" s="198"/>
      <c r="T82" s="198"/>
      <c r="U82" s="198"/>
    </row>
    <row r="83" spans="1:26" s="12" customFormat="1" x14ac:dyDescent="0.25">
      <c r="A83" s="247" t="s">
        <v>2238</v>
      </c>
      <c r="B83" s="64">
        <v>14.46</v>
      </c>
      <c r="C83" s="64">
        <v>95.08</v>
      </c>
      <c r="D83" s="64">
        <v>109.54</v>
      </c>
      <c r="E83" s="64">
        <v>7.07</v>
      </c>
      <c r="F83" s="64">
        <v>11.02</v>
      </c>
      <c r="G83" s="64">
        <v>44.98</v>
      </c>
      <c r="H83" s="64">
        <v>13.74</v>
      </c>
      <c r="I83" s="64">
        <v>3.85</v>
      </c>
      <c r="J83" s="64">
        <v>1.01</v>
      </c>
      <c r="K83" s="64">
        <v>181.39</v>
      </c>
      <c r="L83" s="64">
        <v>23.43</v>
      </c>
      <c r="M83" s="64">
        <v>57.58</v>
      </c>
      <c r="N83" s="64">
        <v>79.599999999999994</v>
      </c>
      <c r="O83" s="64">
        <v>0</v>
      </c>
      <c r="P83" s="64">
        <v>0.92</v>
      </c>
      <c r="Q83" s="64">
        <v>9.0399999999999991</v>
      </c>
      <c r="R83" s="198"/>
      <c r="S83" s="198"/>
      <c r="T83" s="198"/>
      <c r="U83" s="198"/>
    </row>
    <row r="84" spans="1:26" s="12" customFormat="1" x14ac:dyDescent="0.25">
      <c r="A84" s="247" t="s">
        <v>2239</v>
      </c>
      <c r="B84" s="64">
        <v>12.34</v>
      </c>
      <c r="C84" s="64">
        <v>82.25</v>
      </c>
      <c r="D84" s="64">
        <v>94.59</v>
      </c>
      <c r="E84" s="64">
        <v>5.37</v>
      </c>
      <c r="F84" s="64">
        <v>13.03</v>
      </c>
      <c r="G84" s="64">
        <v>46.26</v>
      </c>
      <c r="H84" s="64">
        <v>13.3</v>
      </c>
      <c r="I84" s="64">
        <v>3.92</v>
      </c>
      <c r="J84" s="64">
        <v>1.1599999999999999</v>
      </c>
      <c r="K84" s="64">
        <v>164.33</v>
      </c>
      <c r="L84" s="64">
        <v>23.48</v>
      </c>
      <c r="M84" s="64">
        <v>56.89</v>
      </c>
      <c r="N84" s="64">
        <v>79.900000000000006</v>
      </c>
      <c r="O84" s="64">
        <v>0</v>
      </c>
      <c r="P84" s="64">
        <v>0.67</v>
      </c>
      <c r="Q84" s="64">
        <v>9.08</v>
      </c>
      <c r="R84" s="198"/>
      <c r="S84" s="198"/>
      <c r="T84" s="198"/>
      <c r="U84" s="198"/>
    </row>
    <row r="85" spans="1:26" s="12" customFormat="1" x14ac:dyDescent="0.25">
      <c r="A85" s="247" t="s">
        <v>2240</v>
      </c>
      <c r="B85" s="64">
        <v>11.1</v>
      </c>
      <c r="C85" s="64">
        <v>77.2</v>
      </c>
      <c r="D85" s="64">
        <v>88.31</v>
      </c>
      <c r="E85" s="64">
        <v>5.31</v>
      </c>
      <c r="F85" s="64">
        <v>15.12</v>
      </c>
      <c r="G85" s="64">
        <v>46.26</v>
      </c>
      <c r="H85" s="64">
        <v>13.3</v>
      </c>
      <c r="I85" s="64">
        <v>3.98</v>
      </c>
      <c r="J85" s="64">
        <v>0.86</v>
      </c>
      <c r="K85" s="64">
        <v>148.9</v>
      </c>
      <c r="L85" s="64">
        <v>23.23</v>
      </c>
      <c r="M85" s="64">
        <v>61.92</v>
      </c>
      <c r="N85" s="64">
        <v>80.5</v>
      </c>
      <c r="O85" s="64">
        <v>0</v>
      </c>
      <c r="P85" s="64">
        <v>0.71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47" t="s">
        <v>2241</v>
      </c>
      <c r="B86" s="64">
        <v>9.6199999999999992</v>
      </c>
      <c r="C86" s="64">
        <v>75.97</v>
      </c>
      <c r="D86" s="64">
        <v>85.58</v>
      </c>
      <c r="E86" s="64">
        <v>5.19</v>
      </c>
      <c r="F86" s="64">
        <v>8.8000000000000007</v>
      </c>
      <c r="G86" s="64">
        <v>46.26</v>
      </c>
      <c r="H86" s="64">
        <v>13.3</v>
      </c>
      <c r="I86" s="64">
        <v>3.95</v>
      </c>
      <c r="J86" s="64">
        <v>1</v>
      </c>
      <c r="K86" s="64">
        <v>164.27</v>
      </c>
      <c r="L86" s="64">
        <v>22.85</v>
      </c>
      <c r="M86" s="64">
        <v>67.22</v>
      </c>
      <c r="N86" s="64">
        <v>80.599999999999994</v>
      </c>
      <c r="O86" s="64">
        <v>0</v>
      </c>
      <c r="P86" s="64">
        <v>0.66</v>
      </c>
      <c r="Q86" s="64">
        <v>9.1199999999999992</v>
      </c>
      <c r="R86" s="198"/>
      <c r="S86" s="198"/>
      <c r="T86" s="198"/>
      <c r="U86" s="198"/>
    </row>
    <row r="87" spans="1:26" s="12" customFormat="1" x14ac:dyDescent="0.25">
      <c r="A87" s="247" t="s">
        <v>2242</v>
      </c>
      <c r="B87" s="64">
        <v>10.18</v>
      </c>
      <c r="C87" s="64">
        <v>76.680000000000007</v>
      </c>
      <c r="D87" s="64">
        <v>86.85</v>
      </c>
      <c r="E87" s="64">
        <v>4.62</v>
      </c>
      <c r="F87" s="64">
        <v>10.220000000000001</v>
      </c>
      <c r="G87" s="64">
        <v>46.8</v>
      </c>
      <c r="H87" s="64">
        <v>14.31</v>
      </c>
      <c r="I87" s="64">
        <v>3.98</v>
      </c>
      <c r="J87" s="64">
        <v>0.9</v>
      </c>
      <c r="K87" s="64">
        <v>168.96</v>
      </c>
      <c r="L87" s="64">
        <v>22.95</v>
      </c>
      <c r="M87" s="64">
        <v>64.680000000000007</v>
      </c>
      <c r="N87" s="64">
        <v>80.3</v>
      </c>
      <c r="O87" s="64">
        <v>0</v>
      </c>
      <c r="P87" s="64">
        <v>0.69</v>
      </c>
      <c r="Q87" s="64">
        <v>9.1300000000000008</v>
      </c>
      <c r="R87" s="198"/>
      <c r="S87" s="198"/>
      <c r="T87" s="198"/>
      <c r="U87" s="198"/>
    </row>
    <row r="88" spans="1:26" s="12" customFormat="1" x14ac:dyDescent="0.25">
      <c r="A88" s="247" t="s">
        <v>2243</v>
      </c>
      <c r="B88" s="64">
        <v>10.82</v>
      </c>
      <c r="C88" s="64">
        <v>77.150000000000006</v>
      </c>
      <c r="D88" s="64">
        <v>87.97</v>
      </c>
      <c r="E88" s="64">
        <v>4.6399999999999997</v>
      </c>
      <c r="F88" s="64">
        <v>8.25</v>
      </c>
      <c r="G88" s="64">
        <v>47.1</v>
      </c>
      <c r="H88" s="64">
        <v>14.9</v>
      </c>
      <c r="I88" s="64">
        <v>3.88</v>
      </c>
      <c r="J88" s="64">
        <v>1.34</v>
      </c>
      <c r="K88" s="64">
        <v>158.85</v>
      </c>
      <c r="L88" s="64">
        <v>23.01</v>
      </c>
      <c r="M88" s="64">
        <v>65.83</v>
      </c>
      <c r="N88" s="64">
        <v>80.2</v>
      </c>
      <c r="O88" s="64">
        <v>0</v>
      </c>
      <c r="P88" s="64">
        <v>0.69</v>
      </c>
      <c r="Q88" s="64">
        <v>9.1199999999999992</v>
      </c>
      <c r="R88" s="198"/>
      <c r="S88" s="198"/>
      <c r="T88" s="198"/>
      <c r="U88" s="198"/>
    </row>
    <row r="89" spans="1:26" s="12" customFormat="1" x14ac:dyDescent="0.25">
      <c r="A89" s="247" t="s">
        <v>2244</v>
      </c>
      <c r="B89" s="64">
        <v>11.01</v>
      </c>
      <c r="C89" s="64">
        <v>72.64</v>
      </c>
      <c r="D89" s="64">
        <v>83.66</v>
      </c>
      <c r="E89" s="64">
        <v>3.55</v>
      </c>
      <c r="F89" s="64">
        <v>7.89</v>
      </c>
      <c r="G89" s="64">
        <v>47.1</v>
      </c>
      <c r="H89" s="64">
        <v>14.9</v>
      </c>
      <c r="I89" s="64">
        <v>4.2300000000000004</v>
      </c>
      <c r="J89" s="64">
        <v>1.92</v>
      </c>
      <c r="K89" s="64">
        <v>166.63</v>
      </c>
      <c r="L89" s="64">
        <v>23.23</v>
      </c>
      <c r="M89" s="64">
        <v>61.93</v>
      </c>
      <c r="N89" s="64">
        <v>80.5</v>
      </c>
      <c r="O89" s="64">
        <v>0</v>
      </c>
      <c r="P89" s="64">
        <v>0.67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47" t="s">
        <v>2245</v>
      </c>
      <c r="B90" s="64">
        <v>10.06</v>
      </c>
      <c r="C90" s="64">
        <v>69.41</v>
      </c>
      <c r="D90" s="64">
        <v>79.47</v>
      </c>
      <c r="E90" s="64">
        <v>2.82</v>
      </c>
      <c r="F90" s="64">
        <v>8.01</v>
      </c>
      <c r="G90" s="64">
        <v>47.1</v>
      </c>
      <c r="H90" s="64">
        <v>14.9</v>
      </c>
      <c r="I90" s="64">
        <v>4.0199999999999996</v>
      </c>
      <c r="J90" s="64">
        <v>2.59</v>
      </c>
      <c r="K90" s="64">
        <v>165.85</v>
      </c>
      <c r="L90" s="64">
        <v>22.98</v>
      </c>
      <c r="M90" s="64">
        <v>59.11</v>
      </c>
      <c r="N90" s="64">
        <v>81.099999999999994</v>
      </c>
      <c r="O90" s="64">
        <v>0</v>
      </c>
      <c r="P90" s="64">
        <v>0.65</v>
      </c>
      <c r="Q90" s="64">
        <v>9.14</v>
      </c>
      <c r="R90" s="198"/>
      <c r="S90" s="198"/>
      <c r="T90" s="198"/>
      <c r="U90" s="198"/>
    </row>
    <row r="91" spans="1:26" s="12" customFormat="1" x14ac:dyDescent="0.25">
      <c r="A91" s="247" t="s">
        <v>2246</v>
      </c>
      <c r="B91" s="64">
        <v>7.86</v>
      </c>
      <c r="C91" s="64">
        <v>67.8</v>
      </c>
      <c r="D91" s="64">
        <v>75.66</v>
      </c>
      <c r="E91" s="64">
        <v>2.56</v>
      </c>
      <c r="F91" s="64">
        <v>8.1199999999999992</v>
      </c>
      <c r="G91" s="64">
        <v>50.54</v>
      </c>
      <c r="H91" s="64">
        <v>14.86</v>
      </c>
      <c r="I91" s="64">
        <v>4.21</v>
      </c>
      <c r="J91" s="64">
        <v>2.27</v>
      </c>
      <c r="K91" s="64">
        <v>156.04</v>
      </c>
      <c r="L91" s="64">
        <v>22.73</v>
      </c>
      <c r="M91" s="64">
        <v>59.45</v>
      </c>
      <c r="N91" s="64">
        <v>81.5</v>
      </c>
      <c r="O91" s="64">
        <v>0</v>
      </c>
      <c r="P91" s="64">
        <v>0.61</v>
      </c>
      <c r="Q91" s="64">
        <v>9.1</v>
      </c>
      <c r="R91" s="198"/>
      <c r="S91" s="198"/>
      <c r="T91" s="198"/>
      <c r="U91" s="198"/>
    </row>
    <row r="92" spans="1:26" s="12" customFormat="1" x14ac:dyDescent="0.25">
      <c r="A92" s="247" t="s">
        <v>2247</v>
      </c>
      <c r="B92" s="64">
        <v>6.32</v>
      </c>
      <c r="C92" s="64">
        <v>66.87</v>
      </c>
      <c r="D92" s="64">
        <v>73.19</v>
      </c>
      <c r="E92" s="64">
        <v>2.75</v>
      </c>
      <c r="F92" s="64">
        <v>8.02</v>
      </c>
      <c r="G92" s="64">
        <v>52.43</v>
      </c>
      <c r="H92" s="64">
        <v>14.84</v>
      </c>
      <c r="I92" s="64">
        <v>3.88</v>
      </c>
      <c r="J92" s="64">
        <v>2.19</v>
      </c>
      <c r="K92" s="64">
        <v>174.13</v>
      </c>
      <c r="L92" s="64">
        <v>22.26</v>
      </c>
      <c r="M92" s="64">
        <v>61.81</v>
      </c>
      <c r="N92" s="64">
        <v>81.7</v>
      </c>
      <c r="O92" s="64">
        <v>0</v>
      </c>
      <c r="P92" s="64">
        <v>0.57999999999999996</v>
      </c>
      <c r="Q92" s="64">
        <v>9.0500000000000007</v>
      </c>
      <c r="R92" s="198"/>
      <c r="S92" s="198"/>
      <c r="T92" s="198"/>
      <c r="U92" s="198"/>
    </row>
    <row r="93" spans="1:26" s="12" customFormat="1" x14ac:dyDescent="0.25">
      <c r="A93" s="247" t="s">
        <v>2248</v>
      </c>
      <c r="B93" s="64">
        <v>5.2</v>
      </c>
      <c r="C93" s="64">
        <v>65.2</v>
      </c>
      <c r="D93" s="64">
        <v>70.39</v>
      </c>
      <c r="E93" s="64">
        <v>2.88</v>
      </c>
      <c r="F93" s="64">
        <v>8.67</v>
      </c>
      <c r="G93" s="64">
        <v>52.43</v>
      </c>
      <c r="H93" s="64">
        <v>14.84</v>
      </c>
      <c r="I93" s="64">
        <v>4.1399999999999997</v>
      </c>
      <c r="J93" s="64">
        <v>2.06</v>
      </c>
      <c r="K93" s="64">
        <v>168.31</v>
      </c>
      <c r="L93" s="64">
        <v>21.87</v>
      </c>
      <c r="M93" s="64">
        <v>64.45</v>
      </c>
      <c r="N93" s="64">
        <v>81.400000000000006</v>
      </c>
      <c r="O93" s="64">
        <v>0</v>
      </c>
      <c r="P93" s="64">
        <v>0.54</v>
      </c>
      <c r="Q93" s="64">
        <v>9.02</v>
      </c>
      <c r="R93" s="198"/>
      <c r="S93" s="198"/>
      <c r="T93" s="198"/>
      <c r="U93" s="198"/>
    </row>
    <row r="94" spans="1:26" s="12" customFormat="1" x14ac:dyDescent="0.25">
      <c r="A94" s="247" t="s">
        <v>2249</v>
      </c>
      <c r="B94" s="64">
        <v>4.42</v>
      </c>
      <c r="C94" s="64">
        <v>63.6</v>
      </c>
      <c r="D94" s="64">
        <v>68.02</v>
      </c>
      <c r="E94" s="64">
        <v>2.31</v>
      </c>
      <c r="F94" s="64">
        <v>8.19</v>
      </c>
      <c r="G94" s="64">
        <v>52.43</v>
      </c>
      <c r="H94" s="64">
        <v>14.84</v>
      </c>
      <c r="I94" s="64">
        <v>4</v>
      </c>
      <c r="J94" s="64">
        <v>2.02</v>
      </c>
      <c r="K94" s="64">
        <v>165.11</v>
      </c>
      <c r="L94" s="64">
        <v>21.57</v>
      </c>
      <c r="M94" s="64">
        <v>66.290000000000006</v>
      </c>
      <c r="N94" s="64">
        <v>81.400000000000006</v>
      </c>
      <c r="O94" s="64">
        <v>0</v>
      </c>
      <c r="P94" s="64">
        <v>0.51</v>
      </c>
      <c r="Q94" s="64">
        <v>8.9700000000000006</v>
      </c>
      <c r="R94" s="198"/>
      <c r="S94" s="198"/>
      <c r="T94" s="198"/>
      <c r="U94" s="198"/>
    </row>
    <row r="95" spans="1:26" s="12" customFormat="1" x14ac:dyDescent="0.25">
      <c r="A95" s="247" t="s">
        <v>2250</v>
      </c>
      <c r="B95" s="64">
        <v>4.1100000000000003</v>
      </c>
      <c r="C95" s="64">
        <v>62.18</v>
      </c>
      <c r="D95" s="64">
        <v>66.28</v>
      </c>
      <c r="E95" s="64">
        <v>2.4</v>
      </c>
      <c r="F95" s="64">
        <v>8.2100000000000009</v>
      </c>
      <c r="G95" s="64">
        <v>46.43</v>
      </c>
      <c r="H95" s="64">
        <v>13.85</v>
      </c>
      <c r="I95" s="64">
        <v>3.98</v>
      </c>
      <c r="J95" s="64">
        <v>2</v>
      </c>
      <c r="K95" s="64">
        <v>163.4</v>
      </c>
      <c r="L95" s="64">
        <v>21.36</v>
      </c>
      <c r="M95" s="64">
        <v>69.03</v>
      </c>
      <c r="N95" s="64">
        <v>81.400000000000006</v>
      </c>
      <c r="O95" s="64">
        <v>0</v>
      </c>
      <c r="P95" s="64">
        <v>0.49</v>
      </c>
      <c r="Q95" s="64">
        <v>8.9600000000000009</v>
      </c>
      <c r="R95" s="198"/>
      <c r="S95" s="198"/>
      <c r="T95" s="198"/>
      <c r="U95" s="198"/>
    </row>
    <row r="96" spans="1:26" s="12" customFormat="1" x14ac:dyDescent="0.25">
      <c r="A96" s="247" t="s">
        <v>2251</v>
      </c>
      <c r="B96" s="64">
        <v>3.96</v>
      </c>
      <c r="C96" s="64">
        <v>60.54</v>
      </c>
      <c r="D96" s="64">
        <v>64.5</v>
      </c>
      <c r="E96" s="64">
        <v>2.23</v>
      </c>
      <c r="F96" s="64">
        <v>7.87</v>
      </c>
      <c r="G96" s="64">
        <v>43.13</v>
      </c>
      <c r="H96" s="64">
        <v>13.28</v>
      </c>
      <c r="I96" s="64">
        <v>3.97</v>
      </c>
      <c r="J96" s="64">
        <v>2.15</v>
      </c>
      <c r="K96" s="64">
        <v>166.52</v>
      </c>
      <c r="L96" s="64">
        <v>21.17</v>
      </c>
      <c r="M96" s="64">
        <v>72.39</v>
      </c>
      <c r="N96" s="64">
        <v>81.599999999999994</v>
      </c>
      <c r="O96" s="64">
        <v>0</v>
      </c>
      <c r="P96" s="64">
        <v>0.47</v>
      </c>
      <c r="Q96" s="64">
        <v>8.9499999999999993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2252</v>
      </c>
      <c r="B97" s="64">
        <v>3.79</v>
      </c>
      <c r="C97" s="64">
        <v>55.23</v>
      </c>
      <c r="D97" s="64">
        <v>59.02</v>
      </c>
      <c r="E97" s="64">
        <v>2.4</v>
      </c>
      <c r="F97" s="64">
        <v>9.3699999999999992</v>
      </c>
      <c r="G97" s="64">
        <v>43.13</v>
      </c>
      <c r="H97" s="64">
        <v>13.28</v>
      </c>
      <c r="I97" s="64">
        <v>3.88</v>
      </c>
      <c r="J97" s="64">
        <v>2.2999999999999998</v>
      </c>
      <c r="K97" s="64">
        <v>165.73</v>
      </c>
      <c r="L97" s="64">
        <v>20.86</v>
      </c>
      <c r="M97" s="64">
        <v>74.69</v>
      </c>
      <c r="N97" s="64">
        <v>81.5</v>
      </c>
      <c r="O97" s="64">
        <v>0</v>
      </c>
      <c r="P97" s="64">
        <v>0.44</v>
      </c>
      <c r="Q97" s="64">
        <v>8.9</v>
      </c>
      <c r="R97" s="198"/>
      <c r="S97" s="198"/>
      <c r="T97" s="198"/>
      <c r="U97" s="198"/>
    </row>
    <row r="98" spans="1:33" s="12" customFormat="1" x14ac:dyDescent="0.25">
      <c r="A98" s="247" t="s">
        <v>2253</v>
      </c>
      <c r="B98" s="64">
        <v>3.69</v>
      </c>
      <c r="C98" s="64">
        <v>54.7</v>
      </c>
      <c r="D98" s="64">
        <v>58.4</v>
      </c>
      <c r="E98" s="64">
        <v>2.16</v>
      </c>
      <c r="F98" s="64">
        <v>8.8699999999999992</v>
      </c>
      <c r="G98" s="64">
        <v>43.13</v>
      </c>
      <c r="H98" s="64">
        <v>13.28</v>
      </c>
      <c r="I98" s="64">
        <v>3.97</v>
      </c>
      <c r="J98" s="64">
        <v>2.69</v>
      </c>
      <c r="K98" s="64">
        <v>158.86000000000001</v>
      </c>
      <c r="L98" s="64">
        <v>20.57</v>
      </c>
      <c r="M98" s="64">
        <v>72.17</v>
      </c>
      <c r="N98" s="64">
        <v>81.5</v>
      </c>
      <c r="O98" s="64">
        <v>0</v>
      </c>
      <c r="P98" s="64">
        <v>0.43</v>
      </c>
      <c r="Q98" s="64">
        <v>8.9</v>
      </c>
      <c r="R98" s="198"/>
      <c r="S98" s="198"/>
      <c r="T98" s="198"/>
      <c r="U98" s="198"/>
    </row>
    <row r="99" spans="1:33" s="12" customFormat="1" x14ac:dyDescent="0.25">
      <c r="A99" s="247" t="s">
        <v>2254</v>
      </c>
      <c r="B99" s="64">
        <v>3.64</v>
      </c>
      <c r="C99" s="64">
        <v>54.07</v>
      </c>
      <c r="D99" s="64">
        <v>57.71</v>
      </c>
      <c r="E99" s="64">
        <v>2.33</v>
      </c>
      <c r="F99" s="64">
        <v>8.4</v>
      </c>
      <c r="G99" s="64">
        <v>40.22</v>
      </c>
      <c r="H99" s="64">
        <v>10.9</v>
      </c>
      <c r="I99" s="64">
        <v>4.08</v>
      </c>
      <c r="J99" s="64">
        <v>2.02</v>
      </c>
      <c r="K99" s="64">
        <v>162.4</v>
      </c>
      <c r="L99" s="64">
        <v>20.34</v>
      </c>
      <c r="M99" s="64">
        <v>72.7</v>
      </c>
      <c r="N99" s="64">
        <v>81.3</v>
      </c>
      <c r="O99" s="64">
        <v>0</v>
      </c>
      <c r="P99" s="64">
        <v>0.41</v>
      </c>
      <c r="Q99" s="64">
        <v>8.89</v>
      </c>
      <c r="R99" s="198"/>
      <c r="S99" s="198"/>
      <c r="T99" s="198"/>
      <c r="U99" s="198"/>
    </row>
    <row r="100" spans="1:33" s="12" customFormat="1" x14ac:dyDescent="0.25">
      <c r="A100" s="247" t="s">
        <v>2255</v>
      </c>
      <c r="B100" s="64">
        <v>3.75</v>
      </c>
      <c r="C100" s="64">
        <v>53.5</v>
      </c>
      <c r="D100" s="64">
        <v>57.25</v>
      </c>
      <c r="E100" s="64">
        <v>1.95</v>
      </c>
      <c r="F100" s="64">
        <v>8.3800000000000008</v>
      </c>
      <c r="G100" s="64">
        <v>38.61</v>
      </c>
      <c r="H100" s="64">
        <v>9.5299999999999994</v>
      </c>
      <c r="I100" s="64">
        <v>4.04</v>
      </c>
      <c r="J100" s="64">
        <v>1.88</v>
      </c>
      <c r="K100" s="64">
        <v>165.26</v>
      </c>
      <c r="L100" s="64">
        <v>20.100000000000001</v>
      </c>
      <c r="M100" s="64">
        <v>74.569999999999993</v>
      </c>
      <c r="N100" s="64">
        <v>81.3</v>
      </c>
      <c r="O100" s="64">
        <v>0</v>
      </c>
      <c r="P100" s="64">
        <v>0.4</v>
      </c>
      <c r="Q100" s="64">
        <v>8.9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2256</v>
      </c>
      <c r="B101" s="64">
        <v>3.9</v>
      </c>
      <c r="C101" s="64">
        <v>52.36</v>
      </c>
      <c r="D101" s="64">
        <v>56.26</v>
      </c>
      <c r="E101" s="64">
        <v>2.37</v>
      </c>
      <c r="F101" s="64">
        <v>8.3000000000000007</v>
      </c>
      <c r="G101" s="64">
        <v>38.61</v>
      </c>
      <c r="H101" s="64">
        <v>9.5299999999999994</v>
      </c>
      <c r="I101" s="64">
        <v>4.1399999999999997</v>
      </c>
      <c r="J101" s="64">
        <v>1.53</v>
      </c>
      <c r="K101" s="64">
        <v>162.13999999999999</v>
      </c>
      <c r="L101" s="64">
        <v>19.84</v>
      </c>
      <c r="M101" s="64">
        <v>76.599999999999994</v>
      </c>
      <c r="N101" s="64">
        <v>81.3</v>
      </c>
      <c r="O101" s="64">
        <v>0</v>
      </c>
      <c r="P101" s="64">
        <v>0.39</v>
      </c>
      <c r="Q101" s="64">
        <v>8.89</v>
      </c>
      <c r="R101" s="198"/>
      <c r="S101" s="198"/>
      <c r="T101" s="198"/>
      <c r="U101" s="198"/>
    </row>
    <row r="102" spans="1:33" s="12" customFormat="1" x14ac:dyDescent="0.25">
      <c r="A102" s="247" t="s">
        <v>2257</v>
      </c>
      <c r="B102" s="64">
        <v>4.07</v>
      </c>
      <c r="C102" s="64">
        <v>51.45</v>
      </c>
      <c r="D102" s="64">
        <v>55.53</v>
      </c>
      <c r="E102" s="64">
        <v>2.2999999999999998</v>
      </c>
      <c r="F102" s="64">
        <v>8.07</v>
      </c>
      <c r="G102" s="64">
        <v>38.61</v>
      </c>
      <c r="H102" s="64">
        <v>9.5299999999999994</v>
      </c>
      <c r="I102" s="64">
        <v>4.05</v>
      </c>
      <c r="J102" s="64">
        <v>1.58</v>
      </c>
      <c r="K102" s="64">
        <v>166.64</v>
      </c>
      <c r="L102" s="64">
        <v>19.64</v>
      </c>
      <c r="M102" s="64">
        <v>76.510000000000005</v>
      </c>
      <c r="N102" s="64">
        <v>81.2</v>
      </c>
      <c r="O102" s="64">
        <v>0</v>
      </c>
      <c r="P102" s="64">
        <v>0.38</v>
      </c>
      <c r="Q102" s="64">
        <v>8.89</v>
      </c>
      <c r="R102" s="198"/>
      <c r="S102" s="198"/>
      <c r="T102" s="198"/>
      <c r="U102" s="198"/>
    </row>
    <row r="103" spans="1:33" s="12" customFormat="1" x14ac:dyDescent="0.25">
      <c r="A103" s="247" t="s">
        <v>2258</v>
      </c>
      <c r="B103" s="64">
        <v>4.1500000000000004</v>
      </c>
      <c r="C103" s="64">
        <v>50.6</v>
      </c>
      <c r="D103" s="64">
        <v>54.75</v>
      </c>
      <c r="E103" s="64">
        <v>2.34</v>
      </c>
      <c r="F103" s="64">
        <v>8.57</v>
      </c>
      <c r="G103" s="64">
        <v>33.450000000000003</v>
      </c>
      <c r="H103" s="64">
        <v>9.42</v>
      </c>
      <c r="I103" s="64">
        <v>3.83</v>
      </c>
      <c r="J103" s="64">
        <v>1.53</v>
      </c>
      <c r="K103" s="64">
        <v>157.21</v>
      </c>
      <c r="L103" s="64">
        <v>19.46</v>
      </c>
      <c r="M103" s="64">
        <v>77.69</v>
      </c>
      <c r="N103" s="64">
        <v>81.2</v>
      </c>
      <c r="O103" s="64">
        <v>0</v>
      </c>
      <c r="P103" s="64">
        <v>0.36</v>
      </c>
      <c r="Q103" s="64">
        <v>8.8800000000000008</v>
      </c>
      <c r="R103" s="198"/>
      <c r="S103" s="198"/>
      <c r="T103" s="198"/>
      <c r="U103" s="198"/>
    </row>
    <row r="104" spans="1:33" s="12" customFormat="1" x14ac:dyDescent="0.25">
      <c r="A104" s="247" t="s">
        <v>2259</v>
      </c>
      <c r="B104" s="64">
        <v>4.3</v>
      </c>
      <c r="C104" s="64">
        <v>50.91</v>
      </c>
      <c r="D104" s="64">
        <v>55.2</v>
      </c>
      <c r="E104" s="64">
        <v>2.39</v>
      </c>
      <c r="F104" s="64">
        <v>7.7</v>
      </c>
      <c r="G104" s="64">
        <v>30.61</v>
      </c>
      <c r="H104" s="64">
        <v>9.35</v>
      </c>
      <c r="I104" s="64">
        <v>3.93</v>
      </c>
      <c r="J104" s="64">
        <v>0.78</v>
      </c>
      <c r="K104" s="64">
        <v>100.91</v>
      </c>
      <c r="L104" s="64">
        <v>19.28</v>
      </c>
      <c r="M104" s="64">
        <v>78.61</v>
      </c>
      <c r="N104" s="64">
        <v>81.3</v>
      </c>
      <c r="O104" s="64">
        <v>0</v>
      </c>
      <c r="P104" s="64">
        <v>0.35</v>
      </c>
      <c r="Q104" s="64">
        <v>8.8699999999999992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3.04</v>
      </c>
      <c r="C106" s="67">
        <f>MIN(C9:C104)</f>
        <v>43.75</v>
      </c>
      <c r="D106" s="67">
        <f t="shared" ref="D106:Q106" si="0">MIN(D9:D104)</f>
        <v>52.42</v>
      </c>
      <c r="E106" s="67">
        <f t="shared" si="0"/>
        <v>1.95</v>
      </c>
      <c r="F106" s="67">
        <f t="shared" si="0"/>
        <v>7.11</v>
      </c>
      <c r="G106" s="67">
        <f t="shared" si="0"/>
        <v>30.61</v>
      </c>
      <c r="H106" s="67">
        <f t="shared" si="0"/>
        <v>9.35</v>
      </c>
      <c r="I106" s="67">
        <f t="shared" si="0"/>
        <v>3.83</v>
      </c>
      <c r="J106" s="67">
        <f t="shared" si="0"/>
        <v>0.12</v>
      </c>
      <c r="K106" s="67">
        <f t="shared" si="0"/>
        <v>0.4</v>
      </c>
      <c r="L106" s="67">
        <f t="shared" si="0"/>
        <v>19.28</v>
      </c>
      <c r="M106" s="67">
        <f t="shared" si="0"/>
        <v>29.07</v>
      </c>
      <c r="N106" s="67">
        <f t="shared" si="0"/>
        <v>65.2</v>
      </c>
      <c r="O106" s="67">
        <f t="shared" si="0"/>
        <v>0</v>
      </c>
      <c r="P106" s="67">
        <f t="shared" si="0"/>
        <v>0.35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42.07</v>
      </c>
      <c r="C107" s="66">
        <f t="shared" ref="C107:Q107" si="1">MAX(C9:C104)</f>
        <v>105.16</v>
      </c>
      <c r="D107" s="66">
        <f t="shared" si="1"/>
        <v>147.22999999999999</v>
      </c>
      <c r="E107" s="66">
        <f t="shared" si="1"/>
        <v>24.22</v>
      </c>
      <c r="F107" s="66">
        <f t="shared" si="1"/>
        <v>27</v>
      </c>
      <c r="G107" s="66">
        <f t="shared" si="1"/>
        <v>97.95</v>
      </c>
      <c r="H107" s="66">
        <f t="shared" si="1"/>
        <v>30.32</v>
      </c>
      <c r="I107" s="66">
        <f t="shared" si="1"/>
        <v>4.26</v>
      </c>
      <c r="J107" s="66">
        <f t="shared" si="1"/>
        <v>2.69</v>
      </c>
      <c r="K107" s="66">
        <f t="shared" si="1"/>
        <v>359.98</v>
      </c>
      <c r="L107" s="66">
        <f t="shared" si="1"/>
        <v>45.25</v>
      </c>
      <c r="M107" s="66">
        <f t="shared" si="1"/>
        <v>78.61</v>
      </c>
      <c r="N107" s="66">
        <f t="shared" si="1"/>
        <v>765.6</v>
      </c>
      <c r="O107" s="66">
        <f t="shared" si="1"/>
        <v>0</v>
      </c>
      <c r="P107" s="66">
        <f t="shared" si="1"/>
        <v>1.18</v>
      </c>
      <c r="Q107" s="66">
        <f t="shared" si="1"/>
        <v>9.5399999999999991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9.8506250000000044</v>
      </c>
      <c r="C108" s="67">
        <f t="shared" ref="C108:Q108" si="2">AVERAGE(C9:C104)</f>
        <v>63.077604166666653</v>
      </c>
      <c r="D108" s="67">
        <f t="shared" si="2"/>
        <v>72.928750000000022</v>
      </c>
      <c r="E108" s="67">
        <f t="shared" si="2"/>
        <v>6.3792708333333339</v>
      </c>
      <c r="F108" s="67">
        <f t="shared" si="2"/>
        <v>12.253645833333332</v>
      </c>
      <c r="G108" s="67">
        <f t="shared" si="2"/>
        <v>62.646458333333328</v>
      </c>
      <c r="H108" s="67">
        <f t="shared" si="2"/>
        <v>21.421041666666671</v>
      </c>
      <c r="I108" s="67">
        <f t="shared" si="2"/>
        <v>4.0117708333333342</v>
      </c>
      <c r="J108" s="67">
        <f t="shared" si="2"/>
        <v>1.2312500000000002</v>
      </c>
      <c r="K108" s="67">
        <f t="shared" si="2"/>
        <v>175.92104166666664</v>
      </c>
      <c r="L108" s="67">
        <f t="shared" si="2"/>
        <v>24.260104166666675</v>
      </c>
      <c r="M108" s="67">
        <f t="shared" si="2"/>
        <v>53.190729166666664</v>
      </c>
      <c r="N108" s="67">
        <f t="shared" si="2"/>
        <v>212.89895833333341</v>
      </c>
      <c r="O108" s="67">
        <f t="shared" si="2"/>
        <v>0</v>
      </c>
      <c r="P108" s="67">
        <f t="shared" si="2"/>
        <v>0.68010416666666618</v>
      </c>
      <c r="Q108" s="67">
        <f t="shared" si="2"/>
        <v>8.8705208333333356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7.5848632937061167</v>
      </c>
      <c r="C109" s="67">
        <f t="shared" ref="C109:Q109" si="3">STDEV(C9:C104)</f>
        <v>11.04990714367201</v>
      </c>
      <c r="D109" s="67">
        <f t="shared" si="3"/>
        <v>16.477678506008189</v>
      </c>
      <c r="E109" s="67">
        <f t="shared" si="3"/>
        <v>4.6693130892966668</v>
      </c>
      <c r="F109" s="67">
        <f t="shared" si="3"/>
        <v>4.4725264542282952</v>
      </c>
      <c r="G109" s="67">
        <f t="shared" si="3"/>
        <v>18.225865482542225</v>
      </c>
      <c r="H109" s="67">
        <f t="shared" si="3"/>
        <v>6.495028783886041</v>
      </c>
      <c r="I109" s="67">
        <f t="shared" si="3"/>
        <v>9.8557968960475376E-2</v>
      </c>
      <c r="J109" s="67">
        <f t="shared" si="3"/>
        <v>0.58427327780576621</v>
      </c>
      <c r="K109" s="67">
        <f t="shared" si="3"/>
        <v>80.73316658147337</v>
      </c>
      <c r="L109" s="67">
        <f t="shared" si="3"/>
        <v>3.9758509171434686</v>
      </c>
      <c r="M109" s="67">
        <f t="shared" si="3"/>
        <v>13.665771551372385</v>
      </c>
      <c r="N109" s="67">
        <f t="shared" si="3"/>
        <v>219.86460019738539</v>
      </c>
      <c r="O109" s="67">
        <f t="shared" si="3"/>
        <v>0</v>
      </c>
      <c r="P109" s="67">
        <f t="shared" si="3"/>
        <v>0.20848574249708915</v>
      </c>
      <c r="Q109" s="67">
        <f t="shared" si="3"/>
        <v>1.3237326568948278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2260</v>
      </c>
      <c r="B9" s="64">
        <v>4.4000000000000004</v>
      </c>
      <c r="C9" s="64">
        <v>51.56</v>
      </c>
      <c r="D9" s="64">
        <v>55.96</v>
      </c>
      <c r="E9" s="64">
        <v>2.8</v>
      </c>
      <c r="F9" s="64">
        <v>8.3800000000000008</v>
      </c>
      <c r="G9" s="64">
        <v>30.61</v>
      </c>
      <c r="H9" s="64">
        <v>9.35</v>
      </c>
      <c r="I9" s="64">
        <v>4.1900000000000004</v>
      </c>
      <c r="J9" s="64">
        <v>0.45</v>
      </c>
      <c r="K9" s="64">
        <v>119.24</v>
      </c>
      <c r="L9" s="64">
        <v>19.14</v>
      </c>
      <c r="M9" s="64">
        <v>78.400000000000006</v>
      </c>
      <c r="N9" s="64">
        <v>81.3</v>
      </c>
      <c r="O9" s="64">
        <v>0</v>
      </c>
      <c r="P9" s="64">
        <v>0.35</v>
      </c>
      <c r="Q9" s="64">
        <v>8.84</v>
      </c>
      <c r="R9" s="198"/>
      <c r="S9" s="198"/>
      <c r="T9" s="198"/>
      <c r="U9" s="198"/>
    </row>
    <row r="10" spans="1:21" s="12" customFormat="1" x14ac:dyDescent="0.25">
      <c r="A10" s="247" t="s">
        <v>2261</v>
      </c>
      <c r="B10" s="64">
        <v>4.4400000000000004</v>
      </c>
      <c r="C10" s="64">
        <v>50.45</v>
      </c>
      <c r="D10" s="64">
        <v>54.9</v>
      </c>
      <c r="E10" s="64">
        <v>2.95</v>
      </c>
      <c r="F10" s="64">
        <v>8.43</v>
      </c>
      <c r="G10" s="64">
        <v>30.61</v>
      </c>
      <c r="H10" s="64">
        <v>9.35</v>
      </c>
      <c r="I10" s="64">
        <v>4</v>
      </c>
      <c r="J10" s="64">
        <v>0.89</v>
      </c>
      <c r="K10" s="64">
        <v>100.28</v>
      </c>
      <c r="L10" s="64">
        <v>19.09</v>
      </c>
      <c r="M10" s="64">
        <v>79.09</v>
      </c>
      <c r="N10" s="64">
        <v>81.2</v>
      </c>
      <c r="O10" s="64">
        <v>0</v>
      </c>
      <c r="P10" s="64">
        <v>0.34</v>
      </c>
      <c r="Q10" s="64">
        <v>8.81</v>
      </c>
      <c r="R10" s="198"/>
      <c r="S10" s="198"/>
      <c r="T10" s="198"/>
      <c r="U10" s="198"/>
    </row>
    <row r="11" spans="1:21" s="12" customFormat="1" x14ac:dyDescent="0.25">
      <c r="A11" s="247" t="s">
        <v>2262</v>
      </c>
      <c r="B11" s="64">
        <v>4.55</v>
      </c>
      <c r="C11" s="64">
        <v>50.33</v>
      </c>
      <c r="D11" s="64">
        <v>54.88</v>
      </c>
      <c r="E11" s="64">
        <v>2.87</v>
      </c>
      <c r="F11" s="64">
        <v>8.06</v>
      </c>
      <c r="G11" s="64">
        <v>28.16</v>
      </c>
      <c r="H11" s="64">
        <v>9.41</v>
      </c>
      <c r="I11" s="64">
        <v>3.92</v>
      </c>
      <c r="J11" s="64">
        <v>1.02</v>
      </c>
      <c r="K11" s="64">
        <v>96.6</v>
      </c>
      <c r="L11" s="64">
        <v>19.07</v>
      </c>
      <c r="M11" s="64">
        <v>79.98</v>
      </c>
      <c r="N11" s="64">
        <v>81.400000000000006</v>
      </c>
      <c r="O11" s="64">
        <v>0</v>
      </c>
      <c r="P11" s="64">
        <v>0.33</v>
      </c>
      <c r="Q11" s="64">
        <v>8.82</v>
      </c>
      <c r="R11" s="198"/>
      <c r="S11" s="198"/>
      <c r="T11" s="198"/>
      <c r="U11" s="198"/>
    </row>
    <row r="12" spans="1:21" s="12" customFormat="1" x14ac:dyDescent="0.25">
      <c r="A12" s="247" t="s">
        <v>2263</v>
      </c>
      <c r="B12" s="64">
        <v>4.66</v>
      </c>
      <c r="C12" s="64">
        <v>49.57</v>
      </c>
      <c r="D12" s="64">
        <v>54.24</v>
      </c>
      <c r="E12" s="64">
        <v>3.07</v>
      </c>
      <c r="F12" s="64">
        <v>7.91</v>
      </c>
      <c r="G12" s="64">
        <v>26.81</v>
      </c>
      <c r="H12" s="64">
        <v>9.4499999999999993</v>
      </c>
      <c r="I12" s="64">
        <v>3.94</v>
      </c>
      <c r="J12" s="64">
        <v>0.67</v>
      </c>
      <c r="K12" s="64">
        <v>123.02</v>
      </c>
      <c r="L12" s="64">
        <v>18.97</v>
      </c>
      <c r="M12" s="64">
        <v>81.12</v>
      </c>
      <c r="N12" s="64">
        <v>81.400000000000006</v>
      </c>
      <c r="O12" s="64">
        <v>0</v>
      </c>
      <c r="P12" s="64">
        <v>0.33</v>
      </c>
      <c r="Q12" s="64">
        <v>8.83</v>
      </c>
      <c r="R12" s="198"/>
      <c r="S12" s="198"/>
      <c r="T12" s="198"/>
      <c r="U12" s="198"/>
    </row>
    <row r="13" spans="1:21" s="12" customFormat="1" x14ac:dyDescent="0.25">
      <c r="A13" s="247" t="s">
        <v>2264</v>
      </c>
      <c r="B13" s="64">
        <v>4.8</v>
      </c>
      <c r="C13" s="64">
        <v>49.39</v>
      </c>
      <c r="D13" s="64">
        <v>54.19</v>
      </c>
      <c r="E13" s="64">
        <v>2.81</v>
      </c>
      <c r="F13" s="64">
        <v>7.09</v>
      </c>
      <c r="G13" s="64">
        <v>26.81</v>
      </c>
      <c r="H13" s="64">
        <v>9.4499999999999993</v>
      </c>
      <c r="I13" s="64">
        <v>4.0199999999999996</v>
      </c>
      <c r="J13" s="64">
        <v>1.4</v>
      </c>
      <c r="K13" s="64">
        <v>165.89</v>
      </c>
      <c r="L13" s="64">
        <v>18.7</v>
      </c>
      <c r="M13" s="64">
        <v>83.13</v>
      </c>
      <c r="N13" s="64">
        <v>81.599999999999994</v>
      </c>
      <c r="O13" s="64">
        <v>0</v>
      </c>
      <c r="P13" s="64">
        <v>0.33</v>
      </c>
      <c r="Q13" s="64">
        <v>8.84</v>
      </c>
      <c r="R13" s="198"/>
      <c r="S13" s="198"/>
      <c r="T13" s="198"/>
      <c r="U13" s="198"/>
    </row>
    <row r="14" spans="1:21" s="12" customFormat="1" x14ac:dyDescent="0.25">
      <c r="A14" s="247" t="s">
        <v>2265</v>
      </c>
      <c r="B14" s="64">
        <v>4.75</v>
      </c>
      <c r="C14" s="64">
        <v>49.75</v>
      </c>
      <c r="D14" s="64">
        <v>54.5</v>
      </c>
      <c r="E14" s="64">
        <v>2.73</v>
      </c>
      <c r="F14" s="64">
        <v>6.93</v>
      </c>
      <c r="G14" s="64">
        <v>26.81</v>
      </c>
      <c r="H14" s="64">
        <v>9.4499999999999993</v>
      </c>
      <c r="I14" s="64">
        <v>4.17</v>
      </c>
      <c r="J14" s="64">
        <v>1.48</v>
      </c>
      <c r="K14" s="64">
        <v>155.76</v>
      </c>
      <c r="L14" s="64">
        <v>18.489999999999998</v>
      </c>
      <c r="M14" s="64">
        <v>84.89</v>
      </c>
      <c r="N14" s="64">
        <v>81.599999999999994</v>
      </c>
      <c r="O14" s="64">
        <v>0</v>
      </c>
      <c r="P14" s="64">
        <v>0.35</v>
      </c>
      <c r="Q14" s="64">
        <v>8.84</v>
      </c>
      <c r="R14" s="198"/>
      <c r="S14" s="198"/>
      <c r="T14" s="198"/>
      <c r="U14" s="198"/>
    </row>
    <row r="15" spans="1:21" s="12" customFormat="1" x14ac:dyDescent="0.25">
      <c r="A15" s="247" t="s">
        <v>2266</v>
      </c>
      <c r="B15" s="64">
        <v>4.72</v>
      </c>
      <c r="C15" s="64">
        <v>49.66</v>
      </c>
      <c r="D15" s="64">
        <v>54.39</v>
      </c>
      <c r="E15" s="64">
        <v>2.5099999999999998</v>
      </c>
      <c r="F15" s="64">
        <v>6.61</v>
      </c>
      <c r="G15" s="64">
        <v>23.87</v>
      </c>
      <c r="H15" s="64">
        <v>9.49</v>
      </c>
      <c r="I15" s="64">
        <v>4.0599999999999996</v>
      </c>
      <c r="J15" s="64">
        <v>1.04</v>
      </c>
      <c r="K15" s="64">
        <v>164.04</v>
      </c>
      <c r="L15" s="64">
        <v>18.32</v>
      </c>
      <c r="M15" s="64">
        <v>85.92</v>
      </c>
      <c r="N15" s="64">
        <v>81.5</v>
      </c>
      <c r="O15" s="64">
        <v>0</v>
      </c>
      <c r="P15" s="64">
        <v>0.35</v>
      </c>
      <c r="Q15" s="64">
        <v>8.84</v>
      </c>
      <c r="R15" s="198"/>
      <c r="S15" s="198"/>
      <c r="T15" s="198"/>
      <c r="U15" s="198"/>
    </row>
    <row r="16" spans="1:21" s="12" customFormat="1" x14ac:dyDescent="0.25">
      <c r="A16" s="247" t="s">
        <v>2267</v>
      </c>
      <c r="B16" s="64">
        <v>4.8499999999999996</v>
      </c>
      <c r="C16" s="64">
        <v>50.2</v>
      </c>
      <c r="D16" s="64">
        <v>55.05</v>
      </c>
      <c r="E16" s="64">
        <v>2.72</v>
      </c>
      <c r="F16" s="64">
        <v>6.6</v>
      </c>
      <c r="G16" s="64">
        <v>22.24</v>
      </c>
      <c r="H16" s="64">
        <v>9.52</v>
      </c>
      <c r="I16" s="64">
        <v>3.96</v>
      </c>
      <c r="J16" s="64">
        <v>1.65</v>
      </c>
      <c r="K16" s="64">
        <v>157.16999999999999</v>
      </c>
      <c r="L16" s="64">
        <v>18.23</v>
      </c>
      <c r="M16" s="64">
        <v>86.74</v>
      </c>
      <c r="N16" s="64">
        <v>81.400000000000006</v>
      </c>
      <c r="O16" s="64">
        <v>0</v>
      </c>
      <c r="P16" s="64">
        <v>0.34</v>
      </c>
      <c r="Q16" s="64">
        <v>8.85</v>
      </c>
      <c r="R16" s="198"/>
      <c r="S16" s="198"/>
      <c r="T16" s="198"/>
      <c r="U16" s="198"/>
    </row>
    <row r="17" spans="1:21" s="12" customFormat="1" x14ac:dyDescent="0.25">
      <c r="A17" s="247" t="s">
        <v>2268</v>
      </c>
      <c r="B17" s="64">
        <v>4.97</v>
      </c>
      <c r="C17" s="64">
        <v>49.81</v>
      </c>
      <c r="D17" s="64">
        <v>54.77</v>
      </c>
      <c r="E17" s="64">
        <v>2.98</v>
      </c>
      <c r="F17" s="64">
        <v>7.19</v>
      </c>
      <c r="G17" s="64">
        <v>22.24</v>
      </c>
      <c r="H17" s="64">
        <v>9.52</v>
      </c>
      <c r="I17" s="64">
        <v>3.83</v>
      </c>
      <c r="J17" s="64">
        <v>0.95</v>
      </c>
      <c r="K17" s="64">
        <v>152.24</v>
      </c>
      <c r="L17" s="64">
        <v>18.13</v>
      </c>
      <c r="M17" s="64">
        <v>87.6</v>
      </c>
      <c r="N17" s="64">
        <v>81.5</v>
      </c>
      <c r="O17" s="64">
        <v>0</v>
      </c>
      <c r="P17" s="64">
        <v>0.33</v>
      </c>
      <c r="Q17" s="64">
        <v>8.84</v>
      </c>
      <c r="R17" s="198"/>
      <c r="S17" s="198"/>
      <c r="T17" s="198"/>
      <c r="U17" s="198"/>
    </row>
    <row r="18" spans="1:21" s="12" customFormat="1" x14ac:dyDescent="0.25">
      <c r="A18" s="247" t="s">
        <v>2269</v>
      </c>
      <c r="B18" s="64">
        <v>5.28</v>
      </c>
      <c r="C18" s="64">
        <v>45.75</v>
      </c>
      <c r="D18" s="64">
        <v>51.03</v>
      </c>
      <c r="E18" s="64">
        <v>2.31</v>
      </c>
      <c r="F18" s="64">
        <v>9.27</v>
      </c>
      <c r="G18" s="64">
        <v>22.24</v>
      </c>
      <c r="H18" s="64">
        <v>9.52</v>
      </c>
      <c r="I18" s="64">
        <v>4.01</v>
      </c>
      <c r="J18" s="64">
        <v>0.73</v>
      </c>
      <c r="K18" s="64">
        <v>303.82</v>
      </c>
      <c r="L18" s="64">
        <v>17.97</v>
      </c>
      <c r="M18" s="64">
        <v>89.42</v>
      </c>
      <c r="N18" s="64">
        <v>81.599999999999994</v>
      </c>
      <c r="O18" s="64">
        <v>0</v>
      </c>
      <c r="P18" s="64">
        <v>0.32</v>
      </c>
      <c r="Q18" s="64">
        <v>8.83</v>
      </c>
      <c r="R18" s="198"/>
      <c r="S18" s="198"/>
      <c r="T18" s="198"/>
      <c r="U18" s="198"/>
    </row>
    <row r="19" spans="1:21" s="12" customFormat="1" x14ac:dyDescent="0.25">
      <c r="A19" s="247" t="s">
        <v>2270</v>
      </c>
      <c r="B19" s="64">
        <v>5.48</v>
      </c>
      <c r="C19" s="64">
        <v>41.17</v>
      </c>
      <c r="D19" s="64">
        <v>46.65</v>
      </c>
      <c r="E19" s="64">
        <v>2.56</v>
      </c>
      <c r="F19" s="64">
        <v>10.9</v>
      </c>
      <c r="G19" s="64">
        <v>19.41</v>
      </c>
      <c r="H19" s="64">
        <v>8.89</v>
      </c>
      <c r="I19" s="64">
        <v>4.17</v>
      </c>
      <c r="J19" s="64">
        <v>0.42</v>
      </c>
      <c r="K19" s="64">
        <v>327.47000000000003</v>
      </c>
      <c r="L19" s="64">
        <v>17.8</v>
      </c>
      <c r="M19" s="64">
        <v>90.48</v>
      </c>
      <c r="N19" s="64">
        <v>81.3</v>
      </c>
      <c r="O19" s="64">
        <v>0</v>
      </c>
      <c r="P19" s="64">
        <v>0.31</v>
      </c>
      <c r="Q19" s="64">
        <v>8.82</v>
      </c>
      <c r="R19" s="198"/>
      <c r="S19" s="198"/>
      <c r="T19" s="198"/>
      <c r="U19" s="198"/>
    </row>
    <row r="20" spans="1:21" s="12" customFormat="1" x14ac:dyDescent="0.25">
      <c r="A20" s="247" t="s">
        <v>2271</v>
      </c>
      <c r="B20" s="64">
        <v>5.5</v>
      </c>
      <c r="C20" s="64">
        <v>38.79</v>
      </c>
      <c r="D20" s="64">
        <v>44.29</v>
      </c>
      <c r="E20" s="64">
        <v>2.74</v>
      </c>
      <c r="F20" s="64">
        <v>11.12</v>
      </c>
      <c r="G20" s="64">
        <v>17.850000000000001</v>
      </c>
      <c r="H20" s="64">
        <v>8.5299999999999994</v>
      </c>
      <c r="I20" s="64">
        <v>3.99</v>
      </c>
      <c r="J20" s="64">
        <v>0.41</v>
      </c>
      <c r="K20" s="64">
        <v>82.19</v>
      </c>
      <c r="L20" s="64">
        <v>17.850000000000001</v>
      </c>
      <c r="M20" s="64">
        <v>90.12</v>
      </c>
      <c r="N20" s="64">
        <v>81.099999999999994</v>
      </c>
      <c r="O20" s="64">
        <v>0</v>
      </c>
      <c r="P20" s="64">
        <v>0.32</v>
      </c>
      <c r="Q20" s="64">
        <v>8.84</v>
      </c>
      <c r="R20" s="198"/>
      <c r="S20" s="198"/>
      <c r="T20" s="198"/>
      <c r="U20" s="198"/>
    </row>
    <row r="21" spans="1:21" s="12" customFormat="1" x14ac:dyDescent="0.25">
      <c r="A21" s="247" t="s">
        <v>2272</v>
      </c>
      <c r="B21" s="64">
        <v>6.16</v>
      </c>
      <c r="C21" s="64">
        <v>39.01</v>
      </c>
      <c r="D21" s="64">
        <v>45.17</v>
      </c>
      <c r="E21" s="64">
        <v>2.72</v>
      </c>
      <c r="F21" s="64">
        <v>9.77</v>
      </c>
      <c r="G21" s="64">
        <v>17.850000000000001</v>
      </c>
      <c r="H21" s="64">
        <v>8.5299999999999994</v>
      </c>
      <c r="I21" s="64">
        <v>3.95</v>
      </c>
      <c r="J21" s="64">
        <v>0.71</v>
      </c>
      <c r="K21" s="64">
        <v>342.39</v>
      </c>
      <c r="L21" s="64">
        <v>17.75</v>
      </c>
      <c r="M21" s="64">
        <v>91.74</v>
      </c>
      <c r="N21" s="64">
        <v>81.5</v>
      </c>
      <c r="O21" s="64">
        <v>0</v>
      </c>
      <c r="P21" s="64">
        <v>0.32</v>
      </c>
      <c r="Q21" s="64">
        <v>8.85</v>
      </c>
      <c r="R21" s="198"/>
      <c r="S21" s="198"/>
      <c r="T21" s="198"/>
      <c r="U21" s="198"/>
    </row>
    <row r="22" spans="1:21" s="12" customFormat="1" x14ac:dyDescent="0.25">
      <c r="A22" s="247" t="s">
        <v>2273</v>
      </c>
      <c r="B22" s="64">
        <v>6.22</v>
      </c>
      <c r="C22" s="64">
        <v>38.14</v>
      </c>
      <c r="D22" s="64">
        <v>44.35</v>
      </c>
      <c r="E22" s="64">
        <v>3.01</v>
      </c>
      <c r="F22" s="64">
        <v>10.98</v>
      </c>
      <c r="G22" s="64">
        <v>17.850000000000001</v>
      </c>
      <c r="H22" s="64">
        <v>8.5299999999999994</v>
      </c>
      <c r="I22" s="64">
        <v>4.1399999999999997</v>
      </c>
      <c r="J22" s="64">
        <v>0.24</v>
      </c>
      <c r="K22" s="64">
        <v>31.01</v>
      </c>
      <c r="L22" s="64">
        <v>17.510000000000002</v>
      </c>
      <c r="M22" s="64">
        <v>92.95</v>
      </c>
      <c r="N22" s="64">
        <v>81.400000000000006</v>
      </c>
      <c r="O22" s="64">
        <v>0</v>
      </c>
      <c r="P22" s="64">
        <v>0.31</v>
      </c>
      <c r="Q22" s="64">
        <v>8.8699999999999992</v>
      </c>
      <c r="R22" s="198"/>
      <c r="S22" s="198"/>
      <c r="T22" s="198"/>
      <c r="U22" s="198"/>
    </row>
    <row r="23" spans="1:21" s="12" customFormat="1" x14ac:dyDescent="0.25">
      <c r="A23" s="247" t="s">
        <v>2274</v>
      </c>
      <c r="B23" s="64">
        <v>6.59</v>
      </c>
      <c r="C23" s="64">
        <v>37.840000000000003</v>
      </c>
      <c r="D23" s="64">
        <v>44.43</v>
      </c>
      <c r="E23" s="64">
        <v>2.92</v>
      </c>
      <c r="F23" s="64">
        <v>11.2</v>
      </c>
      <c r="G23" s="64">
        <v>21.48</v>
      </c>
      <c r="H23" s="64">
        <v>9.09</v>
      </c>
      <c r="I23" s="64">
        <v>3.92</v>
      </c>
      <c r="J23" s="64">
        <v>0.35</v>
      </c>
      <c r="K23" s="64">
        <v>205.98</v>
      </c>
      <c r="L23" s="64">
        <v>17.87</v>
      </c>
      <c r="M23" s="64">
        <v>90.03</v>
      </c>
      <c r="N23" s="64">
        <v>80.599999999999994</v>
      </c>
      <c r="O23" s="64">
        <v>0</v>
      </c>
      <c r="P23" s="64">
        <v>0.36</v>
      </c>
      <c r="Q23" s="64">
        <v>8.8800000000000008</v>
      </c>
      <c r="R23" s="198"/>
      <c r="S23" s="198"/>
      <c r="T23" s="198"/>
      <c r="U23" s="198"/>
    </row>
    <row r="24" spans="1:21" s="12" customFormat="1" x14ac:dyDescent="0.25">
      <c r="A24" s="247" t="s">
        <v>2275</v>
      </c>
      <c r="B24" s="64">
        <v>7.14</v>
      </c>
      <c r="C24" s="64">
        <v>39.81</v>
      </c>
      <c r="D24" s="64">
        <v>46.95</v>
      </c>
      <c r="E24" s="64">
        <v>2.85</v>
      </c>
      <c r="F24" s="64">
        <v>11</v>
      </c>
      <c r="G24" s="64">
        <v>23.49</v>
      </c>
      <c r="H24" s="64">
        <v>9.41</v>
      </c>
      <c r="I24" s="64">
        <v>4.1100000000000003</v>
      </c>
      <c r="J24" s="64">
        <v>0.4</v>
      </c>
      <c r="K24" s="64">
        <v>234.46</v>
      </c>
      <c r="L24" s="64">
        <v>18.21</v>
      </c>
      <c r="M24" s="64">
        <v>87.71</v>
      </c>
      <c r="N24" s="64">
        <v>81</v>
      </c>
      <c r="O24" s="64">
        <v>0</v>
      </c>
      <c r="P24" s="64">
        <v>0.31</v>
      </c>
      <c r="Q24" s="64">
        <v>8.91</v>
      </c>
      <c r="R24" s="198"/>
      <c r="S24" s="198"/>
      <c r="T24" s="198"/>
      <c r="U24" s="198"/>
    </row>
    <row r="25" spans="1:21" s="12" customFormat="1" x14ac:dyDescent="0.25">
      <c r="A25" s="247" t="s">
        <v>2276</v>
      </c>
      <c r="B25" s="64">
        <v>7.71</v>
      </c>
      <c r="C25" s="64">
        <v>41.34</v>
      </c>
      <c r="D25" s="64">
        <v>49.05</v>
      </c>
      <c r="E25" s="64">
        <v>2.68</v>
      </c>
      <c r="F25" s="64">
        <v>9.75</v>
      </c>
      <c r="G25" s="64">
        <v>23.49</v>
      </c>
      <c r="H25" s="64">
        <v>9.41</v>
      </c>
      <c r="I25" s="64">
        <v>4</v>
      </c>
      <c r="J25" s="64">
        <v>0.44</v>
      </c>
      <c r="K25" s="64">
        <v>83.59</v>
      </c>
      <c r="L25" s="64">
        <v>18.28</v>
      </c>
      <c r="M25" s="64">
        <v>87.34</v>
      </c>
      <c r="N25" s="64">
        <v>81.2</v>
      </c>
      <c r="O25" s="64">
        <v>0</v>
      </c>
      <c r="P25" s="64">
        <v>0.32</v>
      </c>
      <c r="Q25" s="64">
        <v>8.93</v>
      </c>
      <c r="R25" s="198"/>
      <c r="S25" s="198"/>
      <c r="T25" s="198"/>
      <c r="U25" s="198"/>
    </row>
    <row r="26" spans="1:21" s="12" customFormat="1" x14ac:dyDescent="0.25">
      <c r="A26" s="247" t="s">
        <v>2277</v>
      </c>
      <c r="B26" s="64">
        <v>8.9700000000000006</v>
      </c>
      <c r="C26" s="64">
        <v>47.84</v>
      </c>
      <c r="D26" s="64">
        <v>56.81</v>
      </c>
      <c r="E26" s="64">
        <v>2.57</v>
      </c>
      <c r="F26" s="64">
        <v>7.66</v>
      </c>
      <c r="G26" s="64">
        <v>23.49</v>
      </c>
      <c r="H26" s="64">
        <v>9.41</v>
      </c>
      <c r="I26" s="64">
        <v>3.81</v>
      </c>
      <c r="J26" s="64">
        <v>0.87</v>
      </c>
      <c r="K26" s="64">
        <v>76.91</v>
      </c>
      <c r="L26" s="64">
        <v>18.55</v>
      </c>
      <c r="M26" s="64">
        <v>85.83</v>
      </c>
      <c r="N26" s="64">
        <v>81</v>
      </c>
      <c r="O26" s="64">
        <v>0</v>
      </c>
      <c r="P26" s="64">
        <v>0.33</v>
      </c>
      <c r="Q26" s="64">
        <v>8.92</v>
      </c>
      <c r="R26" s="198"/>
      <c r="S26" s="198"/>
      <c r="T26" s="198"/>
      <c r="U26" s="198"/>
    </row>
    <row r="27" spans="1:21" s="12" customFormat="1" x14ac:dyDescent="0.25">
      <c r="A27" s="247" t="s">
        <v>2278</v>
      </c>
      <c r="B27" s="64">
        <v>9.1</v>
      </c>
      <c r="C27" s="64">
        <v>50.93</v>
      </c>
      <c r="D27" s="64">
        <v>60.03</v>
      </c>
      <c r="E27" s="64">
        <v>3.27</v>
      </c>
      <c r="F27" s="64">
        <v>7.69</v>
      </c>
      <c r="G27" s="64">
        <v>20.41</v>
      </c>
      <c r="H27" s="64">
        <v>10.64</v>
      </c>
      <c r="I27" s="64">
        <v>4.01</v>
      </c>
      <c r="J27" s="64">
        <v>0.94</v>
      </c>
      <c r="K27" s="64">
        <v>92.87</v>
      </c>
      <c r="L27" s="64">
        <v>18.600000000000001</v>
      </c>
      <c r="M27" s="64">
        <v>85.06</v>
      </c>
      <c r="N27" s="64">
        <v>81.099999999999994</v>
      </c>
      <c r="O27" s="64">
        <v>0</v>
      </c>
      <c r="P27" s="64">
        <v>0.33</v>
      </c>
      <c r="Q27" s="64">
        <v>8.93</v>
      </c>
      <c r="R27" s="198"/>
      <c r="S27" s="198"/>
      <c r="T27" s="198"/>
      <c r="U27" s="198"/>
    </row>
    <row r="28" spans="1:21" s="12" customFormat="1" x14ac:dyDescent="0.25">
      <c r="A28" s="247" t="s">
        <v>2279</v>
      </c>
      <c r="B28" s="64">
        <v>9.26</v>
      </c>
      <c r="C28" s="64">
        <v>51.31</v>
      </c>
      <c r="D28" s="64">
        <v>60.57</v>
      </c>
      <c r="E28" s="64">
        <v>3.02</v>
      </c>
      <c r="F28" s="64">
        <v>7.19</v>
      </c>
      <c r="G28" s="64">
        <v>18.71</v>
      </c>
      <c r="H28" s="64">
        <v>11.36</v>
      </c>
      <c r="I28" s="64">
        <v>4.1100000000000003</v>
      </c>
      <c r="J28" s="64">
        <v>1.88</v>
      </c>
      <c r="K28" s="64">
        <v>100.71</v>
      </c>
      <c r="L28" s="64">
        <v>18.510000000000002</v>
      </c>
      <c r="M28" s="64">
        <v>85.58</v>
      </c>
      <c r="N28" s="64">
        <v>81.099999999999994</v>
      </c>
      <c r="O28" s="64">
        <v>0</v>
      </c>
      <c r="P28" s="64">
        <v>0.32</v>
      </c>
      <c r="Q28" s="64">
        <v>8.9499999999999993</v>
      </c>
      <c r="R28" s="198"/>
      <c r="S28" s="198"/>
      <c r="T28" s="198"/>
      <c r="U28" s="198"/>
    </row>
    <row r="29" spans="1:21" s="12" customFormat="1" x14ac:dyDescent="0.25">
      <c r="A29" s="247" t="s">
        <v>2280</v>
      </c>
      <c r="B29" s="64">
        <v>9.33</v>
      </c>
      <c r="C29" s="64">
        <v>51.37</v>
      </c>
      <c r="D29" s="64">
        <v>60.7</v>
      </c>
      <c r="E29" s="64">
        <v>3.06</v>
      </c>
      <c r="F29" s="64">
        <v>6.86</v>
      </c>
      <c r="G29" s="64">
        <v>18.71</v>
      </c>
      <c r="H29" s="64">
        <v>11.36</v>
      </c>
      <c r="I29" s="64">
        <v>4.03</v>
      </c>
      <c r="J29" s="64">
        <v>1.79</v>
      </c>
      <c r="K29" s="64">
        <v>93.22</v>
      </c>
      <c r="L29" s="64">
        <v>18.579999999999998</v>
      </c>
      <c r="M29" s="64">
        <v>84.78</v>
      </c>
      <c r="N29" s="64">
        <v>81.400000000000006</v>
      </c>
      <c r="O29" s="64">
        <v>0</v>
      </c>
      <c r="P29" s="64">
        <v>0.33</v>
      </c>
      <c r="Q29" s="64">
        <v>8.9600000000000009</v>
      </c>
      <c r="R29" s="198"/>
      <c r="S29" s="198"/>
      <c r="T29" s="198"/>
      <c r="U29" s="198"/>
    </row>
    <row r="30" spans="1:21" s="12" customFormat="1" x14ac:dyDescent="0.25">
      <c r="A30" s="247" t="s">
        <v>2281</v>
      </c>
      <c r="B30" s="64">
        <v>9.1999999999999993</v>
      </c>
      <c r="C30" s="64">
        <v>51.2</v>
      </c>
      <c r="D30" s="64">
        <v>60.4</v>
      </c>
      <c r="E30" s="64">
        <v>2.63</v>
      </c>
      <c r="F30" s="64">
        <v>6.95</v>
      </c>
      <c r="G30" s="64">
        <v>18.71</v>
      </c>
      <c r="H30" s="64">
        <v>11.36</v>
      </c>
      <c r="I30" s="64">
        <v>4.05</v>
      </c>
      <c r="J30" s="64">
        <v>1.56</v>
      </c>
      <c r="K30" s="64">
        <v>95.46</v>
      </c>
      <c r="L30" s="64">
        <v>18.420000000000002</v>
      </c>
      <c r="M30" s="64">
        <v>84.88</v>
      </c>
      <c r="N30" s="64">
        <v>81.7</v>
      </c>
      <c r="O30" s="64">
        <v>0</v>
      </c>
      <c r="P30" s="64">
        <v>0.32</v>
      </c>
      <c r="Q30" s="64">
        <v>8.9700000000000006</v>
      </c>
      <c r="R30" s="198"/>
      <c r="S30" s="198"/>
      <c r="T30" s="198"/>
      <c r="U30" s="198"/>
    </row>
    <row r="31" spans="1:21" s="12" customFormat="1" x14ac:dyDescent="0.25">
      <c r="A31" s="247" t="s">
        <v>2282</v>
      </c>
      <c r="B31" s="64">
        <v>9.24</v>
      </c>
      <c r="C31" s="64">
        <v>50.81</v>
      </c>
      <c r="D31" s="64">
        <v>60.05</v>
      </c>
      <c r="E31" s="64">
        <v>2.44</v>
      </c>
      <c r="F31" s="64">
        <v>7.32</v>
      </c>
      <c r="G31" s="64">
        <v>18.739999999999998</v>
      </c>
      <c r="H31" s="64">
        <v>9.33</v>
      </c>
      <c r="I31" s="64">
        <v>3.94</v>
      </c>
      <c r="J31" s="64">
        <v>1.39</v>
      </c>
      <c r="K31" s="64">
        <v>100.11</v>
      </c>
      <c r="L31" s="64">
        <v>18.239999999999998</v>
      </c>
      <c r="M31" s="64">
        <v>85.33</v>
      </c>
      <c r="N31" s="64">
        <v>81.7</v>
      </c>
      <c r="O31" s="64">
        <v>0</v>
      </c>
      <c r="P31" s="64">
        <v>0.32</v>
      </c>
      <c r="Q31" s="64">
        <v>8.9600000000000009</v>
      </c>
      <c r="R31" s="198"/>
      <c r="S31" s="198"/>
      <c r="T31" s="198"/>
      <c r="U31" s="198"/>
    </row>
    <row r="32" spans="1:21" s="12" customFormat="1" x14ac:dyDescent="0.25">
      <c r="A32" s="247" t="s">
        <v>2283</v>
      </c>
      <c r="B32" s="64">
        <v>9.35</v>
      </c>
      <c r="C32" s="64">
        <v>51.47</v>
      </c>
      <c r="D32" s="64">
        <v>60.82</v>
      </c>
      <c r="E32" s="64">
        <v>2.86</v>
      </c>
      <c r="F32" s="64">
        <v>6.64</v>
      </c>
      <c r="G32" s="64">
        <v>18.760000000000002</v>
      </c>
      <c r="H32" s="64">
        <v>8.16</v>
      </c>
      <c r="I32" s="64">
        <v>4.07</v>
      </c>
      <c r="J32" s="64">
        <v>1.48</v>
      </c>
      <c r="K32" s="64">
        <v>103.99</v>
      </c>
      <c r="L32" s="64">
        <v>18.02</v>
      </c>
      <c r="M32" s="64">
        <v>86.94</v>
      </c>
      <c r="N32" s="64">
        <v>82.5</v>
      </c>
      <c r="O32" s="64">
        <v>0</v>
      </c>
      <c r="P32" s="64">
        <v>0.32</v>
      </c>
      <c r="Q32" s="64">
        <v>8.9700000000000006</v>
      </c>
      <c r="R32" s="198"/>
      <c r="S32" s="198"/>
      <c r="T32" s="198"/>
      <c r="U32" s="198"/>
    </row>
    <row r="33" spans="1:21" s="12" customFormat="1" x14ac:dyDescent="0.25">
      <c r="A33" s="247" t="s">
        <v>2284</v>
      </c>
      <c r="B33" s="64">
        <v>9.59</v>
      </c>
      <c r="C33" s="64">
        <v>51.43</v>
      </c>
      <c r="D33" s="64">
        <v>61.02</v>
      </c>
      <c r="E33" s="64">
        <v>2.65</v>
      </c>
      <c r="F33" s="64">
        <v>7.01</v>
      </c>
      <c r="G33" s="64">
        <v>18.760000000000002</v>
      </c>
      <c r="H33" s="64">
        <v>8.16</v>
      </c>
      <c r="I33" s="64">
        <v>3.99</v>
      </c>
      <c r="J33" s="64">
        <v>0.86</v>
      </c>
      <c r="K33" s="64">
        <v>67.75</v>
      </c>
      <c r="L33" s="64">
        <v>17.899999999999999</v>
      </c>
      <c r="M33" s="64">
        <v>87.4</v>
      </c>
      <c r="N33" s="64">
        <v>85.4</v>
      </c>
      <c r="O33" s="64">
        <v>0</v>
      </c>
      <c r="P33" s="64">
        <v>0.33</v>
      </c>
      <c r="Q33" s="64">
        <v>8.98</v>
      </c>
      <c r="R33" s="198"/>
      <c r="S33" s="198"/>
      <c r="T33" s="198"/>
      <c r="U33" s="198"/>
    </row>
    <row r="34" spans="1:21" s="12" customFormat="1" x14ac:dyDescent="0.25">
      <c r="A34" s="247" t="s">
        <v>2285</v>
      </c>
      <c r="B34" s="64">
        <v>10.1</v>
      </c>
      <c r="C34" s="64">
        <v>52.21</v>
      </c>
      <c r="D34" s="64">
        <v>62.31</v>
      </c>
      <c r="E34" s="64">
        <v>2.91</v>
      </c>
      <c r="F34" s="64">
        <v>6.59</v>
      </c>
      <c r="G34" s="64">
        <v>18.760000000000002</v>
      </c>
      <c r="H34" s="64">
        <v>8.16</v>
      </c>
      <c r="I34" s="64">
        <v>4.05</v>
      </c>
      <c r="J34" s="64">
        <v>1.74</v>
      </c>
      <c r="K34" s="64">
        <v>103.16</v>
      </c>
      <c r="L34" s="64">
        <v>17.93</v>
      </c>
      <c r="M34" s="64">
        <v>87.37</v>
      </c>
      <c r="N34" s="64">
        <v>98.4</v>
      </c>
      <c r="O34" s="64">
        <v>0</v>
      </c>
      <c r="P34" s="64">
        <v>0.32</v>
      </c>
      <c r="Q34" s="64">
        <v>8.99</v>
      </c>
      <c r="R34" s="198"/>
      <c r="S34" s="198"/>
      <c r="T34" s="198"/>
      <c r="U34" s="198"/>
    </row>
    <row r="35" spans="1:21" s="12" customFormat="1" x14ac:dyDescent="0.25">
      <c r="A35" s="247" t="s">
        <v>2286</v>
      </c>
      <c r="B35" s="64">
        <v>10.39</v>
      </c>
      <c r="C35" s="64">
        <v>52.17</v>
      </c>
      <c r="D35" s="64">
        <v>62.55</v>
      </c>
      <c r="E35" s="64">
        <v>2.74</v>
      </c>
      <c r="F35" s="64">
        <v>7.39</v>
      </c>
      <c r="G35" s="64">
        <v>19.440000000000001</v>
      </c>
      <c r="H35" s="64">
        <v>7.31</v>
      </c>
      <c r="I35" s="64">
        <v>3.96</v>
      </c>
      <c r="J35" s="64">
        <v>1.25</v>
      </c>
      <c r="K35" s="64">
        <v>81.540000000000006</v>
      </c>
      <c r="L35" s="64">
        <v>18.14</v>
      </c>
      <c r="M35" s="64">
        <v>88.89</v>
      </c>
      <c r="N35" s="64">
        <v>133.69999999999999</v>
      </c>
      <c r="O35" s="64">
        <v>0</v>
      </c>
      <c r="P35" s="64">
        <v>0.32</v>
      </c>
      <c r="Q35" s="64">
        <v>9</v>
      </c>
      <c r="R35" s="198"/>
      <c r="S35" s="198"/>
      <c r="T35" s="198"/>
      <c r="U35" s="198"/>
    </row>
    <row r="36" spans="1:21" s="12" customFormat="1" x14ac:dyDescent="0.25">
      <c r="A36" s="247" t="s">
        <v>2287</v>
      </c>
      <c r="B36" s="64">
        <v>11.28</v>
      </c>
      <c r="C36" s="64">
        <v>48.12</v>
      </c>
      <c r="D36" s="64">
        <v>59.4</v>
      </c>
      <c r="E36" s="64">
        <v>2.27</v>
      </c>
      <c r="F36" s="64">
        <v>6.64</v>
      </c>
      <c r="G36" s="64">
        <v>19.809999999999999</v>
      </c>
      <c r="H36" s="64">
        <v>6.82</v>
      </c>
      <c r="I36" s="64">
        <v>3.88</v>
      </c>
      <c r="J36" s="64">
        <v>0.98</v>
      </c>
      <c r="K36" s="64">
        <v>80.62</v>
      </c>
      <c r="L36" s="64">
        <v>18.34</v>
      </c>
      <c r="M36" s="64">
        <v>91.1</v>
      </c>
      <c r="N36" s="64">
        <v>175.2</v>
      </c>
      <c r="O36" s="64">
        <v>0</v>
      </c>
      <c r="P36" s="64">
        <v>0.34</v>
      </c>
      <c r="Q36" s="64">
        <v>9.01</v>
      </c>
      <c r="R36" s="198"/>
      <c r="S36" s="198"/>
      <c r="T36" s="198"/>
      <c r="U36" s="198"/>
    </row>
    <row r="37" spans="1:21" s="12" customFormat="1" x14ac:dyDescent="0.25">
      <c r="A37" s="247" t="s">
        <v>2288</v>
      </c>
      <c r="B37" s="64">
        <v>11.23</v>
      </c>
      <c r="C37" s="64">
        <v>48.91</v>
      </c>
      <c r="D37" s="64">
        <v>60.13</v>
      </c>
      <c r="E37" s="64">
        <v>2.56</v>
      </c>
      <c r="F37" s="64">
        <v>7.53</v>
      </c>
      <c r="G37" s="64">
        <v>19.809999999999999</v>
      </c>
      <c r="H37" s="64">
        <v>6.82</v>
      </c>
      <c r="I37" s="64">
        <v>4.07</v>
      </c>
      <c r="J37" s="64">
        <v>1.71</v>
      </c>
      <c r="K37" s="64">
        <v>98.23</v>
      </c>
      <c r="L37" s="64">
        <v>18.52</v>
      </c>
      <c r="M37" s="64">
        <v>90.91</v>
      </c>
      <c r="N37" s="64">
        <v>203</v>
      </c>
      <c r="O37" s="64">
        <v>0</v>
      </c>
      <c r="P37" s="64">
        <v>0.34</v>
      </c>
      <c r="Q37" s="64">
        <v>9.0299999999999994</v>
      </c>
      <c r="R37" s="198"/>
      <c r="S37" s="198"/>
      <c r="T37" s="198"/>
      <c r="U37" s="198"/>
    </row>
    <row r="38" spans="1:21" s="12" customFormat="1" x14ac:dyDescent="0.25">
      <c r="A38" s="247" t="s">
        <v>2289</v>
      </c>
      <c r="B38" s="64">
        <v>11.2</v>
      </c>
      <c r="C38" s="64">
        <v>50.45</v>
      </c>
      <c r="D38" s="64">
        <v>61.65</v>
      </c>
      <c r="E38" s="64">
        <v>2.68</v>
      </c>
      <c r="F38" s="64">
        <v>7.76</v>
      </c>
      <c r="G38" s="64">
        <v>19.809999999999999</v>
      </c>
      <c r="H38" s="64">
        <v>6.82</v>
      </c>
      <c r="I38" s="64">
        <v>3.96</v>
      </c>
      <c r="J38" s="64">
        <v>1.84</v>
      </c>
      <c r="K38" s="64">
        <v>97.53</v>
      </c>
      <c r="L38" s="64">
        <v>18.489999999999998</v>
      </c>
      <c r="M38" s="64">
        <v>91.45</v>
      </c>
      <c r="N38" s="64">
        <v>218.4</v>
      </c>
      <c r="O38" s="64">
        <v>0</v>
      </c>
      <c r="P38" s="64">
        <v>0.36</v>
      </c>
      <c r="Q38" s="64">
        <v>9.0500000000000007</v>
      </c>
      <c r="R38" s="198"/>
      <c r="S38" s="198"/>
      <c r="T38" s="198"/>
      <c r="U38" s="198"/>
    </row>
    <row r="39" spans="1:21" s="12" customFormat="1" x14ac:dyDescent="0.25">
      <c r="A39" s="247" t="s">
        <v>2290</v>
      </c>
      <c r="B39" s="64">
        <v>11.28</v>
      </c>
      <c r="C39" s="64">
        <v>51.25</v>
      </c>
      <c r="D39" s="64">
        <v>62.54</v>
      </c>
      <c r="E39" s="64">
        <v>2.71</v>
      </c>
      <c r="F39" s="64">
        <v>7.51</v>
      </c>
      <c r="G39" s="64">
        <v>20.010000000000002</v>
      </c>
      <c r="H39" s="64">
        <v>8.77</v>
      </c>
      <c r="I39" s="64">
        <v>4.12</v>
      </c>
      <c r="J39" s="64">
        <v>1.74</v>
      </c>
      <c r="K39" s="64">
        <v>97.72</v>
      </c>
      <c r="L39" s="64">
        <v>19.010000000000002</v>
      </c>
      <c r="M39" s="64">
        <v>88.23</v>
      </c>
      <c r="N39" s="64">
        <v>280.7</v>
      </c>
      <c r="O39" s="64">
        <v>0</v>
      </c>
      <c r="P39" s="64">
        <v>0.37</v>
      </c>
      <c r="Q39" s="64">
        <v>9.0500000000000007</v>
      </c>
      <c r="R39" s="198"/>
      <c r="S39" s="198"/>
      <c r="T39" s="198"/>
      <c r="U39" s="198"/>
    </row>
    <row r="40" spans="1:21" s="12" customFormat="1" x14ac:dyDescent="0.25">
      <c r="A40" s="247" t="s">
        <v>2291</v>
      </c>
      <c r="B40" s="64">
        <v>11.64</v>
      </c>
      <c r="C40" s="64">
        <v>52.35</v>
      </c>
      <c r="D40" s="64">
        <v>63.99</v>
      </c>
      <c r="E40" s="64">
        <v>2.4300000000000002</v>
      </c>
      <c r="F40" s="64">
        <v>8.36</v>
      </c>
      <c r="G40" s="64">
        <v>20.12</v>
      </c>
      <c r="H40" s="64">
        <v>9.91</v>
      </c>
      <c r="I40" s="64">
        <v>3.91</v>
      </c>
      <c r="J40" s="64">
        <v>1.94</v>
      </c>
      <c r="K40" s="64">
        <v>98.93</v>
      </c>
      <c r="L40" s="64">
        <v>19.670000000000002</v>
      </c>
      <c r="M40" s="64">
        <v>84.89</v>
      </c>
      <c r="N40" s="64">
        <v>323.7</v>
      </c>
      <c r="O40" s="64">
        <v>0</v>
      </c>
      <c r="P40" s="64">
        <v>0.38</v>
      </c>
      <c r="Q40" s="64">
        <v>9.0500000000000007</v>
      </c>
      <c r="R40" s="198"/>
      <c r="S40" s="198"/>
      <c r="T40" s="198"/>
      <c r="U40" s="198"/>
    </row>
    <row r="41" spans="1:21" s="12" customFormat="1" x14ac:dyDescent="0.25">
      <c r="A41" s="247" t="s">
        <v>2292</v>
      </c>
      <c r="B41" s="64">
        <v>11.04</v>
      </c>
      <c r="C41" s="64">
        <v>52.21</v>
      </c>
      <c r="D41" s="64">
        <v>63.25</v>
      </c>
      <c r="E41" s="64">
        <v>2.12</v>
      </c>
      <c r="F41" s="64">
        <v>8.0399999999999991</v>
      </c>
      <c r="G41" s="64">
        <v>20.12</v>
      </c>
      <c r="H41" s="64">
        <v>9.91</v>
      </c>
      <c r="I41" s="64">
        <v>3.99</v>
      </c>
      <c r="J41" s="64">
        <v>1.79</v>
      </c>
      <c r="K41" s="64">
        <v>97.81</v>
      </c>
      <c r="L41" s="64">
        <v>20.27</v>
      </c>
      <c r="M41" s="64">
        <v>81.459999999999994</v>
      </c>
      <c r="N41" s="64">
        <v>442.6</v>
      </c>
      <c r="O41" s="64">
        <v>0</v>
      </c>
      <c r="P41" s="64">
        <v>0.37</v>
      </c>
      <c r="Q41" s="64">
        <v>9.06</v>
      </c>
      <c r="R41" s="198"/>
      <c r="S41" s="198"/>
      <c r="T41" s="198"/>
      <c r="U41" s="198"/>
    </row>
    <row r="42" spans="1:21" s="12" customFormat="1" x14ac:dyDescent="0.25">
      <c r="A42" s="247" t="s">
        <v>2293</v>
      </c>
      <c r="B42" s="64">
        <v>10.77</v>
      </c>
      <c r="C42" s="64">
        <v>52.91</v>
      </c>
      <c r="D42" s="64">
        <v>63.68</v>
      </c>
      <c r="E42" s="64">
        <v>2.48</v>
      </c>
      <c r="F42" s="64">
        <v>8.7799999999999994</v>
      </c>
      <c r="G42" s="64">
        <v>20.12</v>
      </c>
      <c r="H42" s="64">
        <v>9.91</v>
      </c>
      <c r="I42" s="64">
        <v>4.1100000000000003</v>
      </c>
      <c r="J42" s="64">
        <v>1.68</v>
      </c>
      <c r="K42" s="64">
        <v>91.18</v>
      </c>
      <c r="L42" s="64">
        <v>21.03</v>
      </c>
      <c r="M42" s="64">
        <v>78.62</v>
      </c>
      <c r="N42" s="64">
        <v>467.7</v>
      </c>
      <c r="O42" s="64">
        <v>0</v>
      </c>
      <c r="P42" s="64">
        <v>0.38</v>
      </c>
      <c r="Q42" s="64">
        <v>9.0500000000000007</v>
      </c>
      <c r="R42" s="198"/>
      <c r="S42" s="198"/>
      <c r="T42" s="198"/>
      <c r="U42" s="198"/>
    </row>
    <row r="43" spans="1:21" s="12" customFormat="1" x14ac:dyDescent="0.25">
      <c r="A43" s="247" t="s">
        <v>2294</v>
      </c>
      <c r="B43" s="64">
        <v>10.08</v>
      </c>
      <c r="C43" s="64">
        <v>52.1</v>
      </c>
      <c r="D43" s="64">
        <v>62.18</v>
      </c>
      <c r="E43" s="64">
        <v>2.27</v>
      </c>
      <c r="F43" s="64">
        <v>9.07</v>
      </c>
      <c r="G43" s="64">
        <v>25.21</v>
      </c>
      <c r="H43" s="64">
        <v>10.27</v>
      </c>
      <c r="I43" s="64">
        <v>4.07</v>
      </c>
      <c r="J43" s="64">
        <v>1.37</v>
      </c>
      <c r="K43" s="64">
        <v>99.52</v>
      </c>
      <c r="L43" s="64">
        <v>21.82</v>
      </c>
      <c r="M43" s="64">
        <v>74.73</v>
      </c>
      <c r="N43" s="64">
        <v>542.29999999999995</v>
      </c>
      <c r="O43" s="64">
        <v>0</v>
      </c>
      <c r="P43" s="64">
        <v>0.38</v>
      </c>
      <c r="Q43" s="64">
        <v>9.0399999999999991</v>
      </c>
      <c r="R43" s="198"/>
      <c r="S43" s="198"/>
      <c r="T43" s="198"/>
      <c r="U43" s="198"/>
    </row>
    <row r="44" spans="1:21" s="12" customFormat="1" x14ac:dyDescent="0.25">
      <c r="A44" s="247" t="s">
        <v>2295</v>
      </c>
      <c r="B44" s="64">
        <v>9.66</v>
      </c>
      <c r="C44" s="64">
        <v>53.15</v>
      </c>
      <c r="D44" s="64">
        <v>62.81</v>
      </c>
      <c r="E44" s="64">
        <v>2.06</v>
      </c>
      <c r="F44" s="64">
        <v>8.09</v>
      </c>
      <c r="G44" s="64">
        <v>28.02</v>
      </c>
      <c r="H44" s="64">
        <v>10.48</v>
      </c>
      <c r="I44" s="64">
        <v>4.0999999999999996</v>
      </c>
      <c r="J44" s="64">
        <v>0.99</v>
      </c>
      <c r="K44" s="64">
        <v>99.78</v>
      </c>
      <c r="L44" s="64">
        <v>22.68</v>
      </c>
      <c r="M44" s="64">
        <v>69.959999999999994</v>
      </c>
      <c r="N44" s="64">
        <v>548.1</v>
      </c>
      <c r="O44" s="64">
        <v>0</v>
      </c>
      <c r="P44" s="64">
        <v>0.39</v>
      </c>
      <c r="Q44" s="64">
        <v>9.02</v>
      </c>
      <c r="R44" s="198"/>
      <c r="S44" s="198"/>
      <c r="T44" s="198"/>
      <c r="U44" s="198"/>
    </row>
    <row r="45" spans="1:21" s="12" customFormat="1" x14ac:dyDescent="0.25">
      <c r="A45" s="247" t="s">
        <v>2296</v>
      </c>
      <c r="B45" s="64">
        <v>8.85</v>
      </c>
      <c r="C45" s="64">
        <v>53.33</v>
      </c>
      <c r="D45" s="64">
        <v>62.18</v>
      </c>
      <c r="E45" s="64">
        <v>2.1800000000000002</v>
      </c>
      <c r="F45" s="64">
        <v>7.45</v>
      </c>
      <c r="G45" s="64">
        <v>28.02</v>
      </c>
      <c r="H45" s="64">
        <v>10.48</v>
      </c>
      <c r="I45" s="64">
        <v>3.82</v>
      </c>
      <c r="J45" s="64">
        <v>0.82</v>
      </c>
      <c r="K45" s="64">
        <v>152.15</v>
      </c>
      <c r="L45" s="64">
        <v>23.31</v>
      </c>
      <c r="M45" s="64">
        <v>67.03</v>
      </c>
      <c r="N45" s="64">
        <v>585.79999999999995</v>
      </c>
      <c r="O45" s="64">
        <v>0</v>
      </c>
      <c r="P45" s="64">
        <v>0.39</v>
      </c>
      <c r="Q45" s="64">
        <v>8.98</v>
      </c>
      <c r="R45" s="198"/>
      <c r="S45" s="198"/>
      <c r="T45" s="198"/>
      <c r="U45" s="198"/>
    </row>
    <row r="46" spans="1:21" s="12" customFormat="1" x14ac:dyDescent="0.25">
      <c r="A46" s="247" t="s">
        <v>2297</v>
      </c>
      <c r="B46" s="64">
        <v>7.96</v>
      </c>
      <c r="C46" s="64">
        <v>53.72</v>
      </c>
      <c r="D46" s="64">
        <v>61.68</v>
      </c>
      <c r="E46" s="64">
        <v>2.16</v>
      </c>
      <c r="F46" s="64">
        <v>8.3699999999999992</v>
      </c>
      <c r="G46" s="64">
        <v>28.02</v>
      </c>
      <c r="H46" s="64">
        <v>10.48</v>
      </c>
      <c r="I46" s="64">
        <v>3.91</v>
      </c>
      <c r="J46" s="64">
        <v>1.21</v>
      </c>
      <c r="K46" s="64">
        <v>143.05000000000001</v>
      </c>
      <c r="L46" s="64">
        <v>23.56</v>
      </c>
      <c r="M46" s="64">
        <v>66.239999999999995</v>
      </c>
      <c r="N46" s="64">
        <v>631.79999999999995</v>
      </c>
      <c r="O46" s="64">
        <v>0</v>
      </c>
      <c r="P46" s="64">
        <v>0.39</v>
      </c>
      <c r="Q46" s="64">
        <v>8.9600000000000009</v>
      </c>
      <c r="R46" s="198"/>
      <c r="S46" s="198"/>
      <c r="T46" s="198"/>
      <c r="U46" s="198"/>
    </row>
    <row r="47" spans="1:21" s="12" customFormat="1" x14ac:dyDescent="0.25">
      <c r="A47" s="247" t="s">
        <v>2298</v>
      </c>
      <c r="B47" s="64">
        <v>7.06</v>
      </c>
      <c r="C47" s="64">
        <v>54.91</v>
      </c>
      <c r="D47" s="64">
        <v>61.97</v>
      </c>
      <c r="E47" s="64">
        <v>2.2200000000000002</v>
      </c>
      <c r="F47" s="64">
        <v>8.93</v>
      </c>
      <c r="G47" s="64">
        <v>26.66</v>
      </c>
      <c r="H47" s="64">
        <v>11.77</v>
      </c>
      <c r="I47" s="64">
        <v>3.93</v>
      </c>
      <c r="J47" s="64">
        <v>0.46</v>
      </c>
      <c r="K47" s="64">
        <v>154.13</v>
      </c>
      <c r="L47" s="64">
        <v>25.03</v>
      </c>
      <c r="M47" s="64">
        <v>59.67</v>
      </c>
      <c r="N47" s="64">
        <v>662.6</v>
      </c>
      <c r="O47" s="64">
        <v>0</v>
      </c>
      <c r="P47" s="64">
        <v>0.4</v>
      </c>
      <c r="Q47" s="64">
        <v>8.9499999999999993</v>
      </c>
      <c r="R47" s="198"/>
      <c r="S47" s="198"/>
      <c r="T47" s="198"/>
      <c r="U47" s="198"/>
    </row>
    <row r="48" spans="1:21" s="12" customFormat="1" x14ac:dyDescent="0.25">
      <c r="A48" s="247" t="s">
        <v>2299</v>
      </c>
      <c r="B48" s="64">
        <v>6.62</v>
      </c>
      <c r="C48" s="64">
        <v>55.04</v>
      </c>
      <c r="D48" s="64">
        <v>61.65</v>
      </c>
      <c r="E48" s="64">
        <v>2.0499999999999998</v>
      </c>
      <c r="F48" s="64">
        <v>8.19</v>
      </c>
      <c r="G48" s="64">
        <v>25.91</v>
      </c>
      <c r="H48" s="64">
        <v>12.51</v>
      </c>
      <c r="I48" s="64">
        <v>4.09</v>
      </c>
      <c r="J48" s="64">
        <v>0.62</v>
      </c>
      <c r="K48" s="64">
        <v>146.56</v>
      </c>
      <c r="L48" s="64">
        <v>25.97</v>
      </c>
      <c r="M48" s="64">
        <v>55.24</v>
      </c>
      <c r="N48" s="64">
        <v>707.4</v>
      </c>
      <c r="O48" s="64">
        <v>0</v>
      </c>
      <c r="P48" s="64">
        <v>0.41</v>
      </c>
      <c r="Q48" s="64">
        <v>8.9600000000000009</v>
      </c>
      <c r="R48" s="198"/>
      <c r="S48" s="198"/>
      <c r="T48" s="198"/>
      <c r="U48" s="198"/>
    </row>
    <row r="49" spans="1:21" s="12" customFormat="1" x14ac:dyDescent="0.25">
      <c r="A49" s="247" t="s">
        <v>2300</v>
      </c>
      <c r="B49" s="64">
        <v>6.38</v>
      </c>
      <c r="C49" s="64">
        <v>56.05</v>
      </c>
      <c r="D49" s="64">
        <v>62.43</v>
      </c>
      <c r="E49" s="64">
        <v>2.2400000000000002</v>
      </c>
      <c r="F49" s="64">
        <v>8.69</v>
      </c>
      <c r="G49" s="64">
        <v>25.91</v>
      </c>
      <c r="H49" s="64">
        <v>12.51</v>
      </c>
      <c r="I49" s="64">
        <v>4.18</v>
      </c>
      <c r="J49" s="64">
        <v>0.28999999999999998</v>
      </c>
      <c r="K49" s="64">
        <v>225.45</v>
      </c>
      <c r="L49" s="64">
        <v>27</v>
      </c>
      <c r="M49" s="64">
        <v>50.7</v>
      </c>
      <c r="N49" s="64">
        <v>750.1</v>
      </c>
      <c r="O49" s="64">
        <v>0</v>
      </c>
      <c r="P49" s="64">
        <v>0.42</v>
      </c>
      <c r="Q49" s="64">
        <v>8.9499999999999993</v>
      </c>
      <c r="R49" s="198"/>
      <c r="S49" s="198"/>
      <c r="T49" s="198"/>
      <c r="U49" s="198"/>
    </row>
    <row r="50" spans="1:21" s="12" customFormat="1" x14ac:dyDescent="0.25">
      <c r="A50" s="247" t="s">
        <v>2301</v>
      </c>
      <c r="B50" s="64">
        <v>5.88</v>
      </c>
      <c r="C50" s="64">
        <v>57.39</v>
      </c>
      <c r="D50" s="64">
        <v>63.26</v>
      </c>
      <c r="E50" s="64">
        <v>2.2000000000000002</v>
      </c>
      <c r="F50" s="64">
        <v>8.0299999999999994</v>
      </c>
      <c r="G50" s="64">
        <v>25.91</v>
      </c>
      <c r="H50" s="64">
        <v>12.51</v>
      </c>
      <c r="I50" s="64">
        <v>3.9</v>
      </c>
      <c r="J50" s="64">
        <v>0.42</v>
      </c>
      <c r="K50" s="64">
        <v>285.56</v>
      </c>
      <c r="L50" s="64">
        <v>28.8</v>
      </c>
      <c r="M50" s="64">
        <v>45.49</v>
      </c>
      <c r="N50" s="64">
        <v>730.9</v>
      </c>
      <c r="O50" s="64">
        <v>0</v>
      </c>
      <c r="P50" s="64">
        <v>0.45</v>
      </c>
      <c r="Q50" s="64">
        <v>8.94</v>
      </c>
      <c r="R50" s="198"/>
      <c r="S50" s="198"/>
      <c r="T50" s="198"/>
      <c r="U50" s="198"/>
    </row>
    <row r="51" spans="1:21" s="12" customFormat="1" x14ac:dyDescent="0.25">
      <c r="A51" s="247" t="s">
        <v>2302</v>
      </c>
      <c r="B51" s="64">
        <v>5.28</v>
      </c>
      <c r="C51" s="64">
        <v>56.62</v>
      </c>
      <c r="D51" s="64">
        <v>61.89</v>
      </c>
      <c r="E51" s="64">
        <v>1.95</v>
      </c>
      <c r="F51" s="64">
        <v>8.2799999999999994</v>
      </c>
      <c r="G51" s="64">
        <v>28.01</v>
      </c>
      <c r="H51" s="64">
        <v>11.46</v>
      </c>
      <c r="I51" s="64">
        <v>4.09</v>
      </c>
      <c r="J51" s="64">
        <v>1.4</v>
      </c>
      <c r="K51" s="64">
        <v>186.88</v>
      </c>
      <c r="L51" s="64">
        <v>26.41</v>
      </c>
      <c r="M51" s="64">
        <v>52.03</v>
      </c>
      <c r="N51" s="64">
        <v>758.8</v>
      </c>
      <c r="O51" s="64">
        <v>0</v>
      </c>
      <c r="P51" s="64">
        <v>0.45</v>
      </c>
      <c r="Q51" s="64">
        <v>8.93</v>
      </c>
      <c r="R51" s="198"/>
      <c r="S51" s="198"/>
      <c r="T51" s="198"/>
      <c r="U51" s="198"/>
    </row>
    <row r="52" spans="1:21" s="12" customFormat="1" x14ac:dyDescent="0.25">
      <c r="A52" s="247" t="s">
        <v>2303</v>
      </c>
      <c r="B52" s="64">
        <v>4.28</v>
      </c>
      <c r="C52" s="64">
        <v>55.35</v>
      </c>
      <c r="D52" s="64">
        <v>59.63</v>
      </c>
      <c r="E52" s="64">
        <v>2.56</v>
      </c>
      <c r="F52" s="64">
        <v>12.26</v>
      </c>
      <c r="G52" s="64">
        <v>29.17</v>
      </c>
      <c r="H52" s="64">
        <v>10.86</v>
      </c>
      <c r="I52" s="64">
        <v>4.12</v>
      </c>
      <c r="J52" s="64">
        <v>0.41</v>
      </c>
      <c r="K52" s="64">
        <v>217.22</v>
      </c>
      <c r="L52" s="64">
        <v>26.54</v>
      </c>
      <c r="M52" s="64">
        <v>51.82</v>
      </c>
      <c r="N52" s="64">
        <v>762.4</v>
      </c>
      <c r="O52" s="64">
        <v>0</v>
      </c>
      <c r="P52" s="64">
        <v>0.46</v>
      </c>
      <c r="Q52" s="64">
        <v>8.9</v>
      </c>
      <c r="R52" s="198"/>
      <c r="S52" s="198"/>
      <c r="T52" s="198"/>
      <c r="U52" s="198"/>
    </row>
    <row r="53" spans="1:21" s="12" customFormat="1" x14ac:dyDescent="0.25">
      <c r="A53" s="247" t="s">
        <v>2304</v>
      </c>
      <c r="B53" s="64">
        <v>3.8</v>
      </c>
      <c r="C53" s="64">
        <v>52.01</v>
      </c>
      <c r="D53" s="64">
        <v>55.81</v>
      </c>
      <c r="E53" s="64">
        <v>2.66</v>
      </c>
      <c r="F53" s="64">
        <v>12.46</v>
      </c>
      <c r="G53" s="64">
        <v>29.17</v>
      </c>
      <c r="H53" s="64">
        <v>10.86</v>
      </c>
      <c r="I53" s="64">
        <v>4.03</v>
      </c>
      <c r="J53" s="64">
        <v>1.31</v>
      </c>
      <c r="K53" s="64">
        <v>153.86000000000001</v>
      </c>
      <c r="L53" s="64">
        <v>26.85</v>
      </c>
      <c r="M53" s="64">
        <v>51.47</v>
      </c>
      <c r="N53" s="64">
        <v>772.8</v>
      </c>
      <c r="O53" s="64">
        <v>0</v>
      </c>
      <c r="P53" s="64">
        <v>0.47</v>
      </c>
      <c r="Q53" s="64">
        <v>8.9</v>
      </c>
      <c r="R53" s="198"/>
      <c r="S53" s="198"/>
      <c r="T53" s="198"/>
      <c r="U53" s="198"/>
    </row>
    <row r="54" spans="1:21" s="12" customFormat="1" x14ac:dyDescent="0.25">
      <c r="A54" s="247" t="s">
        <v>2305</v>
      </c>
      <c r="B54" s="64">
        <v>3.64</v>
      </c>
      <c r="C54" s="64">
        <v>50.42</v>
      </c>
      <c r="D54" s="64">
        <v>54.06</v>
      </c>
      <c r="E54" s="64">
        <v>2.69</v>
      </c>
      <c r="F54" s="64">
        <v>12.68</v>
      </c>
      <c r="G54" s="64">
        <v>29.17</v>
      </c>
      <c r="H54" s="64">
        <v>10.86</v>
      </c>
      <c r="I54" s="64">
        <v>3.92</v>
      </c>
      <c r="J54" s="64">
        <v>0.93</v>
      </c>
      <c r="K54" s="64">
        <v>170.98</v>
      </c>
      <c r="L54" s="64">
        <v>27.23</v>
      </c>
      <c r="M54" s="64">
        <v>50.63</v>
      </c>
      <c r="N54" s="64">
        <v>761.7</v>
      </c>
      <c r="O54" s="64">
        <v>0</v>
      </c>
      <c r="P54" s="64">
        <v>0.48</v>
      </c>
      <c r="Q54" s="64">
        <v>8.8699999999999992</v>
      </c>
      <c r="R54" s="198"/>
      <c r="S54" s="198"/>
      <c r="T54" s="198"/>
      <c r="U54" s="198"/>
    </row>
    <row r="55" spans="1:21" s="12" customFormat="1" x14ac:dyDescent="0.25">
      <c r="A55" s="247" t="s">
        <v>2306</v>
      </c>
      <c r="B55" s="64">
        <v>4.29</v>
      </c>
      <c r="C55" s="64">
        <v>52.33</v>
      </c>
      <c r="D55" s="64">
        <v>56.62</v>
      </c>
      <c r="E55" s="64">
        <v>2.36</v>
      </c>
      <c r="F55" s="64">
        <v>14.78</v>
      </c>
      <c r="G55" s="64">
        <v>28.67</v>
      </c>
      <c r="H55" s="64">
        <v>13.48</v>
      </c>
      <c r="I55" s="64">
        <v>4</v>
      </c>
      <c r="J55" s="64">
        <v>0.73</v>
      </c>
      <c r="K55" s="64">
        <v>184.07</v>
      </c>
      <c r="L55" s="64">
        <v>27.06</v>
      </c>
      <c r="M55" s="64">
        <v>50.55</v>
      </c>
      <c r="N55" s="64">
        <v>689.2</v>
      </c>
      <c r="O55" s="64">
        <v>0</v>
      </c>
      <c r="P55" s="64">
        <v>0.52</v>
      </c>
      <c r="Q55" s="64">
        <v>8.8699999999999992</v>
      </c>
      <c r="R55" s="198"/>
      <c r="S55" s="198"/>
      <c r="T55" s="198"/>
      <c r="U55" s="198"/>
    </row>
    <row r="56" spans="1:21" s="12" customFormat="1" x14ac:dyDescent="0.25">
      <c r="A56" s="247" t="s">
        <v>2307</v>
      </c>
      <c r="B56" s="64">
        <v>4.49</v>
      </c>
      <c r="C56" s="64">
        <v>55.84</v>
      </c>
      <c r="D56" s="64">
        <v>60.33</v>
      </c>
      <c r="E56" s="64">
        <v>3.48</v>
      </c>
      <c r="F56" s="64">
        <v>16.66</v>
      </c>
      <c r="G56" s="64">
        <v>28.39</v>
      </c>
      <c r="H56" s="64">
        <v>15</v>
      </c>
      <c r="I56" s="64">
        <v>4.0599999999999996</v>
      </c>
      <c r="J56" s="64">
        <v>0.62</v>
      </c>
      <c r="K56" s="64">
        <v>172.42</v>
      </c>
      <c r="L56" s="64">
        <v>28.44</v>
      </c>
      <c r="M56" s="64">
        <v>46.47</v>
      </c>
      <c r="N56" s="64">
        <v>716.8</v>
      </c>
      <c r="O56" s="64">
        <v>0</v>
      </c>
      <c r="P56" s="64">
        <v>0.55000000000000004</v>
      </c>
      <c r="Q56" s="64">
        <v>8.8699999999999992</v>
      </c>
      <c r="R56" s="198"/>
      <c r="S56" s="198"/>
      <c r="T56" s="198"/>
      <c r="U56" s="198"/>
    </row>
    <row r="57" spans="1:21" s="12" customFormat="1" x14ac:dyDescent="0.25">
      <c r="A57" s="247" t="s">
        <v>2308</v>
      </c>
      <c r="B57" s="64">
        <v>3.78</v>
      </c>
      <c r="C57" s="64">
        <v>52.8</v>
      </c>
      <c r="D57" s="64">
        <v>56.58</v>
      </c>
      <c r="E57" s="64">
        <v>2.97</v>
      </c>
      <c r="F57" s="64">
        <v>13.44</v>
      </c>
      <c r="G57" s="64">
        <v>28.39</v>
      </c>
      <c r="H57" s="64">
        <v>15</v>
      </c>
      <c r="I57" s="64">
        <v>4.0599999999999996</v>
      </c>
      <c r="J57" s="64">
        <v>1.23</v>
      </c>
      <c r="K57" s="64">
        <v>153.36000000000001</v>
      </c>
      <c r="L57" s="64">
        <v>26.83</v>
      </c>
      <c r="M57" s="64">
        <v>50.29</v>
      </c>
      <c r="N57" s="64">
        <v>701.1</v>
      </c>
      <c r="O57" s="64">
        <v>0</v>
      </c>
      <c r="P57" s="64">
        <v>0.52</v>
      </c>
      <c r="Q57" s="64">
        <v>8.8800000000000008</v>
      </c>
      <c r="R57" s="198"/>
      <c r="S57" s="198"/>
      <c r="T57" s="198"/>
      <c r="U57" s="198"/>
    </row>
    <row r="58" spans="1:21" s="12" customFormat="1" x14ac:dyDescent="0.25">
      <c r="A58" s="247" t="s">
        <v>2309</v>
      </c>
      <c r="B58" s="64">
        <v>3.66</v>
      </c>
      <c r="C58" s="64">
        <v>51.99</v>
      </c>
      <c r="D58" s="64">
        <v>55.64</v>
      </c>
      <c r="E58" s="64">
        <v>2.92</v>
      </c>
      <c r="F58" s="64">
        <v>16.29</v>
      </c>
      <c r="G58" s="64">
        <v>28.39</v>
      </c>
      <c r="H58" s="64">
        <v>15</v>
      </c>
      <c r="I58" s="64">
        <v>3.97</v>
      </c>
      <c r="J58" s="64">
        <v>1.23</v>
      </c>
      <c r="K58" s="64">
        <v>156.78</v>
      </c>
      <c r="L58" s="64">
        <v>26.85</v>
      </c>
      <c r="M58" s="64">
        <v>50.56</v>
      </c>
      <c r="N58" s="64">
        <v>685.1</v>
      </c>
      <c r="O58" s="64">
        <v>0</v>
      </c>
      <c r="P58" s="64">
        <v>0.52</v>
      </c>
      <c r="Q58" s="64">
        <v>8.89</v>
      </c>
      <c r="R58" s="198"/>
      <c r="S58" s="198"/>
      <c r="T58" s="198"/>
      <c r="U58" s="198"/>
    </row>
    <row r="59" spans="1:21" s="12" customFormat="1" x14ac:dyDescent="0.25">
      <c r="A59" s="247" t="s">
        <v>2310</v>
      </c>
      <c r="B59" s="64">
        <v>4.2300000000000004</v>
      </c>
      <c r="C59" s="64">
        <v>51.66</v>
      </c>
      <c r="D59" s="64">
        <v>55.89</v>
      </c>
      <c r="E59" s="64">
        <v>2.68</v>
      </c>
      <c r="F59" s="64">
        <v>22.45</v>
      </c>
      <c r="G59" s="64">
        <v>29.43</v>
      </c>
      <c r="H59" s="64">
        <v>14.56</v>
      </c>
      <c r="I59" s="64">
        <v>4.0999999999999996</v>
      </c>
      <c r="J59" s="64">
        <v>0.88</v>
      </c>
      <c r="K59" s="64">
        <v>114.49</v>
      </c>
      <c r="L59" s="64">
        <v>27.23</v>
      </c>
      <c r="M59" s="64">
        <v>49.07</v>
      </c>
      <c r="N59" s="64">
        <v>716.1</v>
      </c>
      <c r="O59" s="64">
        <v>0</v>
      </c>
      <c r="P59" s="64">
        <v>0.5</v>
      </c>
      <c r="Q59" s="64">
        <v>8.9</v>
      </c>
      <c r="R59" s="198"/>
      <c r="S59" s="198"/>
      <c r="T59" s="198"/>
      <c r="U59" s="198"/>
    </row>
    <row r="60" spans="1:21" s="12" customFormat="1" x14ac:dyDescent="0.25">
      <c r="A60" s="247" t="s">
        <v>2311</v>
      </c>
      <c r="B60" s="64">
        <v>4.67</v>
      </c>
      <c r="C60" s="64">
        <v>55.45</v>
      </c>
      <c r="D60" s="64">
        <v>60.12</v>
      </c>
      <c r="E60" s="64">
        <v>3.51</v>
      </c>
      <c r="F60" s="64">
        <v>16.809999999999999</v>
      </c>
      <c r="G60" s="64">
        <v>30</v>
      </c>
      <c r="H60" s="64">
        <v>14.3</v>
      </c>
      <c r="I60" s="64">
        <v>3.79</v>
      </c>
      <c r="J60" s="64">
        <v>0.36</v>
      </c>
      <c r="K60" s="64">
        <v>293.61</v>
      </c>
      <c r="L60" s="64">
        <v>29.1</v>
      </c>
      <c r="M60" s="64">
        <v>43.08</v>
      </c>
      <c r="N60" s="64">
        <v>712.5</v>
      </c>
      <c r="O60" s="64">
        <v>0</v>
      </c>
      <c r="P60" s="64">
        <v>0.52</v>
      </c>
      <c r="Q60" s="64">
        <v>8.91</v>
      </c>
      <c r="R60" s="198"/>
      <c r="S60" s="198"/>
      <c r="T60" s="198"/>
      <c r="U60" s="198"/>
    </row>
    <row r="61" spans="1:21" s="12" customFormat="1" x14ac:dyDescent="0.25">
      <c r="A61" s="247" t="s">
        <v>2312</v>
      </c>
      <c r="B61" s="64">
        <v>4.08</v>
      </c>
      <c r="C61" s="64">
        <v>58.64</v>
      </c>
      <c r="D61" s="64">
        <v>62.72</v>
      </c>
      <c r="E61" s="64">
        <v>2.79</v>
      </c>
      <c r="F61" s="64">
        <v>11.14</v>
      </c>
      <c r="G61" s="64">
        <v>30</v>
      </c>
      <c r="H61" s="64">
        <v>14.3</v>
      </c>
      <c r="I61" s="64">
        <v>3.96</v>
      </c>
      <c r="J61" s="64">
        <v>1.0900000000000001</v>
      </c>
      <c r="K61" s="64">
        <v>190.83</v>
      </c>
      <c r="L61" s="64">
        <v>29.29</v>
      </c>
      <c r="M61" s="64">
        <v>41.47</v>
      </c>
      <c r="N61" s="64">
        <v>734.4</v>
      </c>
      <c r="O61" s="64">
        <v>0</v>
      </c>
      <c r="P61" s="64">
        <v>0.51</v>
      </c>
      <c r="Q61" s="64">
        <v>8.91</v>
      </c>
      <c r="R61" s="198"/>
      <c r="S61" s="198"/>
      <c r="T61" s="198"/>
      <c r="U61" s="198"/>
    </row>
    <row r="62" spans="1:21" s="12" customFormat="1" x14ac:dyDescent="0.25">
      <c r="A62" s="247" t="s">
        <v>2313</v>
      </c>
      <c r="B62" s="64">
        <v>3.9</v>
      </c>
      <c r="C62" s="64">
        <v>58.75</v>
      </c>
      <c r="D62" s="64">
        <v>62.65</v>
      </c>
      <c r="E62" s="64">
        <v>2.85</v>
      </c>
      <c r="F62" s="64">
        <v>16.100000000000001</v>
      </c>
      <c r="G62" s="64">
        <v>30</v>
      </c>
      <c r="H62" s="64">
        <v>14.3</v>
      </c>
      <c r="I62" s="64">
        <v>3.91</v>
      </c>
      <c r="J62" s="64">
        <v>0.76</v>
      </c>
      <c r="K62" s="64">
        <v>187.41</v>
      </c>
      <c r="L62" s="64">
        <v>29.06</v>
      </c>
      <c r="M62" s="64">
        <v>42.63</v>
      </c>
      <c r="N62" s="64">
        <v>727.7</v>
      </c>
      <c r="O62" s="64">
        <v>0</v>
      </c>
      <c r="P62" s="64">
        <v>0.53</v>
      </c>
      <c r="Q62" s="64">
        <v>8.92</v>
      </c>
      <c r="R62" s="198"/>
      <c r="S62" s="198"/>
      <c r="T62" s="198"/>
      <c r="U62" s="198"/>
    </row>
    <row r="63" spans="1:21" s="12" customFormat="1" x14ac:dyDescent="0.25">
      <c r="A63" s="247" t="s">
        <v>2314</v>
      </c>
      <c r="B63" s="64">
        <v>4.08</v>
      </c>
      <c r="C63" s="64">
        <v>54.78</v>
      </c>
      <c r="D63" s="64">
        <v>58.87</v>
      </c>
      <c r="E63" s="64">
        <v>4.03</v>
      </c>
      <c r="F63" s="64">
        <v>16.82</v>
      </c>
      <c r="G63" s="64">
        <v>30.39</v>
      </c>
      <c r="H63" s="64">
        <v>14.47</v>
      </c>
      <c r="I63" s="64">
        <v>4.0199999999999996</v>
      </c>
      <c r="J63" s="64">
        <v>0.77</v>
      </c>
      <c r="K63" s="64">
        <v>290.70999999999998</v>
      </c>
      <c r="L63" s="64">
        <v>30.66</v>
      </c>
      <c r="M63" s="64">
        <v>36.53</v>
      </c>
      <c r="N63" s="64">
        <v>671.7</v>
      </c>
      <c r="O63" s="64">
        <v>0</v>
      </c>
      <c r="P63" s="64">
        <v>0.53</v>
      </c>
      <c r="Q63" s="64">
        <v>8.92</v>
      </c>
      <c r="R63" s="198"/>
      <c r="S63" s="198"/>
      <c r="T63" s="198"/>
      <c r="U63" s="198"/>
    </row>
    <row r="64" spans="1:21" s="12" customFormat="1" x14ac:dyDescent="0.25">
      <c r="A64" s="247" t="s">
        <v>2315</v>
      </c>
      <c r="B64" s="64">
        <v>4.62</v>
      </c>
      <c r="C64" s="64">
        <v>57</v>
      </c>
      <c r="D64" s="64">
        <v>61.62</v>
      </c>
      <c r="E64" s="64">
        <v>2.88</v>
      </c>
      <c r="F64" s="64">
        <v>13.82</v>
      </c>
      <c r="G64" s="64">
        <v>30.6</v>
      </c>
      <c r="H64" s="64">
        <v>14.57</v>
      </c>
      <c r="I64" s="64">
        <v>4.04</v>
      </c>
      <c r="J64" s="64">
        <v>0.82</v>
      </c>
      <c r="K64" s="64">
        <v>220.39</v>
      </c>
      <c r="L64" s="64">
        <v>29.72</v>
      </c>
      <c r="M64" s="64">
        <v>37.68</v>
      </c>
      <c r="N64" s="64">
        <v>609.6</v>
      </c>
      <c r="O64" s="64">
        <v>0</v>
      </c>
      <c r="P64" s="64">
        <v>0.55000000000000004</v>
      </c>
      <c r="Q64" s="64">
        <v>8.92</v>
      </c>
      <c r="R64" s="198"/>
      <c r="S64" s="198"/>
      <c r="T64" s="198"/>
      <c r="U64" s="198"/>
    </row>
    <row r="65" spans="1:21" s="12" customFormat="1" x14ac:dyDescent="0.25">
      <c r="A65" s="247" t="s">
        <v>2316</v>
      </c>
      <c r="B65" s="64">
        <v>3.27</v>
      </c>
      <c r="C65" s="64">
        <v>52.25</v>
      </c>
      <c r="D65" s="64">
        <v>55.52</v>
      </c>
      <c r="E65" s="64">
        <v>2.83</v>
      </c>
      <c r="F65" s="64">
        <v>14.79</v>
      </c>
      <c r="G65" s="64">
        <v>30.6</v>
      </c>
      <c r="H65" s="64">
        <v>14.57</v>
      </c>
      <c r="I65" s="64">
        <v>4</v>
      </c>
      <c r="J65" s="64">
        <v>1.43</v>
      </c>
      <c r="K65" s="64">
        <v>168.88</v>
      </c>
      <c r="L65" s="64">
        <v>28.77</v>
      </c>
      <c r="M65" s="64">
        <v>38.9</v>
      </c>
      <c r="N65" s="64">
        <v>586.20000000000005</v>
      </c>
      <c r="O65" s="64">
        <v>0</v>
      </c>
      <c r="P65" s="64">
        <v>0.54</v>
      </c>
      <c r="Q65" s="64">
        <v>8.92</v>
      </c>
      <c r="R65" s="198"/>
      <c r="S65" s="198"/>
      <c r="T65" s="198"/>
      <c r="U65" s="198"/>
    </row>
    <row r="66" spans="1:21" s="12" customFormat="1" x14ac:dyDescent="0.25">
      <c r="A66" s="247" t="s">
        <v>2317</v>
      </c>
      <c r="B66" s="64">
        <v>3.85</v>
      </c>
      <c r="C66" s="64">
        <v>54.35</v>
      </c>
      <c r="D66" s="64">
        <v>58.2</v>
      </c>
      <c r="E66" s="64">
        <v>4</v>
      </c>
      <c r="F66" s="64">
        <v>22.9</v>
      </c>
      <c r="G66" s="64">
        <v>30.6</v>
      </c>
      <c r="H66" s="64">
        <v>14.57</v>
      </c>
      <c r="I66" s="64">
        <v>3.98</v>
      </c>
      <c r="J66" s="64">
        <v>0.71</v>
      </c>
      <c r="K66" s="64">
        <v>247.52</v>
      </c>
      <c r="L66" s="64">
        <v>29.79</v>
      </c>
      <c r="M66" s="64">
        <v>36.11</v>
      </c>
      <c r="N66" s="64">
        <v>539.20000000000005</v>
      </c>
      <c r="O66" s="64">
        <v>0</v>
      </c>
      <c r="P66" s="64">
        <v>0.63</v>
      </c>
      <c r="Q66" s="64">
        <v>8.91</v>
      </c>
      <c r="R66" s="198"/>
      <c r="S66" s="198"/>
      <c r="T66" s="198"/>
      <c r="U66" s="198"/>
    </row>
    <row r="67" spans="1:21" s="12" customFormat="1" x14ac:dyDescent="0.25">
      <c r="A67" s="247" t="s">
        <v>2318</v>
      </c>
      <c r="B67" s="64">
        <v>4.04</v>
      </c>
      <c r="C67" s="64">
        <v>58.15</v>
      </c>
      <c r="D67" s="64">
        <v>62.19</v>
      </c>
      <c r="E67" s="64">
        <v>5.6</v>
      </c>
      <c r="F67" s="64">
        <v>23.97</v>
      </c>
      <c r="G67" s="64">
        <v>30.31</v>
      </c>
      <c r="H67" s="64">
        <v>14.93</v>
      </c>
      <c r="I67" s="64">
        <v>3.9</v>
      </c>
      <c r="J67" s="64">
        <v>1.1100000000000001</v>
      </c>
      <c r="K67" s="64">
        <v>163.83000000000001</v>
      </c>
      <c r="L67" s="64">
        <v>29.3</v>
      </c>
      <c r="M67" s="64">
        <v>34.92</v>
      </c>
      <c r="N67" s="64">
        <v>493.4</v>
      </c>
      <c r="O67" s="64">
        <v>0</v>
      </c>
      <c r="P67" s="64">
        <v>0.71</v>
      </c>
      <c r="Q67" s="64">
        <v>8.91</v>
      </c>
      <c r="R67" s="198"/>
      <c r="S67" s="198"/>
      <c r="T67" s="198"/>
      <c r="U67" s="198"/>
    </row>
    <row r="68" spans="1:21" s="12" customFormat="1" x14ac:dyDescent="0.25">
      <c r="A68" s="247" t="s">
        <v>2319</v>
      </c>
      <c r="B68" s="64">
        <v>3.12</v>
      </c>
      <c r="C68" s="64">
        <v>54.47</v>
      </c>
      <c r="D68" s="64">
        <v>57.59</v>
      </c>
      <c r="E68" s="64">
        <v>4.2300000000000004</v>
      </c>
      <c r="F68" s="64">
        <v>21.16</v>
      </c>
      <c r="G68" s="64">
        <v>30.15</v>
      </c>
      <c r="H68" s="64">
        <v>15.15</v>
      </c>
      <c r="I68" s="64">
        <v>3.99</v>
      </c>
      <c r="J68" s="64">
        <v>0.47</v>
      </c>
      <c r="K68" s="64">
        <v>242.64</v>
      </c>
      <c r="L68" s="64">
        <v>29.03</v>
      </c>
      <c r="M68" s="64">
        <v>35.22</v>
      </c>
      <c r="N68" s="64">
        <v>289.3</v>
      </c>
      <c r="O68" s="64">
        <v>0</v>
      </c>
      <c r="P68" s="64">
        <v>0.66</v>
      </c>
      <c r="Q68" s="64">
        <v>8.91</v>
      </c>
      <c r="R68" s="198"/>
      <c r="S68" s="198"/>
      <c r="T68" s="198"/>
      <c r="U68" s="198"/>
    </row>
    <row r="69" spans="1:21" s="12" customFormat="1" x14ac:dyDescent="0.25">
      <c r="A69" s="247" t="s">
        <v>2320</v>
      </c>
      <c r="B69" s="64">
        <v>3.27</v>
      </c>
      <c r="C69" s="64">
        <v>59.87</v>
      </c>
      <c r="D69" s="64">
        <v>63.14</v>
      </c>
      <c r="E69" s="64">
        <v>3.47</v>
      </c>
      <c r="F69" s="64">
        <v>15.94</v>
      </c>
      <c r="G69" s="64">
        <v>30.15</v>
      </c>
      <c r="H69" s="64">
        <v>15.15</v>
      </c>
      <c r="I69" s="64">
        <v>4.05</v>
      </c>
      <c r="J69" s="64">
        <v>1.39</v>
      </c>
      <c r="K69" s="64">
        <v>305.55</v>
      </c>
      <c r="L69" s="64">
        <v>30.7</v>
      </c>
      <c r="M69" s="64">
        <v>33.67</v>
      </c>
      <c r="N69" s="64">
        <v>295.60000000000002</v>
      </c>
      <c r="O69" s="64">
        <v>0</v>
      </c>
      <c r="P69" s="64">
        <v>0.69</v>
      </c>
      <c r="Q69" s="64">
        <v>8.91</v>
      </c>
      <c r="R69" s="198"/>
      <c r="S69" s="198"/>
      <c r="T69" s="198"/>
      <c r="U69" s="198"/>
    </row>
    <row r="70" spans="1:21" s="12" customFormat="1" x14ac:dyDescent="0.25">
      <c r="A70" s="247" t="s">
        <v>2321</v>
      </c>
      <c r="B70" s="64">
        <v>4.99</v>
      </c>
      <c r="C70" s="64">
        <v>60.46</v>
      </c>
      <c r="D70" s="64">
        <v>65.45</v>
      </c>
      <c r="E70" s="64">
        <v>5.93</v>
      </c>
      <c r="F70" s="64">
        <v>36.479999999999997</v>
      </c>
      <c r="G70" s="64">
        <v>30.15</v>
      </c>
      <c r="H70" s="64">
        <v>15.15</v>
      </c>
      <c r="I70" s="64">
        <v>3.99</v>
      </c>
      <c r="J70" s="64">
        <v>0.47</v>
      </c>
      <c r="K70" s="64">
        <v>104.89</v>
      </c>
      <c r="L70" s="64">
        <v>29.54</v>
      </c>
      <c r="M70" s="64">
        <v>35.33</v>
      </c>
      <c r="N70" s="64">
        <v>301.8</v>
      </c>
      <c r="O70" s="64">
        <v>0</v>
      </c>
      <c r="P70" s="64">
        <v>0.81</v>
      </c>
      <c r="Q70" s="64">
        <v>8.92</v>
      </c>
      <c r="R70" s="198"/>
      <c r="S70" s="198"/>
      <c r="T70" s="198"/>
      <c r="U70" s="198"/>
    </row>
    <row r="71" spans="1:21" s="12" customFormat="1" x14ac:dyDescent="0.25">
      <c r="A71" s="247" t="s">
        <v>2322</v>
      </c>
      <c r="B71" s="64">
        <v>4.91</v>
      </c>
      <c r="C71" s="64">
        <v>54.4</v>
      </c>
      <c r="D71" s="64">
        <v>59.3</v>
      </c>
      <c r="E71" s="64">
        <v>12.52</v>
      </c>
      <c r="F71" s="64">
        <v>36.99</v>
      </c>
      <c r="G71" s="64">
        <v>36.54</v>
      </c>
      <c r="H71" s="64">
        <v>15.34</v>
      </c>
      <c r="I71" s="64">
        <v>4.0199999999999996</v>
      </c>
      <c r="J71" s="64">
        <v>0.28999999999999998</v>
      </c>
      <c r="K71" s="64">
        <v>167.18</v>
      </c>
      <c r="L71" s="64">
        <v>29.07</v>
      </c>
      <c r="M71" s="64">
        <v>34.700000000000003</v>
      </c>
      <c r="N71" s="64">
        <v>232.4</v>
      </c>
      <c r="O71" s="64">
        <v>0</v>
      </c>
      <c r="P71" s="64">
        <v>0.81</v>
      </c>
      <c r="Q71" s="64">
        <v>8.92</v>
      </c>
      <c r="R71" s="198"/>
      <c r="S71" s="198"/>
      <c r="T71" s="198"/>
      <c r="U71" s="198"/>
    </row>
    <row r="72" spans="1:21" s="12" customFormat="1" x14ac:dyDescent="0.25">
      <c r="A72" s="247" t="s">
        <v>2323</v>
      </c>
      <c r="B72" s="64">
        <v>3.6</v>
      </c>
      <c r="C72" s="64">
        <v>52.79</v>
      </c>
      <c r="D72" s="64">
        <v>56.39</v>
      </c>
      <c r="E72" s="64">
        <v>6.6</v>
      </c>
      <c r="F72" s="64">
        <v>28.95</v>
      </c>
      <c r="G72" s="64">
        <v>40.06</v>
      </c>
      <c r="H72" s="64">
        <v>15.45</v>
      </c>
      <c r="I72" s="64">
        <v>3.93</v>
      </c>
      <c r="J72" s="64">
        <v>0.45</v>
      </c>
      <c r="K72" s="64">
        <v>249.8</v>
      </c>
      <c r="L72" s="64">
        <v>29.61</v>
      </c>
      <c r="M72" s="64">
        <v>33.159999999999997</v>
      </c>
      <c r="N72" s="64">
        <v>204.5</v>
      </c>
      <c r="O72" s="64">
        <v>0</v>
      </c>
      <c r="P72" s="64">
        <v>0.79</v>
      </c>
      <c r="Q72" s="64">
        <v>8.92</v>
      </c>
      <c r="R72" s="198"/>
      <c r="S72" s="198"/>
      <c r="T72" s="198"/>
      <c r="U72" s="198"/>
    </row>
    <row r="73" spans="1:21" s="12" customFormat="1" x14ac:dyDescent="0.25">
      <c r="A73" s="247" t="s">
        <v>2324</v>
      </c>
      <c r="B73" s="64">
        <v>9.64</v>
      </c>
      <c r="C73" s="64">
        <v>60.14</v>
      </c>
      <c r="D73" s="64">
        <v>69.78</v>
      </c>
      <c r="E73" s="64">
        <v>11.28</v>
      </c>
      <c r="F73" s="64">
        <v>46.38</v>
      </c>
      <c r="G73" s="64">
        <v>40.06</v>
      </c>
      <c r="H73" s="64">
        <v>15.45</v>
      </c>
      <c r="I73" s="64">
        <v>3.85</v>
      </c>
      <c r="J73" s="64">
        <v>0.71</v>
      </c>
      <c r="K73" s="64">
        <v>342.75</v>
      </c>
      <c r="L73" s="64">
        <v>28.74</v>
      </c>
      <c r="M73" s="64">
        <v>38.869999999999997</v>
      </c>
      <c r="N73" s="64">
        <v>243.5</v>
      </c>
      <c r="O73" s="64">
        <v>0</v>
      </c>
      <c r="P73" s="64">
        <v>0.87</v>
      </c>
      <c r="Q73" s="64">
        <v>8.91</v>
      </c>
      <c r="R73" s="198"/>
      <c r="S73" s="198"/>
      <c r="T73" s="198"/>
      <c r="U73" s="198"/>
    </row>
    <row r="74" spans="1:21" s="12" customFormat="1" x14ac:dyDescent="0.25">
      <c r="A74" s="247" t="s">
        <v>2325</v>
      </c>
      <c r="B74" s="64">
        <v>5.43</v>
      </c>
      <c r="C74" s="64">
        <v>53.3</v>
      </c>
      <c r="D74" s="64">
        <v>58.73</v>
      </c>
      <c r="E74" s="64">
        <v>13.69</v>
      </c>
      <c r="F74" s="64">
        <v>48.05</v>
      </c>
      <c r="G74" s="64">
        <v>40.06</v>
      </c>
      <c r="H74" s="64">
        <v>15.45</v>
      </c>
      <c r="I74" s="64">
        <v>4.01</v>
      </c>
      <c r="J74" s="64">
        <v>0.92</v>
      </c>
      <c r="K74" s="64">
        <v>88.81</v>
      </c>
      <c r="L74" s="64">
        <v>28.42</v>
      </c>
      <c r="M74" s="64">
        <v>37.56</v>
      </c>
      <c r="N74" s="64">
        <v>164.1</v>
      </c>
      <c r="O74" s="64">
        <v>0</v>
      </c>
      <c r="P74" s="64">
        <v>0.82</v>
      </c>
      <c r="Q74" s="64">
        <v>8.92</v>
      </c>
      <c r="R74" s="198"/>
      <c r="S74" s="198"/>
      <c r="T74" s="198"/>
      <c r="U74" s="198"/>
    </row>
    <row r="75" spans="1:21" s="12" customFormat="1" x14ac:dyDescent="0.25">
      <c r="A75" s="247" t="s">
        <v>2326</v>
      </c>
      <c r="B75" s="64">
        <v>3.6</v>
      </c>
      <c r="C75" s="64">
        <v>46.14</v>
      </c>
      <c r="D75" s="64">
        <v>49.74</v>
      </c>
      <c r="E75" s="64">
        <v>10.85</v>
      </c>
      <c r="F75" s="64">
        <v>43.13</v>
      </c>
      <c r="G75" s="64">
        <v>43.06</v>
      </c>
      <c r="H75" s="64">
        <v>17.18</v>
      </c>
      <c r="I75" s="64">
        <v>4.09</v>
      </c>
      <c r="J75" s="64">
        <v>1.98</v>
      </c>
      <c r="K75" s="64">
        <v>102.84</v>
      </c>
      <c r="L75" s="64">
        <v>27.79</v>
      </c>
      <c r="M75" s="64">
        <v>34.97</v>
      </c>
      <c r="N75" s="64">
        <v>140.9</v>
      </c>
      <c r="O75" s="64">
        <v>0</v>
      </c>
      <c r="P75" s="64">
        <v>0.74</v>
      </c>
      <c r="Q75" s="64">
        <v>8.93</v>
      </c>
      <c r="R75" s="198"/>
      <c r="S75" s="198"/>
      <c r="T75" s="198"/>
      <c r="U75" s="198"/>
    </row>
    <row r="76" spans="1:21" s="12" customFormat="1" x14ac:dyDescent="0.25">
      <c r="A76" s="247" t="s">
        <v>2327</v>
      </c>
      <c r="B76" s="64">
        <v>3.2</v>
      </c>
      <c r="C76" s="64">
        <v>43.12</v>
      </c>
      <c r="D76" s="64">
        <v>46.32</v>
      </c>
      <c r="E76" s="64">
        <v>13.99</v>
      </c>
      <c r="F76" s="64">
        <v>51</v>
      </c>
      <c r="G76" s="64">
        <v>44.71</v>
      </c>
      <c r="H76" s="64">
        <v>18.190000000000001</v>
      </c>
      <c r="I76" s="64">
        <v>4.13</v>
      </c>
      <c r="J76" s="64">
        <v>1.19</v>
      </c>
      <c r="K76" s="64">
        <v>109.95</v>
      </c>
      <c r="L76" s="64">
        <v>27.77</v>
      </c>
      <c r="M76" s="64">
        <v>34</v>
      </c>
      <c r="N76" s="64">
        <v>119.3</v>
      </c>
      <c r="O76" s="64">
        <v>0</v>
      </c>
      <c r="P76" s="64">
        <v>0.72</v>
      </c>
      <c r="Q76" s="64">
        <v>8.94</v>
      </c>
      <c r="R76" s="198"/>
      <c r="S76" s="198"/>
      <c r="T76" s="198"/>
      <c r="U76" s="198"/>
    </row>
    <row r="77" spans="1:21" s="12" customFormat="1" x14ac:dyDescent="0.25">
      <c r="A77" s="247" t="s">
        <v>2328</v>
      </c>
      <c r="B77" s="64">
        <v>3.16</v>
      </c>
      <c r="C77" s="64">
        <v>45.32</v>
      </c>
      <c r="D77" s="64">
        <v>48.48</v>
      </c>
      <c r="E77" s="64">
        <v>14.01</v>
      </c>
      <c r="F77" s="64">
        <v>53.65</v>
      </c>
      <c r="G77" s="64">
        <v>44.71</v>
      </c>
      <c r="H77" s="64">
        <v>18.190000000000001</v>
      </c>
      <c r="I77" s="64">
        <v>3.91</v>
      </c>
      <c r="J77" s="64">
        <v>0.83</v>
      </c>
      <c r="K77" s="64">
        <v>130.79</v>
      </c>
      <c r="L77" s="64">
        <v>27.83</v>
      </c>
      <c r="M77" s="64">
        <v>33.94</v>
      </c>
      <c r="N77" s="64">
        <v>107.7</v>
      </c>
      <c r="O77" s="64">
        <v>0</v>
      </c>
      <c r="P77" s="64">
        <v>0.71</v>
      </c>
      <c r="Q77" s="64">
        <v>8.93</v>
      </c>
      <c r="R77" s="198"/>
      <c r="S77" s="198"/>
      <c r="T77" s="198"/>
      <c r="U77" s="198"/>
    </row>
    <row r="78" spans="1:21" s="12" customFormat="1" x14ac:dyDescent="0.25">
      <c r="A78" s="247" t="s">
        <v>2329</v>
      </c>
      <c r="B78" s="64">
        <v>3.27</v>
      </c>
      <c r="C78" s="64">
        <v>47.76</v>
      </c>
      <c r="D78" s="64">
        <v>51.03</v>
      </c>
      <c r="E78" s="64">
        <v>12.39</v>
      </c>
      <c r="F78" s="64">
        <v>38.74</v>
      </c>
      <c r="G78" s="64">
        <v>44.71</v>
      </c>
      <c r="H78" s="64">
        <v>18.190000000000001</v>
      </c>
      <c r="I78" s="64">
        <v>3.88</v>
      </c>
      <c r="J78" s="64">
        <v>1</v>
      </c>
      <c r="K78" s="64">
        <v>110.26</v>
      </c>
      <c r="L78" s="64">
        <v>27.68</v>
      </c>
      <c r="M78" s="64">
        <v>32.1</v>
      </c>
      <c r="N78" s="64">
        <v>92.8</v>
      </c>
      <c r="O78" s="64">
        <v>0</v>
      </c>
      <c r="P78" s="64">
        <v>0.7</v>
      </c>
      <c r="Q78" s="64">
        <v>8.92</v>
      </c>
      <c r="R78" s="198"/>
      <c r="S78" s="198"/>
      <c r="T78" s="198"/>
      <c r="U78" s="198"/>
    </row>
    <row r="79" spans="1:21" s="12" customFormat="1" x14ac:dyDescent="0.25">
      <c r="A79" s="247" t="s">
        <v>2330</v>
      </c>
      <c r="B79" s="64">
        <v>3.54</v>
      </c>
      <c r="C79" s="64">
        <v>50.1</v>
      </c>
      <c r="D79" s="64">
        <v>53.65</v>
      </c>
      <c r="E79" s="64">
        <v>14.31</v>
      </c>
      <c r="F79" s="64">
        <v>45.77</v>
      </c>
      <c r="G79" s="64">
        <v>45.07</v>
      </c>
      <c r="H79" s="64">
        <v>21.02</v>
      </c>
      <c r="I79" s="64">
        <v>3.99</v>
      </c>
      <c r="J79" s="64">
        <v>0.44</v>
      </c>
      <c r="K79" s="64">
        <v>180.1</v>
      </c>
      <c r="L79" s="64">
        <v>27.63</v>
      </c>
      <c r="M79" s="64">
        <v>31.56</v>
      </c>
      <c r="N79" s="64">
        <v>89.3</v>
      </c>
      <c r="O79" s="64">
        <v>0</v>
      </c>
      <c r="P79" s="64">
        <v>0.72</v>
      </c>
      <c r="Q79" s="64">
        <v>8.92</v>
      </c>
      <c r="R79" s="198"/>
      <c r="S79" s="198"/>
      <c r="T79" s="198"/>
      <c r="U79" s="198"/>
    </row>
    <row r="80" spans="1:21" s="12" customFormat="1" x14ac:dyDescent="0.25">
      <c r="A80" s="247" t="s">
        <v>2331</v>
      </c>
      <c r="B80" s="64">
        <v>7.5</v>
      </c>
      <c r="C80" s="64">
        <v>78.599999999999994</v>
      </c>
      <c r="D80" s="64">
        <v>86.1</v>
      </c>
      <c r="E80" s="64">
        <v>14.62</v>
      </c>
      <c r="F80" s="64">
        <v>40.43</v>
      </c>
      <c r="G80" s="64">
        <v>45.27</v>
      </c>
      <c r="H80" s="64">
        <v>22.66</v>
      </c>
      <c r="I80" s="64">
        <v>4.04</v>
      </c>
      <c r="J80" s="64">
        <v>0.11</v>
      </c>
      <c r="K80" s="64">
        <v>162.46</v>
      </c>
      <c r="L80" s="64">
        <v>27.47</v>
      </c>
      <c r="M80" s="64">
        <v>32.03</v>
      </c>
      <c r="N80" s="64">
        <v>76.3</v>
      </c>
      <c r="O80" s="64">
        <v>0</v>
      </c>
      <c r="P80" s="64">
        <v>0.98</v>
      </c>
      <c r="Q80" s="64">
        <v>8.92</v>
      </c>
      <c r="R80" s="198"/>
      <c r="S80" s="198"/>
      <c r="T80" s="198"/>
      <c r="U80" s="198"/>
    </row>
    <row r="81" spans="1:26" s="12" customFormat="1" x14ac:dyDescent="0.25">
      <c r="A81" s="247" t="s">
        <v>2332</v>
      </c>
      <c r="B81" s="64">
        <v>5.8</v>
      </c>
      <c r="C81" s="64">
        <v>76.36</v>
      </c>
      <c r="D81" s="64">
        <v>82.16</v>
      </c>
      <c r="E81" s="64">
        <v>13.02</v>
      </c>
      <c r="F81" s="64">
        <v>34.47</v>
      </c>
      <c r="G81" s="64">
        <v>45.27</v>
      </c>
      <c r="H81" s="64">
        <v>22.66</v>
      </c>
      <c r="I81" s="64">
        <v>4.0999999999999996</v>
      </c>
      <c r="J81" s="64">
        <v>0.73</v>
      </c>
      <c r="K81" s="64">
        <v>143.41</v>
      </c>
      <c r="L81" s="64">
        <v>27.21</v>
      </c>
      <c r="M81" s="64">
        <v>31.63</v>
      </c>
      <c r="N81" s="64">
        <v>64.099999999999994</v>
      </c>
      <c r="O81" s="64">
        <v>0</v>
      </c>
      <c r="P81" s="64">
        <v>0.76</v>
      </c>
      <c r="Q81" s="64">
        <v>8.93</v>
      </c>
      <c r="R81" s="198"/>
      <c r="S81" s="198"/>
      <c r="T81" s="198"/>
      <c r="U81" s="198"/>
    </row>
    <row r="82" spans="1:26" s="12" customFormat="1" x14ac:dyDescent="0.25">
      <c r="A82" s="247" t="s">
        <v>2333</v>
      </c>
      <c r="B82" s="64">
        <v>3.73</v>
      </c>
      <c r="C82" s="64">
        <v>87.04</v>
      </c>
      <c r="D82" s="64">
        <v>90.77</v>
      </c>
      <c r="E82" s="64">
        <v>10.77</v>
      </c>
      <c r="F82" s="64">
        <v>30.96</v>
      </c>
      <c r="G82" s="64">
        <v>45.27</v>
      </c>
      <c r="H82" s="64">
        <v>22.66</v>
      </c>
      <c r="I82" s="64">
        <v>3.9</v>
      </c>
      <c r="J82" s="64">
        <v>0.24</v>
      </c>
      <c r="K82" s="64">
        <v>116.85</v>
      </c>
      <c r="L82" s="64">
        <v>26.58</v>
      </c>
      <c r="M82" s="64">
        <v>34.49</v>
      </c>
      <c r="N82" s="64">
        <v>61.5</v>
      </c>
      <c r="O82" s="64">
        <v>0</v>
      </c>
      <c r="P82" s="64">
        <v>0.82</v>
      </c>
      <c r="Q82" s="64">
        <v>8.94</v>
      </c>
      <c r="R82" s="198"/>
      <c r="S82" s="198"/>
      <c r="T82" s="198"/>
      <c r="U82" s="198"/>
    </row>
    <row r="83" spans="1:26" s="12" customFormat="1" x14ac:dyDescent="0.25">
      <c r="A83" s="247" t="s">
        <v>2334</v>
      </c>
      <c r="B83" s="64">
        <v>3.79</v>
      </c>
      <c r="C83" s="64">
        <v>83.02</v>
      </c>
      <c r="D83" s="64">
        <v>86.81</v>
      </c>
      <c r="E83" s="64">
        <v>9.31</v>
      </c>
      <c r="F83" s="64">
        <v>23.75</v>
      </c>
      <c r="G83" s="64">
        <v>46.87</v>
      </c>
      <c r="H83" s="64">
        <v>21.56</v>
      </c>
      <c r="I83" s="64">
        <v>4.04</v>
      </c>
      <c r="J83" s="64">
        <v>0.63</v>
      </c>
      <c r="K83" s="64">
        <v>160.26</v>
      </c>
      <c r="L83" s="64">
        <v>26.33</v>
      </c>
      <c r="M83" s="64">
        <v>36.869999999999997</v>
      </c>
      <c r="N83" s="64">
        <v>60.6</v>
      </c>
      <c r="O83" s="64">
        <v>0</v>
      </c>
      <c r="P83" s="64">
        <v>0.83</v>
      </c>
      <c r="Q83" s="64">
        <v>8.9499999999999993</v>
      </c>
      <c r="R83" s="198"/>
      <c r="S83" s="198"/>
      <c r="T83" s="198"/>
      <c r="U83" s="198"/>
    </row>
    <row r="84" spans="1:26" s="12" customFormat="1" x14ac:dyDescent="0.25">
      <c r="A84" s="247" t="s">
        <v>2335</v>
      </c>
      <c r="B84" s="64">
        <v>3.82</v>
      </c>
      <c r="C84" s="64">
        <v>67.83</v>
      </c>
      <c r="D84" s="64">
        <v>71.650000000000006</v>
      </c>
      <c r="E84" s="64">
        <v>5.26</v>
      </c>
      <c r="F84" s="64">
        <v>20.78</v>
      </c>
      <c r="G84" s="64">
        <v>47.76</v>
      </c>
      <c r="H84" s="64">
        <v>20.92</v>
      </c>
      <c r="I84" s="64">
        <v>4</v>
      </c>
      <c r="J84" s="64">
        <v>0.89</v>
      </c>
      <c r="K84" s="64">
        <v>174.71</v>
      </c>
      <c r="L84" s="64">
        <v>25.84</v>
      </c>
      <c r="M84" s="64">
        <v>45.71</v>
      </c>
      <c r="N84" s="64">
        <v>61.1</v>
      </c>
      <c r="O84" s="64">
        <v>0</v>
      </c>
      <c r="P84" s="64">
        <v>0.72</v>
      </c>
      <c r="Q84" s="64">
        <v>8.9600000000000009</v>
      </c>
      <c r="R84" s="198"/>
      <c r="S84" s="198"/>
      <c r="T84" s="198"/>
      <c r="U84" s="198"/>
    </row>
    <row r="85" spans="1:26" s="12" customFormat="1" x14ac:dyDescent="0.25">
      <c r="A85" s="247" t="s">
        <v>2336</v>
      </c>
      <c r="B85" s="64">
        <v>6.1</v>
      </c>
      <c r="C85" s="64">
        <v>71.989999999999995</v>
      </c>
      <c r="D85" s="64">
        <v>78.09</v>
      </c>
      <c r="E85" s="64">
        <v>6.08</v>
      </c>
      <c r="F85" s="64">
        <v>29.38</v>
      </c>
      <c r="G85" s="64">
        <v>47.76</v>
      </c>
      <c r="H85" s="64">
        <v>20.92</v>
      </c>
      <c r="I85" s="64">
        <v>3.93</v>
      </c>
      <c r="J85" s="64">
        <v>0.2</v>
      </c>
      <c r="K85" s="64">
        <v>296.07</v>
      </c>
      <c r="L85" s="64">
        <v>25.37</v>
      </c>
      <c r="M85" s="64">
        <v>49.6</v>
      </c>
      <c r="N85" s="64">
        <v>61.3</v>
      </c>
      <c r="O85" s="64">
        <v>0</v>
      </c>
      <c r="P85" s="64">
        <v>0.78</v>
      </c>
      <c r="Q85" s="64">
        <v>8.9700000000000006</v>
      </c>
      <c r="R85" s="198"/>
      <c r="S85" s="198"/>
      <c r="T85" s="198"/>
      <c r="U85" s="198"/>
    </row>
    <row r="86" spans="1:26" s="12" customFormat="1" x14ac:dyDescent="0.25">
      <c r="A86" s="247" t="s">
        <v>2337</v>
      </c>
      <c r="B86" s="64">
        <v>10.5</v>
      </c>
      <c r="C86" s="64">
        <v>74.150000000000006</v>
      </c>
      <c r="D86" s="64">
        <v>84.65</v>
      </c>
      <c r="E86" s="64">
        <v>5.32</v>
      </c>
      <c r="F86" s="64">
        <v>20.92</v>
      </c>
      <c r="G86" s="64">
        <v>47.76</v>
      </c>
      <c r="H86" s="64">
        <v>20.92</v>
      </c>
      <c r="I86" s="64">
        <v>4</v>
      </c>
      <c r="J86" s="64">
        <v>0.98</v>
      </c>
      <c r="K86" s="64">
        <v>29.26</v>
      </c>
      <c r="L86" s="64">
        <v>25.13</v>
      </c>
      <c r="M86" s="64">
        <v>52.29</v>
      </c>
      <c r="N86" s="64">
        <v>60.8</v>
      </c>
      <c r="O86" s="64">
        <v>0</v>
      </c>
      <c r="P86" s="64">
        <v>1.0900000000000001</v>
      </c>
      <c r="Q86" s="64">
        <v>8.98</v>
      </c>
      <c r="R86" s="198"/>
      <c r="S86" s="198"/>
      <c r="T86" s="198"/>
      <c r="U86" s="198"/>
    </row>
    <row r="87" spans="1:26" s="12" customFormat="1" x14ac:dyDescent="0.25">
      <c r="A87" s="247" t="s">
        <v>2338</v>
      </c>
      <c r="B87" s="64">
        <v>5.67</v>
      </c>
      <c r="C87" s="64">
        <v>64.86</v>
      </c>
      <c r="D87" s="64">
        <v>70.53</v>
      </c>
      <c r="E87" s="64">
        <v>4.95</v>
      </c>
      <c r="F87" s="64">
        <v>20.34</v>
      </c>
      <c r="G87" s="64">
        <v>49.68</v>
      </c>
      <c r="H87" s="64">
        <v>20.18</v>
      </c>
      <c r="I87" s="64">
        <v>4.0199999999999996</v>
      </c>
      <c r="J87" s="64">
        <v>0.91</v>
      </c>
      <c r="K87" s="64">
        <v>55.49</v>
      </c>
      <c r="L87" s="64">
        <v>24.75</v>
      </c>
      <c r="M87" s="64">
        <v>57.84</v>
      </c>
      <c r="N87" s="64">
        <v>61.3</v>
      </c>
      <c r="O87" s="64">
        <v>0</v>
      </c>
      <c r="P87" s="64">
        <v>0.87</v>
      </c>
      <c r="Q87" s="64">
        <v>9.01</v>
      </c>
      <c r="R87" s="198"/>
      <c r="S87" s="198"/>
      <c r="T87" s="198"/>
      <c r="U87" s="198"/>
    </row>
    <row r="88" spans="1:26" s="12" customFormat="1" x14ac:dyDescent="0.25">
      <c r="A88" s="247" t="s">
        <v>2339</v>
      </c>
      <c r="B88" s="64">
        <v>5.94</v>
      </c>
      <c r="C88" s="64">
        <v>63.89</v>
      </c>
      <c r="D88" s="64">
        <v>69.83</v>
      </c>
      <c r="E88" s="64">
        <v>4.41</v>
      </c>
      <c r="F88" s="64">
        <v>27.14</v>
      </c>
      <c r="G88" s="64">
        <v>50.74</v>
      </c>
      <c r="H88" s="64">
        <v>19.75</v>
      </c>
      <c r="I88" s="64">
        <v>3.97</v>
      </c>
      <c r="J88" s="64">
        <v>1.08</v>
      </c>
      <c r="K88" s="64">
        <v>69.260000000000005</v>
      </c>
      <c r="L88" s="64">
        <v>24.32</v>
      </c>
      <c r="M88" s="64">
        <v>61.48</v>
      </c>
      <c r="N88" s="64">
        <v>61.3</v>
      </c>
      <c r="O88" s="64">
        <v>0</v>
      </c>
      <c r="P88" s="64">
        <v>0.83</v>
      </c>
      <c r="Q88" s="64">
        <v>9.0299999999999994</v>
      </c>
      <c r="R88" s="198"/>
      <c r="S88" s="198"/>
      <c r="T88" s="198"/>
      <c r="U88" s="198"/>
    </row>
    <row r="89" spans="1:26" s="12" customFormat="1" x14ac:dyDescent="0.25">
      <c r="A89" s="247" t="s">
        <v>2340</v>
      </c>
      <c r="B89" s="64">
        <v>6.43</v>
      </c>
      <c r="C89" s="64">
        <v>63.3</v>
      </c>
      <c r="D89" s="64">
        <v>69.73</v>
      </c>
      <c r="E89" s="64">
        <v>5.22</v>
      </c>
      <c r="F89" s="64">
        <v>27.9</v>
      </c>
      <c r="G89" s="64">
        <v>50.74</v>
      </c>
      <c r="H89" s="64">
        <v>19.75</v>
      </c>
      <c r="I89" s="64">
        <v>4.0199999999999996</v>
      </c>
      <c r="J89" s="64">
        <v>0.99</v>
      </c>
      <c r="K89" s="64">
        <v>64.430000000000007</v>
      </c>
      <c r="L89" s="64">
        <v>24.16</v>
      </c>
      <c r="M89" s="64">
        <v>62.45</v>
      </c>
      <c r="N89" s="64">
        <v>61.3</v>
      </c>
      <c r="O89" s="64">
        <v>0</v>
      </c>
      <c r="P89" s="64">
        <v>0.87</v>
      </c>
      <c r="Q89" s="64">
        <v>9.0299999999999994</v>
      </c>
      <c r="R89" s="198"/>
      <c r="S89" s="198"/>
      <c r="T89" s="198"/>
      <c r="U89" s="198"/>
    </row>
    <row r="90" spans="1:26" s="12" customFormat="1" x14ac:dyDescent="0.25">
      <c r="A90" s="247" t="s">
        <v>2341</v>
      </c>
      <c r="B90" s="64">
        <v>4.7699999999999996</v>
      </c>
      <c r="C90" s="64">
        <v>57.54</v>
      </c>
      <c r="D90" s="64">
        <v>62.31</v>
      </c>
      <c r="E90" s="64">
        <v>4.46</v>
      </c>
      <c r="F90" s="64">
        <v>24.21</v>
      </c>
      <c r="G90" s="64">
        <v>50.74</v>
      </c>
      <c r="H90" s="64">
        <v>19.75</v>
      </c>
      <c r="I90" s="64">
        <v>3.82</v>
      </c>
      <c r="J90" s="64">
        <v>1.94</v>
      </c>
      <c r="K90" s="64">
        <v>99.93</v>
      </c>
      <c r="L90" s="64">
        <v>23.86</v>
      </c>
      <c r="M90" s="64">
        <v>64.27</v>
      </c>
      <c r="N90" s="64">
        <v>61.2</v>
      </c>
      <c r="O90" s="64">
        <v>0</v>
      </c>
      <c r="P90" s="64">
        <v>0.76</v>
      </c>
      <c r="Q90" s="64">
        <v>9.0399999999999991</v>
      </c>
      <c r="R90" s="198"/>
      <c r="S90" s="198"/>
      <c r="T90" s="198"/>
      <c r="U90" s="198"/>
    </row>
    <row r="91" spans="1:26" s="12" customFormat="1" x14ac:dyDescent="0.25">
      <c r="A91" s="247" t="s">
        <v>2342</v>
      </c>
      <c r="B91" s="64">
        <v>4.4800000000000004</v>
      </c>
      <c r="C91" s="64">
        <v>58.62</v>
      </c>
      <c r="D91" s="64">
        <v>63.11</v>
      </c>
      <c r="E91" s="64">
        <v>4.9800000000000004</v>
      </c>
      <c r="F91" s="64">
        <v>25.22</v>
      </c>
      <c r="G91" s="64">
        <v>47.72</v>
      </c>
      <c r="H91" s="64">
        <v>18.02</v>
      </c>
      <c r="I91" s="64">
        <v>3.88</v>
      </c>
      <c r="J91" s="64">
        <v>1.3</v>
      </c>
      <c r="K91" s="64">
        <v>88.59</v>
      </c>
      <c r="L91" s="64">
        <v>23.61</v>
      </c>
      <c r="M91" s="64">
        <v>65.73</v>
      </c>
      <c r="N91" s="64">
        <v>61.3</v>
      </c>
      <c r="O91" s="64">
        <v>0</v>
      </c>
      <c r="P91" s="64">
        <v>0.75</v>
      </c>
      <c r="Q91" s="64">
        <v>9.0299999999999994</v>
      </c>
      <c r="R91" s="198"/>
      <c r="S91" s="198"/>
      <c r="T91" s="198"/>
      <c r="U91" s="198"/>
    </row>
    <row r="92" spans="1:26" s="12" customFormat="1" x14ac:dyDescent="0.25">
      <c r="A92" s="247" t="s">
        <v>2343</v>
      </c>
      <c r="B92" s="64">
        <v>7.45</v>
      </c>
      <c r="C92" s="64">
        <v>58.82</v>
      </c>
      <c r="D92" s="64">
        <v>66.27</v>
      </c>
      <c r="E92" s="64">
        <v>5.07</v>
      </c>
      <c r="F92" s="64">
        <v>26.65</v>
      </c>
      <c r="G92" s="64">
        <v>46.06</v>
      </c>
      <c r="H92" s="64">
        <v>17.03</v>
      </c>
      <c r="I92" s="64">
        <v>3.92</v>
      </c>
      <c r="J92" s="64">
        <v>1.03</v>
      </c>
      <c r="K92" s="64">
        <v>75.540000000000006</v>
      </c>
      <c r="L92" s="64">
        <v>23.39</v>
      </c>
      <c r="M92" s="64">
        <v>67.58</v>
      </c>
      <c r="N92" s="64">
        <v>61.1</v>
      </c>
      <c r="O92" s="64">
        <v>0</v>
      </c>
      <c r="P92" s="64">
        <v>0.92</v>
      </c>
      <c r="Q92" s="64">
        <v>9.0299999999999994</v>
      </c>
      <c r="R92" s="198"/>
      <c r="S92" s="198"/>
      <c r="T92" s="198"/>
      <c r="U92" s="198"/>
    </row>
    <row r="93" spans="1:26" s="12" customFormat="1" x14ac:dyDescent="0.25">
      <c r="A93" s="247" t="s">
        <v>2344</v>
      </c>
      <c r="B93" s="64">
        <v>4.78</v>
      </c>
      <c r="C93" s="64">
        <v>53.79</v>
      </c>
      <c r="D93" s="64">
        <v>58.57</v>
      </c>
      <c r="E93" s="64">
        <v>5.04</v>
      </c>
      <c r="F93" s="64">
        <v>26.03</v>
      </c>
      <c r="G93" s="64">
        <v>46.06</v>
      </c>
      <c r="H93" s="64">
        <v>17.03</v>
      </c>
      <c r="I93" s="64">
        <v>3.95</v>
      </c>
      <c r="J93" s="64">
        <v>1.1399999999999999</v>
      </c>
      <c r="K93" s="64">
        <v>78.58</v>
      </c>
      <c r="L93" s="64">
        <v>23.26</v>
      </c>
      <c r="M93" s="64">
        <v>68.11</v>
      </c>
      <c r="N93" s="64">
        <v>61</v>
      </c>
      <c r="O93" s="64">
        <v>0</v>
      </c>
      <c r="P93" s="64">
        <v>0.78</v>
      </c>
      <c r="Q93" s="64">
        <v>9.0299999999999994</v>
      </c>
      <c r="R93" s="198"/>
      <c r="S93" s="198"/>
      <c r="T93" s="198"/>
      <c r="U93" s="198"/>
    </row>
    <row r="94" spans="1:26" s="12" customFormat="1" x14ac:dyDescent="0.25">
      <c r="A94" s="247" t="s">
        <v>2345</v>
      </c>
      <c r="B94" s="64">
        <v>6.29</v>
      </c>
      <c r="C94" s="64">
        <v>54.59</v>
      </c>
      <c r="D94" s="64">
        <v>60.88</v>
      </c>
      <c r="E94" s="64">
        <v>4.5199999999999996</v>
      </c>
      <c r="F94" s="64">
        <v>23.71</v>
      </c>
      <c r="G94" s="64">
        <v>46.06</v>
      </c>
      <c r="H94" s="64">
        <v>17.03</v>
      </c>
      <c r="I94" s="64">
        <v>3.98</v>
      </c>
      <c r="J94" s="64">
        <v>1.48</v>
      </c>
      <c r="K94" s="64">
        <v>86.66</v>
      </c>
      <c r="L94" s="64">
        <v>23.08</v>
      </c>
      <c r="M94" s="64">
        <v>69.13</v>
      </c>
      <c r="N94" s="64">
        <v>61.1</v>
      </c>
      <c r="O94" s="64">
        <v>0</v>
      </c>
      <c r="P94" s="64">
        <v>0.73</v>
      </c>
      <c r="Q94" s="64">
        <v>9.0399999999999991</v>
      </c>
      <c r="R94" s="198"/>
      <c r="S94" s="198"/>
      <c r="T94" s="198"/>
      <c r="U94" s="198"/>
    </row>
    <row r="95" spans="1:26" s="12" customFormat="1" x14ac:dyDescent="0.25">
      <c r="A95" s="247" t="s">
        <v>2346</v>
      </c>
      <c r="B95" s="64">
        <v>6.42</v>
      </c>
      <c r="C95" s="64">
        <v>57.57</v>
      </c>
      <c r="D95" s="64">
        <v>63.98</v>
      </c>
      <c r="E95" s="64">
        <v>5.19</v>
      </c>
      <c r="F95" s="64">
        <v>19.739999999999998</v>
      </c>
      <c r="G95" s="64">
        <v>45.8</v>
      </c>
      <c r="H95" s="64">
        <v>18.309999999999999</v>
      </c>
      <c r="I95" s="64">
        <v>3.98</v>
      </c>
      <c r="J95" s="64">
        <v>1.1299999999999999</v>
      </c>
      <c r="K95" s="64">
        <v>73.66</v>
      </c>
      <c r="L95" s="64">
        <v>22.97</v>
      </c>
      <c r="M95" s="64">
        <v>68.94</v>
      </c>
      <c r="N95" s="64">
        <v>61</v>
      </c>
      <c r="O95" s="64">
        <v>0</v>
      </c>
      <c r="P95" s="64">
        <v>0.79</v>
      </c>
      <c r="Q95" s="64">
        <v>9.0500000000000007</v>
      </c>
      <c r="R95" s="198"/>
      <c r="S95" s="198"/>
      <c r="T95" s="198"/>
      <c r="U95" s="198"/>
    </row>
    <row r="96" spans="1:26" s="12" customFormat="1" x14ac:dyDescent="0.25">
      <c r="A96" s="247" t="s">
        <v>2347</v>
      </c>
      <c r="B96" s="64">
        <v>6.71</v>
      </c>
      <c r="C96" s="64">
        <v>62.07</v>
      </c>
      <c r="D96" s="64">
        <v>68.78</v>
      </c>
      <c r="E96" s="64">
        <v>4.57</v>
      </c>
      <c r="F96" s="64">
        <v>15.15</v>
      </c>
      <c r="G96" s="64">
        <v>45.66</v>
      </c>
      <c r="H96" s="64">
        <v>19.05</v>
      </c>
      <c r="I96" s="64">
        <v>3.84</v>
      </c>
      <c r="J96" s="64">
        <v>0.93</v>
      </c>
      <c r="K96" s="64">
        <v>67.72</v>
      </c>
      <c r="L96" s="64">
        <v>22.76</v>
      </c>
      <c r="M96" s="64">
        <v>70.260000000000005</v>
      </c>
      <c r="N96" s="64">
        <v>61.2</v>
      </c>
      <c r="O96" s="64">
        <v>0</v>
      </c>
      <c r="P96" s="64">
        <v>0.8</v>
      </c>
      <c r="Q96" s="64">
        <v>9.06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2348</v>
      </c>
      <c r="B97" s="64">
        <v>6.85</v>
      </c>
      <c r="C97" s="64">
        <v>59</v>
      </c>
      <c r="D97" s="64">
        <v>65.849999999999994</v>
      </c>
      <c r="E97" s="64">
        <v>4.25</v>
      </c>
      <c r="F97" s="64">
        <v>13.28</v>
      </c>
      <c r="G97" s="64">
        <v>45.66</v>
      </c>
      <c r="H97" s="64">
        <v>19.05</v>
      </c>
      <c r="I97" s="64">
        <v>4.03</v>
      </c>
      <c r="J97" s="64">
        <v>1.55</v>
      </c>
      <c r="K97" s="64">
        <v>87.14</v>
      </c>
      <c r="L97" s="64">
        <v>22.55</v>
      </c>
      <c r="M97" s="64">
        <v>71.680000000000007</v>
      </c>
      <c r="N97" s="64">
        <v>61.2</v>
      </c>
      <c r="O97" s="64">
        <v>0</v>
      </c>
      <c r="P97" s="64">
        <v>0.75</v>
      </c>
      <c r="Q97" s="64">
        <v>9.06</v>
      </c>
      <c r="R97" s="198"/>
      <c r="S97" s="198"/>
      <c r="T97" s="198"/>
      <c r="U97" s="198"/>
    </row>
    <row r="98" spans="1:33" s="12" customFormat="1" x14ac:dyDescent="0.25">
      <c r="A98" s="247" t="s">
        <v>2349</v>
      </c>
      <c r="B98" s="64">
        <v>9.57</v>
      </c>
      <c r="C98" s="64">
        <v>58.68</v>
      </c>
      <c r="D98" s="64">
        <v>68.25</v>
      </c>
      <c r="E98" s="64">
        <v>3.82</v>
      </c>
      <c r="F98" s="64">
        <v>13.07</v>
      </c>
      <c r="G98" s="64">
        <v>45.66</v>
      </c>
      <c r="H98" s="64">
        <v>19.05</v>
      </c>
      <c r="I98" s="64">
        <v>4.0199999999999996</v>
      </c>
      <c r="J98" s="64">
        <v>1.06</v>
      </c>
      <c r="K98" s="64">
        <v>78.56</v>
      </c>
      <c r="L98" s="64">
        <v>22.29</v>
      </c>
      <c r="M98" s="64">
        <v>73.66</v>
      </c>
      <c r="N98" s="64">
        <v>61.3</v>
      </c>
      <c r="O98" s="64">
        <v>0</v>
      </c>
      <c r="P98" s="64">
        <v>0.75</v>
      </c>
      <c r="Q98" s="64">
        <v>9.07</v>
      </c>
      <c r="R98" s="198"/>
      <c r="S98" s="198"/>
      <c r="T98" s="198"/>
      <c r="U98" s="198"/>
    </row>
    <row r="99" spans="1:33" s="12" customFormat="1" x14ac:dyDescent="0.25">
      <c r="A99" s="247" t="s">
        <v>2350</v>
      </c>
      <c r="B99" s="64">
        <v>9.5</v>
      </c>
      <c r="C99" s="64">
        <v>63.57</v>
      </c>
      <c r="D99" s="64">
        <v>73.069999999999993</v>
      </c>
      <c r="E99" s="64">
        <v>3.45</v>
      </c>
      <c r="F99" s="64">
        <v>12.44</v>
      </c>
      <c r="G99" s="64">
        <v>43.45</v>
      </c>
      <c r="H99" s="64">
        <v>16.8</v>
      </c>
      <c r="I99" s="64">
        <v>4.01</v>
      </c>
      <c r="J99" s="64">
        <v>1.04</v>
      </c>
      <c r="K99" s="64">
        <v>75.77</v>
      </c>
      <c r="L99" s="64">
        <v>22.02</v>
      </c>
      <c r="M99" s="64">
        <v>74.52</v>
      </c>
      <c r="N99" s="64">
        <v>61.3</v>
      </c>
      <c r="O99" s="64">
        <v>0</v>
      </c>
      <c r="P99" s="64">
        <v>0.75</v>
      </c>
      <c r="Q99" s="64">
        <v>9.1</v>
      </c>
      <c r="R99" s="198"/>
      <c r="S99" s="198"/>
      <c r="T99" s="198"/>
      <c r="U99" s="198"/>
    </row>
    <row r="100" spans="1:33" s="12" customFormat="1" x14ac:dyDescent="0.25">
      <c r="A100" s="247" t="s">
        <v>2351</v>
      </c>
      <c r="B100" s="64">
        <v>6.13</v>
      </c>
      <c r="C100" s="64">
        <v>60.13</v>
      </c>
      <c r="D100" s="64">
        <v>66.260000000000005</v>
      </c>
      <c r="E100" s="64">
        <v>3.49</v>
      </c>
      <c r="F100" s="64">
        <v>10.92</v>
      </c>
      <c r="G100" s="64">
        <v>42.23</v>
      </c>
      <c r="H100" s="64">
        <v>15.49</v>
      </c>
      <c r="I100" s="64">
        <v>4.12</v>
      </c>
      <c r="J100" s="64">
        <v>2.69</v>
      </c>
      <c r="K100" s="64">
        <v>103.63</v>
      </c>
      <c r="L100" s="64">
        <v>21.84</v>
      </c>
      <c r="M100" s="64">
        <v>74.739999999999995</v>
      </c>
      <c r="N100" s="64">
        <v>61.2</v>
      </c>
      <c r="O100" s="64">
        <v>0</v>
      </c>
      <c r="P100" s="64">
        <v>0.71</v>
      </c>
      <c r="Q100" s="64">
        <v>9.1199999999999992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2352</v>
      </c>
      <c r="B101" s="64">
        <v>5.23</v>
      </c>
      <c r="C101" s="64">
        <v>57.96</v>
      </c>
      <c r="D101" s="64">
        <v>63.19</v>
      </c>
      <c r="E101" s="64">
        <v>3.73</v>
      </c>
      <c r="F101" s="64">
        <v>10.91</v>
      </c>
      <c r="G101" s="64">
        <v>42.23</v>
      </c>
      <c r="H101" s="64">
        <v>15.49</v>
      </c>
      <c r="I101" s="64">
        <v>4.13</v>
      </c>
      <c r="J101" s="64">
        <v>1.79</v>
      </c>
      <c r="K101" s="64">
        <v>97.53</v>
      </c>
      <c r="L101" s="64">
        <v>21.66</v>
      </c>
      <c r="M101" s="64">
        <v>75.680000000000007</v>
      </c>
      <c r="N101" s="64">
        <v>61.4</v>
      </c>
      <c r="O101" s="64">
        <v>0</v>
      </c>
      <c r="P101" s="64">
        <v>0.68</v>
      </c>
      <c r="Q101" s="64">
        <v>9.1300000000000008</v>
      </c>
      <c r="R101" s="198"/>
      <c r="S101" s="198"/>
      <c r="T101" s="198"/>
      <c r="U101" s="198"/>
    </row>
    <row r="102" spans="1:33" s="12" customFormat="1" x14ac:dyDescent="0.25">
      <c r="A102" s="247" t="s">
        <v>2353</v>
      </c>
      <c r="B102" s="64">
        <v>4.6500000000000004</v>
      </c>
      <c r="C102" s="64">
        <v>57.06</v>
      </c>
      <c r="D102" s="64">
        <v>61.71</v>
      </c>
      <c r="E102" s="64">
        <v>3.76</v>
      </c>
      <c r="F102" s="64">
        <v>9.6999999999999993</v>
      </c>
      <c r="G102" s="64">
        <v>42.23</v>
      </c>
      <c r="H102" s="64">
        <v>15.49</v>
      </c>
      <c r="I102" s="64">
        <v>3.85</v>
      </c>
      <c r="J102" s="64">
        <v>2.0699999999999998</v>
      </c>
      <c r="K102" s="64">
        <v>97.48</v>
      </c>
      <c r="L102" s="64">
        <v>21.51</v>
      </c>
      <c r="M102" s="64">
        <v>76.33</v>
      </c>
      <c r="N102" s="64">
        <v>61.3</v>
      </c>
      <c r="O102" s="64">
        <v>0</v>
      </c>
      <c r="P102" s="64">
        <v>0.66</v>
      </c>
      <c r="Q102" s="64">
        <v>9.1199999999999992</v>
      </c>
      <c r="R102" s="198"/>
      <c r="S102" s="198"/>
      <c r="T102" s="198"/>
      <c r="U102" s="198"/>
    </row>
    <row r="103" spans="1:33" s="12" customFormat="1" x14ac:dyDescent="0.25">
      <c r="A103" s="247" t="s">
        <v>2354</v>
      </c>
      <c r="B103" s="64">
        <v>4.3</v>
      </c>
      <c r="C103" s="64">
        <v>54.89</v>
      </c>
      <c r="D103" s="64">
        <v>59.19</v>
      </c>
      <c r="E103" s="64">
        <v>3.99</v>
      </c>
      <c r="F103" s="64">
        <v>14.41</v>
      </c>
      <c r="G103" s="64">
        <v>41.73</v>
      </c>
      <c r="H103" s="64">
        <v>17.03</v>
      </c>
      <c r="I103" s="64">
        <v>3.86</v>
      </c>
      <c r="J103" s="64">
        <v>1.06</v>
      </c>
      <c r="K103" s="64">
        <v>79.64</v>
      </c>
      <c r="L103" s="64">
        <v>21.36</v>
      </c>
      <c r="M103" s="64">
        <v>77.17</v>
      </c>
      <c r="N103" s="64">
        <v>61.4</v>
      </c>
      <c r="O103" s="64">
        <v>0</v>
      </c>
      <c r="P103" s="64">
        <v>0.64</v>
      </c>
      <c r="Q103" s="64">
        <v>9.09</v>
      </c>
      <c r="R103" s="198"/>
      <c r="S103" s="198"/>
      <c r="T103" s="198"/>
      <c r="U103" s="198"/>
    </row>
    <row r="104" spans="1:33" s="12" customFormat="1" x14ac:dyDescent="0.25">
      <c r="A104" s="247" t="s">
        <v>2355</v>
      </c>
      <c r="B104" s="64">
        <v>4.1500000000000004</v>
      </c>
      <c r="C104" s="64">
        <v>55.21</v>
      </c>
      <c r="D104" s="64">
        <v>59.36</v>
      </c>
      <c r="E104" s="64">
        <v>2.23</v>
      </c>
      <c r="F104" s="64">
        <v>12.83</v>
      </c>
      <c r="G104" s="64">
        <v>41.46</v>
      </c>
      <c r="H104" s="64">
        <v>17.920000000000002</v>
      </c>
      <c r="I104" s="64">
        <v>3.88</v>
      </c>
      <c r="J104" s="64">
        <v>0.67</v>
      </c>
      <c r="K104" s="64">
        <v>46.76</v>
      </c>
      <c r="L104" s="64">
        <v>21.22</v>
      </c>
      <c r="M104" s="64">
        <v>77.849999999999994</v>
      </c>
      <c r="N104" s="64">
        <v>61.4</v>
      </c>
      <c r="O104" s="64">
        <v>0</v>
      </c>
      <c r="P104" s="64">
        <v>0.62</v>
      </c>
      <c r="Q104" s="64">
        <v>9.08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3.12</v>
      </c>
      <c r="C106" s="67">
        <f>MIN(C9:C104)</f>
        <v>37.840000000000003</v>
      </c>
      <c r="D106" s="67">
        <f t="shared" ref="D106:Q106" si="0">MIN(D9:D104)</f>
        <v>44.29</v>
      </c>
      <c r="E106" s="67">
        <f t="shared" si="0"/>
        <v>1.95</v>
      </c>
      <c r="F106" s="67">
        <f t="shared" si="0"/>
        <v>6.59</v>
      </c>
      <c r="G106" s="67">
        <f t="shared" si="0"/>
        <v>17.850000000000001</v>
      </c>
      <c r="H106" s="67">
        <f t="shared" si="0"/>
        <v>6.82</v>
      </c>
      <c r="I106" s="67">
        <f t="shared" si="0"/>
        <v>3.79</v>
      </c>
      <c r="J106" s="67">
        <f t="shared" si="0"/>
        <v>0.11</v>
      </c>
      <c r="K106" s="67">
        <f t="shared" si="0"/>
        <v>29.26</v>
      </c>
      <c r="L106" s="67">
        <f t="shared" si="0"/>
        <v>17.510000000000002</v>
      </c>
      <c r="M106" s="67">
        <f t="shared" si="0"/>
        <v>31.56</v>
      </c>
      <c r="N106" s="67">
        <f t="shared" si="0"/>
        <v>60.6</v>
      </c>
      <c r="O106" s="67">
        <f t="shared" si="0"/>
        <v>0</v>
      </c>
      <c r="P106" s="67">
        <f t="shared" si="0"/>
        <v>0.31</v>
      </c>
      <c r="Q106" s="67">
        <f t="shared" si="0"/>
        <v>8.81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11.64</v>
      </c>
      <c r="C107" s="66">
        <f t="shared" ref="C107:Q107" si="1">MAX(C9:C104)</f>
        <v>87.04</v>
      </c>
      <c r="D107" s="66">
        <f t="shared" si="1"/>
        <v>90.77</v>
      </c>
      <c r="E107" s="66">
        <f t="shared" si="1"/>
        <v>14.62</v>
      </c>
      <c r="F107" s="66">
        <f t="shared" si="1"/>
        <v>53.65</v>
      </c>
      <c r="G107" s="66">
        <f t="shared" si="1"/>
        <v>50.74</v>
      </c>
      <c r="H107" s="66">
        <f t="shared" si="1"/>
        <v>22.66</v>
      </c>
      <c r="I107" s="66">
        <f t="shared" si="1"/>
        <v>4.1900000000000004</v>
      </c>
      <c r="J107" s="66">
        <f t="shared" si="1"/>
        <v>2.69</v>
      </c>
      <c r="K107" s="66">
        <f t="shared" si="1"/>
        <v>342.75</v>
      </c>
      <c r="L107" s="66">
        <f t="shared" si="1"/>
        <v>30.7</v>
      </c>
      <c r="M107" s="66">
        <f t="shared" si="1"/>
        <v>92.95</v>
      </c>
      <c r="N107" s="66">
        <f t="shared" si="1"/>
        <v>772.8</v>
      </c>
      <c r="O107" s="66">
        <f t="shared" si="1"/>
        <v>0</v>
      </c>
      <c r="P107" s="66">
        <f t="shared" si="1"/>
        <v>1.0900000000000001</v>
      </c>
      <c r="Q107" s="66">
        <f t="shared" si="1"/>
        <v>9.1300000000000008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6.2492708333333349</v>
      </c>
      <c r="C108" s="67">
        <f t="shared" ref="C108:Q108" si="2">AVERAGE(C9:C104)</f>
        <v>54.5</v>
      </c>
      <c r="D108" s="67">
        <f t="shared" si="2"/>
        <v>60.748958333333299</v>
      </c>
      <c r="E108" s="67">
        <f t="shared" si="2"/>
        <v>4.4536458333333337</v>
      </c>
      <c r="F108" s="67">
        <f t="shared" si="2"/>
        <v>16.772500000000004</v>
      </c>
      <c r="G108" s="67">
        <f t="shared" si="2"/>
        <v>31.982916666666657</v>
      </c>
      <c r="H108" s="67">
        <f t="shared" si="2"/>
        <v>13.64208333333333</v>
      </c>
      <c r="I108" s="67">
        <f t="shared" si="2"/>
        <v>3.995000000000001</v>
      </c>
      <c r="J108" s="67">
        <f t="shared" si="2"/>
        <v>1.0254166666666664</v>
      </c>
      <c r="K108" s="67">
        <f t="shared" si="2"/>
        <v>142.15916666666661</v>
      </c>
      <c r="L108" s="67">
        <f t="shared" si="2"/>
        <v>23.388020833333329</v>
      </c>
      <c r="M108" s="67">
        <f t="shared" si="2"/>
        <v>63.997604166666655</v>
      </c>
      <c r="N108" s="67">
        <f t="shared" si="2"/>
        <v>260.50833333333327</v>
      </c>
      <c r="O108" s="67">
        <f t="shared" si="2"/>
        <v>0</v>
      </c>
      <c r="P108" s="67">
        <f t="shared" si="2"/>
        <v>0.54479166666666645</v>
      </c>
      <c r="Q108" s="67">
        <f t="shared" si="2"/>
        <v>8.9512499999999946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2.4862536792242502</v>
      </c>
      <c r="C109" s="67">
        <f t="shared" ref="C109:Q109" si="3">STDEV(C9:C104)</f>
        <v>8.6057908288241389</v>
      </c>
      <c r="D109" s="67">
        <f t="shared" si="3"/>
        <v>8.8061883120748643</v>
      </c>
      <c r="E109" s="67">
        <f t="shared" si="3"/>
        <v>3.2942722604358612</v>
      </c>
      <c r="F109" s="67">
        <f t="shared" si="3"/>
        <v>11.680604075943466</v>
      </c>
      <c r="G109" s="67">
        <f t="shared" si="3"/>
        <v>10.519309754888841</v>
      </c>
      <c r="H109" s="67">
        <f t="shared" si="3"/>
        <v>4.3539980215808418</v>
      </c>
      <c r="I109" s="67">
        <f t="shared" si="3"/>
        <v>9.1823629569781295E-2</v>
      </c>
      <c r="J109" s="67">
        <f t="shared" si="3"/>
        <v>0.51230319284922377</v>
      </c>
      <c r="K109" s="67">
        <f t="shared" si="3"/>
        <v>72.999892035488557</v>
      </c>
      <c r="L109" s="67">
        <f t="shared" si="3"/>
        <v>4.2685845354641421</v>
      </c>
      <c r="M109" s="67">
        <f t="shared" si="3"/>
        <v>20.78406721479309</v>
      </c>
      <c r="N109" s="67">
        <f t="shared" si="3"/>
        <v>260.49365106584469</v>
      </c>
      <c r="O109" s="67">
        <f t="shared" si="3"/>
        <v>0</v>
      </c>
      <c r="P109" s="67">
        <f t="shared" si="3"/>
        <v>0.20557994560532394</v>
      </c>
      <c r="Q109" s="67">
        <f t="shared" si="3"/>
        <v>7.8179954356330336E-2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2356</v>
      </c>
      <c r="B9" s="64">
        <v>4.16</v>
      </c>
      <c r="C9" s="64">
        <v>51.13</v>
      </c>
      <c r="D9" s="64">
        <v>55.29</v>
      </c>
      <c r="E9" s="64">
        <v>2.59</v>
      </c>
      <c r="F9" s="64">
        <v>14.71</v>
      </c>
      <c r="G9" s="64">
        <v>41.46</v>
      </c>
      <c r="H9" s="64">
        <v>17.920000000000002</v>
      </c>
      <c r="I9" s="64">
        <v>3.97</v>
      </c>
      <c r="J9" s="64">
        <v>0.96</v>
      </c>
      <c r="K9" s="64">
        <v>17.03</v>
      </c>
      <c r="L9" s="64">
        <v>21.22</v>
      </c>
      <c r="M9" s="64">
        <v>77.55</v>
      </c>
      <c r="N9" s="64">
        <v>61.1</v>
      </c>
      <c r="O9" s="64">
        <v>0</v>
      </c>
      <c r="P9" s="64">
        <v>0.59</v>
      </c>
      <c r="Q9" s="64">
        <v>9.06</v>
      </c>
      <c r="S9" s="198"/>
      <c r="T9" s="198"/>
      <c r="U9" s="198"/>
    </row>
    <row r="10" spans="1:21" s="12" customFormat="1" x14ac:dyDescent="0.25">
      <c r="A10" s="247" t="s">
        <v>2357</v>
      </c>
      <c r="B10" s="64">
        <v>4</v>
      </c>
      <c r="C10" s="64">
        <v>45.82</v>
      </c>
      <c r="D10" s="64">
        <v>49.83</v>
      </c>
      <c r="E10" s="64">
        <v>2.91</v>
      </c>
      <c r="F10" s="64">
        <v>19.64</v>
      </c>
      <c r="G10" s="64">
        <v>41.46</v>
      </c>
      <c r="H10" s="64">
        <v>17.920000000000002</v>
      </c>
      <c r="I10" s="64">
        <v>3.98</v>
      </c>
      <c r="J10" s="64">
        <v>0.75</v>
      </c>
      <c r="K10" s="64">
        <v>39.11</v>
      </c>
      <c r="L10" s="64">
        <v>21.15</v>
      </c>
      <c r="M10" s="64">
        <v>77.069999999999993</v>
      </c>
      <c r="N10" s="64">
        <v>61.1</v>
      </c>
      <c r="O10" s="64">
        <v>0</v>
      </c>
      <c r="P10" s="64">
        <v>0.54</v>
      </c>
      <c r="Q10" s="64">
        <v>9.0500000000000007</v>
      </c>
      <c r="S10" s="198"/>
      <c r="T10" s="198"/>
      <c r="U10" s="198"/>
    </row>
    <row r="11" spans="1:21" s="12" customFormat="1" x14ac:dyDescent="0.25">
      <c r="A11" s="247" t="s">
        <v>2358</v>
      </c>
      <c r="B11" s="64">
        <v>4.47</v>
      </c>
      <c r="C11" s="64">
        <v>46.66</v>
      </c>
      <c r="D11" s="64">
        <v>51.13</v>
      </c>
      <c r="E11" s="64">
        <v>2.87</v>
      </c>
      <c r="F11" s="64">
        <v>19.95</v>
      </c>
      <c r="G11" s="64">
        <v>39</v>
      </c>
      <c r="H11" s="64">
        <v>18.260000000000002</v>
      </c>
      <c r="I11" s="64">
        <v>4.0199999999999996</v>
      </c>
      <c r="J11" s="64">
        <v>0.97</v>
      </c>
      <c r="K11" s="64">
        <v>59.9</v>
      </c>
      <c r="L11" s="64">
        <v>21.18</v>
      </c>
      <c r="M11" s="64">
        <v>76.62</v>
      </c>
      <c r="N11" s="64">
        <v>61</v>
      </c>
      <c r="O11" s="64">
        <v>0</v>
      </c>
      <c r="P11" s="64">
        <v>0.54</v>
      </c>
      <c r="Q11" s="64">
        <v>9.0299999999999994</v>
      </c>
      <c r="S11" s="198"/>
      <c r="T11" s="198"/>
      <c r="U11" s="198"/>
    </row>
    <row r="12" spans="1:21" s="12" customFormat="1" x14ac:dyDescent="0.25">
      <c r="A12" s="247" t="s">
        <v>2359</v>
      </c>
      <c r="B12" s="64">
        <v>4.4000000000000004</v>
      </c>
      <c r="C12" s="64">
        <v>44.42</v>
      </c>
      <c r="D12" s="64">
        <v>48.82</v>
      </c>
      <c r="E12" s="64">
        <v>2.4500000000000002</v>
      </c>
      <c r="F12" s="64">
        <v>19.97</v>
      </c>
      <c r="G12" s="64">
        <v>37.65</v>
      </c>
      <c r="H12" s="64">
        <v>18.45</v>
      </c>
      <c r="I12" s="64">
        <v>4.0599999999999996</v>
      </c>
      <c r="J12" s="64">
        <v>0.79</v>
      </c>
      <c r="K12" s="64">
        <v>59.39</v>
      </c>
      <c r="L12" s="64">
        <v>21.23</v>
      </c>
      <c r="M12" s="64">
        <v>76.13</v>
      </c>
      <c r="N12" s="64">
        <v>61.3</v>
      </c>
      <c r="O12" s="64">
        <v>0</v>
      </c>
      <c r="P12" s="64">
        <v>0.53</v>
      </c>
      <c r="Q12" s="64">
        <v>9.02</v>
      </c>
      <c r="S12" s="198"/>
      <c r="T12" s="198"/>
      <c r="U12" s="198"/>
    </row>
    <row r="13" spans="1:21" s="12" customFormat="1" x14ac:dyDescent="0.25">
      <c r="A13" s="247" t="s">
        <v>2360</v>
      </c>
      <c r="B13" s="64">
        <v>4.34</v>
      </c>
      <c r="C13" s="64">
        <v>44.31</v>
      </c>
      <c r="D13" s="64">
        <v>48.65</v>
      </c>
      <c r="E13" s="64">
        <v>2.73</v>
      </c>
      <c r="F13" s="64">
        <v>14.74</v>
      </c>
      <c r="G13" s="64">
        <v>37.65</v>
      </c>
      <c r="H13" s="64">
        <v>18.45</v>
      </c>
      <c r="I13" s="64">
        <v>4.12</v>
      </c>
      <c r="J13" s="64">
        <v>1.45</v>
      </c>
      <c r="K13" s="64">
        <v>87.67</v>
      </c>
      <c r="L13" s="64">
        <v>21.07</v>
      </c>
      <c r="M13" s="64">
        <v>76.569999999999993</v>
      </c>
      <c r="N13" s="64">
        <v>61.4</v>
      </c>
      <c r="O13" s="64">
        <v>0</v>
      </c>
      <c r="P13" s="64">
        <v>0.51</v>
      </c>
      <c r="Q13" s="64">
        <v>9.01</v>
      </c>
      <c r="S13" s="198"/>
      <c r="T13" s="198"/>
      <c r="U13" s="198"/>
    </row>
    <row r="14" spans="1:21" s="12" customFormat="1" x14ac:dyDescent="0.25">
      <c r="A14" s="247" t="s">
        <v>2361</v>
      </c>
      <c r="B14" s="64">
        <v>4.34</v>
      </c>
      <c r="C14" s="64">
        <v>44.42</v>
      </c>
      <c r="D14" s="64">
        <v>48.76</v>
      </c>
      <c r="E14" s="64">
        <v>2.92</v>
      </c>
      <c r="F14" s="64">
        <v>15.72</v>
      </c>
      <c r="G14" s="64">
        <v>37.65</v>
      </c>
      <c r="H14" s="64">
        <v>18.45</v>
      </c>
      <c r="I14" s="64">
        <v>3.99</v>
      </c>
      <c r="J14" s="64">
        <v>1.01</v>
      </c>
      <c r="K14" s="64">
        <v>67.48</v>
      </c>
      <c r="L14" s="64">
        <v>20.99</v>
      </c>
      <c r="M14" s="64">
        <v>77.010000000000005</v>
      </c>
      <c r="N14" s="64">
        <v>61.4</v>
      </c>
      <c r="O14" s="64">
        <v>0</v>
      </c>
      <c r="P14" s="64">
        <v>0.51</v>
      </c>
      <c r="Q14" s="64">
        <v>9</v>
      </c>
      <c r="S14" s="198"/>
      <c r="T14" s="198"/>
      <c r="U14" s="198"/>
    </row>
    <row r="15" spans="1:21" s="12" customFormat="1" x14ac:dyDescent="0.25">
      <c r="A15" s="247" t="s">
        <v>2362</v>
      </c>
      <c r="B15" s="64">
        <v>4.3499999999999996</v>
      </c>
      <c r="C15" s="64">
        <v>45.65</v>
      </c>
      <c r="D15" s="64">
        <v>50.01</v>
      </c>
      <c r="E15" s="64">
        <v>2.6</v>
      </c>
      <c r="F15" s="64">
        <v>13.33</v>
      </c>
      <c r="G15" s="64">
        <v>36.68</v>
      </c>
      <c r="H15" s="64">
        <v>16.760000000000002</v>
      </c>
      <c r="I15" s="64">
        <v>3.93</v>
      </c>
      <c r="J15" s="64">
        <v>1.71</v>
      </c>
      <c r="K15" s="64">
        <v>90.45</v>
      </c>
      <c r="L15" s="64">
        <v>20.8</v>
      </c>
      <c r="M15" s="64">
        <v>78.05</v>
      </c>
      <c r="N15" s="64">
        <v>61.4</v>
      </c>
      <c r="O15" s="64">
        <v>0</v>
      </c>
      <c r="P15" s="64">
        <v>0.51</v>
      </c>
      <c r="Q15" s="64">
        <v>9</v>
      </c>
      <c r="S15" s="198"/>
      <c r="T15" s="198"/>
      <c r="U15" s="198"/>
    </row>
    <row r="16" spans="1:21" s="12" customFormat="1" x14ac:dyDescent="0.25">
      <c r="A16" s="247" t="s">
        <v>2363</v>
      </c>
      <c r="B16" s="64">
        <v>4.38</v>
      </c>
      <c r="C16" s="64">
        <v>45.39</v>
      </c>
      <c r="D16" s="64">
        <v>49.77</v>
      </c>
      <c r="E16" s="64">
        <v>3.04</v>
      </c>
      <c r="F16" s="64">
        <v>13.45</v>
      </c>
      <c r="G16" s="64">
        <v>36.14</v>
      </c>
      <c r="H16" s="64">
        <v>15.79</v>
      </c>
      <c r="I16" s="64">
        <v>4.0199999999999996</v>
      </c>
      <c r="J16" s="64">
        <v>1.44</v>
      </c>
      <c r="K16" s="64">
        <v>81.7</v>
      </c>
      <c r="L16" s="64">
        <v>20.66</v>
      </c>
      <c r="M16" s="64">
        <v>78.58</v>
      </c>
      <c r="N16" s="64">
        <v>61.3</v>
      </c>
      <c r="O16" s="64">
        <v>0</v>
      </c>
      <c r="P16" s="64">
        <v>0.51</v>
      </c>
      <c r="Q16" s="64">
        <v>9</v>
      </c>
      <c r="S16" s="198"/>
      <c r="T16" s="198"/>
      <c r="U16" s="198"/>
    </row>
    <row r="17" spans="1:21" s="12" customFormat="1" x14ac:dyDescent="0.25">
      <c r="A17" s="247" t="s">
        <v>2364</v>
      </c>
      <c r="B17" s="64">
        <v>4.43</v>
      </c>
      <c r="C17" s="64">
        <v>45.05</v>
      </c>
      <c r="D17" s="64">
        <v>49.48</v>
      </c>
      <c r="E17" s="64">
        <v>2.58</v>
      </c>
      <c r="F17" s="64">
        <v>10.62</v>
      </c>
      <c r="G17" s="64">
        <v>36.14</v>
      </c>
      <c r="H17" s="64">
        <v>15.79</v>
      </c>
      <c r="I17" s="64">
        <v>3.9</v>
      </c>
      <c r="J17" s="64">
        <v>1.25</v>
      </c>
      <c r="K17" s="64">
        <v>85.58</v>
      </c>
      <c r="L17" s="64">
        <v>20.53</v>
      </c>
      <c r="M17" s="64">
        <v>79.63</v>
      </c>
      <c r="N17" s="64">
        <v>61.4</v>
      </c>
      <c r="O17" s="64">
        <v>0</v>
      </c>
      <c r="P17" s="64">
        <v>0.49</v>
      </c>
      <c r="Q17" s="64">
        <v>9.01</v>
      </c>
      <c r="S17" s="198"/>
      <c r="T17" s="198"/>
      <c r="U17" s="198"/>
    </row>
    <row r="18" spans="1:21" s="12" customFormat="1" x14ac:dyDescent="0.25">
      <c r="A18" s="247" t="s">
        <v>2365</v>
      </c>
      <c r="B18" s="64">
        <v>4.59</v>
      </c>
      <c r="C18" s="64">
        <v>50.03</v>
      </c>
      <c r="D18" s="64">
        <v>54.61</v>
      </c>
      <c r="E18" s="64">
        <v>2.69</v>
      </c>
      <c r="F18" s="64">
        <v>8.3000000000000007</v>
      </c>
      <c r="G18" s="64">
        <v>36.14</v>
      </c>
      <c r="H18" s="64">
        <v>15.79</v>
      </c>
      <c r="I18" s="64">
        <v>4.1399999999999997</v>
      </c>
      <c r="J18" s="64">
        <v>0.9</v>
      </c>
      <c r="K18" s="64">
        <v>49.25</v>
      </c>
      <c r="L18" s="64">
        <v>20.49</v>
      </c>
      <c r="M18" s="64">
        <v>80.14</v>
      </c>
      <c r="N18" s="64">
        <v>61.5</v>
      </c>
      <c r="O18" s="64">
        <v>0</v>
      </c>
      <c r="P18" s="64">
        <v>0.51</v>
      </c>
      <c r="Q18" s="64">
        <v>9</v>
      </c>
      <c r="S18" s="198"/>
      <c r="T18" s="198"/>
      <c r="U18" s="198"/>
    </row>
    <row r="19" spans="1:21" s="12" customFormat="1" x14ac:dyDescent="0.25">
      <c r="A19" s="247" t="s">
        <v>2366</v>
      </c>
      <c r="B19" s="64">
        <v>4.5</v>
      </c>
      <c r="C19" s="64">
        <v>50.1</v>
      </c>
      <c r="D19" s="64">
        <v>54.6</v>
      </c>
      <c r="E19" s="64">
        <v>2.88</v>
      </c>
      <c r="F19" s="64">
        <v>8.92</v>
      </c>
      <c r="G19" s="64">
        <v>34.83</v>
      </c>
      <c r="H19" s="64">
        <v>15.62</v>
      </c>
      <c r="I19" s="64">
        <v>3.91</v>
      </c>
      <c r="J19" s="64">
        <v>1.46</v>
      </c>
      <c r="K19" s="64">
        <v>86.52</v>
      </c>
      <c r="L19" s="64">
        <v>20.38</v>
      </c>
      <c r="M19" s="64">
        <v>81.349999999999994</v>
      </c>
      <c r="N19" s="64">
        <v>61.7</v>
      </c>
      <c r="O19" s="64">
        <v>0</v>
      </c>
      <c r="P19" s="64">
        <v>0.5</v>
      </c>
      <c r="Q19" s="64">
        <v>9</v>
      </c>
      <c r="S19" s="198"/>
      <c r="T19" s="198"/>
      <c r="U19" s="198"/>
    </row>
    <row r="20" spans="1:21" s="12" customFormat="1" x14ac:dyDescent="0.25">
      <c r="A20" s="247" t="s">
        <v>2367</v>
      </c>
      <c r="B20" s="64">
        <v>4.42</v>
      </c>
      <c r="C20" s="64">
        <v>48.96</v>
      </c>
      <c r="D20" s="64">
        <v>53.39</v>
      </c>
      <c r="E20" s="64">
        <v>2.2999999999999998</v>
      </c>
      <c r="F20" s="64">
        <v>7.8</v>
      </c>
      <c r="G20" s="64">
        <v>34.11</v>
      </c>
      <c r="H20" s="64">
        <v>15.53</v>
      </c>
      <c r="I20" s="64">
        <v>3.91</v>
      </c>
      <c r="J20" s="64">
        <v>1.2</v>
      </c>
      <c r="K20" s="64">
        <v>80.150000000000006</v>
      </c>
      <c r="L20" s="64">
        <v>20.23</v>
      </c>
      <c r="M20" s="64">
        <v>82.77</v>
      </c>
      <c r="N20" s="64">
        <v>61.9</v>
      </c>
      <c r="O20" s="64">
        <v>0</v>
      </c>
      <c r="P20" s="64">
        <v>0.49</v>
      </c>
      <c r="Q20" s="64">
        <v>9.01</v>
      </c>
      <c r="S20" s="198"/>
      <c r="T20" s="198"/>
      <c r="U20" s="198"/>
    </row>
    <row r="21" spans="1:21" s="12" customFormat="1" x14ac:dyDescent="0.25">
      <c r="A21" s="247" t="s">
        <v>2368</v>
      </c>
      <c r="B21" s="64">
        <v>4.3899999999999997</v>
      </c>
      <c r="C21" s="64">
        <v>47.86</v>
      </c>
      <c r="D21" s="64">
        <v>52.25</v>
      </c>
      <c r="E21" s="64">
        <v>2.16</v>
      </c>
      <c r="F21" s="64">
        <v>8.52</v>
      </c>
      <c r="G21" s="64">
        <v>34.11</v>
      </c>
      <c r="H21" s="64">
        <v>15.53</v>
      </c>
      <c r="I21" s="64">
        <v>4.13</v>
      </c>
      <c r="J21" s="64">
        <v>2.37</v>
      </c>
      <c r="K21" s="64">
        <v>101.58</v>
      </c>
      <c r="L21" s="64">
        <v>20.010000000000002</v>
      </c>
      <c r="M21" s="64">
        <v>84.68</v>
      </c>
      <c r="N21" s="64">
        <v>61.7</v>
      </c>
      <c r="O21" s="64">
        <v>0</v>
      </c>
      <c r="P21" s="64">
        <v>0.49</v>
      </c>
      <c r="Q21" s="64">
        <v>9.01</v>
      </c>
      <c r="S21" s="198"/>
      <c r="T21" s="198"/>
      <c r="U21" s="198"/>
    </row>
    <row r="22" spans="1:21" s="12" customFormat="1" x14ac:dyDescent="0.25">
      <c r="A22" s="247" t="s">
        <v>2369</v>
      </c>
      <c r="B22" s="64">
        <v>4.3600000000000003</v>
      </c>
      <c r="C22" s="64">
        <v>48.04</v>
      </c>
      <c r="D22" s="64">
        <v>52.4</v>
      </c>
      <c r="E22" s="64">
        <v>2.2000000000000002</v>
      </c>
      <c r="F22" s="64">
        <v>7.95</v>
      </c>
      <c r="G22" s="64">
        <v>34.11</v>
      </c>
      <c r="H22" s="64">
        <v>15.53</v>
      </c>
      <c r="I22" s="64">
        <v>4.0199999999999996</v>
      </c>
      <c r="J22" s="64">
        <v>2.64</v>
      </c>
      <c r="K22" s="64">
        <v>101.95</v>
      </c>
      <c r="L22" s="64">
        <v>19.82</v>
      </c>
      <c r="M22" s="64">
        <v>86.5</v>
      </c>
      <c r="N22" s="64">
        <v>61.8</v>
      </c>
      <c r="O22" s="64">
        <v>0</v>
      </c>
      <c r="P22" s="64">
        <v>0.47</v>
      </c>
      <c r="Q22" s="64">
        <v>9</v>
      </c>
      <c r="S22" s="198"/>
      <c r="T22" s="198"/>
      <c r="U22" s="198"/>
    </row>
    <row r="23" spans="1:21" s="12" customFormat="1" x14ac:dyDescent="0.25">
      <c r="A23" s="247" t="s">
        <v>2370</v>
      </c>
      <c r="B23" s="64">
        <v>4.29</v>
      </c>
      <c r="C23" s="64">
        <v>48.07</v>
      </c>
      <c r="D23" s="64">
        <v>52.36</v>
      </c>
      <c r="E23" s="64">
        <v>2.06</v>
      </c>
      <c r="F23" s="64">
        <v>7.37</v>
      </c>
      <c r="G23" s="64">
        <v>35.76</v>
      </c>
      <c r="H23" s="64">
        <v>14.52</v>
      </c>
      <c r="I23" s="64">
        <v>4.0599999999999996</v>
      </c>
      <c r="J23" s="64">
        <v>2.92</v>
      </c>
      <c r="K23" s="64">
        <v>102.22</v>
      </c>
      <c r="L23" s="64">
        <v>19.54</v>
      </c>
      <c r="M23" s="64">
        <v>89.45</v>
      </c>
      <c r="N23" s="64">
        <v>61.9</v>
      </c>
      <c r="O23" s="64">
        <v>0</v>
      </c>
      <c r="P23" s="64">
        <v>0.47</v>
      </c>
      <c r="Q23" s="64">
        <v>9</v>
      </c>
      <c r="S23" s="198"/>
      <c r="T23" s="198"/>
      <c r="U23" s="198"/>
    </row>
    <row r="24" spans="1:21" s="12" customFormat="1" x14ac:dyDescent="0.25">
      <c r="A24" s="247" t="s">
        <v>2371</v>
      </c>
      <c r="B24" s="64">
        <v>4.29</v>
      </c>
      <c r="C24" s="64">
        <v>47.23</v>
      </c>
      <c r="D24" s="64">
        <v>51.52</v>
      </c>
      <c r="E24" s="64">
        <v>2.27</v>
      </c>
      <c r="F24" s="64">
        <v>7.78</v>
      </c>
      <c r="G24" s="64">
        <v>36.67</v>
      </c>
      <c r="H24" s="64">
        <v>13.94</v>
      </c>
      <c r="I24" s="64">
        <v>4.0199999999999996</v>
      </c>
      <c r="J24" s="64">
        <v>2.64</v>
      </c>
      <c r="K24" s="64">
        <v>103.21</v>
      </c>
      <c r="L24" s="64">
        <v>19.39</v>
      </c>
      <c r="M24" s="64">
        <v>90.96</v>
      </c>
      <c r="N24" s="64">
        <v>61.6</v>
      </c>
      <c r="O24" s="64">
        <v>0</v>
      </c>
      <c r="P24" s="64">
        <v>0.46</v>
      </c>
      <c r="Q24" s="64">
        <v>9</v>
      </c>
      <c r="S24" s="198"/>
      <c r="T24" s="198"/>
      <c r="U24" s="198"/>
    </row>
    <row r="25" spans="1:21" s="12" customFormat="1" x14ac:dyDescent="0.25">
      <c r="A25" s="247" t="s">
        <v>2372</v>
      </c>
      <c r="B25" s="64">
        <v>4.28</v>
      </c>
      <c r="C25" s="64">
        <v>46.46</v>
      </c>
      <c r="D25" s="64">
        <v>50.74</v>
      </c>
      <c r="E25" s="64">
        <v>2.12</v>
      </c>
      <c r="F25" s="64">
        <v>8.2899999999999991</v>
      </c>
      <c r="G25" s="64">
        <v>36.67</v>
      </c>
      <c r="H25" s="64">
        <v>13.94</v>
      </c>
      <c r="I25" s="64">
        <v>3.91</v>
      </c>
      <c r="J25" s="64">
        <v>2.08</v>
      </c>
      <c r="K25" s="64">
        <v>100.87</v>
      </c>
      <c r="L25" s="64">
        <v>19.3</v>
      </c>
      <c r="M25" s="64">
        <v>91.85</v>
      </c>
      <c r="N25" s="64">
        <v>61.6</v>
      </c>
      <c r="O25" s="64">
        <v>0</v>
      </c>
      <c r="P25" s="64">
        <v>0.45</v>
      </c>
      <c r="Q25" s="64">
        <v>8.98</v>
      </c>
      <c r="S25" s="198"/>
      <c r="T25" s="198"/>
      <c r="U25" s="198"/>
    </row>
    <row r="26" spans="1:21" s="12" customFormat="1" x14ac:dyDescent="0.25">
      <c r="A26" s="247" t="s">
        <v>2373</v>
      </c>
      <c r="B26" s="64">
        <v>4.3499999999999996</v>
      </c>
      <c r="C26" s="64">
        <v>46.14</v>
      </c>
      <c r="D26" s="64">
        <v>50.48</v>
      </c>
      <c r="E26" s="64">
        <v>1.62</v>
      </c>
      <c r="F26" s="64">
        <v>7.42</v>
      </c>
      <c r="G26" s="64">
        <v>36.67</v>
      </c>
      <c r="H26" s="64">
        <v>13.94</v>
      </c>
      <c r="I26" s="64">
        <v>3.99</v>
      </c>
      <c r="J26" s="64">
        <v>1.89</v>
      </c>
      <c r="K26" s="64">
        <v>104.48</v>
      </c>
      <c r="L26" s="64">
        <v>19.07</v>
      </c>
      <c r="M26" s="64">
        <v>94.17</v>
      </c>
      <c r="N26" s="64">
        <v>61.7</v>
      </c>
      <c r="O26" s="64">
        <v>0</v>
      </c>
      <c r="P26" s="64">
        <v>0.45</v>
      </c>
      <c r="Q26" s="64">
        <v>8.9700000000000006</v>
      </c>
      <c r="S26" s="198"/>
      <c r="T26" s="198"/>
      <c r="U26" s="198"/>
    </row>
    <row r="27" spans="1:21" s="12" customFormat="1" x14ac:dyDescent="0.25">
      <c r="A27" s="247" t="s">
        <v>2374</v>
      </c>
      <c r="B27" s="64">
        <v>4.4800000000000004</v>
      </c>
      <c r="C27" s="64">
        <v>45.4</v>
      </c>
      <c r="D27" s="64">
        <v>49.88</v>
      </c>
      <c r="E27" s="64">
        <v>2.4700000000000002</v>
      </c>
      <c r="F27" s="64">
        <v>8.1199999999999992</v>
      </c>
      <c r="G27" s="64">
        <v>33.19</v>
      </c>
      <c r="H27" s="64">
        <v>14.12</v>
      </c>
      <c r="I27" s="64">
        <v>3.89</v>
      </c>
      <c r="J27" s="64">
        <v>1.46</v>
      </c>
      <c r="K27" s="64">
        <v>95.34</v>
      </c>
      <c r="L27" s="64">
        <v>19.010000000000002</v>
      </c>
      <c r="M27" s="64">
        <v>95.19</v>
      </c>
      <c r="N27" s="64">
        <v>61.4</v>
      </c>
      <c r="O27" s="64">
        <v>0</v>
      </c>
      <c r="P27" s="64">
        <v>0.44</v>
      </c>
      <c r="Q27" s="64">
        <v>8.98</v>
      </c>
      <c r="S27" s="198"/>
      <c r="T27" s="198"/>
      <c r="U27" s="198"/>
    </row>
    <row r="28" spans="1:21" s="12" customFormat="1" x14ac:dyDescent="0.25">
      <c r="A28" s="247" t="s">
        <v>2375</v>
      </c>
      <c r="B28" s="64">
        <v>4.8</v>
      </c>
      <c r="C28" s="64">
        <v>40.96</v>
      </c>
      <c r="D28" s="64">
        <v>45.77</v>
      </c>
      <c r="E28" s="64">
        <v>2.15</v>
      </c>
      <c r="F28" s="64">
        <v>10.65</v>
      </c>
      <c r="G28" s="64">
        <v>31.26</v>
      </c>
      <c r="H28" s="64">
        <v>14.22</v>
      </c>
      <c r="I28" s="64">
        <v>4</v>
      </c>
      <c r="J28" s="64">
        <v>1.23</v>
      </c>
      <c r="K28" s="64">
        <v>97.53</v>
      </c>
      <c r="L28" s="64">
        <v>18.86</v>
      </c>
      <c r="M28" s="64">
        <v>96.83</v>
      </c>
      <c r="N28" s="64">
        <v>61.7</v>
      </c>
      <c r="O28" s="64">
        <v>0</v>
      </c>
      <c r="P28" s="64">
        <v>0.43</v>
      </c>
      <c r="Q28" s="64">
        <v>8.98</v>
      </c>
      <c r="S28" s="198"/>
      <c r="T28" s="198"/>
      <c r="U28" s="198"/>
    </row>
    <row r="29" spans="1:21" s="12" customFormat="1" x14ac:dyDescent="0.25">
      <c r="A29" s="247" t="s">
        <v>2376</v>
      </c>
      <c r="B29" s="64">
        <v>5.66</v>
      </c>
      <c r="C29" s="64">
        <v>38.950000000000003</v>
      </c>
      <c r="D29" s="64">
        <v>44.61</v>
      </c>
      <c r="E29" s="64">
        <v>2.2799999999999998</v>
      </c>
      <c r="F29" s="64">
        <v>10.53</v>
      </c>
      <c r="G29" s="64">
        <v>31.26</v>
      </c>
      <c r="H29" s="64">
        <v>14.22</v>
      </c>
      <c r="I29" s="64">
        <v>4.17</v>
      </c>
      <c r="J29" s="64">
        <v>1.23</v>
      </c>
      <c r="K29" s="64">
        <v>7.87</v>
      </c>
      <c r="L29" s="64">
        <v>18.8</v>
      </c>
      <c r="M29" s="64">
        <v>96.88</v>
      </c>
      <c r="N29" s="64">
        <v>61.5</v>
      </c>
      <c r="O29" s="64">
        <v>0</v>
      </c>
      <c r="P29" s="64">
        <v>0.42</v>
      </c>
      <c r="Q29" s="64">
        <v>8.9600000000000009</v>
      </c>
      <c r="S29" s="198"/>
      <c r="T29" s="198"/>
      <c r="U29" s="198"/>
    </row>
    <row r="30" spans="1:21" s="12" customFormat="1" x14ac:dyDescent="0.25">
      <c r="A30" s="247" t="s">
        <v>2377</v>
      </c>
      <c r="B30" s="64">
        <v>7.34</v>
      </c>
      <c r="C30" s="64">
        <v>40.840000000000003</v>
      </c>
      <c r="D30" s="64">
        <v>48.19</v>
      </c>
      <c r="E30" s="64">
        <v>2.12</v>
      </c>
      <c r="F30" s="64">
        <v>9.6</v>
      </c>
      <c r="G30" s="64">
        <v>31.26</v>
      </c>
      <c r="H30" s="64">
        <v>14.22</v>
      </c>
      <c r="I30" s="64">
        <v>3.98</v>
      </c>
      <c r="J30" s="64">
        <v>0.63</v>
      </c>
      <c r="K30" s="64">
        <v>81.16</v>
      </c>
      <c r="L30" s="64">
        <v>18.79</v>
      </c>
      <c r="M30" s="64">
        <v>96.9</v>
      </c>
      <c r="N30" s="64">
        <v>61.5</v>
      </c>
      <c r="O30" s="64">
        <v>0</v>
      </c>
      <c r="P30" s="64">
        <v>0.44</v>
      </c>
      <c r="Q30" s="64">
        <v>8.98</v>
      </c>
      <c r="S30" s="198"/>
      <c r="T30" s="198"/>
      <c r="U30" s="198"/>
    </row>
    <row r="31" spans="1:21" s="12" customFormat="1" x14ac:dyDescent="0.25">
      <c r="A31" s="247" t="s">
        <v>2378</v>
      </c>
      <c r="B31" s="64">
        <v>6.72</v>
      </c>
      <c r="C31" s="64">
        <v>39.090000000000003</v>
      </c>
      <c r="D31" s="64">
        <v>45.81</v>
      </c>
      <c r="E31" s="64">
        <v>2.34</v>
      </c>
      <c r="F31" s="64">
        <v>10.62</v>
      </c>
      <c r="G31" s="64">
        <v>29.89</v>
      </c>
      <c r="H31" s="64">
        <v>13.82</v>
      </c>
      <c r="I31" s="64">
        <v>3.94</v>
      </c>
      <c r="J31" s="64">
        <v>0.79</v>
      </c>
      <c r="K31" s="64">
        <v>82.2</v>
      </c>
      <c r="L31" s="64">
        <v>18.829999999999998</v>
      </c>
      <c r="M31" s="64">
        <v>96.5</v>
      </c>
      <c r="N31" s="64">
        <v>61.5</v>
      </c>
      <c r="O31" s="64">
        <v>0</v>
      </c>
      <c r="P31" s="64">
        <v>0.43</v>
      </c>
      <c r="Q31" s="64">
        <v>9</v>
      </c>
      <c r="S31" s="198"/>
      <c r="T31" s="198"/>
      <c r="U31" s="198"/>
    </row>
    <row r="32" spans="1:21" s="12" customFormat="1" x14ac:dyDescent="0.25">
      <c r="A32" s="247" t="s">
        <v>2379</v>
      </c>
      <c r="B32" s="64">
        <v>8.41</v>
      </c>
      <c r="C32" s="64">
        <v>39.549999999999997</v>
      </c>
      <c r="D32" s="64">
        <v>47.96</v>
      </c>
      <c r="E32" s="64">
        <v>2.23</v>
      </c>
      <c r="F32" s="64">
        <v>9.76</v>
      </c>
      <c r="G32" s="64">
        <v>29.13</v>
      </c>
      <c r="H32" s="64">
        <v>13.6</v>
      </c>
      <c r="I32" s="64">
        <v>4.08</v>
      </c>
      <c r="J32" s="64">
        <v>0.72</v>
      </c>
      <c r="K32" s="64">
        <v>79.98</v>
      </c>
      <c r="L32" s="64">
        <v>18.829999999999998</v>
      </c>
      <c r="M32" s="64">
        <v>96.01</v>
      </c>
      <c r="N32" s="64">
        <v>62.4</v>
      </c>
      <c r="O32" s="64">
        <v>0</v>
      </c>
      <c r="P32" s="64">
        <v>0.45</v>
      </c>
      <c r="Q32" s="64">
        <v>9.02</v>
      </c>
      <c r="S32" s="198"/>
      <c r="T32" s="198"/>
      <c r="U32" s="198"/>
    </row>
    <row r="33" spans="1:21" s="12" customFormat="1" x14ac:dyDescent="0.25">
      <c r="A33" s="247" t="s">
        <v>2380</v>
      </c>
      <c r="B33" s="64">
        <v>10.25</v>
      </c>
      <c r="C33" s="64">
        <v>42.16</v>
      </c>
      <c r="D33" s="64">
        <v>52.41</v>
      </c>
      <c r="E33" s="64">
        <v>2.25</v>
      </c>
      <c r="F33" s="64">
        <v>8.93</v>
      </c>
      <c r="G33" s="64">
        <v>29.13</v>
      </c>
      <c r="H33" s="64">
        <v>13.6</v>
      </c>
      <c r="I33" s="64">
        <v>3.91</v>
      </c>
      <c r="J33" s="64">
        <v>0.93</v>
      </c>
      <c r="K33" s="64">
        <v>81.040000000000006</v>
      </c>
      <c r="L33" s="64">
        <v>18.739999999999998</v>
      </c>
      <c r="M33" s="64">
        <v>96.13</v>
      </c>
      <c r="N33" s="64">
        <v>66.599999999999994</v>
      </c>
      <c r="O33" s="64">
        <v>0</v>
      </c>
      <c r="P33" s="64">
        <v>0.45</v>
      </c>
      <c r="Q33" s="64">
        <v>9.0500000000000007</v>
      </c>
      <c r="S33" s="198"/>
      <c r="T33" s="198"/>
      <c r="U33" s="198"/>
    </row>
    <row r="34" spans="1:21" s="12" customFormat="1" x14ac:dyDescent="0.25">
      <c r="A34" s="247" t="s">
        <v>2381</v>
      </c>
      <c r="B34" s="64">
        <v>8.56</v>
      </c>
      <c r="C34" s="64">
        <v>43.51</v>
      </c>
      <c r="D34" s="64">
        <v>52.07</v>
      </c>
      <c r="E34" s="64">
        <v>2.14</v>
      </c>
      <c r="F34" s="64">
        <v>7.83</v>
      </c>
      <c r="G34" s="64">
        <v>29.13</v>
      </c>
      <c r="H34" s="64">
        <v>13.6</v>
      </c>
      <c r="I34" s="64">
        <v>3.99</v>
      </c>
      <c r="J34" s="64">
        <v>1.49</v>
      </c>
      <c r="K34" s="64">
        <v>104.62</v>
      </c>
      <c r="L34" s="64">
        <v>18.510000000000002</v>
      </c>
      <c r="M34" s="64">
        <v>96.79</v>
      </c>
      <c r="N34" s="64">
        <v>80</v>
      </c>
      <c r="O34" s="64">
        <v>0</v>
      </c>
      <c r="P34" s="64">
        <v>0.43</v>
      </c>
      <c r="Q34" s="64">
        <v>9.06</v>
      </c>
      <c r="S34" s="198"/>
      <c r="T34" s="198"/>
      <c r="U34" s="198"/>
    </row>
    <row r="35" spans="1:21" s="12" customFormat="1" x14ac:dyDescent="0.25">
      <c r="A35" s="247" t="s">
        <v>2382</v>
      </c>
      <c r="B35" s="64">
        <v>8.85</v>
      </c>
      <c r="C35" s="64">
        <v>45.68</v>
      </c>
      <c r="D35" s="64">
        <v>54.53</v>
      </c>
      <c r="E35" s="64">
        <v>2.15</v>
      </c>
      <c r="F35" s="64">
        <v>6.81</v>
      </c>
      <c r="G35" s="64">
        <v>27.46</v>
      </c>
      <c r="H35" s="64">
        <v>11.92</v>
      </c>
      <c r="I35" s="64">
        <v>4.0999999999999996</v>
      </c>
      <c r="J35" s="64">
        <v>1.34</v>
      </c>
      <c r="K35" s="64">
        <v>82.4</v>
      </c>
      <c r="L35" s="64">
        <v>18.63</v>
      </c>
      <c r="M35" s="64">
        <v>95.4</v>
      </c>
      <c r="N35" s="64">
        <v>120.2</v>
      </c>
      <c r="O35" s="64">
        <v>0</v>
      </c>
      <c r="P35" s="64">
        <v>0.43</v>
      </c>
      <c r="Q35" s="64">
        <v>9.07</v>
      </c>
      <c r="S35" s="198"/>
      <c r="T35" s="198"/>
      <c r="U35" s="198"/>
    </row>
    <row r="36" spans="1:21" s="12" customFormat="1" x14ac:dyDescent="0.25">
      <c r="A36" s="247" t="s">
        <v>2383</v>
      </c>
      <c r="B36" s="64">
        <v>9.34</v>
      </c>
      <c r="C36" s="64">
        <v>46.53</v>
      </c>
      <c r="D36" s="64">
        <v>55.87</v>
      </c>
      <c r="E36" s="64">
        <v>2.4</v>
      </c>
      <c r="F36" s="64">
        <v>7.36</v>
      </c>
      <c r="G36" s="64">
        <v>26.54</v>
      </c>
      <c r="H36" s="64">
        <v>10.96</v>
      </c>
      <c r="I36" s="64">
        <v>4.1399999999999997</v>
      </c>
      <c r="J36" s="64">
        <v>1.53</v>
      </c>
      <c r="K36" s="64">
        <v>100.67</v>
      </c>
      <c r="L36" s="64">
        <v>19.07</v>
      </c>
      <c r="M36" s="64">
        <v>93.59</v>
      </c>
      <c r="N36" s="64">
        <v>132</v>
      </c>
      <c r="O36" s="64">
        <v>0</v>
      </c>
      <c r="P36" s="64">
        <v>0.43</v>
      </c>
      <c r="Q36" s="64">
        <v>9.06</v>
      </c>
      <c r="S36" s="198"/>
      <c r="T36" s="198"/>
      <c r="U36" s="198"/>
    </row>
    <row r="37" spans="1:21" s="12" customFormat="1" x14ac:dyDescent="0.25">
      <c r="A37" s="247" t="s">
        <v>2384</v>
      </c>
      <c r="B37" s="64">
        <v>11.81</v>
      </c>
      <c r="C37" s="64">
        <v>46.95</v>
      </c>
      <c r="D37" s="64">
        <v>58.75</v>
      </c>
      <c r="E37" s="64">
        <v>2.2000000000000002</v>
      </c>
      <c r="F37" s="64">
        <v>7.36</v>
      </c>
      <c r="G37" s="64">
        <v>26.54</v>
      </c>
      <c r="H37" s="64">
        <v>10.96</v>
      </c>
      <c r="I37" s="64">
        <v>3.97</v>
      </c>
      <c r="J37" s="64">
        <v>0.79</v>
      </c>
      <c r="K37" s="64">
        <v>64.88</v>
      </c>
      <c r="L37" s="64">
        <v>19.149999999999999</v>
      </c>
      <c r="M37" s="64">
        <v>92.54</v>
      </c>
      <c r="N37" s="64">
        <v>119.2</v>
      </c>
      <c r="O37" s="64">
        <v>0</v>
      </c>
      <c r="P37" s="64">
        <v>0.43</v>
      </c>
      <c r="Q37" s="64">
        <v>9.06</v>
      </c>
      <c r="S37" s="198"/>
      <c r="T37" s="198"/>
      <c r="U37" s="198"/>
    </row>
    <row r="38" spans="1:21" s="12" customFormat="1" x14ac:dyDescent="0.25">
      <c r="A38" s="247" t="s">
        <v>2385</v>
      </c>
      <c r="B38" s="64">
        <v>11.27</v>
      </c>
      <c r="C38" s="64">
        <v>46.61</v>
      </c>
      <c r="D38" s="64">
        <v>57.88</v>
      </c>
      <c r="E38" s="64">
        <v>2.36</v>
      </c>
      <c r="F38" s="64">
        <v>7.35</v>
      </c>
      <c r="G38" s="64">
        <v>26.54</v>
      </c>
      <c r="H38" s="64">
        <v>10.96</v>
      </c>
      <c r="I38" s="64">
        <v>3.97</v>
      </c>
      <c r="J38" s="64">
        <v>0.68</v>
      </c>
      <c r="K38" s="64">
        <v>12.63</v>
      </c>
      <c r="L38" s="64">
        <v>19.07</v>
      </c>
      <c r="M38" s="64">
        <v>92.06</v>
      </c>
      <c r="N38" s="64">
        <v>89.8</v>
      </c>
      <c r="O38" s="64">
        <v>0</v>
      </c>
      <c r="P38" s="64">
        <v>0.45</v>
      </c>
      <c r="Q38" s="64">
        <v>9.09</v>
      </c>
      <c r="S38" s="198"/>
      <c r="T38" s="198"/>
      <c r="U38" s="198"/>
    </row>
    <row r="39" spans="1:21" s="12" customFormat="1" x14ac:dyDescent="0.25">
      <c r="A39" s="247" t="s">
        <v>2386</v>
      </c>
      <c r="B39" s="64">
        <v>12.45</v>
      </c>
      <c r="C39" s="64">
        <v>48.22</v>
      </c>
      <c r="D39" s="64">
        <v>60.68</v>
      </c>
      <c r="E39" s="64">
        <v>1.58</v>
      </c>
      <c r="F39" s="64">
        <v>7.25</v>
      </c>
      <c r="G39" s="64">
        <v>26.37</v>
      </c>
      <c r="H39" s="64">
        <v>12.02</v>
      </c>
      <c r="I39" s="64">
        <v>4.05</v>
      </c>
      <c r="J39" s="64">
        <v>0.35</v>
      </c>
      <c r="K39" s="64">
        <v>227.8</v>
      </c>
      <c r="L39" s="64">
        <v>19.22</v>
      </c>
      <c r="M39" s="64">
        <v>91.2</v>
      </c>
      <c r="N39" s="64">
        <v>76.900000000000006</v>
      </c>
      <c r="O39" s="64">
        <v>0</v>
      </c>
      <c r="P39" s="64">
        <v>0.46</v>
      </c>
      <c r="Q39" s="64">
        <v>9.14</v>
      </c>
      <c r="S39" s="198"/>
      <c r="T39" s="198"/>
      <c r="U39" s="198"/>
    </row>
    <row r="40" spans="1:21" s="12" customFormat="1" x14ac:dyDescent="0.25">
      <c r="A40" s="247" t="s">
        <v>2387</v>
      </c>
      <c r="B40" s="64">
        <v>13.5</v>
      </c>
      <c r="C40" s="64">
        <v>48.08</v>
      </c>
      <c r="D40" s="64">
        <v>61.58</v>
      </c>
      <c r="E40" s="64">
        <v>1.84</v>
      </c>
      <c r="F40" s="64">
        <v>7.19</v>
      </c>
      <c r="G40" s="64">
        <v>26.27</v>
      </c>
      <c r="H40" s="64">
        <v>12.63</v>
      </c>
      <c r="I40" s="64">
        <v>4.16</v>
      </c>
      <c r="J40" s="64">
        <v>0.84</v>
      </c>
      <c r="K40" s="64">
        <v>131.07</v>
      </c>
      <c r="L40" s="64">
        <v>18.440000000000001</v>
      </c>
      <c r="M40" s="64">
        <v>96.67</v>
      </c>
      <c r="N40" s="64">
        <v>103.6</v>
      </c>
      <c r="O40" s="64">
        <v>0</v>
      </c>
      <c r="P40" s="64">
        <v>0.46</v>
      </c>
      <c r="Q40" s="64">
        <v>9.17</v>
      </c>
      <c r="S40" s="198"/>
      <c r="T40" s="198"/>
      <c r="U40" s="198"/>
    </row>
    <row r="41" spans="1:21" s="12" customFormat="1" x14ac:dyDescent="0.25">
      <c r="A41" s="247" t="s">
        <v>2388</v>
      </c>
      <c r="B41" s="64">
        <v>12.21</v>
      </c>
      <c r="C41" s="64">
        <v>48.49</v>
      </c>
      <c r="D41" s="64">
        <v>60.7</v>
      </c>
      <c r="E41" s="64">
        <v>2.34</v>
      </c>
      <c r="F41" s="64">
        <v>7.91</v>
      </c>
      <c r="G41" s="64">
        <v>26.27</v>
      </c>
      <c r="H41" s="64">
        <v>12.63</v>
      </c>
      <c r="I41" s="64">
        <v>4.17</v>
      </c>
      <c r="J41" s="64">
        <v>1.27</v>
      </c>
      <c r="K41" s="64">
        <v>97.56</v>
      </c>
      <c r="L41" s="64">
        <v>18.68</v>
      </c>
      <c r="M41" s="64">
        <v>96.71</v>
      </c>
      <c r="N41" s="64">
        <v>142.1</v>
      </c>
      <c r="O41" s="64">
        <v>0</v>
      </c>
      <c r="P41" s="64">
        <v>0.46</v>
      </c>
      <c r="Q41" s="64">
        <v>9.19</v>
      </c>
      <c r="S41" s="198"/>
      <c r="T41" s="198"/>
      <c r="U41" s="198"/>
    </row>
    <row r="42" spans="1:21" s="12" customFormat="1" x14ac:dyDescent="0.25">
      <c r="A42" s="247" t="s">
        <v>2389</v>
      </c>
      <c r="B42" s="64">
        <v>11.97</v>
      </c>
      <c r="C42" s="64">
        <v>47.9</v>
      </c>
      <c r="D42" s="64">
        <v>59.87</v>
      </c>
      <c r="E42" s="64">
        <v>2.4500000000000002</v>
      </c>
      <c r="F42" s="64">
        <v>7.78</v>
      </c>
      <c r="G42" s="64">
        <v>26.27</v>
      </c>
      <c r="H42" s="64">
        <v>12.63</v>
      </c>
      <c r="I42" s="64">
        <v>4.0199999999999996</v>
      </c>
      <c r="J42" s="64">
        <v>0.64</v>
      </c>
      <c r="K42" s="64">
        <v>66.599999999999994</v>
      </c>
      <c r="L42" s="64">
        <v>19.18</v>
      </c>
      <c r="M42" s="64">
        <v>91.68</v>
      </c>
      <c r="N42" s="64">
        <v>147.4</v>
      </c>
      <c r="O42" s="64">
        <v>0</v>
      </c>
      <c r="P42" s="64">
        <v>0.48</v>
      </c>
      <c r="Q42" s="64">
        <v>9.2100000000000009</v>
      </c>
      <c r="S42" s="198"/>
      <c r="T42" s="198"/>
      <c r="U42" s="198"/>
    </row>
    <row r="43" spans="1:21" s="12" customFormat="1" x14ac:dyDescent="0.25">
      <c r="A43" s="247" t="s">
        <v>2390</v>
      </c>
      <c r="B43" s="64">
        <v>14.69</v>
      </c>
      <c r="C43" s="64">
        <v>49.58</v>
      </c>
      <c r="D43" s="64">
        <v>64.28</v>
      </c>
      <c r="E43" s="64">
        <v>2.52</v>
      </c>
      <c r="F43" s="64">
        <v>8.01</v>
      </c>
      <c r="G43" s="64">
        <v>27.04</v>
      </c>
      <c r="H43" s="64">
        <v>12.31</v>
      </c>
      <c r="I43" s="64">
        <v>4.04</v>
      </c>
      <c r="J43" s="64">
        <v>0.84</v>
      </c>
      <c r="K43" s="64">
        <v>26.84</v>
      </c>
      <c r="L43" s="64">
        <v>19.899999999999999</v>
      </c>
      <c r="M43" s="64">
        <v>86.5</v>
      </c>
      <c r="N43" s="64">
        <v>146.4</v>
      </c>
      <c r="O43" s="64">
        <v>0</v>
      </c>
      <c r="P43" s="64">
        <v>0.5</v>
      </c>
      <c r="Q43" s="64">
        <v>9.23</v>
      </c>
      <c r="S43" s="198"/>
      <c r="T43" s="198"/>
      <c r="U43" s="198"/>
    </row>
    <row r="44" spans="1:21" s="12" customFormat="1" x14ac:dyDescent="0.25">
      <c r="A44" s="247" t="s">
        <v>2391</v>
      </c>
      <c r="B44" s="64">
        <v>15.55</v>
      </c>
      <c r="C44" s="64">
        <v>50.53</v>
      </c>
      <c r="D44" s="64">
        <v>66.08</v>
      </c>
      <c r="E44" s="64">
        <v>2.23</v>
      </c>
      <c r="F44" s="64">
        <v>7.05</v>
      </c>
      <c r="G44" s="64">
        <v>27.46</v>
      </c>
      <c r="H44" s="64">
        <v>12.12</v>
      </c>
      <c r="I44" s="64">
        <v>3.97</v>
      </c>
      <c r="J44" s="64">
        <v>0.25</v>
      </c>
      <c r="K44" s="64">
        <v>333.72</v>
      </c>
      <c r="L44" s="64">
        <v>20.27</v>
      </c>
      <c r="M44" s="64">
        <v>85.41</v>
      </c>
      <c r="N44" s="64">
        <v>98</v>
      </c>
      <c r="O44" s="64">
        <v>0.2</v>
      </c>
      <c r="P44" s="64">
        <v>0.51</v>
      </c>
      <c r="Q44" s="64">
        <v>9.25</v>
      </c>
      <c r="S44" s="198"/>
      <c r="T44" s="198"/>
      <c r="U44" s="198"/>
    </row>
    <row r="45" spans="1:21" s="12" customFormat="1" x14ac:dyDescent="0.25">
      <c r="A45" s="247" t="s">
        <v>2392</v>
      </c>
      <c r="B45" s="64">
        <v>19.62</v>
      </c>
      <c r="C45" s="64">
        <v>52.38</v>
      </c>
      <c r="D45" s="64">
        <v>72.010000000000005</v>
      </c>
      <c r="E45" s="64">
        <v>2.57</v>
      </c>
      <c r="F45" s="64">
        <v>8.2899999999999991</v>
      </c>
      <c r="G45" s="64">
        <v>27.46</v>
      </c>
      <c r="H45" s="64">
        <v>12.12</v>
      </c>
      <c r="I45" s="64">
        <v>3.97</v>
      </c>
      <c r="J45" s="64">
        <v>0.6</v>
      </c>
      <c r="K45" s="64">
        <v>75.260000000000005</v>
      </c>
      <c r="L45" s="64">
        <v>19.920000000000002</v>
      </c>
      <c r="M45" s="64">
        <v>92.28</v>
      </c>
      <c r="N45" s="64">
        <v>247.5</v>
      </c>
      <c r="O45" s="64">
        <v>0</v>
      </c>
      <c r="P45" s="64">
        <v>0.59</v>
      </c>
      <c r="Q45" s="64">
        <v>9.2799999999999994</v>
      </c>
      <c r="S45" s="198"/>
      <c r="T45" s="198"/>
      <c r="U45" s="198"/>
    </row>
    <row r="46" spans="1:21" s="12" customFormat="1" x14ac:dyDescent="0.25">
      <c r="A46" s="247" t="s">
        <v>2393</v>
      </c>
      <c r="B46" s="64">
        <v>13.93</v>
      </c>
      <c r="C46" s="64">
        <v>45.68</v>
      </c>
      <c r="D46" s="64">
        <v>59.61</v>
      </c>
      <c r="E46" s="64">
        <v>2.25</v>
      </c>
      <c r="F46" s="64">
        <v>7.07</v>
      </c>
      <c r="G46" s="64">
        <v>27.46</v>
      </c>
      <c r="H46" s="64">
        <v>12.12</v>
      </c>
      <c r="I46" s="64">
        <v>3.9</v>
      </c>
      <c r="J46" s="64">
        <v>1.24</v>
      </c>
      <c r="K46" s="64">
        <v>165.78</v>
      </c>
      <c r="L46" s="64">
        <v>19.55</v>
      </c>
      <c r="M46" s="64">
        <v>96.24</v>
      </c>
      <c r="N46" s="64">
        <v>178.4</v>
      </c>
      <c r="O46" s="64">
        <v>0</v>
      </c>
      <c r="P46" s="64">
        <v>0.52</v>
      </c>
      <c r="Q46" s="64">
        <v>9.2899999999999991</v>
      </c>
      <c r="S46" s="198"/>
      <c r="T46" s="198"/>
      <c r="U46" s="198"/>
    </row>
    <row r="47" spans="1:21" s="12" customFormat="1" x14ac:dyDescent="0.25">
      <c r="A47" s="247" t="s">
        <v>2394</v>
      </c>
      <c r="B47" s="64">
        <v>14.91</v>
      </c>
      <c r="C47" s="64">
        <v>47.83</v>
      </c>
      <c r="D47" s="64">
        <v>62.73</v>
      </c>
      <c r="E47" s="64">
        <v>2.23</v>
      </c>
      <c r="F47" s="64">
        <v>8.6300000000000008</v>
      </c>
      <c r="G47" s="64">
        <v>29.82</v>
      </c>
      <c r="H47" s="64">
        <v>12.34</v>
      </c>
      <c r="I47" s="64">
        <v>4.01</v>
      </c>
      <c r="J47" s="64">
        <v>0.77</v>
      </c>
      <c r="K47" s="64">
        <v>119.22</v>
      </c>
      <c r="L47" s="64">
        <v>19.309999999999999</v>
      </c>
      <c r="M47" s="64">
        <v>97.27</v>
      </c>
      <c r="N47" s="64">
        <v>268.39999999999998</v>
      </c>
      <c r="O47" s="64">
        <v>0</v>
      </c>
      <c r="P47" s="64">
        <v>0.54</v>
      </c>
      <c r="Q47" s="64">
        <v>9.3000000000000007</v>
      </c>
      <c r="S47" s="198"/>
      <c r="T47" s="198"/>
      <c r="U47" s="198"/>
    </row>
    <row r="48" spans="1:21" s="12" customFormat="1" x14ac:dyDescent="0.25">
      <c r="A48" s="247" t="s">
        <v>2395</v>
      </c>
      <c r="B48" s="64">
        <v>15.88</v>
      </c>
      <c r="C48" s="64">
        <v>51.32</v>
      </c>
      <c r="D48" s="64">
        <v>67.19</v>
      </c>
      <c r="E48" s="64">
        <v>2.63</v>
      </c>
      <c r="F48" s="64">
        <v>10.35</v>
      </c>
      <c r="G48" s="64">
        <v>31.13</v>
      </c>
      <c r="H48" s="64">
        <v>12.46</v>
      </c>
      <c r="I48" s="64">
        <v>4.0999999999999996</v>
      </c>
      <c r="J48" s="64">
        <v>0.87</v>
      </c>
      <c r="K48" s="64">
        <v>44.77</v>
      </c>
      <c r="L48" s="64">
        <v>20.27</v>
      </c>
      <c r="M48" s="64">
        <v>91.9</v>
      </c>
      <c r="N48" s="64">
        <v>300.8</v>
      </c>
      <c r="O48" s="64">
        <v>0</v>
      </c>
      <c r="P48" s="64">
        <v>0.56999999999999995</v>
      </c>
      <c r="Q48" s="64">
        <v>9.31</v>
      </c>
      <c r="S48" s="198"/>
      <c r="T48" s="198"/>
      <c r="U48" s="198"/>
    </row>
    <row r="49" spans="1:21" s="12" customFormat="1" x14ac:dyDescent="0.25">
      <c r="A49" s="247" t="s">
        <v>2396</v>
      </c>
      <c r="B49" s="64">
        <v>16.39</v>
      </c>
      <c r="C49" s="64">
        <v>49.93</v>
      </c>
      <c r="D49" s="64">
        <v>66.319999999999993</v>
      </c>
      <c r="E49" s="64">
        <v>2.8</v>
      </c>
      <c r="F49" s="64">
        <v>13.78</v>
      </c>
      <c r="G49" s="64">
        <v>31.13</v>
      </c>
      <c r="H49" s="64">
        <v>12.46</v>
      </c>
      <c r="I49" s="64">
        <v>3.96</v>
      </c>
      <c r="J49" s="64">
        <v>0.6</v>
      </c>
      <c r="K49" s="64">
        <v>359.6</v>
      </c>
      <c r="L49" s="64">
        <v>22.6</v>
      </c>
      <c r="M49" s="64">
        <v>78.31</v>
      </c>
      <c r="N49" s="64">
        <v>462.4</v>
      </c>
      <c r="O49" s="64">
        <v>0</v>
      </c>
      <c r="P49" s="64">
        <v>0.61</v>
      </c>
      <c r="Q49" s="64">
        <v>9.32</v>
      </c>
      <c r="S49" s="198"/>
      <c r="T49" s="198"/>
      <c r="U49" s="198"/>
    </row>
    <row r="50" spans="1:21" s="12" customFormat="1" x14ac:dyDescent="0.25">
      <c r="A50" s="247" t="s">
        <v>2397</v>
      </c>
      <c r="B50" s="64">
        <v>17.79</v>
      </c>
      <c r="C50" s="64">
        <v>53.5</v>
      </c>
      <c r="D50" s="64">
        <v>71.290000000000006</v>
      </c>
      <c r="E50" s="64">
        <v>2.57</v>
      </c>
      <c r="F50" s="64">
        <v>9.99</v>
      </c>
      <c r="G50" s="64">
        <v>31.13</v>
      </c>
      <c r="H50" s="64">
        <v>12.46</v>
      </c>
      <c r="I50" s="64">
        <v>4.05</v>
      </c>
      <c r="J50" s="64">
        <v>0.72</v>
      </c>
      <c r="K50" s="64">
        <v>309.83</v>
      </c>
      <c r="L50" s="64">
        <v>24.52</v>
      </c>
      <c r="M50" s="64">
        <v>69.77</v>
      </c>
      <c r="N50" s="64">
        <v>546.20000000000005</v>
      </c>
      <c r="O50" s="64">
        <v>0</v>
      </c>
      <c r="P50" s="64">
        <v>0.64</v>
      </c>
      <c r="Q50" s="64">
        <v>9.34</v>
      </c>
      <c r="S50" s="198"/>
      <c r="T50" s="198"/>
      <c r="U50" s="198"/>
    </row>
    <row r="51" spans="1:21" s="12" customFormat="1" x14ac:dyDescent="0.25">
      <c r="A51" s="247" t="s">
        <v>2398</v>
      </c>
      <c r="B51" s="64">
        <v>15.6</v>
      </c>
      <c r="C51" s="64">
        <v>57.72</v>
      </c>
      <c r="D51" s="64">
        <v>73.31</v>
      </c>
      <c r="E51" s="64">
        <v>3.12</v>
      </c>
      <c r="F51" s="64">
        <v>11.19</v>
      </c>
      <c r="G51" s="64">
        <v>36.92</v>
      </c>
      <c r="H51" s="64">
        <v>11.04</v>
      </c>
      <c r="I51" s="64">
        <v>3.91</v>
      </c>
      <c r="J51" s="64">
        <v>0.89</v>
      </c>
      <c r="K51" s="64">
        <v>334.55</v>
      </c>
      <c r="L51" s="64">
        <v>26.79</v>
      </c>
      <c r="M51" s="64">
        <v>59.93</v>
      </c>
      <c r="N51" s="64">
        <v>750.2</v>
      </c>
      <c r="O51" s="64">
        <v>0</v>
      </c>
      <c r="P51" s="64">
        <v>0.63</v>
      </c>
      <c r="Q51" s="64">
        <v>9.35</v>
      </c>
      <c r="S51" s="198"/>
      <c r="T51" s="198"/>
      <c r="U51" s="198"/>
    </row>
    <row r="52" spans="1:21" s="12" customFormat="1" x14ac:dyDescent="0.25">
      <c r="A52" s="247" t="s">
        <v>2399</v>
      </c>
      <c r="B52" s="64">
        <v>15.75</v>
      </c>
      <c r="C52" s="64">
        <v>58.26</v>
      </c>
      <c r="D52" s="64">
        <v>74.010000000000005</v>
      </c>
      <c r="E52" s="64">
        <v>3.3</v>
      </c>
      <c r="F52" s="64">
        <v>11.53</v>
      </c>
      <c r="G52" s="64">
        <v>40.119999999999997</v>
      </c>
      <c r="H52" s="64">
        <v>10.210000000000001</v>
      </c>
      <c r="I52" s="64">
        <v>3.75</v>
      </c>
      <c r="J52" s="64">
        <v>0.7</v>
      </c>
      <c r="K52" s="64">
        <v>339.03</v>
      </c>
      <c r="L52" s="64">
        <v>28.5</v>
      </c>
      <c r="M52" s="64">
        <v>52.28</v>
      </c>
      <c r="N52" s="64">
        <v>755.6</v>
      </c>
      <c r="O52" s="64">
        <v>0</v>
      </c>
      <c r="P52" s="64">
        <v>0.64</v>
      </c>
      <c r="Q52" s="64">
        <v>9.36</v>
      </c>
      <c r="S52" s="198"/>
      <c r="T52" s="198"/>
      <c r="U52" s="198"/>
    </row>
    <row r="53" spans="1:21" s="12" customFormat="1" x14ac:dyDescent="0.25">
      <c r="A53" s="247" t="s">
        <v>2400</v>
      </c>
      <c r="B53" s="64">
        <v>13.82</v>
      </c>
      <c r="C53" s="64">
        <v>56.86</v>
      </c>
      <c r="D53" s="64">
        <v>70.680000000000007</v>
      </c>
      <c r="E53" s="64">
        <v>2.87</v>
      </c>
      <c r="F53" s="64">
        <v>10.58</v>
      </c>
      <c r="G53" s="64">
        <v>40.119999999999997</v>
      </c>
      <c r="H53" s="64">
        <v>10.210000000000001</v>
      </c>
      <c r="I53" s="64">
        <v>4.3</v>
      </c>
      <c r="J53" s="64">
        <v>0.33</v>
      </c>
      <c r="K53" s="64">
        <v>104.78</v>
      </c>
      <c r="L53" s="64">
        <v>27.22</v>
      </c>
      <c r="M53" s="64">
        <v>54.29</v>
      </c>
      <c r="N53" s="64">
        <v>808.3</v>
      </c>
      <c r="O53" s="64">
        <v>0</v>
      </c>
      <c r="P53" s="64">
        <v>0.59</v>
      </c>
      <c r="Q53" s="64">
        <v>9.32</v>
      </c>
      <c r="S53" s="198"/>
      <c r="T53" s="198"/>
      <c r="U53" s="198"/>
    </row>
    <row r="54" spans="1:21" s="12" customFormat="1" x14ac:dyDescent="0.25">
      <c r="A54" s="247" t="s">
        <v>2401</v>
      </c>
      <c r="B54" s="64">
        <v>11.07</v>
      </c>
      <c r="C54" s="64">
        <v>58.35</v>
      </c>
      <c r="D54" s="64">
        <v>69.42</v>
      </c>
      <c r="E54" s="64">
        <v>3.65</v>
      </c>
      <c r="F54" s="64">
        <v>11.74</v>
      </c>
      <c r="G54" s="64">
        <v>40.119999999999997</v>
      </c>
      <c r="H54" s="64">
        <v>10.210000000000001</v>
      </c>
      <c r="I54" s="64">
        <v>4.13</v>
      </c>
      <c r="J54" s="64">
        <v>0.87</v>
      </c>
      <c r="K54" s="64">
        <v>334</v>
      </c>
      <c r="L54" s="64">
        <v>28.56</v>
      </c>
      <c r="M54" s="64">
        <v>50.56</v>
      </c>
      <c r="N54" s="64">
        <v>793.3</v>
      </c>
      <c r="O54" s="64">
        <v>0</v>
      </c>
      <c r="P54" s="64">
        <v>0.62</v>
      </c>
      <c r="Q54" s="64">
        <v>9.26</v>
      </c>
      <c r="S54" s="198"/>
      <c r="T54" s="198"/>
      <c r="U54" s="198"/>
    </row>
    <row r="55" spans="1:21" s="12" customFormat="1" x14ac:dyDescent="0.25">
      <c r="A55" s="247" t="s">
        <v>2402</v>
      </c>
      <c r="B55" s="64">
        <v>10.5</v>
      </c>
      <c r="C55" s="64">
        <v>65.27</v>
      </c>
      <c r="D55" s="64">
        <v>75.77</v>
      </c>
      <c r="E55" s="64">
        <v>3.66</v>
      </c>
      <c r="F55" s="64">
        <v>12.55</v>
      </c>
      <c r="G55" s="64">
        <v>43.01</v>
      </c>
      <c r="H55" s="64">
        <v>12.46</v>
      </c>
      <c r="I55" s="64">
        <v>3.95</v>
      </c>
      <c r="J55" s="64">
        <v>0.41</v>
      </c>
      <c r="K55" s="64">
        <v>314.27999999999997</v>
      </c>
      <c r="L55" s="64">
        <v>29.91</v>
      </c>
      <c r="M55" s="64">
        <v>47.07</v>
      </c>
      <c r="N55" s="64">
        <v>796.1</v>
      </c>
      <c r="O55" s="64">
        <v>0</v>
      </c>
      <c r="P55" s="64">
        <v>0.65</v>
      </c>
      <c r="Q55" s="64">
        <v>9.2100000000000009</v>
      </c>
      <c r="S55" s="198"/>
      <c r="T55" s="198"/>
      <c r="U55" s="198"/>
    </row>
    <row r="56" spans="1:21" s="12" customFormat="1" x14ac:dyDescent="0.25">
      <c r="A56" s="247" t="s">
        <v>2403</v>
      </c>
      <c r="B56" s="64">
        <v>8.57</v>
      </c>
      <c r="C56" s="64">
        <v>61.72</v>
      </c>
      <c r="D56" s="64">
        <v>70.3</v>
      </c>
      <c r="E56" s="64">
        <v>3</v>
      </c>
      <c r="F56" s="64">
        <v>9.85</v>
      </c>
      <c r="G56" s="64">
        <v>44.6</v>
      </c>
      <c r="H56" s="64">
        <v>13.76</v>
      </c>
      <c r="I56" s="64">
        <v>3.91</v>
      </c>
      <c r="J56" s="64">
        <v>0.35</v>
      </c>
      <c r="K56" s="64">
        <v>228.34</v>
      </c>
      <c r="L56" s="64">
        <v>28.26</v>
      </c>
      <c r="M56" s="64">
        <v>52.37</v>
      </c>
      <c r="N56" s="64">
        <v>796.7</v>
      </c>
      <c r="O56" s="64">
        <v>0</v>
      </c>
      <c r="P56" s="64">
        <v>0.64</v>
      </c>
      <c r="Q56" s="64">
        <v>9.19</v>
      </c>
      <c r="S56" s="198"/>
      <c r="T56" s="198"/>
      <c r="U56" s="198"/>
    </row>
    <row r="57" spans="1:21" s="12" customFormat="1" x14ac:dyDescent="0.25">
      <c r="A57" s="247" t="s">
        <v>2404</v>
      </c>
      <c r="B57" s="64">
        <v>5.97</v>
      </c>
      <c r="C57" s="64">
        <v>59.71</v>
      </c>
      <c r="D57" s="64">
        <v>65.680000000000007</v>
      </c>
      <c r="E57" s="64">
        <v>3.04</v>
      </c>
      <c r="F57" s="64">
        <v>11.07</v>
      </c>
      <c r="G57" s="64">
        <v>44.6</v>
      </c>
      <c r="H57" s="64">
        <v>13.76</v>
      </c>
      <c r="I57" s="64">
        <v>3.91</v>
      </c>
      <c r="J57" s="64">
        <v>0.36</v>
      </c>
      <c r="K57" s="64">
        <v>311.3</v>
      </c>
      <c r="L57" s="64">
        <v>28.67</v>
      </c>
      <c r="M57" s="64">
        <v>50.59</v>
      </c>
      <c r="N57" s="64">
        <v>781.3</v>
      </c>
      <c r="O57" s="64">
        <v>0</v>
      </c>
      <c r="P57" s="64">
        <v>0.64</v>
      </c>
      <c r="Q57" s="64">
        <v>9.14</v>
      </c>
      <c r="S57" s="198"/>
      <c r="T57" s="198"/>
      <c r="U57" s="198"/>
    </row>
    <row r="58" spans="1:21" s="12" customFormat="1" x14ac:dyDescent="0.25">
      <c r="A58" s="247" t="s">
        <v>2405</v>
      </c>
      <c r="B58" s="64">
        <v>4.4800000000000004</v>
      </c>
      <c r="C58" s="64">
        <v>59.93</v>
      </c>
      <c r="D58" s="64">
        <v>64.41</v>
      </c>
      <c r="E58" s="64">
        <v>3.23</v>
      </c>
      <c r="F58" s="64">
        <v>10</v>
      </c>
      <c r="G58" s="64">
        <v>44.6</v>
      </c>
      <c r="H58" s="64">
        <v>13.76</v>
      </c>
      <c r="I58" s="64">
        <v>3.97</v>
      </c>
      <c r="J58" s="64">
        <v>1.38</v>
      </c>
      <c r="K58" s="64">
        <v>168.45</v>
      </c>
      <c r="L58" s="64">
        <v>27.8</v>
      </c>
      <c r="M58" s="64">
        <v>53.76</v>
      </c>
      <c r="N58" s="64">
        <v>797.3</v>
      </c>
      <c r="O58" s="64">
        <v>0</v>
      </c>
      <c r="P58" s="64">
        <v>0.65</v>
      </c>
      <c r="Q58" s="64">
        <v>9.11</v>
      </c>
      <c r="S58" s="198"/>
      <c r="T58" s="198"/>
      <c r="U58" s="198"/>
    </row>
    <row r="59" spans="1:21" s="12" customFormat="1" x14ac:dyDescent="0.25">
      <c r="A59" s="247" t="s">
        <v>2406</v>
      </c>
      <c r="B59" s="64">
        <v>3.91</v>
      </c>
      <c r="C59" s="64">
        <v>59.04</v>
      </c>
      <c r="D59" s="64">
        <v>62.95</v>
      </c>
      <c r="E59" s="64">
        <v>3.09</v>
      </c>
      <c r="F59" s="64">
        <v>16.71</v>
      </c>
      <c r="G59" s="64">
        <v>45.99</v>
      </c>
      <c r="H59" s="64">
        <v>15.5</v>
      </c>
      <c r="I59" s="64">
        <v>3.98</v>
      </c>
      <c r="J59" s="64">
        <v>1.1100000000000001</v>
      </c>
      <c r="K59" s="64">
        <v>146.52000000000001</v>
      </c>
      <c r="L59" s="64">
        <v>27.17</v>
      </c>
      <c r="M59" s="64">
        <v>55.01</v>
      </c>
      <c r="N59" s="64">
        <v>820</v>
      </c>
      <c r="O59" s="64">
        <v>0</v>
      </c>
      <c r="P59" s="64">
        <v>0.63</v>
      </c>
      <c r="Q59" s="64">
        <v>9.1</v>
      </c>
      <c r="S59" s="198"/>
      <c r="T59" s="198"/>
      <c r="U59" s="198"/>
    </row>
    <row r="60" spans="1:21" s="12" customFormat="1" x14ac:dyDescent="0.25">
      <c r="A60" s="247" t="s">
        <v>2407</v>
      </c>
      <c r="B60" s="64">
        <v>3.67</v>
      </c>
      <c r="C60" s="64">
        <v>57.79</v>
      </c>
      <c r="D60" s="64">
        <v>61.46</v>
      </c>
      <c r="E60" s="64">
        <v>2.98</v>
      </c>
      <c r="F60" s="64">
        <v>10.87</v>
      </c>
      <c r="G60" s="64">
        <v>46.76</v>
      </c>
      <c r="H60" s="64">
        <v>16.5</v>
      </c>
      <c r="I60" s="64">
        <v>4.01</v>
      </c>
      <c r="J60" s="64">
        <v>0.93</v>
      </c>
      <c r="K60" s="64">
        <v>234.32</v>
      </c>
      <c r="L60" s="64">
        <v>27.76</v>
      </c>
      <c r="M60" s="64">
        <v>51.21</v>
      </c>
      <c r="N60" s="64">
        <v>816.2</v>
      </c>
      <c r="O60" s="64">
        <v>0</v>
      </c>
      <c r="P60" s="64">
        <v>0.64</v>
      </c>
      <c r="Q60" s="64">
        <v>9.09</v>
      </c>
      <c r="S60" s="198"/>
      <c r="T60" s="198"/>
      <c r="U60" s="198"/>
    </row>
    <row r="61" spans="1:21" s="12" customFormat="1" x14ac:dyDescent="0.25">
      <c r="A61" s="247" t="s">
        <v>2408</v>
      </c>
      <c r="B61" s="64">
        <v>4.2699999999999996</v>
      </c>
      <c r="C61" s="64">
        <v>56.95</v>
      </c>
      <c r="D61" s="64">
        <v>61.23</v>
      </c>
      <c r="E61" s="64">
        <v>3.36</v>
      </c>
      <c r="F61" s="64">
        <v>14.79</v>
      </c>
      <c r="G61" s="64">
        <v>46.76</v>
      </c>
      <c r="H61" s="64">
        <v>16.5</v>
      </c>
      <c r="I61" s="64">
        <v>4.1399999999999997</v>
      </c>
      <c r="J61" s="64">
        <v>0.53</v>
      </c>
      <c r="K61" s="64">
        <v>266.93</v>
      </c>
      <c r="L61" s="64">
        <v>29.14</v>
      </c>
      <c r="M61" s="64">
        <v>47.34</v>
      </c>
      <c r="N61" s="64">
        <v>789</v>
      </c>
      <c r="O61" s="64">
        <v>0</v>
      </c>
      <c r="P61" s="64">
        <v>0.63</v>
      </c>
      <c r="Q61" s="64">
        <v>9.08</v>
      </c>
      <c r="S61" s="198"/>
      <c r="T61" s="198"/>
      <c r="U61" s="198"/>
    </row>
    <row r="62" spans="1:21" s="12" customFormat="1" x14ac:dyDescent="0.25">
      <c r="A62" s="247" t="s">
        <v>2409</v>
      </c>
      <c r="B62" s="64">
        <v>6.93</v>
      </c>
      <c r="C62" s="64">
        <v>54.97</v>
      </c>
      <c r="D62" s="64">
        <v>61.91</v>
      </c>
      <c r="E62" s="64">
        <v>4.9000000000000004</v>
      </c>
      <c r="F62" s="64">
        <v>19.940000000000001</v>
      </c>
      <c r="G62" s="64">
        <v>46.76</v>
      </c>
      <c r="H62" s="64">
        <v>16.5</v>
      </c>
      <c r="I62" s="64">
        <v>3.97</v>
      </c>
      <c r="J62" s="64">
        <v>0.79</v>
      </c>
      <c r="K62" s="64">
        <v>333.39</v>
      </c>
      <c r="L62" s="64">
        <v>30.36</v>
      </c>
      <c r="M62" s="64">
        <v>43.59</v>
      </c>
      <c r="N62" s="64">
        <v>814.3</v>
      </c>
      <c r="O62" s="64">
        <v>0</v>
      </c>
      <c r="P62" s="64">
        <v>0.68</v>
      </c>
      <c r="Q62" s="64">
        <v>9.07</v>
      </c>
      <c r="S62" s="198"/>
      <c r="T62" s="198"/>
      <c r="U62" s="198"/>
    </row>
    <row r="63" spans="1:21" s="12" customFormat="1" x14ac:dyDescent="0.25">
      <c r="A63" s="247" t="s">
        <v>2410</v>
      </c>
      <c r="B63" s="64">
        <v>4.87</v>
      </c>
      <c r="C63" s="64">
        <v>53.93</v>
      </c>
      <c r="D63" s="64">
        <v>58.79</v>
      </c>
      <c r="E63" s="64">
        <v>3.46</v>
      </c>
      <c r="F63" s="64">
        <v>17.29</v>
      </c>
      <c r="G63" s="64">
        <v>46.3</v>
      </c>
      <c r="H63" s="64">
        <v>16.98</v>
      </c>
      <c r="I63" s="64">
        <v>4</v>
      </c>
      <c r="J63" s="64">
        <v>0.93</v>
      </c>
      <c r="K63" s="64">
        <v>302.62</v>
      </c>
      <c r="L63" s="64">
        <v>31.77</v>
      </c>
      <c r="M63" s="64">
        <v>38.729999999999997</v>
      </c>
      <c r="N63" s="64">
        <v>676</v>
      </c>
      <c r="O63" s="64">
        <v>0</v>
      </c>
      <c r="P63" s="64">
        <v>0.65</v>
      </c>
      <c r="Q63" s="64">
        <v>9.07</v>
      </c>
      <c r="S63" s="198"/>
      <c r="T63" s="198"/>
      <c r="U63" s="198"/>
    </row>
    <row r="64" spans="1:21" s="12" customFormat="1" x14ac:dyDescent="0.25">
      <c r="A64" s="247" t="s">
        <v>2411</v>
      </c>
      <c r="B64" s="64">
        <v>5.48</v>
      </c>
      <c r="C64" s="64">
        <v>49.74</v>
      </c>
      <c r="D64" s="64">
        <v>55.22</v>
      </c>
      <c r="E64" s="64">
        <v>3.64</v>
      </c>
      <c r="F64" s="64">
        <v>14.34</v>
      </c>
      <c r="G64" s="64">
        <v>46.05</v>
      </c>
      <c r="H64" s="64">
        <v>17.260000000000002</v>
      </c>
      <c r="I64" s="64">
        <v>3.93</v>
      </c>
      <c r="J64" s="64">
        <v>0.36</v>
      </c>
      <c r="K64" s="64">
        <v>253.93</v>
      </c>
      <c r="L64" s="64">
        <v>31.89</v>
      </c>
      <c r="M64" s="64">
        <v>37.86</v>
      </c>
      <c r="N64" s="64">
        <v>651.4</v>
      </c>
      <c r="O64" s="64">
        <v>0</v>
      </c>
      <c r="P64" s="64">
        <v>0.65</v>
      </c>
      <c r="Q64" s="64">
        <v>9.06</v>
      </c>
      <c r="S64" s="198"/>
      <c r="T64" s="198"/>
      <c r="U64" s="198"/>
    </row>
    <row r="65" spans="1:21" s="12" customFormat="1" x14ac:dyDescent="0.25">
      <c r="A65" s="247" t="s">
        <v>2412</v>
      </c>
      <c r="B65" s="64">
        <v>4.6399999999999997</v>
      </c>
      <c r="C65" s="64">
        <v>52.45</v>
      </c>
      <c r="D65" s="64">
        <v>57.09</v>
      </c>
      <c r="E65" s="64">
        <v>3.91</v>
      </c>
      <c r="F65" s="64">
        <v>21.48</v>
      </c>
      <c r="G65" s="64">
        <v>46.05</v>
      </c>
      <c r="H65" s="64">
        <v>17.260000000000002</v>
      </c>
      <c r="I65" s="64">
        <v>3.91</v>
      </c>
      <c r="J65" s="64">
        <v>0.88</v>
      </c>
      <c r="K65" s="64">
        <v>184.39</v>
      </c>
      <c r="L65" s="64">
        <v>29.45</v>
      </c>
      <c r="M65" s="64">
        <v>41.92</v>
      </c>
      <c r="N65" s="64">
        <v>662.6</v>
      </c>
      <c r="O65" s="64">
        <v>0</v>
      </c>
      <c r="P65" s="64">
        <v>0.62</v>
      </c>
      <c r="Q65" s="64">
        <v>9.0500000000000007</v>
      </c>
      <c r="S65" s="198"/>
      <c r="T65" s="198"/>
      <c r="U65" s="198"/>
    </row>
    <row r="66" spans="1:21" s="12" customFormat="1" x14ac:dyDescent="0.25">
      <c r="A66" s="247" t="s">
        <v>2413</v>
      </c>
      <c r="B66" s="64">
        <v>3.44</v>
      </c>
      <c r="C66" s="64">
        <v>43</v>
      </c>
      <c r="D66" s="64">
        <v>46.44</v>
      </c>
      <c r="E66" s="64">
        <v>5.29</v>
      </c>
      <c r="F66" s="64">
        <v>38.64</v>
      </c>
      <c r="G66" s="64">
        <v>46.05</v>
      </c>
      <c r="H66" s="64">
        <v>17.260000000000002</v>
      </c>
      <c r="I66" s="64">
        <v>3.96</v>
      </c>
      <c r="J66" s="64">
        <v>0.44</v>
      </c>
      <c r="K66" s="64">
        <v>152.05000000000001</v>
      </c>
      <c r="L66" s="64">
        <v>29.06</v>
      </c>
      <c r="M66" s="64">
        <v>41.75</v>
      </c>
      <c r="N66" s="64">
        <v>665.7</v>
      </c>
      <c r="O66" s="64">
        <v>0</v>
      </c>
      <c r="P66" s="64">
        <v>0.5</v>
      </c>
      <c r="Q66" s="64">
        <v>9.02</v>
      </c>
      <c r="S66" s="198"/>
      <c r="T66" s="198"/>
      <c r="U66" s="198"/>
    </row>
    <row r="67" spans="1:21" s="12" customFormat="1" x14ac:dyDescent="0.25">
      <c r="A67" s="247" t="s">
        <v>2414</v>
      </c>
      <c r="B67" s="64">
        <v>5.29</v>
      </c>
      <c r="C67" s="64">
        <v>52.65</v>
      </c>
      <c r="D67" s="64">
        <v>57.95</v>
      </c>
      <c r="E67" s="64">
        <v>5.89</v>
      </c>
      <c r="F67" s="64">
        <v>34.1</v>
      </c>
      <c r="G67" s="64">
        <v>43.8</v>
      </c>
      <c r="H67" s="64">
        <v>15.88</v>
      </c>
      <c r="I67" s="64">
        <v>4.01</v>
      </c>
      <c r="J67" s="64">
        <v>0.37</v>
      </c>
      <c r="K67" s="64">
        <v>118.74</v>
      </c>
      <c r="L67" s="64">
        <v>29.66</v>
      </c>
      <c r="M67" s="64">
        <v>40.94</v>
      </c>
      <c r="N67" s="64">
        <v>485.1</v>
      </c>
      <c r="O67" s="64">
        <v>0</v>
      </c>
      <c r="P67" s="64">
        <v>0.6</v>
      </c>
      <c r="Q67" s="64">
        <v>9.01</v>
      </c>
      <c r="S67" s="198"/>
      <c r="T67" s="198"/>
      <c r="U67" s="198"/>
    </row>
    <row r="68" spans="1:21" s="12" customFormat="1" x14ac:dyDescent="0.25">
      <c r="A68" s="247" t="s">
        <v>2415</v>
      </c>
      <c r="B68" s="64">
        <v>5.1100000000000003</v>
      </c>
      <c r="C68" s="64">
        <v>47.94</v>
      </c>
      <c r="D68" s="64">
        <v>53.05</v>
      </c>
      <c r="E68" s="64">
        <v>4.8899999999999997</v>
      </c>
      <c r="F68" s="64">
        <v>24.5</v>
      </c>
      <c r="G68" s="64">
        <v>42.55</v>
      </c>
      <c r="H68" s="64">
        <v>15.07</v>
      </c>
      <c r="I68" s="64">
        <v>4.0199999999999996</v>
      </c>
      <c r="J68" s="64">
        <v>0.37</v>
      </c>
      <c r="K68" s="64">
        <v>239.25</v>
      </c>
      <c r="L68" s="64">
        <v>29.55</v>
      </c>
      <c r="M68" s="64">
        <v>40.82</v>
      </c>
      <c r="N68" s="64">
        <v>356.3</v>
      </c>
      <c r="O68" s="64">
        <v>0</v>
      </c>
      <c r="P68" s="64">
        <v>0.57999999999999996</v>
      </c>
      <c r="Q68" s="64">
        <v>9.01</v>
      </c>
      <c r="S68" s="198"/>
      <c r="T68" s="198"/>
      <c r="U68" s="198"/>
    </row>
    <row r="69" spans="1:21" s="12" customFormat="1" x14ac:dyDescent="0.25">
      <c r="A69" s="247" t="s">
        <v>2416</v>
      </c>
      <c r="B69" s="64">
        <v>3.9</v>
      </c>
      <c r="C69" s="64">
        <v>45.99</v>
      </c>
      <c r="D69" s="64">
        <v>49.9</v>
      </c>
      <c r="E69" s="64">
        <v>4.41</v>
      </c>
      <c r="F69" s="64">
        <v>25.52</v>
      </c>
      <c r="G69" s="64">
        <v>42.55</v>
      </c>
      <c r="H69" s="64">
        <v>15.07</v>
      </c>
      <c r="I69" s="64">
        <v>4.05</v>
      </c>
      <c r="J69" s="64">
        <v>1.43</v>
      </c>
      <c r="K69" s="64">
        <v>156.27000000000001</v>
      </c>
      <c r="L69" s="64">
        <v>28.91</v>
      </c>
      <c r="M69" s="64">
        <v>40.22</v>
      </c>
      <c r="N69" s="64">
        <v>328.9</v>
      </c>
      <c r="O69" s="64">
        <v>0</v>
      </c>
      <c r="P69" s="64">
        <v>0.55000000000000004</v>
      </c>
      <c r="Q69" s="64">
        <v>9.01</v>
      </c>
      <c r="S69" s="198"/>
      <c r="T69" s="198"/>
      <c r="U69" s="198"/>
    </row>
    <row r="70" spans="1:21" s="12" customFormat="1" x14ac:dyDescent="0.25">
      <c r="A70" s="247" t="s">
        <v>2417</v>
      </c>
      <c r="B70" s="64">
        <v>5.1100000000000003</v>
      </c>
      <c r="C70" s="64">
        <v>51.63</v>
      </c>
      <c r="D70" s="64">
        <v>56.74</v>
      </c>
      <c r="E70" s="64">
        <v>5.29</v>
      </c>
      <c r="F70" s="64">
        <v>27.73</v>
      </c>
      <c r="G70" s="64">
        <v>42.55</v>
      </c>
      <c r="H70" s="64">
        <v>15.07</v>
      </c>
      <c r="I70" s="64">
        <v>4</v>
      </c>
      <c r="J70" s="64">
        <v>1.05</v>
      </c>
      <c r="K70" s="64">
        <v>319.01</v>
      </c>
      <c r="L70" s="64">
        <v>29.89</v>
      </c>
      <c r="M70" s="64">
        <v>40.96</v>
      </c>
      <c r="N70" s="64">
        <v>378.6</v>
      </c>
      <c r="O70" s="64">
        <v>0</v>
      </c>
      <c r="P70" s="64">
        <v>0.54</v>
      </c>
      <c r="Q70" s="64">
        <v>8.98</v>
      </c>
      <c r="S70" s="198"/>
      <c r="T70" s="198"/>
      <c r="U70" s="198"/>
    </row>
    <row r="71" spans="1:21" s="12" customFormat="1" x14ac:dyDescent="0.25">
      <c r="A71" s="247" t="s">
        <v>2418</v>
      </c>
      <c r="B71" s="64">
        <v>5.12</v>
      </c>
      <c r="C71" s="64">
        <v>49.62</v>
      </c>
      <c r="D71" s="64">
        <v>54.74</v>
      </c>
      <c r="E71" s="64">
        <v>5.78</v>
      </c>
      <c r="F71" s="64">
        <v>29.8</v>
      </c>
      <c r="G71" s="64">
        <v>41.83</v>
      </c>
      <c r="H71" s="64">
        <v>16.260000000000002</v>
      </c>
      <c r="I71" s="64">
        <v>3.97</v>
      </c>
      <c r="J71" s="64">
        <v>0.46</v>
      </c>
      <c r="K71" s="64">
        <v>193.24</v>
      </c>
      <c r="L71" s="64">
        <v>29.81</v>
      </c>
      <c r="M71" s="64">
        <v>39.03</v>
      </c>
      <c r="N71" s="64">
        <v>239</v>
      </c>
      <c r="O71" s="64">
        <v>0</v>
      </c>
      <c r="P71" s="64">
        <v>0.54</v>
      </c>
      <c r="Q71" s="64">
        <v>8.9600000000000009</v>
      </c>
      <c r="S71" s="198"/>
      <c r="T71" s="198"/>
      <c r="U71" s="198"/>
    </row>
    <row r="72" spans="1:21" s="12" customFormat="1" x14ac:dyDescent="0.25">
      <c r="A72" s="247" t="s">
        <v>2419</v>
      </c>
      <c r="B72" s="64">
        <v>3.31</v>
      </c>
      <c r="C72" s="64">
        <v>46.15</v>
      </c>
      <c r="D72" s="64">
        <v>49.46</v>
      </c>
      <c r="E72" s="64">
        <v>3.64</v>
      </c>
      <c r="F72" s="64">
        <v>24.45</v>
      </c>
      <c r="G72" s="64">
        <v>41.43</v>
      </c>
      <c r="H72" s="64">
        <v>16.95</v>
      </c>
      <c r="I72" s="64">
        <v>3.97</v>
      </c>
      <c r="J72" s="64">
        <v>0.96</v>
      </c>
      <c r="K72" s="64">
        <v>179.33</v>
      </c>
      <c r="L72" s="64">
        <v>28.54</v>
      </c>
      <c r="M72" s="64">
        <v>39.24</v>
      </c>
      <c r="N72" s="64">
        <v>216.5</v>
      </c>
      <c r="O72" s="64">
        <v>0</v>
      </c>
      <c r="P72" s="64">
        <v>0.54</v>
      </c>
      <c r="Q72" s="64">
        <v>8.9499999999999993</v>
      </c>
      <c r="S72" s="198"/>
      <c r="T72" s="198"/>
      <c r="U72" s="198"/>
    </row>
    <row r="73" spans="1:21" s="12" customFormat="1" x14ac:dyDescent="0.25">
      <c r="A73" s="247" t="s">
        <v>2420</v>
      </c>
      <c r="B73" s="64">
        <v>4.51</v>
      </c>
      <c r="C73" s="64">
        <v>51.72</v>
      </c>
      <c r="D73" s="64">
        <v>56.23</v>
      </c>
      <c r="E73" s="64">
        <v>4.1900000000000004</v>
      </c>
      <c r="F73" s="64">
        <v>26.15</v>
      </c>
      <c r="G73" s="64">
        <v>41.43</v>
      </c>
      <c r="H73" s="64">
        <v>16.95</v>
      </c>
      <c r="I73" s="64">
        <v>3.97</v>
      </c>
      <c r="J73" s="64">
        <v>0.49</v>
      </c>
      <c r="K73" s="64">
        <v>300.11</v>
      </c>
      <c r="L73" s="64">
        <v>28.75</v>
      </c>
      <c r="M73" s="64">
        <v>38.020000000000003</v>
      </c>
      <c r="N73" s="64">
        <v>168.4</v>
      </c>
      <c r="O73" s="64">
        <v>0</v>
      </c>
      <c r="P73" s="64">
        <v>0.55000000000000004</v>
      </c>
      <c r="Q73" s="64">
        <v>8.93</v>
      </c>
      <c r="S73" s="198"/>
      <c r="T73" s="198"/>
      <c r="U73" s="198"/>
    </row>
    <row r="74" spans="1:21" s="12" customFormat="1" x14ac:dyDescent="0.25">
      <c r="A74" s="247" t="s">
        <v>2421</v>
      </c>
      <c r="B74" s="64">
        <v>6.02</v>
      </c>
      <c r="C74" s="64">
        <v>57.61</v>
      </c>
      <c r="D74" s="64">
        <v>63.63</v>
      </c>
      <c r="E74" s="64">
        <v>5.81</v>
      </c>
      <c r="F74" s="64">
        <v>35.76</v>
      </c>
      <c r="G74" s="64">
        <v>41.43</v>
      </c>
      <c r="H74" s="64">
        <v>16.95</v>
      </c>
      <c r="I74" s="64">
        <v>4.13</v>
      </c>
      <c r="J74" s="64">
        <v>0.35</v>
      </c>
      <c r="K74" s="64">
        <v>78.38</v>
      </c>
      <c r="L74" s="64">
        <v>28.73</v>
      </c>
      <c r="M74" s="64">
        <v>38.270000000000003</v>
      </c>
      <c r="N74" s="64">
        <v>180.8</v>
      </c>
      <c r="O74" s="64">
        <v>0</v>
      </c>
      <c r="P74" s="64">
        <v>0.59</v>
      </c>
      <c r="Q74" s="64">
        <v>8.9499999999999993</v>
      </c>
      <c r="S74" s="198"/>
      <c r="T74" s="198"/>
      <c r="U74" s="198"/>
    </row>
    <row r="75" spans="1:21" s="12" customFormat="1" x14ac:dyDescent="0.25">
      <c r="A75" s="247" t="s">
        <v>2422</v>
      </c>
      <c r="B75" s="64">
        <v>10.84</v>
      </c>
      <c r="C75" s="64">
        <v>60.55</v>
      </c>
      <c r="D75" s="64">
        <v>71.38</v>
      </c>
      <c r="E75" s="64">
        <v>6.99</v>
      </c>
      <c r="F75" s="64">
        <v>29.29</v>
      </c>
      <c r="G75" s="64">
        <v>40.07</v>
      </c>
      <c r="H75" s="64">
        <v>17.37</v>
      </c>
      <c r="I75" s="64">
        <v>4.0199999999999996</v>
      </c>
      <c r="J75" s="64">
        <v>1.34</v>
      </c>
      <c r="K75" s="64">
        <v>352.4</v>
      </c>
      <c r="L75" s="64">
        <v>29.07</v>
      </c>
      <c r="M75" s="64">
        <v>32.590000000000003</v>
      </c>
      <c r="N75" s="64">
        <v>168.3</v>
      </c>
      <c r="O75" s="64">
        <v>0</v>
      </c>
      <c r="P75" s="64">
        <v>0.6</v>
      </c>
      <c r="Q75" s="64">
        <v>8.9700000000000006</v>
      </c>
      <c r="S75" s="198"/>
      <c r="T75" s="198"/>
      <c r="U75" s="198"/>
    </row>
    <row r="76" spans="1:21" s="12" customFormat="1" x14ac:dyDescent="0.25">
      <c r="A76" s="247" t="s">
        <v>2423</v>
      </c>
      <c r="B76" s="64">
        <v>6.05</v>
      </c>
      <c r="C76" s="64">
        <v>57.53</v>
      </c>
      <c r="D76" s="64">
        <v>63.58</v>
      </c>
      <c r="E76" s="64">
        <v>9.2100000000000009</v>
      </c>
      <c r="F76" s="64">
        <v>32.22</v>
      </c>
      <c r="G76" s="64">
        <v>39.33</v>
      </c>
      <c r="H76" s="64">
        <v>17.600000000000001</v>
      </c>
      <c r="I76" s="64">
        <v>4.0999999999999996</v>
      </c>
      <c r="J76" s="64">
        <v>0.8</v>
      </c>
      <c r="K76" s="64">
        <v>68.260000000000005</v>
      </c>
      <c r="L76" s="64">
        <v>28.56</v>
      </c>
      <c r="M76" s="64">
        <v>31.17</v>
      </c>
      <c r="N76" s="64">
        <v>136.69999999999999</v>
      </c>
      <c r="O76" s="64">
        <v>0</v>
      </c>
      <c r="P76" s="64">
        <v>0.55000000000000004</v>
      </c>
      <c r="Q76" s="64">
        <v>8.98</v>
      </c>
      <c r="S76" s="198"/>
      <c r="T76" s="198"/>
      <c r="U76" s="198"/>
    </row>
    <row r="77" spans="1:21" s="12" customFormat="1" x14ac:dyDescent="0.25">
      <c r="A77" s="247" t="s">
        <v>2424</v>
      </c>
      <c r="B77" s="64">
        <v>3.64</v>
      </c>
      <c r="C77" s="64">
        <v>46.16</v>
      </c>
      <c r="D77" s="64">
        <v>49.8</v>
      </c>
      <c r="E77" s="64">
        <v>9.36</v>
      </c>
      <c r="F77" s="64">
        <v>34.380000000000003</v>
      </c>
      <c r="G77" s="64">
        <v>39.33</v>
      </c>
      <c r="H77" s="64">
        <v>17.600000000000001</v>
      </c>
      <c r="I77" s="64">
        <v>4</v>
      </c>
      <c r="J77" s="64">
        <v>1.46</v>
      </c>
      <c r="K77" s="64">
        <v>100.54</v>
      </c>
      <c r="L77" s="64">
        <v>27.75</v>
      </c>
      <c r="M77" s="64">
        <v>32.08</v>
      </c>
      <c r="N77" s="64">
        <v>119.7</v>
      </c>
      <c r="O77" s="64">
        <v>0</v>
      </c>
      <c r="P77" s="64">
        <v>0.44</v>
      </c>
      <c r="Q77" s="64">
        <v>9</v>
      </c>
      <c r="S77" s="198"/>
      <c r="T77" s="198"/>
      <c r="U77" s="198"/>
    </row>
    <row r="78" spans="1:21" s="12" customFormat="1" x14ac:dyDescent="0.25">
      <c r="A78" s="247" t="s">
        <v>2425</v>
      </c>
      <c r="B78" s="64">
        <v>2.98</v>
      </c>
      <c r="C78" s="64">
        <v>41.31</v>
      </c>
      <c r="D78" s="64">
        <v>44.28</v>
      </c>
      <c r="E78" s="64">
        <v>8.65</v>
      </c>
      <c r="F78" s="64">
        <v>36.79</v>
      </c>
      <c r="G78" s="64">
        <v>39.33</v>
      </c>
      <c r="H78" s="64">
        <v>17.600000000000001</v>
      </c>
      <c r="I78" s="64">
        <v>3.98</v>
      </c>
      <c r="J78" s="64">
        <v>1.3</v>
      </c>
      <c r="K78" s="64">
        <v>98.84</v>
      </c>
      <c r="L78" s="64">
        <v>27.44</v>
      </c>
      <c r="M78" s="64">
        <v>32.700000000000003</v>
      </c>
      <c r="N78" s="64">
        <v>100.4</v>
      </c>
      <c r="O78" s="64">
        <v>0</v>
      </c>
      <c r="P78" s="64">
        <v>0.42</v>
      </c>
      <c r="Q78" s="64">
        <v>9</v>
      </c>
      <c r="S78" s="198"/>
      <c r="T78" s="198"/>
      <c r="U78" s="198"/>
    </row>
    <row r="79" spans="1:21" s="12" customFormat="1" x14ac:dyDescent="0.25">
      <c r="A79" s="247" t="s">
        <v>2426</v>
      </c>
      <c r="B79" s="64">
        <v>5.33</v>
      </c>
      <c r="C79" s="64">
        <v>54.28</v>
      </c>
      <c r="D79" s="64">
        <v>59.61</v>
      </c>
      <c r="E79" s="64">
        <v>11.2</v>
      </c>
      <c r="F79" s="64">
        <v>42.23</v>
      </c>
      <c r="G79" s="64">
        <v>40.82</v>
      </c>
      <c r="H79" s="64">
        <v>16.649999999999999</v>
      </c>
      <c r="I79" s="64">
        <v>3.95</v>
      </c>
      <c r="J79" s="64">
        <v>0.63</v>
      </c>
      <c r="K79" s="64">
        <v>71.709999999999994</v>
      </c>
      <c r="L79" s="64">
        <v>27.31</v>
      </c>
      <c r="M79" s="64">
        <v>33.119999999999997</v>
      </c>
      <c r="N79" s="64">
        <v>85.8</v>
      </c>
      <c r="O79" s="64">
        <v>0</v>
      </c>
      <c r="P79" s="64">
        <v>0.56999999999999995</v>
      </c>
      <c r="Q79" s="64">
        <v>8.99</v>
      </c>
      <c r="S79" s="198"/>
      <c r="T79" s="198"/>
      <c r="U79" s="198"/>
    </row>
    <row r="80" spans="1:21" s="12" customFormat="1" x14ac:dyDescent="0.25">
      <c r="A80" s="247" t="s">
        <v>2427</v>
      </c>
      <c r="B80" s="64">
        <v>2.87</v>
      </c>
      <c r="C80" s="64">
        <v>42.85</v>
      </c>
      <c r="D80" s="64">
        <v>45.73</v>
      </c>
      <c r="E80" s="64">
        <v>10.15</v>
      </c>
      <c r="F80" s="64">
        <v>36.21</v>
      </c>
      <c r="G80" s="64">
        <v>41.65</v>
      </c>
      <c r="H80" s="64">
        <v>16.100000000000001</v>
      </c>
      <c r="I80" s="64">
        <v>3.99</v>
      </c>
      <c r="J80" s="64">
        <v>1.19</v>
      </c>
      <c r="K80" s="64">
        <v>84.9</v>
      </c>
      <c r="L80" s="64">
        <v>27.04</v>
      </c>
      <c r="M80" s="64">
        <v>32.36</v>
      </c>
      <c r="N80" s="64">
        <v>72.8</v>
      </c>
      <c r="O80" s="64">
        <v>0</v>
      </c>
      <c r="P80" s="64">
        <v>0.45</v>
      </c>
      <c r="Q80" s="64">
        <v>8.99</v>
      </c>
      <c r="S80" s="198"/>
      <c r="T80" s="198"/>
      <c r="U80" s="198"/>
    </row>
    <row r="81" spans="1:26" s="12" customFormat="1" x14ac:dyDescent="0.25">
      <c r="A81" s="247" t="s">
        <v>2428</v>
      </c>
      <c r="B81" s="64">
        <v>12.81</v>
      </c>
      <c r="C81" s="64">
        <v>83.36</v>
      </c>
      <c r="D81" s="64">
        <v>96.17</v>
      </c>
      <c r="E81" s="64">
        <v>10.33</v>
      </c>
      <c r="F81" s="64">
        <v>27.37</v>
      </c>
      <c r="G81" s="64">
        <v>41.65</v>
      </c>
      <c r="H81" s="64">
        <v>16.100000000000001</v>
      </c>
      <c r="I81" s="64">
        <v>4.01</v>
      </c>
      <c r="J81" s="64">
        <v>0.43</v>
      </c>
      <c r="K81" s="64">
        <v>87.53</v>
      </c>
      <c r="L81" s="64">
        <v>26.86</v>
      </c>
      <c r="M81" s="64">
        <v>33.54</v>
      </c>
      <c r="N81" s="64">
        <v>64.8</v>
      </c>
      <c r="O81" s="64">
        <v>0</v>
      </c>
      <c r="P81" s="64">
        <v>0.71</v>
      </c>
      <c r="Q81" s="64">
        <v>9</v>
      </c>
      <c r="S81" s="198"/>
      <c r="T81" s="198"/>
      <c r="U81" s="198"/>
    </row>
    <row r="82" spans="1:26" s="12" customFormat="1" x14ac:dyDescent="0.25">
      <c r="A82" s="247" t="s">
        <v>2429</v>
      </c>
      <c r="B82" s="64">
        <v>4.3499999999999996</v>
      </c>
      <c r="C82" s="64">
        <v>78.010000000000005</v>
      </c>
      <c r="D82" s="64">
        <v>82.36</v>
      </c>
      <c r="E82" s="64">
        <v>10.48</v>
      </c>
      <c r="F82" s="64">
        <v>29.81</v>
      </c>
      <c r="G82" s="64">
        <v>41.65</v>
      </c>
      <c r="H82" s="64">
        <v>16.100000000000001</v>
      </c>
      <c r="I82" s="64">
        <v>4.0999999999999996</v>
      </c>
      <c r="J82" s="64">
        <v>0.59</v>
      </c>
      <c r="K82" s="64">
        <v>94.22</v>
      </c>
      <c r="L82" s="64">
        <v>26.6</v>
      </c>
      <c r="M82" s="64">
        <v>33.979999999999997</v>
      </c>
      <c r="N82" s="64">
        <v>61.6</v>
      </c>
      <c r="O82" s="64">
        <v>0</v>
      </c>
      <c r="P82" s="64">
        <v>0.59</v>
      </c>
      <c r="Q82" s="64">
        <v>9.01</v>
      </c>
      <c r="S82" s="198"/>
      <c r="T82" s="198"/>
      <c r="U82" s="198"/>
    </row>
    <row r="83" spans="1:26" s="12" customFormat="1" x14ac:dyDescent="0.25">
      <c r="A83" s="247" t="s">
        <v>2430</v>
      </c>
      <c r="B83" s="64">
        <v>61.96</v>
      </c>
      <c r="C83" s="64">
        <v>130.11000000000001</v>
      </c>
      <c r="D83" s="64">
        <v>192.08</v>
      </c>
      <c r="E83" s="64">
        <v>9.14</v>
      </c>
      <c r="F83" s="64">
        <v>11.57</v>
      </c>
      <c r="G83" s="64">
        <v>42.33</v>
      </c>
      <c r="H83" s="64">
        <v>13.69</v>
      </c>
      <c r="I83" s="64">
        <v>4.12</v>
      </c>
      <c r="J83" s="64">
        <v>0.7</v>
      </c>
      <c r="K83" s="64">
        <v>344.44</v>
      </c>
      <c r="L83" s="64">
        <v>25.73</v>
      </c>
      <c r="M83" s="64">
        <v>42.01</v>
      </c>
      <c r="N83" s="64">
        <v>62.2</v>
      </c>
      <c r="O83" s="64">
        <v>0</v>
      </c>
      <c r="P83" s="64">
        <v>2.42</v>
      </c>
      <c r="Q83" s="64">
        <v>9.0299999999999994</v>
      </c>
      <c r="S83" s="198"/>
      <c r="T83" s="198"/>
      <c r="U83" s="198"/>
    </row>
    <row r="84" spans="1:26" s="12" customFormat="1" x14ac:dyDescent="0.25">
      <c r="A84" s="247" t="s">
        <v>2431</v>
      </c>
      <c r="B84" s="64">
        <v>43.35</v>
      </c>
      <c r="C84" s="64">
        <v>123.72</v>
      </c>
      <c r="D84" s="64">
        <v>167.06</v>
      </c>
      <c r="E84" s="64">
        <v>8.5500000000000007</v>
      </c>
      <c r="F84" s="64">
        <v>12.69</v>
      </c>
      <c r="G84" s="64">
        <v>42.7</v>
      </c>
      <c r="H84" s="64">
        <v>12.29</v>
      </c>
      <c r="I84" s="64">
        <v>3.93</v>
      </c>
      <c r="J84" s="64">
        <v>0.24</v>
      </c>
      <c r="K84" s="64">
        <v>44.45</v>
      </c>
      <c r="L84" s="64">
        <v>24.86</v>
      </c>
      <c r="M84" s="64">
        <v>42.97</v>
      </c>
      <c r="N84" s="64">
        <v>61.8</v>
      </c>
      <c r="O84" s="64">
        <v>0</v>
      </c>
      <c r="P84" s="64">
        <v>1.84</v>
      </c>
      <c r="Q84" s="64">
        <v>9.1</v>
      </c>
      <c r="S84" s="198"/>
      <c r="T84" s="198"/>
      <c r="U84" s="198"/>
    </row>
    <row r="85" spans="1:26" s="12" customFormat="1" x14ac:dyDescent="0.25">
      <c r="A85" s="247" t="s">
        <v>2432</v>
      </c>
      <c r="B85" s="64">
        <v>13.32</v>
      </c>
      <c r="C85" s="64">
        <v>120.98</v>
      </c>
      <c r="D85" s="64">
        <v>134.30000000000001</v>
      </c>
      <c r="E85" s="64">
        <v>8.0399999999999991</v>
      </c>
      <c r="F85" s="64">
        <v>13.15</v>
      </c>
      <c r="G85" s="64">
        <v>42.7</v>
      </c>
      <c r="H85" s="64">
        <v>12.29</v>
      </c>
      <c r="I85" s="64">
        <v>4.1500000000000004</v>
      </c>
      <c r="J85" s="64">
        <v>0.25</v>
      </c>
      <c r="K85" s="64">
        <v>185.68</v>
      </c>
      <c r="L85" s="64">
        <v>24.44</v>
      </c>
      <c r="M85" s="64">
        <v>44.45</v>
      </c>
      <c r="N85" s="64">
        <v>61.4</v>
      </c>
      <c r="O85" s="64">
        <v>0</v>
      </c>
      <c r="P85" s="64">
        <v>1.1599999999999999</v>
      </c>
      <c r="Q85" s="64">
        <v>9.2100000000000009</v>
      </c>
      <c r="S85" s="198"/>
      <c r="T85" s="198"/>
      <c r="U85" s="198"/>
    </row>
    <row r="86" spans="1:26" s="12" customFormat="1" x14ac:dyDescent="0.25">
      <c r="A86" s="247" t="s">
        <v>2433</v>
      </c>
      <c r="B86" s="64">
        <v>27.56</v>
      </c>
      <c r="C86" s="64">
        <v>128.5</v>
      </c>
      <c r="D86" s="64">
        <v>156.06</v>
      </c>
      <c r="E86" s="64">
        <v>7.36</v>
      </c>
      <c r="F86" s="64">
        <v>10.96</v>
      </c>
      <c r="G86" s="64">
        <v>42.7</v>
      </c>
      <c r="H86" s="64">
        <v>12.29</v>
      </c>
      <c r="I86" s="64">
        <v>3.94</v>
      </c>
      <c r="J86" s="64">
        <v>0.56000000000000005</v>
      </c>
      <c r="K86" s="64">
        <v>178.54</v>
      </c>
      <c r="L86" s="64">
        <v>24.87</v>
      </c>
      <c r="M86" s="64">
        <v>39.49</v>
      </c>
      <c r="N86" s="64">
        <v>60.3</v>
      </c>
      <c r="O86" s="64">
        <v>0</v>
      </c>
      <c r="P86" s="64">
        <v>1</v>
      </c>
      <c r="Q86" s="64">
        <v>9.27</v>
      </c>
      <c r="S86" s="198"/>
      <c r="T86" s="198"/>
      <c r="U86" s="198"/>
    </row>
    <row r="87" spans="1:26" s="12" customFormat="1" x14ac:dyDescent="0.25">
      <c r="A87" s="247" t="s">
        <v>2434</v>
      </c>
      <c r="B87" s="64">
        <v>8.2899999999999991</v>
      </c>
      <c r="C87" s="64">
        <v>84.58</v>
      </c>
      <c r="D87" s="64">
        <v>92.87</v>
      </c>
      <c r="E87" s="64">
        <v>6.39</v>
      </c>
      <c r="F87" s="64">
        <v>21.69</v>
      </c>
      <c r="G87" s="64">
        <v>51.12</v>
      </c>
      <c r="H87" s="64">
        <v>14.72</v>
      </c>
      <c r="I87" s="64">
        <v>3.95</v>
      </c>
      <c r="J87" s="64">
        <v>0.46</v>
      </c>
      <c r="K87" s="64">
        <v>116.79</v>
      </c>
      <c r="L87" s="64">
        <v>25.22</v>
      </c>
      <c r="M87" s="64">
        <v>41.18</v>
      </c>
      <c r="N87" s="64">
        <v>60.7</v>
      </c>
      <c r="O87" s="64">
        <v>0</v>
      </c>
      <c r="P87" s="64">
        <v>0.9</v>
      </c>
      <c r="Q87" s="64">
        <v>9.32</v>
      </c>
      <c r="S87" s="198"/>
      <c r="T87" s="198"/>
      <c r="U87" s="198"/>
    </row>
    <row r="88" spans="1:26" s="12" customFormat="1" x14ac:dyDescent="0.25">
      <c r="A88" s="247" t="s">
        <v>2435</v>
      </c>
      <c r="B88" s="64">
        <v>8.11</v>
      </c>
      <c r="C88" s="64">
        <v>74.2</v>
      </c>
      <c r="D88" s="64">
        <v>82.32</v>
      </c>
      <c r="E88" s="64">
        <v>4.82</v>
      </c>
      <c r="F88" s="64">
        <v>14.67</v>
      </c>
      <c r="G88" s="64">
        <v>55.77</v>
      </c>
      <c r="H88" s="64">
        <v>16.13</v>
      </c>
      <c r="I88" s="64">
        <v>4.07</v>
      </c>
      <c r="J88" s="64">
        <v>0.63</v>
      </c>
      <c r="K88" s="64">
        <v>184.24</v>
      </c>
      <c r="L88" s="64">
        <v>24.82</v>
      </c>
      <c r="M88" s="64">
        <v>47.57</v>
      </c>
      <c r="N88" s="64">
        <v>61.2</v>
      </c>
      <c r="O88" s="64">
        <v>0</v>
      </c>
      <c r="P88" s="64">
        <v>0.84</v>
      </c>
      <c r="Q88" s="64">
        <v>9.32</v>
      </c>
      <c r="S88" s="198"/>
      <c r="T88" s="198"/>
      <c r="U88" s="198"/>
    </row>
    <row r="89" spans="1:26" s="12" customFormat="1" x14ac:dyDescent="0.25">
      <c r="A89" s="247" t="s">
        <v>2436</v>
      </c>
      <c r="B89" s="64">
        <v>9.14</v>
      </c>
      <c r="C89" s="64">
        <v>79.55</v>
      </c>
      <c r="D89" s="64">
        <v>88.69</v>
      </c>
      <c r="E89" s="64">
        <v>4.05</v>
      </c>
      <c r="F89" s="64">
        <v>14.9</v>
      </c>
      <c r="G89" s="64">
        <v>55.77</v>
      </c>
      <c r="H89" s="64">
        <v>16.13</v>
      </c>
      <c r="I89" s="64">
        <v>4.0599999999999996</v>
      </c>
      <c r="J89" s="64">
        <v>1.1200000000000001</v>
      </c>
      <c r="K89" s="64">
        <v>162.44</v>
      </c>
      <c r="L89" s="64">
        <v>24.48</v>
      </c>
      <c r="M89" s="64">
        <v>52.93</v>
      </c>
      <c r="N89" s="64">
        <v>61.2</v>
      </c>
      <c r="O89" s="64">
        <v>0</v>
      </c>
      <c r="P89" s="64">
        <v>0.84</v>
      </c>
      <c r="Q89" s="64">
        <v>9.2899999999999991</v>
      </c>
      <c r="S89" s="198"/>
      <c r="T89" s="198"/>
      <c r="U89" s="198"/>
    </row>
    <row r="90" spans="1:26" s="12" customFormat="1" x14ac:dyDescent="0.25">
      <c r="A90" s="247" t="s">
        <v>2437</v>
      </c>
      <c r="B90" s="64">
        <v>10.08</v>
      </c>
      <c r="C90" s="64">
        <v>81.42</v>
      </c>
      <c r="D90" s="64">
        <v>91.5</v>
      </c>
      <c r="E90" s="64">
        <v>3.55</v>
      </c>
      <c r="F90" s="64">
        <v>11.99</v>
      </c>
      <c r="G90" s="64">
        <v>55.77</v>
      </c>
      <c r="H90" s="64">
        <v>16.13</v>
      </c>
      <c r="I90" s="64">
        <v>3.98</v>
      </c>
      <c r="J90" s="64">
        <v>1.0900000000000001</v>
      </c>
      <c r="K90" s="64">
        <v>171.53</v>
      </c>
      <c r="L90" s="64">
        <v>24.15</v>
      </c>
      <c r="M90" s="64">
        <v>57.69</v>
      </c>
      <c r="N90" s="64">
        <v>61.3</v>
      </c>
      <c r="O90" s="64">
        <v>0</v>
      </c>
      <c r="P90" s="64">
        <v>0.86</v>
      </c>
      <c r="Q90" s="64">
        <v>9.27</v>
      </c>
      <c r="S90" s="198"/>
      <c r="T90" s="198"/>
      <c r="U90" s="198"/>
    </row>
    <row r="91" spans="1:26" s="12" customFormat="1" x14ac:dyDescent="0.25">
      <c r="A91" s="247" t="s">
        <v>2438</v>
      </c>
      <c r="B91" s="64">
        <v>12.06</v>
      </c>
      <c r="C91" s="64">
        <v>82.98</v>
      </c>
      <c r="D91" s="64">
        <v>95.04</v>
      </c>
      <c r="E91" s="64">
        <v>3.69</v>
      </c>
      <c r="F91" s="64">
        <v>14.92</v>
      </c>
      <c r="G91" s="64">
        <v>57.72</v>
      </c>
      <c r="H91" s="64">
        <v>12.55</v>
      </c>
      <c r="I91" s="64">
        <v>4.18</v>
      </c>
      <c r="J91" s="64">
        <v>0.88</v>
      </c>
      <c r="K91" s="64">
        <v>184.74</v>
      </c>
      <c r="L91" s="64">
        <v>23.86</v>
      </c>
      <c r="M91" s="64">
        <v>60.3</v>
      </c>
      <c r="N91" s="64">
        <v>61.4</v>
      </c>
      <c r="O91" s="64">
        <v>0</v>
      </c>
      <c r="P91" s="64">
        <v>0.79</v>
      </c>
      <c r="Q91" s="64">
        <v>9.2899999999999991</v>
      </c>
      <c r="S91" s="198"/>
      <c r="T91" s="198"/>
      <c r="U91" s="198"/>
    </row>
    <row r="92" spans="1:26" s="12" customFormat="1" x14ac:dyDescent="0.25">
      <c r="A92" s="247" t="s">
        <v>2439</v>
      </c>
      <c r="B92" s="64">
        <v>9.83</v>
      </c>
      <c r="C92" s="64">
        <v>76.37</v>
      </c>
      <c r="D92" s="64">
        <v>86.2</v>
      </c>
      <c r="E92" s="64">
        <v>3.15</v>
      </c>
      <c r="F92" s="64">
        <v>10.94</v>
      </c>
      <c r="G92" s="64">
        <v>58.8</v>
      </c>
      <c r="H92" s="64">
        <v>10.48</v>
      </c>
      <c r="I92" s="64">
        <v>3.97</v>
      </c>
      <c r="J92" s="64">
        <v>1.25</v>
      </c>
      <c r="K92" s="64">
        <v>166.09</v>
      </c>
      <c r="L92" s="64">
        <v>23.63</v>
      </c>
      <c r="M92" s="64">
        <v>62.85</v>
      </c>
      <c r="N92" s="64">
        <v>61.1</v>
      </c>
      <c r="O92" s="64">
        <v>0</v>
      </c>
      <c r="P92" s="64">
        <v>0.8</v>
      </c>
      <c r="Q92" s="64">
        <v>9.33</v>
      </c>
      <c r="S92" s="198"/>
      <c r="T92" s="198"/>
      <c r="U92" s="198"/>
    </row>
    <row r="93" spans="1:26" s="12" customFormat="1" x14ac:dyDescent="0.25">
      <c r="A93" s="247" t="s">
        <v>2440</v>
      </c>
      <c r="B93" s="64">
        <v>9.17</v>
      </c>
      <c r="C93" s="64">
        <v>69.53</v>
      </c>
      <c r="D93" s="64">
        <v>78.7</v>
      </c>
      <c r="E93" s="64">
        <v>2.59</v>
      </c>
      <c r="F93" s="64">
        <v>10.86</v>
      </c>
      <c r="G93" s="64">
        <v>58.8</v>
      </c>
      <c r="H93" s="64">
        <v>10.48</v>
      </c>
      <c r="I93" s="64">
        <v>3.98</v>
      </c>
      <c r="J93" s="64">
        <v>1.1100000000000001</v>
      </c>
      <c r="K93" s="64">
        <v>174.97</v>
      </c>
      <c r="L93" s="64">
        <v>23.33</v>
      </c>
      <c r="M93" s="64">
        <v>65.03</v>
      </c>
      <c r="N93" s="64">
        <v>61.5</v>
      </c>
      <c r="O93" s="64">
        <v>0</v>
      </c>
      <c r="P93" s="64">
        <v>0.79</v>
      </c>
      <c r="Q93" s="64">
        <v>9.32</v>
      </c>
      <c r="S93" s="198"/>
      <c r="T93" s="198"/>
      <c r="U93" s="198"/>
    </row>
    <row r="94" spans="1:26" s="12" customFormat="1" x14ac:dyDescent="0.25">
      <c r="A94" s="247" t="s">
        <v>2441</v>
      </c>
      <c r="B94" s="64">
        <v>7.38</v>
      </c>
      <c r="C94" s="64">
        <v>63.4</v>
      </c>
      <c r="D94" s="64">
        <v>70.78</v>
      </c>
      <c r="E94" s="64">
        <v>2.69</v>
      </c>
      <c r="F94" s="64">
        <v>14.98</v>
      </c>
      <c r="G94" s="64">
        <v>58.8</v>
      </c>
      <c r="H94" s="64">
        <v>10.48</v>
      </c>
      <c r="I94" s="64">
        <v>4.03</v>
      </c>
      <c r="J94" s="64">
        <v>0.81</v>
      </c>
      <c r="K94" s="64">
        <v>187.83</v>
      </c>
      <c r="L94" s="64">
        <v>22.94</v>
      </c>
      <c r="M94" s="64">
        <v>66.400000000000006</v>
      </c>
      <c r="N94" s="64">
        <v>61.6</v>
      </c>
      <c r="O94" s="64">
        <v>0</v>
      </c>
      <c r="P94" s="64">
        <v>0.71</v>
      </c>
      <c r="Q94" s="64">
        <v>9.32</v>
      </c>
      <c r="S94" s="198"/>
      <c r="T94" s="198"/>
      <c r="U94" s="198"/>
    </row>
    <row r="95" spans="1:26" s="12" customFormat="1" x14ac:dyDescent="0.25">
      <c r="A95" s="247" t="s">
        <v>2442</v>
      </c>
      <c r="B95" s="64">
        <v>6.18</v>
      </c>
      <c r="C95" s="64">
        <v>58.69</v>
      </c>
      <c r="D95" s="64">
        <v>64.87</v>
      </c>
      <c r="E95" s="64">
        <v>2.5499999999999998</v>
      </c>
      <c r="F95" s="64">
        <v>11.89</v>
      </c>
      <c r="G95" s="64">
        <v>57.94</v>
      </c>
      <c r="H95" s="64">
        <v>18.62</v>
      </c>
      <c r="I95" s="64">
        <v>4.13</v>
      </c>
      <c r="J95" s="64">
        <v>0.94</v>
      </c>
      <c r="K95" s="64">
        <v>147.05000000000001</v>
      </c>
      <c r="L95" s="64">
        <v>22.59</v>
      </c>
      <c r="M95" s="64">
        <v>67.09</v>
      </c>
      <c r="N95" s="64">
        <v>61.4</v>
      </c>
      <c r="O95" s="64">
        <v>0</v>
      </c>
      <c r="P95" s="64">
        <v>0.67</v>
      </c>
      <c r="Q95" s="64">
        <v>9.2899999999999991</v>
      </c>
      <c r="S95" s="198"/>
      <c r="T95" s="198"/>
      <c r="U95" s="198"/>
    </row>
    <row r="96" spans="1:26" s="12" customFormat="1" x14ac:dyDescent="0.25">
      <c r="A96" s="247" t="s">
        <v>2443</v>
      </c>
      <c r="B96" s="64">
        <v>6.51</v>
      </c>
      <c r="C96" s="64">
        <v>61.7</v>
      </c>
      <c r="D96" s="64">
        <v>68.209999999999994</v>
      </c>
      <c r="E96" s="64">
        <v>2.71</v>
      </c>
      <c r="F96" s="64">
        <v>11.72</v>
      </c>
      <c r="G96" s="64">
        <v>57.47</v>
      </c>
      <c r="H96" s="64">
        <v>23.33</v>
      </c>
      <c r="I96" s="64">
        <v>4.24</v>
      </c>
      <c r="J96" s="64">
        <v>0.72</v>
      </c>
      <c r="K96" s="64">
        <v>115.22</v>
      </c>
      <c r="L96" s="64">
        <v>22.59</v>
      </c>
      <c r="M96" s="64">
        <v>65.66</v>
      </c>
      <c r="N96" s="64">
        <v>61.2</v>
      </c>
      <c r="O96" s="64">
        <v>0</v>
      </c>
      <c r="P96" s="64">
        <v>0.65</v>
      </c>
      <c r="Q96" s="64">
        <v>9.2799999999999994</v>
      </c>
      <c r="S96" s="198"/>
      <c r="T96" s="198"/>
      <c r="U96" s="198"/>
      <c r="Z96" s="109"/>
    </row>
    <row r="97" spans="1:33" s="12" customFormat="1" x14ac:dyDescent="0.25">
      <c r="A97" s="247" t="s">
        <v>2444</v>
      </c>
      <c r="B97" s="64">
        <v>6.75</v>
      </c>
      <c r="C97" s="64">
        <v>62.32</v>
      </c>
      <c r="D97" s="64">
        <v>69.069999999999993</v>
      </c>
      <c r="E97" s="64">
        <v>2.4900000000000002</v>
      </c>
      <c r="F97" s="64">
        <v>11.22</v>
      </c>
      <c r="G97" s="64">
        <v>57.47</v>
      </c>
      <c r="H97" s="64">
        <v>23.33</v>
      </c>
      <c r="I97" s="64">
        <v>3.99</v>
      </c>
      <c r="J97" s="64">
        <v>0.89</v>
      </c>
      <c r="K97" s="64">
        <v>147.83000000000001</v>
      </c>
      <c r="L97" s="64">
        <v>22.53</v>
      </c>
      <c r="M97" s="64">
        <v>65.33</v>
      </c>
      <c r="N97" s="64">
        <v>61.2</v>
      </c>
      <c r="O97" s="64">
        <v>0</v>
      </c>
      <c r="P97" s="64">
        <v>0.67</v>
      </c>
      <c r="Q97" s="64">
        <v>9.26</v>
      </c>
      <c r="S97" s="198"/>
      <c r="T97" s="198"/>
      <c r="U97" s="198"/>
    </row>
    <row r="98" spans="1:33" s="12" customFormat="1" x14ac:dyDescent="0.25">
      <c r="A98" s="247" t="s">
        <v>2445</v>
      </c>
      <c r="B98" s="64">
        <v>6.44</v>
      </c>
      <c r="C98" s="64">
        <v>61.1</v>
      </c>
      <c r="D98" s="64">
        <v>67.540000000000006</v>
      </c>
      <c r="E98" s="64">
        <v>2.4900000000000002</v>
      </c>
      <c r="F98" s="64">
        <v>15.2</v>
      </c>
      <c r="G98" s="64">
        <v>57.47</v>
      </c>
      <c r="H98" s="64">
        <v>23.33</v>
      </c>
      <c r="I98" s="64">
        <v>4.0599999999999996</v>
      </c>
      <c r="J98" s="64">
        <v>0.79</v>
      </c>
      <c r="K98" s="64">
        <v>90.32</v>
      </c>
      <c r="L98" s="64">
        <v>22.44</v>
      </c>
      <c r="M98" s="64">
        <v>65.239999999999995</v>
      </c>
      <c r="N98" s="64">
        <v>61.3</v>
      </c>
      <c r="O98" s="64">
        <v>0</v>
      </c>
      <c r="P98" s="64">
        <v>0.62</v>
      </c>
      <c r="Q98" s="64">
        <v>9.23</v>
      </c>
      <c r="S98" s="198"/>
      <c r="T98" s="198"/>
      <c r="U98" s="198"/>
    </row>
    <row r="99" spans="1:33" s="12" customFormat="1" x14ac:dyDescent="0.25">
      <c r="A99" s="247" t="s">
        <v>2446</v>
      </c>
      <c r="B99" s="64">
        <v>7.43</v>
      </c>
      <c r="C99" s="64">
        <v>64.31</v>
      </c>
      <c r="D99" s="64">
        <v>71.739999999999995</v>
      </c>
      <c r="E99" s="64">
        <v>2.52</v>
      </c>
      <c r="F99" s="64">
        <v>15.17</v>
      </c>
      <c r="G99" s="64">
        <v>51.96</v>
      </c>
      <c r="H99" s="64">
        <v>21.18</v>
      </c>
      <c r="I99" s="64">
        <v>4.04</v>
      </c>
      <c r="J99" s="64">
        <v>0.78</v>
      </c>
      <c r="K99" s="64">
        <v>99.64</v>
      </c>
      <c r="L99" s="64">
        <v>22.3</v>
      </c>
      <c r="M99" s="64">
        <v>65.53</v>
      </c>
      <c r="N99" s="64">
        <v>61.2</v>
      </c>
      <c r="O99" s="64">
        <v>0</v>
      </c>
      <c r="P99" s="64">
        <v>0.57999999999999996</v>
      </c>
      <c r="Q99" s="64">
        <v>9.1999999999999993</v>
      </c>
      <c r="S99" s="198"/>
      <c r="T99" s="198"/>
      <c r="U99" s="198"/>
    </row>
    <row r="100" spans="1:33" s="12" customFormat="1" x14ac:dyDescent="0.25">
      <c r="A100" s="247" t="s">
        <v>2447</v>
      </c>
      <c r="B100" s="64">
        <v>15.17</v>
      </c>
      <c r="C100" s="64">
        <v>64.680000000000007</v>
      </c>
      <c r="D100" s="64">
        <v>79.86</v>
      </c>
      <c r="E100" s="64">
        <v>2.75</v>
      </c>
      <c r="F100" s="64">
        <v>13.68</v>
      </c>
      <c r="G100" s="64">
        <v>48.92</v>
      </c>
      <c r="H100" s="64">
        <v>19.93</v>
      </c>
      <c r="I100" s="64">
        <v>3.97</v>
      </c>
      <c r="J100" s="64">
        <v>0.25</v>
      </c>
      <c r="K100" s="64">
        <v>26.57</v>
      </c>
      <c r="L100" s="64">
        <v>22.17</v>
      </c>
      <c r="M100" s="64">
        <v>67.19</v>
      </c>
      <c r="N100" s="64">
        <v>61.8</v>
      </c>
      <c r="O100" s="64">
        <v>0</v>
      </c>
      <c r="P100" s="64">
        <v>0.86</v>
      </c>
      <c r="Q100" s="64">
        <v>9.1999999999999993</v>
      </c>
      <c r="S100" s="198"/>
      <c r="T100" s="198"/>
      <c r="U100" s="198"/>
      <c r="AB100" s="110"/>
      <c r="AG100" s="109"/>
    </row>
    <row r="101" spans="1:33" s="12" customFormat="1" x14ac:dyDescent="0.25">
      <c r="A101" s="247" t="s">
        <v>2448</v>
      </c>
      <c r="B101" s="64">
        <v>12.41</v>
      </c>
      <c r="C101" s="64">
        <v>61.05</v>
      </c>
      <c r="D101" s="64">
        <v>73.459999999999994</v>
      </c>
      <c r="E101" s="64">
        <v>2.91</v>
      </c>
      <c r="F101" s="64">
        <v>11.9</v>
      </c>
      <c r="G101" s="64">
        <v>48.92</v>
      </c>
      <c r="H101" s="64">
        <v>19.93</v>
      </c>
      <c r="I101" s="64">
        <v>4.0199999999999996</v>
      </c>
      <c r="J101" s="64">
        <v>0.66</v>
      </c>
      <c r="K101" s="64">
        <v>301.22000000000003</v>
      </c>
      <c r="L101" s="64">
        <v>21.52</v>
      </c>
      <c r="M101" s="64">
        <v>71.48</v>
      </c>
      <c r="N101" s="64">
        <v>61.9</v>
      </c>
      <c r="O101" s="64">
        <v>0</v>
      </c>
      <c r="P101" s="64">
        <v>0.71</v>
      </c>
      <c r="Q101" s="64">
        <v>9.1999999999999993</v>
      </c>
      <c r="S101" s="198"/>
      <c r="T101" s="198"/>
      <c r="U101" s="198"/>
    </row>
    <row r="102" spans="1:33" s="12" customFormat="1" x14ac:dyDescent="0.25">
      <c r="A102" s="247" t="s">
        <v>2449</v>
      </c>
      <c r="B102" s="64">
        <v>9.94</v>
      </c>
      <c r="C102" s="64">
        <v>49.02</v>
      </c>
      <c r="D102" s="64">
        <v>58.96</v>
      </c>
      <c r="E102" s="64">
        <v>3.03</v>
      </c>
      <c r="F102" s="64">
        <v>14.45</v>
      </c>
      <c r="G102" s="64">
        <v>48.92</v>
      </c>
      <c r="H102" s="64">
        <v>19.93</v>
      </c>
      <c r="I102" s="64">
        <v>4.0199999999999996</v>
      </c>
      <c r="J102" s="64">
        <v>0.3</v>
      </c>
      <c r="K102" s="64">
        <v>90.28</v>
      </c>
      <c r="L102" s="64">
        <v>21.01</v>
      </c>
      <c r="M102" s="64">
        <v>76.25</v>
      </c>
      <c r="N102" s="64">
        <v>61.9</v>
      </c>
      <c r="O102" s="64">
        <v>0</v>
      </c>
      <c r="P102" s="64">
        <v>0.73</v>
      </c>
      <c r="Q102" s="64">
        <v>9.2200000000000006</v>
      </c>
      <c r="S102" s="198"/>
      <c r="T102" s="198"/>
      <c r="U102" s="198"/>
    </row>
    <row r="103" spans="1:33" s="12" customFormat="1" x14ac:dyDescent="0.25">
      <c r="A103" s="247" t="s">
        <v>2450</v>
      </c>
      <c r="B103" s="64">
        <v>16.010000000000002</v>
      </c>
      <c r="C103" s="64">
        <v>62.11</v>
      </c>
      <c r="D103" s="64">
        <v>78.11</v>
      </c>
      <c r="E103" s="64">
        <v>2.95</v>
      </c>
      <c r="F103" s="64">
        <v>11.48</v>
      </c>
      <c r="G103" s="64">
        <v>48.21</v>
      </c>
      <c r="H103" s="64">
        <v>17.32</v>
      </c>
      <c r="I103" s="64">
        <v>3.9</v>
      </c>
      <c r="J103" s="64">
        <v>0.55000000000000004</v>
      </c>
      <c r="K103" s="64">
        <v>306.52999999999997</v>
      </c>
      <c r="L103" s="64">
        <v>21.04</v>
      </c>
      <c r="M103" s="64">
        <v>75.83</v>
      </c>
      <c r="N103" s="64">
        <v>61.6</v>
      </c>
      <c r="O103" s="64">
        <v>0</v>
      </c>
      <c r="P103" s="64">
        <v>0.91</v>
      </c>
      <c r="Q103" s="64">
        <v>9.24</v>
      </c>
      <c r="S103" s="198"/>
      <c r="T103" s="198"/>
      <c r="U103" s="198"/>
    </row>
    <row r="104" spans="1:33" s="12" customFormat="1" x14ac:dyDescent="0.25">
      <c r="A104" s="247" t="s">
        <v>2451</v>
      </c>
      <c r="B104" s="64">
        <v>10.09</v>
      </c>
      <c r="C104" s="64">
        <v>51.48</v>
      </c>
      <c r="D104" s="64">
        <v>61.57</v>
      </c>
      <c r="E104" s="64">
        <v>2.41</v>
      </c>
      <c r="F104" s="64">
        <v>13.19</v>
      </c>
      <c r="G104" s="64">
        <v>47.82</v>
      </c>
      <c r="H104" s="64">
        <v>15.8</v>
      </c>
      <c r="I104" s="64">
        <v>3.9</v>
      </c>
      <c r="J104" s="64">
        <v>0.56999999999999995</v>
      </c>
      <c r="K104" s="64">
        <v>61.49</v>
      </c>
      <c r="L104" s="64">
        <v>20.73</v>
      </c>
      <c r="M104" s="64">
        <v>78.290000000000006</v>
      </c>
      <c r="N104" s="64">
        <v>61.7</v>
      </c>
      <c r="O104" s="64">
        <v>0</v>
      </c>
      <c r="P104" s="64">
        <v>0.84</v>
      </c>
      <c r="Q104" s="64">
        <v>9.25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2.87</v>
      </c>
      <c r="C106" s="67">
        <f>MIN(C9:C104)</f>
        <v>38.950000000000003</v>
      </c>
      <c r="D106" s="67">
        <f t="shared" ref="D106:Q106" si="0">MIN(D9:D104)</f>
        <v>44.28</v>
      </c>
      <c r="E106" s="67">
        <f t="shared" si="0"/>
        <v>1.58</v>
      </c>
      <c r="F106" s="67">
        <f t="shared" si="0"/>
        <v>6.81</v>
      </c>
      <c r="G106" s="67">
        <f t="shared" si="0"/>
        <v>26.27</v>
      </c>
      <c r="H106" s="67">
        <f t="shared" si="0"/>
        <v>10.210000000000001</v>
      </c>
      <c r="I106" s="67">
        <f t="shared" si="0"/>
        <v>3.75</v>
      </c>
      <c r="J106" s="67">
        <f t="shared" si="0"/>
        <v>0.24</v>
      </c>
      <c r="K106" s="67">
        <f t="shared" si="0"/>
        <v>7.87</v>
      </c>
      <c r="L106" s="67">
        <f t="shared" si="0"/>
        <v>18.440000000000001</v>
      </c>
      <c r="M106" s="67">
        <f t="shared" si="0"/>
        <v>31.17</v>
      </c>
      <c r="N106" s="67">
        <f t="shared" si="0"/>
        <v>60.3</v>
      </c>
      <c r="O106" s="67">
        <f t="shared" si="0"/>
        <v>0</v>
      </c>
      <c r="P106" s="67">
        <f t="shared" si="0"/>
        <v>0.42</v>
      </c>
      <c r="Q106" s="67">
        <f t="shared" si="0"/>
        <v>8.93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61.96</v>
      </c>
      <c r="C107" s="66">
        <f t="shared" ref="C107:Q107" si="1">MAX(C9:C104)</f>
        <v>130.11000000000001</v>
      </c>
      <c r="D107" s="66">
        <f t="shared" si="1"/>
        <v>192.08</v>
      </c>
      <c r="E107" s="66">
        <f t="shared" si="1"/>
        <v>11.2</v>
      </c>
      <c r="F107" s="66">
        <f t="shared" si="1"/>
        <v>42.23</v>
      </c>
      <c r="G107" s="66">
        <f t="shared" si="1"/>
        <v>58.8</v>
      </c>
      <c r="H107" s="66">
        <f t="shared" si="1"/>
        <v>23.33</v>
      </c>
      <c r="I107" s="66">
        <f t="shared" si="1"/>
        <v>4.3</v>
      </c>
      <c r="J107" s="66">
        <f t="shared" si="1"/>
        <v>2.92</v>
      </c>
      <c r="K107" s="66">
        <f t="shared" si="1"/>
        <v>359.6</v>
      </c>
      <c r="L107" s="66">
        <f t="shared" si="1"/>
        <v>31.89</v>
      </c>
      <c r="M107" s="66">
        <f t="shared" si="1"/>
        <v>97.27</v>
      </c>
      <c r="N107" s="66">
        <f t="shared" si="1"/>
        <v>820</v>
      </c>
      <c r="O107" s="66">
        <f t="shared" si="1"/>
        <v>0.2</v>
      </c>
      <c r="P107" s="66">
        <f t="shared" si="1"/>
        <v>2.42</v>
      </c>
      <c r="Q107" s="66">
        <f t="shared" si="1"/>
        <v>9.36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9.1886458333333341</v>
      </c>
      <c r="C108" s="67">
        <f t="shared" ref="C108:Q108" si="2">AVERAGE(C9:C104)</f>
        <v>56.669374999999981</v>
      </c>
      <c r="D108" s="67">
        <f t="shared" si="2"/>
        <v>65.858645833333313</v>
      </c>
      <c r="E108" s="67">
        <f t="shared" si="2"/>
        <v>3.7884374999999992</v>
      </c>
      <c r="F108" s="67">
        <f t="shared" si="2"/>
        <v>15.154166666666676</v>
      </c>
      <c r="G108" s="67">
        <f t="shared" si="2"/>
        <v>40.274270833333325</v>
      </c>
      <c r="H108" s="67">
        <f t="shared" si="2"/>
        <v>15.098750000000004</v>
      </c>
      <c r="I108" s="67">
        <f t="shared" si="2"/>
        <v>4.013020833333333</v>
      </c>
      <c r="J108" s="67">
        <f t="shared" si="2"/>
        <v>0.94031249999999966</v>
      </c>
      <c r="K108" s="67">
        <f t="shared" si="2"/>
        <v>149.02510416666669</v>
      </c>
      <c r="L108" s="67">
        <f t="shared" si="2"/>
        <v>23.575416666666673</v>
      </c>
      <c r="M108" s="67">
        <f t="shared" si="2"/>
        <v>66.415624999999977</v>
      </c>
      <c r="N108" s="67">
        <f t="shared" si="2"/>
        <v>223.86770833333335</v>
      </c>
      <c r="O108" s="67">
        <f t="shared" si="2"/>
        <v>2.0833333333333333E-3</v>
      </c>
      <c r="P108" s="67">
        <f t="shared" si="2"/>
        <v>0.62145833333333322</v>
      </c>
      <c r="Q108" s="67">
        <f t="shared" si="2"/>
        <v>9.1161458333333361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7.9788452692817859</v>
      </c>
      <c r="C109" s="67">
        <f t="shared" ref="C109:Q109" si="3">STDEV(C9:C104)</f>
        <v>17.87669584520885</v>
      </c>
      <c r="D109" s="67">
        <f t="shared" si="3"/>
        <v>23.9556843762896</v>
      </c>
      <c r="E109" s="67">
        <f t="shared" si="3"/>
        <v>2.2826274464332843</v>
      </c>
      <c r="F109" s="67">
        <f t="shared" si="3"/>
        <v>8.6022970820426288</v>
      </c>
      <c r="G109" s="67">
        <f t="shared" si="3"/>
        <v>9.1152386861137451</v>
      </c>
      <c r="H109" s="67">
        <f t="shared" si="3"/>
        <v>2.9487925271915625</v>
      </c>
      <c r="I109" s="67">
        <f t="shared" si="3"/>
        <v>8.7769072501190759E-2</v>
      </c>
      <c r="J109" s="67">
        <f t="shared" si="3"/>
        <v>0.53074813756273942</v>
      </c>
      <c r="K109" s="67">
        <f t="shared" si="3"/>
        <v>95.482995664367664</v>
      </c>
      <c r="L109" s="67">
        <f t="shared" si="3"/>
        <v>4.0501173255693628</v>
      </c>
      <c r="M109" s="67">
        <f t="shared" si="3"/>
        <v>22.207805067612068</v>
      </c>
      <c r="N109" s="67">
        <f t="shared" si="3"/>
        <v>261.06189001835594</v>
      </c>
      <c r="O109" s="67">
        <f t="shared" si="3"/>
        <v>2.0412414523193152E-2</v>
      </c>
      <c r="P109" s="67">
        <f t="shared" si="3"/>
        <v>0.26585702198804317</v>
      </c>
      <c r="Q109" s="67">
        <f t="shared" si="3"/>
        <v>0.12985311371064948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2452</v>
      </c>
      <c r="B9" s="64">
        <v>6.58</v>
      </c>
      <c r="C9" s="64">
        <v>51.17</v>
      </c>
      <c r="D9" s="64">
        <v>57.75</v>
      </c>
      <c r="E9" s="64">
        <v>2.9</v>
      </c>
      <c r="F9" s="64">
        <v>12.59</v>
      </c>
      <c r="G9" s="64">
        <v>47.82</v>
      </c>
      <c r="H9" s="64">
        <v>15.8</v>
      </c>
      <c r="I9" s="64">
        <v>4</v>
      </c>
      <c r="J9" s="64">
        <v>0.17</v>
      </c>
      <c r="K9" s="64">
        <v>99.92</v>
      </c>
      <c r="L9" s="64">
        <v>20.95</v>
      </c>
      <c r="M9" s="64">
        <v>75.64</v>
      </c>
      <c r="N9" s="64">
        <v>61.4</v>
      </c>
      <c r="O9" s="64">
        <v>0</v>
      </c>
      <c r="P9" s="64">
        <v>0.77</v>
      </c>
      <c r="Q9" s="64">
        <v>9.27</v>
      </c>
      <c r="R9" s="198"/>
      <c r="S9" s="198"/>
      <c r="T9" s="198"/>
      <c r="U9" s="198"/>
    </row>
    <row r="10" spans="1:21" s="12" customFormat="1" x14ac:dyDescent="0.25">
      <c r="A10" s="247" t="s">
        <v>2453</v>
      </c>
      <c r="B10" s="64">
        <v>13.81</v>
      </c>
      <c r="C10" s="64">
        <v>56.96</v>
      </c>
      <c r="D10" s="64">
        <v>70.77</v>
      </c>
      <c r="E10" s="64">
        <v>2.48</v>
      </c>
      <c r="F10" s="64">
        <v>9.16</v>
      </c>
      <c r="G10" s="64">
        <v>47.82</v>
      </c>
      <c r="H10" s="64">
        <v>15.8</v>
      </c>
      <c r="I10" s="64">
        <v>3.87</v>
      </c>
      <c r="J10" s="64">
        <v>0.66</v>
      </c>
      <c r="K10" s="64">
        <v>11.31</v>
      </c>
      <c r="L10" s="64">
        <v>20.64</v>
      </c>
      <c r="M10" s="64">
        <v>76.819999999999993</v>
      </c>
      <c r="N10" s="64">
        <v>61.5</v>
      </c>
      <c r="O10" s="64">
        <v>0</v>
      </c>
      <c r="P10" s="64">
        <v>0.85</v>
      </c>
      <c r="Q10" s="64">
        <v>9.2899999999999991</v>
      </c>
      <c r="R10" s="198"/>
      <c r="S10" s="198"/>
      <c r="T10" s="198"/>
      <c r="U10" s="198"/>
    </row>
    <row r="11" spans="1:21" s="12" customFormat="1" x14ac:dyDescent="0.25">
      <c r="A11" s="247" t="s">
        <v>2454</v>
      </c>
      <c r="B11" s="64">
        <v>11.05</v>
      </c>
      <c r="C11" s="64">
        <v>56.41</v>
      </c>
      <c r="D11" s="64">
        <v>67.459999999999994</v>
      </c>
      <c r="E11" s="64">
        <v>2.6</v>
      </c>
      <c r="F11" s="64">
        <v>8.65</v>
      </c>
      <c r="G11" s="64">
        <v>46.77</v>
      </c>
      <c r="H11" s="64">
        <v>17.78</v>
      </c>
      <c r="I11" s="64">
        <v>4.04</v>
      </c>
      <c r="J11" s="64">
        <v>0.8</v>
      </c>
      <c r="K11" s="64">
        <v>33</v>
      </c>
      <c r="L11" s="64">
        <v>20.97</v>
      </c>
      <c r="M11" s="64">
        <v>68.75</v>
      </c>
      <c r="N11" s="64">
        <v>60.8</v>
      </c>
      <c r="O11" s="64">
        <v>0</v>
      </c>
      <c r="P11" s="64">
        <v>0.8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47" t="s">
        <v>2455</v>
      </c>
      <c r="B12" s="64">
        <v>11.97</v>
      </c>
      <c r="C12" s="64">
        <v>55.79</v>
      </c>
      <c r="D12" s="64">
        <v>67.77</v>
      </c>
      <c r="E12" s="64">
        <v>2.77</v>
      </c>
      <c r="F12" s="64">
        <v>10.09</v>
      </c>
      <c r="G12" s="64">
        <v>46.19</v>
      </c>
      <c r="H12" s="64">
        <v>18.920000000000002</v>
      </c>
      <c r="I12" s="64">
        <v>4.16</v>
      </c>
      <c r="J12" s="64">
        <v>0.77</v>
      </c>
      <c r="K12" s="64">
        <v>52.72</v>
      </c>
      <c r="L12" s="64">
        <v>21.09</v>
      </c>
      <c r="M12" s="64">
        <v>66.89</v>
      </c>
      <c r="N12" s="64">
        <v>61.2</v>
      </c>
      <c r="O12" s="64">
        <v>0</v>
      </c>
      <c r="P12" s="64">
        <v>0.75</v>
      </c>
      <c r="Q12" s="64">
        <v>9.31</v>
      </c>
      <c r="R12" s="198"/>
      <c r="S12" s="198"/>
      <c r="T12" s="198"/>
      <c r="U12" s="198"/>
    </row>
    <row r="13" spans="1:21" s="12" customFormat="1" x14ac:dyDescent="0.25">
      <c r="A13" s="247" t="s">
        <v>2456</v>
      </c>
      <c r="B13" s="64">
        <v>9.74</v>
      </c>
      <c r="C13" s="64">
        <v>52.63</v>
      </c>
      <c r="D13" s="64">
        <v>62.37</v>
      </c>
      <c r="E13" s="64">
        <v>1.9</v>
      </c>
      <c r="F13" s="64">
        <v>9.7899999999999991</v>
      </c>
      <c r="G13" s="64">
        <v>46.19</v>
      </c>
      <c r="H13" s="64">
        <v>18.920000000000002</v>
      </c>
      <c r="I13" s="64">
        <v>4.01</v>
      </c>
      <c r="J13" s="64">
        <v>0.9</v>
      </c>
      <c r="K13" s="64">
        <v>63.85</v>
      </c>
      <c r="L13" s="64">
        <v>21.2</v>
      </c>
      <c r="M13" s="64">
        <v>69.91</v>
      </c>
      <c r="N13" s="64">
        <v>61.1</v>
      </c>
      <c r="O13" s="64">
        <v>0</v>
      </c>
      <c r="P13" s="64">
        <v>0.7</v>
      </c>
      <c r="Q13" s="64">
        <v>9.31</v>
      </c>
      <c r="R13" s="198"/>
      <c r="S13" s="198"/>
      <c r="T13" s="198"/>
      <c r="U13" s="198"/>
    </row>
    <row r="14" spans="1:21" s="12" customFormat="1" x14ac:dyDescent="0.25">
      <c r="A14" s="247" t="s">
        <v>2457</v>
      </c>
      <c r="B14" s="64">
        <v>8.94</v>
      </c>
      <c r="C14" s="64">
        <v>52.29</v>
      </c>
      <c r="D14" s="64">
        <v>61.23</v>
      </c>
      <c r="E14" s="64">
        <v>1.97</v>
      </c>
      <c r="F14" s="64">
        <v>10.85</v>
      </c>
      <c r="G14" s="64">
        <v>46.19</v>
      </c>
      <c r="H14" s="64">
        <v>18.920000000000002</v>
      </c>
      <c r="I14" s="64">
        <v>4.1399999999999997</v>
      </c>
      <c r="J14" s="64">
        <v>1.06</v>
      </c>
      <c r="K14" s="64">
        <v>67.94</v>
      </c>
      <c r="L14" s="64">
        <v>21.2</v>
      </c>
      <c r="M14" s="64">
        <v>72.62</v>
      </c>
      <c r="N14" s="64">
        <v>61.4</v>
      </c>
      <c r="O14" s="64">
        <v>0</v>
      </c>
      <c r="P14" s="64">
        <v>0.69</v>
      </c>
      <c r="Q14" s="64">
        <v>9.27</v>
      </c>
      <c r="R14" s="198"/>
      <c r="S14" s="198"/>
      <c r="T14" s="198"/>
      <c r="U14" s="198"/>
    </row>
    <row r="15" spans="1:21" s="12" customFormat="1" x14ac:dyDescent="0.25">
      <c r="A15" s="247" t="s">
        <v>2458</v>
      </c>
      <c r="B15" s="64">
        <v>7.98</v>
      </c>
      <c r="C15" s="64">
        <v>51.31</v>
      </c>
      <c r="D15" s="64">
        <v>59.28</v>
      </c>
      <c r="E15" s="64">
        <v>2.34</v>
      </c>
      <c r="F15" s="64">
        <v>9.4600000000000009</v>
      </c>
      <c r="G15" s="64">
        <v>48.17</v>
      </c>
      <c r="H15" s="64">
        <v>17.03</v>
      </c>
      <c r="I15" s="64">
        <v>3.95</v>
      </c>
      <c r="J15" s="64">
        <v>1.03</v>
      </c>
      <c r="K15" s="64">
        <v>81.45</v>
      </c>
      <c r="L15" s="64">
        <v>20.87</v>
      </c>
      <c r="M15" s="64">
        <v>75.73</v>
      </c>
      <c r="N15" s="64">
        <v>61.7</v>
      </c>
      <c r="O15" s="64">
        <v>0</v>
      </c>
      <c r="P15" s="64">
        <v>0.68</v>
      </c>
      <c r="Q15" s="64">
        <v>9.23</v>
      </c>
      <c r="R15" s="198"/>
      <c r="S15" s="198"/>
      <c r="T15" s="198"/>
      <c r="U15" s="198"/>
    </row>
    <row r="16" spans="1:21" s="12" customFormat="1" x14ac:dyDescent="0.25">
      <c r="A16" s="247" t="s">
        <v>2459</v>
      </c>
      <c r="B16" s="64">
        <v>7.49</v>
      </c>
      <c r="C16" s="64">
        <v>53.13</v>
      </c>
      <c r="D16" s="64">
        <v>60.63</v>
      </c>
      <c r="E16" s="64">
        <v>2.0499999999999998</v>
      </c>
      <c r="F16" s="64">
        <v>7.94</v>
      </c>
      <c r="G16" s="64">
        <v>49.27</v>
      </c>
      <c r="H16" s="64">
        <v>15.93</v>
      </c>
      <c r="I16" s="64">
        <v>3.93</v>
      </c>
      <c r="J16" s="64">
        <v>1.32</v>
      </c>
      <c r="K16" s="64">
        <v>85.43</v>
      </c>
      <c r="L16" s="64">
        <v>20.62</v>
      </c>
      <c r="M16" s="64">
        <v>77.8</v>
      </c>
      <c r="N16" s="64">
        <v>61.6</v>
      </c>
      <c r="O16" s="64">
        <v>0</v>
      </c>
      <c r="P16" s="64">
        <v>0.67</v>
      </c>
      <c r="Q16" s="64">
        <v>9.1999999999999993</v>
      </c>
      <c r="R16" s="198"/>
      <c r="S16" s="198"/>
      <c r="T16" s="198"/>
      <c r="U16" s="198"/>
    </row>
    <row r="17" spans="1:21" s="12" customFormat="1" x14ac:dyDescent="0.25">
      <c r="A17" s="247" t="s">
        <v>2460</v>
      </c>
      <c r="B17" s="64">
        <v>7.04</v>
      </c>
      <c r="C17" s="64">
        <v>52.55</v>
      </c>
      <c r="D17" s="64">
        <v>59.59</v>
      </c>
      <c r="E17" s="64">
        <v>2.0099999999999998</v>
      </c>
      <c r="F17" s="64">
        <v>9.01</v>
      </c>
      <c r="G17" s="64">
        <v>49.27</v>
      </c>
      <c r="H17" s="64">
        <v>15.93</v>
      </c>
      <c r="I17" s="64">
        <v>3.94</v>
      </c>
      <c r="J17" s="64">
        <v>1.3</v>
      </c>
      <c r="K17" s="64">
        <v>89.55</v>
      </c>
      <c r="L17" s="64">
        <v>20.46</v>
      </c>
      <c r="M17" s="64">
        <v>79.55</v>
      </c>
      <c r="N17" s="64">
        <v>61.5</v>
      </c>
      <c r="O17" s="64">
        <v>0</v>
      </c>
      <c r="P17" s="64">
        <v>0.65</v>
      </c>
      <c r="Q17" s="64">
        <v>9.17</v>
      </c>
      <c r="R17" s="198"/>
      <c r="S17" s="198"/>
      <c r="T17" s="198"/>
      <c r="U17" s="198"/>
    </row>
    <row r="18" spans="1:21" s="12" customFormat="1" x14ac:dyDescent="0.25">
      <c r="A18" s="247" t="s">
        <v>2461</v>
      </c>
      <c r="B18" s="64">
        <v>6.59</v>
      </c>
      <c r="C18" s="64">
        <v>51.76</v>
      </c>
      <c r="D18" s="64">
        <v>58.35</v>
      </c>
      <c r="E18" s="64">
        <v>1.72</v>
      </c>
      <c r="F18" s="64">
        <v>9.8800000000000008</v>
      </c>
      <c r="G18" s="64">
        <v>49.27</v>
      </c>
      <c r="H18" s="64">
        <v>15.93</v>
      </c>
      <c r="I18" s="64">
        <v>4</v>
      </c>
      <c r="J18" s="64">
        <v>1.91</v>
      </c>
      <c r="K18" s="64">
        <v>99.93</v>
      </c>
      <c r="L18" s="64">
        <v>20.37</v>
      </c>
      <c r="M18" s="64">
        <v>81.11</v>
      </c>
      <c r="N18" s="64">
        <v>61.5</v>
      </c>
      <c r="O18" s="64">
        <v>0</v>
      </c>
      <c r="P18" s="64">
        <v>0.63</v>
      </c>
      <c r="Q18" s="64">
        <v>9.1199999999999992</v>
      </c>
      <c r="R18" s="198"/>
      <c r="S18" s="198"/>
      <c r="T18" s="198"/>
      <c r="U18" s="198"/>
    </row>
    <row r="19" spans="1:21" s="12" customFormat="1" x14ac:dyDescent="0.25">
      <c r="A19" s="247" t="s">
        <v>2462</v>
      </c>
      <c r="B19" s="64">
        <v>5.91</v>
      </c>
      <c r="C19" s="64">
        <v>49.37</v>
      </c>
      <c r="D19" s="64">
        <v>55.28</v>
      </c>
      <c r="E19" s="64">
        <v>1.9</v>
      </c>
      <c r="F19" s="64">
        <v>8.9700000000000006</v>
      </c>
      <c r="G19" s="64">
        <v>46.77</v>
      </c>
      <c r="H19" s="64">
        <v>13.72</v>
      </c>
      <c r="I19" s="64">
        <v>4</v>
      </c>
      <c r="J19" s="64">
        <v>1.59</v>
      </c>
      <c r="K19" s="64">
        <v>96.63</v>
      </c>
      <c r="L19" s="64">
        <v>20.27</v>
      </c>
      <c r="M19" s="64">
        <v>82.92</v>
      </c>
      <c r="N19" s="64">
        <v>61.6</v>
      </c>
      <c r="O19" s="64">
        <v>0</v>
      </c>
      <c r="P19" s="64">
        <v>0.59</v>
      </c>
      <c r="Q19" s="64">
        <v>9.1</v>
      </c>
      <c r="R19" s="198"/>
      <c r="S19" s="198"/>
      <c r="T19" s="198"/>
      <c r="U19" s="198"/>
    </row>
    <row r="20" spans="1:21" s="12" customFormat="1" x14ac:dyDescent="0.25">
      <c r="A20" s="247" t="s">
        <v>2463</v>
      </c>
      <c r="B20" s="64">
        <v>5.66</v>
      </c>
      <c r="C20" s="64">
        <v>45.11</v>
      </c>
      <c r="D20" s="64">
        <v>50.77</v>
      </c>
      <c r="E20" s="64">
        <v>1.98</v>
      </c>
      <c r="F20" s="64">
        <v>11.4</v>
      </c>
      <c r="G20" s="64">
        <v>45.4</v>
      </c>
      <c r="H20" s="64">
        <v>12.44</v>
      </c>
      <c r="I20" s="64">
        <v>3.96</v>
      </c>
      <c r="J20" s="64">
        <v>1.47</v>
      </c>
      <c r="K20" s="64">
        <v>99.53</v>
      </c>
      <c r="L20" s="64">
        <v>20.18</v>
      </c>
      <c r="M20" s="64">
        <v>84.7</v>
      </c>
      <c r="N20" s="64">
        <v>61.7</v>
      </c>
      <c r="O20" s="64">
        <v>0</v>
      </c>
      <c r="P20" s="64">
        <v>0.56999999999999995</v>
      </c>
      <c r="Q20" s="64">
        <v>9.07</v>
      </c>
      <c r="R20" s="198"/>
      <c r="S20" s="198"/>
      <c r="T20" s="198"/>
      <c r="U20" s="198"/>
    </row>
    <row r="21" spans="1:21" s="12" customFormat="1" x14ac:dyDescent="0.25">
      <c r="A21" s="247" t="s">
        <v>2464</v>
      </c>
      <c r="B21" s="64">
        <v>5.6</v>
      </c>
      <c r="C21" s="64">
        <v>43.8</v>
      </c>
      <c r="D21" s="64">
        <v>49.39</v>
      </c>
      <c r="E21" s="64">
        <v>1.84</v>
      </c>
      <c r="F21" s="64">
        <v>11.19</v>
      </c>
      <c r="G21" s="64">
        <v>45.4</v>
      </c>
      <c r="H21" s="64">
        <v>12.44</v>
      </c>
      <c r="I21" s="64">
        <v>4.12</v>
      </c>
      <c r="J21" s="64">
        <v>1.23</v>
      </c>
      <c r="K21" s="64">
        <v>92.56</v>
      </c>
      <c r="L21" s="64">
        <v>19.91</v>
      </c>
      <c r="M21" s="64">
        <v>86.59</v>
      </c>
      <c r="N21" s="64">
        <v>61.8</v>
      </c>
      <c r="O21" s="64">
        <v>0</v>
      </c>
      <c r="P21" s="64">
        <v>0.56000000000000005</v>
      </c>
      <c r="Q21" s="64">
        <v>9.06</v>
      </c>
      <c r="R21" s="198"/>
      <c r="S21" s="198"/>
      <c r="T21" s="198"/>
      <c r="U21" s="198"/>
    </row>
    <row r="22" spans="1:21" s="12" customFormat="1" x14ac:dyDescent="0.25">
      <c r="A22" s="247" t="s">
        <v>2465</v>
      </c>
      <c r="B22" s="64">
        <v>5.94</v>
      </c>
      <c r="C22" s="64">
        <v>45.03</v>
      </c>
      <c r="D22" s="64">
        <v>50.97</v>
      </c>
      <c r="E22" s="64">
        <v>1.82</v>
      </c>
      <c r="F22" s="64">
        <v>10.46</v>
      </c>
      <c r="G22" s="64">
        <v>45.4</v>
      </c>
      <c r="H22" s="64">
        <v>12.44</v>
      </c>
      <c r="I22" s="64">
        <v>3.93</v>
      </c>
      <c r="J22" s="64">
        <v>1.22</v>
      </c>
      <c r="K22" s="64">
        <v>95.05</v>
      </c>
      <c r="L22" s="64">
        <v>19.670000000000002</v>
      </c>
      <c r="M22" s="64">
        <v>88.25</v>
      </c>
      <c r="N22" s="64">
        <v>61.8</v>
      </c>
      <c r="O22" s="64">
        <v>0</v>
      </c>
      <c r="P22" s="64">
        <v>0.56000000000000005</v>
      </c>
      <c r="Q22" s="64">
        <v>9.0399999999999991</v>
      </c>
      <c r="R22" s="198"/>
      <c r="S22" s="198"/>
      <c r="T22" s="198"/>
      <c r="U22" s="198"/>
    </row>
    <row r="23" spans="1:21" s="12" customFormat="1" x14ac:dyDescent="0.25">
      <c r="A23" s="247" t="s">
        <v>2466</v>
      </c>
      <c r="B23" s="64">
        <v>5.98</v>
      </c>
      <c r="C23" s="64">
        <v>44.82</v>
      </c>
      <c r="D23" s="64">
        <v>50.8</v>
      </c>
      <c r="E23" s="64">
        <v>2.0499999999999998</v>
      </c>
      <c r="F23" s="64">
        <v>10.029999999999999</v>
      </c>
      <c r="G23" s="64">
        <v>40.14</v>
      </c>
      <c r="H23" s="64">
        <v>12.64</v>
      </c>
      <c r="I23" s="64">
        <v>3.84</v>
      </c>
      <c r="J23" s="64">
        <v>1.04</v>
      </c>
      <c r="K23" s="64">
        <v>77.849999999999994</v>
      </c>
      <c r="L23" s="64">
        <v>19.489999999999998</v>
      </c>
      <c r="M23" s="64">
        <v>89.21</v>
      </c>
      <c r="N23" s="64">
        <v>61.7</v>
      </c>
      <c r="O23" s="64">
        <v>0</v>
      </c>
      <c r="P23" s="64">
        <v>0.53</v>
      </c>
      <c r="Q23" s="64">
        <v>9.0500000000000007</v>
      </c>
      <c r="R23" s="198"/>
      <c r="S23" s="198"/>
      <c r="T23" s="198"/>
      <c r="U23" s="198"/>
    </row>
    <row r="24" spans="1:21" s="12" customFormat="1" x14ac:dyDescent="0.25">
      <c r="A24" s="247" t="s">
        <v>2467</v>
      </c>
      <c r="B24" s="64">
        <v>6.09</v>
      </c>
      <c r="C24" s="64">
        <v>43.99</v>
      </c>
      <c r="D24" s="64">
        <v>50.08</v>
      </c>
      <c r="E24" s="64">
        <v>2.38</v>
      </c>
      <c r="F24" s="64">
        <v>9.68</v>
      </c>
      <c r="G24" s="64">
        <v>37.24</v>
      </c>
      <c r="H24" s="64">
        <v>12.75</v>
      </c>
      <c r="I24" s="64">
        <v>3.97</v>
      </c>
      <c r="J24" s="64">
        <v>0.97</v>
      </c>
      <c r="K24" s="64">
        <v>79.05</v>
      </c>
      <c r="L24" s="64">
        <v>19.309999999999999</v>
      </c>
      <c r="M24" s="64">
        <v>90.35</v>
      </c>
      <c r="N24" s="64">
        <v>61.7</v>
      </c>
      <c r="O24" s="64">
        <v>0</v>
      </c>
      <c r="P24" s="64">
        <v>0.51</v>
      </c>
      <c r="Q24" s="64">
        <v>9.0399999999999991</v>
      </c>
      <c r="R24" s="198"/>
      <c r="S24" s="198"/>
      <c r="T24" s="198"/>
      <c r="U24" s="198"/>
    </row>
    <row r="25" spans="1:21" s="12" customFormat="1" x14ac:dyDescent="0.25">
      <c r="A25" s="247" t="s">
        <v>2468</v>
      </c>
      <c r="B25" s="64">
        <v>6.84</v>
      </c>
      <c r="C25" s="64">
        <v>43.64</v>
      </c>
      <c r="D25" s="64">
        <v>50.48</v>
      </c>
      <c r="E25" s="64">
        <v>2.08</v>
      </c>
      <c r="F25" s="64">
        <v>9.9700000000000006</v>
      </c>
      <c r="G25" s="64">
        <v>37.24</v>
      </c>
      <c r="H25" s="64">
        <v>12.75</v>
      </c>
      <c r="I25" s="64">
        <v>3.93</v>
      </c>
      <c r="J25" s="64">
        <v>0.83</v>
      </c>
      <c r="K25" s="64">
        <v>70.069999999999993</v>
      </c>
      <c r="L25" s="64">
        <v>19.14</v>
      </c>
      <c r="M25" s="64">
        <v>91.51</v>
      </c>
      <c r="N25" s="64">
        <v>61.6</v>
      </c>
      <c r="O25" s="64">
        <v>0</v>
      </c>
      <c r="P25" s="64">
        <v>0.52</v>
      </c>
      <c r="Q25" s="64">
        <v>9.06</v>
      </c>
      <c r="R25" s="198"/>
      <c r="S25" s="198"/>
      <c r="T25" s="198"/>
      <c r="U25" s="198"/>
    </row>
    <row r="26" spans="1:21" s="12" customFormat="1" x14ac:dyDescent="0.25">
      <c r="A26" s="247" t="s">
        <v>2469</v>
      </c>
      <c r="B26" s="64">
        <v>7.03</v>
      </c>
      <c r="C26" s="64">
        <v>43.21</v>
      </c>
      <c r="D26" s="64">
        <v>50.24</v>
      </c>
      <c r="E26" s="64">
        <v>1.44</v>
      </c>
      <c r="F26" s="64">
        <v>9.91</v>
      </c>
      <c r="G26" s="64">
        <v>37.24</v>
      </c>
      <c r="H26" s="64">
        <v>12.75</v>
      </c>
      <c r="I26" s="64">
        <v>3.98</v>
      </c>
      <c r="J26" s="64">
        <v>1.07</v>
      </c>
      <c r="K26" s="64">
        <v>86.12</v>
      </c>
      <c r="L26" s="64">
        <v>19.07</v>
      </c>
      <c r="M26" s="64">
        <v>91.45</v>
      </c>
      <c r="N26" s="64">
        <v>61.5</v>
      </c>
      <c r="O26" s="64">
        <v>0</v>
      </c>
      <c r="P26" s="64">
        <v>0.5</v>
      </c>
      <c r="Q26" s="64">
        <v>9.07</v>
      </c>
      <c r="R26" s="198"/>
      <c r="S26" s="198"/>
      <c r="T26" s="198"/>
      <c r="U26" s="198"/>
    </row>
    <row r="27" spans="1:21" s="12" customFormat="1" x14ac:dyDescent="0.25">
      <c r="A27" s="247" t="s">
        <v>2470</v>
      </c>
      <c r="B27" s="64">
        <v>7.32</v>
      </c>
      <c r="C27" s="64">
        <v>44.98</v>
      </c>
      <c r="D27" s="64">
        <v>52.3</v>
      </c>
      <c r="E27" s="64">
        <v>2.21</v>
      </c>
      <c r="F27" s="64">
        <v>7.9</v>
      </c>
      <c r="G27" s="64">
        <v>37.75</v>
      </c>
      <c r="H27" s="64">
        <v>13.3</v>
      </c>
      <c r="I27" s="64">
        <v>4.21</v>
      </c>
      <c r="J27" s="64">
        <v>0.89</v>
      </c>
      <c r="K27" s="64">
        <v>91.23</v>
      </c>
      <c r="L27" s="64">
        <v>18.98</v>
      </c>
      <c r="M27" s="64">
        <v>91.94</v>
      </c>
      <c r="N27" s="64">
        <v>61.6</v>
      </c>
      <c r="O27" s="64">
        <v>0</v>
      </c>
      <c r="P27" s="64">
        <v>0.53</v>
      </c>
      <c r="Q27" s="64">
        <v>9.07</v>
      </c>
      <c r="R27" s="198"/>
      <c r="S27" s="198"/>
      <c r="T27" s="198"/>
      <c r="U27" s="198"/>
    </row>
    <row r="28" spans="1:21" s="12" customFormat="1" x14ac:dyDescent="0.25">
      <c r="A28" s="247" t="s">
        <v>2471</v>
      </c>
      <c r="B28" s="64">
        <v>7.75</v>
      </c>
      <c r="C28" s="64">
        <v>48.77</v>
      </c>
      <c r="D28" s="64">
        <v>56.52</v>
      </c>
      <c r="E28" s="64">
        <v>1.95</v>
      </c>
      <c r="F28" s="64">
        <v>7</v>
      </c>
      <c r="G28" s="64">
        <v>38.04</v>
      </c>
      <c r="H28" s="64">
        <v>13.61</v>
      </c>
      <c r="I28" s="64">
        <v>4.1100000000000003</v>
      </c>
      <c r="J28" s="64">
        <v>1.56</v>
      </c>
      <c r="K28" s="64">
        <v>97.83</v>
      </c>
      <c r="L28" s="64">
        <v>19.02</v>
      </c>
      <c r="M28" s="64">
        <v>92.17</v>
      </c>
      <c r="N28" s="64">
        <v>61</v>
      </c>
      <c r="O28" s="64">
        <v>0</v>
      </c>
      <c r="P28" s="64">
        <v>0.53</v>
      </c>
      <c r="Q28" s="64">
        <v>9.09</v>
      </c>
      <c r="R28" s="198"/>
      <c r="S28" s="198"/>
      <c r="T28" s="198"/>
      <c r="U28" s="198"/>
    </row>
    <row r="29" spans="1:21" s="12" customFormat="1" x14ac:dyDescent="0.25">
      <c r="A29" s="247" t="s">
        <v>2472</v>
      </c>
      <c r="B29" s="64">
        <v>7.58</v>
      </c>
      <c r="C29" s="64">
        <v>48.88</v>
      </c>
      <c r="D29" s="64">
        <v>56.46</v>
      </c>
      <c r="E29" s="64">
        <v>1.86</v>
      </c>
      <c r="F29" s="64">
        <v>7.58</v>
      </c>
      <c r="G29" s="64">
        <v>38.04</v>
      </c>
      <c r="H29" s="64">
        <v>13.61</v>
      </c>
      <c r="I29" s="64">
        <v>4</v>
      </c>
      <c r="J29" s="64">
        <v>1.81</v>
      </c>
      <c r="K29" s="64">
        <v>101.41</v>
      </c>
      <c r="L29" s="64">
        <v>19.059999999999999</v>
      </c>
      <c r="M29" s="64">
        <v>92.38</v>
      </c>
      <c r="N29" s="64">
        <v>61.2</v>
      </c>
      <c r="O29" s="64">
        <v>0</v>
      </c>
      <c r="P29" s="64">
        <v>0.51</v>
      </c>
      <c r="Q29" s="64">
        <v>9.09</v>
      </c>
      <c r="R29" s="198"/>
      <c r="S29" s="198"/>
      <c r="T29" s="198"/>
      <c r="U29" s="198"/>
    </row>
    <row r="30" spans="1:21" s="12" customFormat="1" x14ac:dyDescent="0.25">
      <c r="A30" s="247" t="s">
        <v>2473</v>
      </c>
      <c r="B30" s="64">
        <v>7.29</v>
      </c>
      <c r="C30" s="64">
        <v>48.66</v>
      </c>
      <c r="D30" s="64">
        <v>55.96</v>
      </c>
      <c r="E30" s="64">
        <v>1.51</v>
      </c>
      <c r="F30" s="64">
        <v>7.2</v>
      </c>
      <c r="G30" s="64">
        <v>38.04</v>
      </c>
      <c r="H30" s="64">
        <v>13.61</v>
      </c>
      <c r="I30" s="64">
        <v>3.86</v>
      </c>
      <c r="J30" s="64">
        <v>1.99</v>
      </c>
      <c r="K30" s="64">
        <v>98.65</v>
      </c>
      <c r="L30" s="64">
        <v>18.98</v>
      </c>
      <c r="M30" s="64">
        <v>93.15</v>
      </c>
      <c r="N30" s="64">
        <v>61.4</v>
      </c>
      <c r="O30" s="64">
        <v>0</v>
      </c>
      <c r="P30" s="64">
        <v>0.51</v>
      </c>
      <c r="Q30" s="64">
        <v>9.1</v>
      </c>
      <c r="R30" s="198"/>
      <c r="S30" s="198"/>
      <c r="T30" s="198"/>
      <c r="U30" s="198"/>
    </row>
    <row r="31" spans="1:21" s="12" customFormat="1" x14ac:dyDescent="0.25">
      <c r="A31" s="247" t="s">
        <v>2474</v>
      </c>
      <c r="B31" s="64">
        <v>7.37</v>
      </c>
      <c r="C31" s="64">
        <v>48.13</v>
      </c>
      <c r="D31" s="64">
        <v>55.5</v>
      </c>
      <c r="E31" s="64">
        <v>2.06</v>
      </c>
      <c r="F31" s="64">
        <v>8.2100000000000009</v>
      </c>
      <c r="G31" s="64">
        <v>35.700000000000003</v>
      </c>
      <c r="H31" s="64">
        <v>14.16</v>
      </c>
      <c r="I31" s="64">
        <v>4.1100000000000003</v>
      </c>
      <c r="J31" s="64">
        <v>0.88</v>
      </c>
      <c r="K31" s="64">
        <v>34.76</v>
      </c>
      <c r="L31" s="64">
        <v>18.899999999999999</v>
      </c>
      <c r="M31" s="64">
        <v>93.86</v>
      </c>
      <c r="N31" s="64">
        <v>61.7</v>
      </c>
      <c r="O31" s="64">
        <v>0</v>
      </c>
      <c r="P31" s="64">
        <v>0.5</v>
      </c>
      <c r="Q31" s="64">
        <v>9.1</v>
      </c>
      <c r="R31" s="198"/>
      <c r="S31" s="198"/>
      <c r="T31" s="198"/>
      <c r="U31" s="198"/>
    </row>
    <row r="32" spans="1:21" s="12" customFormat="1" x14ac:dyDescent="0.25">
      <c r="A32" s="247" t="s">
        <v>2475</v>
      </c>
      <c r="B32" s="64">
        <v>8.01</v>
      </c>
      <c r="C32" s="64">
        <v>49.49</v>
      </c>
      <c r="D32" s="64">
        <v>57.5</v>
      </c>
      <c r="E32" s="64">
        <v>1.84</v>
      </c>
      <c r="F32" s="64">
        <v>6.62</v>
      </c>
      <c r="G32" s="64">
        <v>34.409999999999997</v>
      </c>
      <c r="H32" s="64">
        <v>14.48</v>
      </c>
      <c r="I32" s="64">
        <v>3.88</v>
      </c>
      <c r="J32" s="64">
        <v>0.62</v>
      </c>
      <c r="K32" s="64">
        <v>42.98</v>
      </c>
      <c r="L32" s="64">
        <v>18.73</v>
      </c>
      <c r="M32" s="64">
        <v>94.35</v>
      </c>
      <c r="N32" s="64">
        <v>63.3</v>
      </c>
      <c r="O32" s="64">
        <v>0</v>
      </c>
      <c r="P32" s="64">
        <v>0.49</v>
      </c>
      <c r="Q32" s="64">
        <v>9.11</v>
      </c>
      <c r="R32" s="198"/>
      <c r="S32" s="198"/>
      <c r="T32" s="198"/>
      <c r="U32" s="198"/>
    </row>
    <row r="33" spans="1:21" s="12" customFormat="1" x14ac:dyDescent="0.25">
      <c r="A33" s="247" t="s">
        <v>2476</v>
      </c>
      <c r="B33" s="64">
        <v>8.43</v>
      </c>
      <c r="C33" s="64">
        <v>49.67</v>
      </c>
      <c r="D33" s="64">
        <v>58.1</v>
      </c>
      <c r="E33" s="64">
        <v>1.78</v>
      </c>
      <c r="F33" s="64">
        <v>7.13</v>
      </c>
      <c r="G33" s="64">
        <v>34.409999999999997</v>
      </c>
      <c r="H33" s="64">
        <v>14.48</v>
      </c>
      <c r="I33" s="64">
        <v>3.97</v>
      </c>
      <c r="J33" s="64">
        <v>1.18</v>
      </c>
      <c r="K33" s="64">
        <v>10.65</v>
      </c>
      <c r="L33" s="64">
        <v>18.55</v>
      </c>
      <c r="M33" s="64">
        <v>93.32</v>
      </c>
      <c r="N33" s="64">
        <v>70.7</v>
      </c>
      <c r="O33" s="64">
        <v>0</v>
      </c>
      <c r="P33" s="64">
        <v>0.5</v>
      </c>
      <c r="Q33" s="64">
        <v>9.1300000000000008</v>
      </c>
      <c r="R33" s="198"/>
      <c r="S33" s="198"/>
      <c r="T33" s="198"/>
      <c r="U33" s="198"/>
    </row>
    <row r="34" spans="1:21" s="12" customFormat="1" x14ac:dyDescent="0.25">
      <c r="A34" s="247" t="s">
        <v>2477</v>
      </c>
      <c r="B34" s="64">
        <v>10.15</v>
      </c>
      <c r="C34" s="64">
        <v>50.47</v>
      </c>
      <c r="D34" s="64">
        <v>60.62</v>
      </c>
      <c r="E34" s="64">
        <v>1.5</v>
      </c>
      <c r="F34" s="64">
        <v>7.37</v>
      </c>
      <c r="G34" s="64">
        <v>34.409999999999997</v>
      </c>
      <c r="H34" s="64">
        <v>14.48</v>
      </c>
      <c r="I34" s="64">
        <v>3.95</v>
      </c>
      <c r="J34" s="64">
        <v>1.46</v>
      </c>
      <c r="K34" s="64">
        <v>4.2699999999999996</v>
      </c>
      <c r="L34" s="64">
        <v>18.489999999999998</v>
      </c>
      <c r="M34" s="64">
        <v>90.57</v>
      </c>
      <c r="N34" s="64">
        <v>88.2</v>
      </c>
      <c r="O34" s="64">
        <v>0</v>
      </c>
      <c r="P34" s="64">
        <v>0.52</v>
      </c>
      <c r="Q34" s="64">
        <v>9.15</v>
      </c>
      <c r="R34" s="198"/>
      <c r="S34" s="198"/>
      <c r="T34" s="198"/>
      <c r="U34" s="198"/>
    </row>
    <row r="35" spans="1:21" s="12" customFormat="1" x14ac:dyDescent="0.25">
      <c r="A35" s="247" t="s">
        <v>2478</v>
      </c>
      <c r="B35" s="64">
        <v>14.73</v>
      </c>
      <c r="C35" s="64">
        <v>53.58</v>
      </c>
      <c r="D35" s="64">
        <v>68.31</v>
      </c>
      <c r="E35" s="64">
        <v>1.77</v>
      </c>
      <c r="F35" s="64">
        <v>7.38</v>
      </c>
      <c r="G35" s="64">
        <v>32.299999999999997</v>
      </c>
      <c r="H35" s="64">
        <v>13.11</v>
      </c>
      <c r="I35" s="64">
        <v>4.01</v>
      </c>
      <c r="J35" s="64">
        <v>1.17</v>
      </c>
      <c r="K35" s="64">
        <v>10.75</v>
      </c>
      <c r="L35" s="64">
        <v>18.829999999999998</v>
      </c>
      <c r="M35" s="64">
        <v>88.16</v>
      </c>
      <c r="N35" s="64">
        <v>118.3</v>
      </c>
      <c r="O35" s="64">
        <v>0</v>
      </c>
      <c r="P35" s="64">
        <v>0.53</v>
      </c>
      <c r="Q35" s="64">
        <v>9.18</v>
      </c>
      <c r="R35" s="198"/>
      <c r="S35" s="198"/>
      <c r="T35" s="198"/>
      <c r="U35" s="198"/>
    </row>
    <row r="36" spans="1:21" s="12" customFormat="1" x14ac:dyDescent="0.25">
      <c r="A36" s="247" t="s">
        <v>2479</v>
      </c>
      <c r="B36" s="64">
        <v>14.8</v>
      </c>
      <c r="C36" s="64">
        <v>53.5</v>
      </c>
      <c r="D36" s="64">
        <v>68.3</v>
      </c>
      <c r="E36" s="64">
        <v>1.82</v>
      </c>
      <c r="F36" s="64">
        <v>7.07</v>
      </c>
      <c r="G36" s="64">
        <v>31.13</v>
      </c>
      <c r="H36" s="64">
        <v>12.32</v>
      </c>
      <c r="I36" s="64">
        <v>4.07</v>
      </c>
      <c r="J36" s="64">
        <v>0.85</v>
      </c>
      <c r="K36" s="64">
        <v>28.53</v>
      </c>
      <c r="L36" s="64">
        <v>19.27</v>
      </c>
      <c r="M36" s="64">
        <v>86.22</v>
      </c>
      <c r="N36" s="64">
        <v>157.4</v>
      </c>
      <c r="O36" s="64">
        <v>0</v>
      </c>
      <c r="P36" s="64">
        <v>0.54</v>
      </c>
      <c r="Q36" s="64">
        <v>9.23</v>
      </c>
      <c r="R36" s="198"/>
      <c r="S36" s="198"/>
      <c r="T36" s="198"/>
      <c r="U36" s="198"/>
    </row>
    <row r="37" spans="1:21" s="12" customFormat="1" x14ac:dyDescent="0.25">
      <c r="A37" s="247" t="s">
        <v>2480</v>
      </c>
      <c r="B37" s="64">
        <v>16.64</v>
      </c>
      <c r="C37" s="64">
        <v>48.38</v>
      </c>
      <c r="D37" s="64">
        <v>65.02</v>
      </c>
      <c r="E37" s="64">
        <v>2.14</v>
      </c>
      <c r="F37" s="64">
        <v>9.08</v>
      </c>
      <c r="G37" s="64">
        <v>31.13</v>
      </c>
      <c r="H37" s="64">
        <v>12.32</v>
      </c>
      <c r="I37" s="64">
        <v>3.97</v>
      </c>
      <c r="J37" s="64">
        <v>0.8</v>
      </c>
      <c r="K37" s="64">
        <v>25.75</v>
      </c>
      <c r="L37" s="64">
        <v>20.16</v>
      </c>
      <c r="M37" s="64">
        <v>82.12</v>
      </c>
      <c r="N37" s="64">
        <v>201.2</v>
      </c>
      <c r="O37" s="64">
        <v>0</v>
      </c>
      <c r="P37" s="64">
        <v>0.55000000000000004</v>
      </c>
      <c r="Q37" s="64">
        <v>9.25</v>
      </c>
      <c r="R37" s="198"/>
      <c r="S37" s="198"/>
      <c r="T37" s="198"/>
      <c r="U37" s="198"/>
    </row>
    <row r="38" spans="1:21" s="12" customFormat="1" x14ac:dyDescent="0.25">
      <c r="A38" s="247" t="s">
        <v>2481</v>
      </c>
      <c r="B38" s="64">
        <v>15.3</v>
      </c>
      <c r="C38" s="64">
        <v>50.83</v>
      </c>
      <c r="D38" s="64">
        <v>66.13</v>
      </c>
      <c r="E38" s="64">
        <v>1.96</v>
      </c>
      <c r="F38" s="64">
        <v>9.5299999999999994</v>
      </c>
      <c r="G38" s="64">
        <v>31.13</v>
      </c>
      <c r="H38" s="64">
        <v>12.32</v>
      </c>
      <c r="I38" s="64">
        <v>4</v>
      </c>
      <c r="J38" s="64">
        <v>1.1399999999999999</v>
      </c>
      <c r="K38" s="64">
        <v>11.55</v>
      </c>
      <c r="L38" s="64">
        <v>21.06</v>
      </c>
      <c r="M38" s="64">
        <v>78.06</v>
      </c>
      <c r="N38" s="64">
        <v>250.3</v>
      </c>
      <c r="O38" s="64">
        <v>0</v>
      </c>
      <c r="P38" s="64">
        <v>0.57999999999999996</v>
      </c>
      <c r="Q38" s="64">
        <v>9.27</v>
      </c>
      <c r="R38" s="198"/>
      <c r="S38" s="198"/>
      <c r="T38" s="198"/>
      <c r="U38" s="198"/>
    </row>
    <row r="39" spans="1:21" s="12" customFormat="1" x14ac:dyDescent="0.25">
      <c r="A39" s="247" t="s">
        <v>2482</v>
      </c>
      <c r="B39" s="64">
        <v>20.58</v>
      </c>
      <c r="C39" s="64">
        <v>52.89</v>
      </c>
      <c r="D39" s="64">
        <v>73.47</v>
      </c>
      <c r="E39" s="64">
        <v>1.95</v>
      </c>
      <c r="F39" s="64">
        <v>8.34</v>
      </c>
      <c r="G39" s="64">
        <v>36.950000000000003</v>
      </c>
      <c r="H39" s="64">
        <v>14.16</v>
      </c>
      <c r="I39" s="64">
        <v>4.16</v>
      </c>
      <c r="J39" s="64">
        <v>0.74</v>
      </c>
      <c r="K39" s="64">
        <v>66.61</v>
      </c>
      <c r="L39" s="64">
        <v>21.52</v>
      </c>
      <c r="M39" s="64">
        <v>76.400000000000006</v>
      </c>
      <c r="N39" s="64">
        <v>297.5</v>
      </c>
      <c r="O39" s="64">
        <v>0</v>
      </c>
      <c r="P39" s="64">
        <v>0.6</v>
      </c>
      <c r="Q39" s="64">
        <v>9.31</v>
      </c>
      <c r="R39" s="198"/>
      <c r="S39" s="198"/>
      <c r="T39" s="198"/>
      <c r="U39" s="198"/>
    </row>
    <row r="40" spans="1:21" s="12" customFormat="1" x14ac:dyDescent="0.25">
      <c r="A40" s="247" t="s">
        <v>2483</v>
      </c>
      <c r="B40" s="64">
        <v>15.62</v>
      </c>
      <c r="C40" s="64">
        <v>53.21</v>
      </c>
      <c r="D40" s="64">
        <v>68.83</v>
      </c>
      <c r="E40" s="64">
        <v>1.48</v>
      </c>
      <c r="F40" s="64">
        <v>8.5500000000000007</v>
      </c>
      <c r="G40" s="64">
        <v>40.17</v>
      </c>
      <c r="H40" s="64">
        <v>15.23</v>
      </c>
      <c r="I40" s="64">
        <v>4</v>
      </c>
      <c r="J40" s="64">
        <v>0.9</v>
      </c>
      <c r="K40" s="64">
        <v>50.23</v>
      </c>
      <c r="L40" s="64">
        <v>21.74</v>
      </c>
      <c r="M40" s="64">
        <v>75.569999999999993</v>
      </c>
      <c r="N40" s="64">
        <v>341.4</v>
      </c>
      <c r="O40" s="64">
        <v>0</v>
      </c>
      <c r="P40" s="64">
        <v>0.59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47" t="s">
        <v>2484</v>
      </c>
      <c r="B41" s="64">
        <v>17.559999999999999</v>
      </c>
      <c r="C41" s="64">
        <v>57.19</v>
      </c>
      <c r="D41" s="64">
        <v>74.75</v>
      </c>
      <c r="E41" s="64">
        <v>2.58</v>
      </c>
      <c r="F41" s="64">
        <v>9.5500000000000007</v>
      </c>
      <c r="G41" s="64">
        <v>40.17</v>
      </c>
      <c r="H41" s="64">
        <v>15.23</v>
      </c>
      <c r="I41" s="64">
        <v>4.0199999999999996</v>
      </c>
      <c r="J41" s="64">
        <v>0.86</v>
      </c>
      <c r="K41" s="64">
        <v>13.09</v>
      </c>
      <c r="L41" s="64">
        <v>23.5</v>
      </c>
      <c r="M41" s="64">
        <v>68.209999999999994</v>
      </c>
      <c r="N41" s="64">
        <v>384.2</v>
      </c>
      <c r="O41" s="64">
        <v>0</v>
      </c>
      <c r="P41" s="64">
        <v>0.63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47" t="s">
        <v>2485</v>
      </c>
      <c r="B42" s="64">
        <v>16.739999999999998</v>
      </c>
      <c r="C42" s="64">
        <v>53.34</v>
      </c>
      <c r="D42" s="64">
        <v>70.08</v>
      </c>
      <c r="E42" s="64">
        <v>2.52</v>
      </c>
      <c r="F42" s="64">
        <v>10.43</v>
      </c>
      <c r="G42" s="64">
        <v>40.17</v>
      </c>
      <c r="H42" s="64">
        <v>15.23</v>
      </c>
      <c r="I42" s="64">
        <v>4.03</v>
      </c>
      <c r="J42" s="64">
        <v>0.87</v>
      </c>
      <c r="K42" s="64">
        <v>30.71</v>
      </c>
      <c r="L42" s="64">
        <v>23.53</v>
      </c>
      <c r="M42" s="64">
        <v>69.03</v>
      </c>
      <c r="N42" s="64">
        <v>433.3</v>
      </c>
      <c r="O42" s="64">
        <v>0</v>
      </c>
      <c r="P42" s="64">
        <v>0.62</v>
      </c>
      <c r="Q42" s="64">
        <v>9.35</v>
      </c>
      <c r="R42" s="198"/>
      <c r="S42" s="198"/>
      <c r="T42" s="198"/>
      <c r="U42" s="198"/>
    </row>
    <row r="43" spans="1:21" s="12" customFormat="1" x14ac:dyDescent="0.25">
      <c r="A43" s="247" t="s">
        <v>2486</v>
      </c>
      <c r="B43" s="64">
        <v>18.29</v>
      </c>
      <c r="C43" s="64">
        <v>57.21</v>
      </c>
      <c r="D43" s="64">
        <v>75.5</v>
      </c>
      <c r="E43" s="64">
        <v>2.39</v>
      </c>
      <c r="F43" s="64">
        <v>10.53</v>
      </c>
      <c r="G43" s="64">
        <v>46.39</v>
      </c>
      <c r="H43" s="64">
        <v>14.76</v>
      </c>
      <c r="I43" s="64">
        <v>3.87</v>
      </c>
      <c r="J43" s="64">
        <v>0.76</v>
      </c>
      <c r="K43" s="64">
        <v>69.47</v>
      </c>
      <c r="L43" s="64">
        <v>24.52</v>
      </c>
      <c r="M43" s="64">
        <v>65.040000000000006</v>
      </c>
      <c r="N43" s="64">
        <v>480.3</v>
      </c>
      <c r="O43" s="64">
        <v>0</v>
      </c>
      <c r="P43" s="64">
        <v>0.64</v>
      </c>
      <c r="Q43" s="64">
        <v>9.3800000000000008</v>
      </c>
      <c r="R43" s="198"/>
      <c r="S43" s="198"/>
      <c r="T43" s="198"/>
      <c r="U43" s="198"/>
    </row>
    <row r="44" spans="1:21" s="12" customFormat="1" x14ac:dyDescent="0.25">
      <c r="A44" s="247" t="s">
        <v>2487</v>
      </c>
      <c r="B44" s="64">
        <v>17.239999999999998</v>
      </c>
      <c r="C44" s="64">
        <v>60.95</v>
      </c>
      <c r="D44" s="64">
        <v>78.19</v>
      </c>
      <c r="E44" s="64">
        <v>2.4300000000000002</v>
      </c>
      <c r="F44" s="64">
        <v>7.36</v>
      </c>
      <c r="G44" s="64">
        <v>49.83</v>
      </c>
      <c r="H44" s="64">
        <v>14.49</v>
      </c>
      <c r="I44" s="64">
        <v>4.1100000000000003</v>
      </c>
      <c r="J44" s="64">
        <v>0.9</v>
      </c>
      <c r="K44" s="64">
        <v>81.2</v>
      </c>
      <c r="L44" s="64">
        <v>24</v>
      </c>
      <c r="M44" s="64">
        <v>67.319999999999993</v>
      </c>
      <c r="N44" s="64">
        <v>531.6</v>
      </c>
      <c r="O44" s="64">
        <v>0</v>
      </c>
      <c r="P44" s="64">
        <v>0.6</v>
      </c>
      <c r="Q44" s="64">
        <v>9.3800000000000008</v>
      </c>
      <c r="R44" s="198"/>
      <c r="S44" s="198"/>
      <c r="T44" s="198"/>
      <c r="U44" s="198"/>
    </row>
    <row r="45" spans="1:21" s="12" customFormat="1" x14ac:dyDescent="0.25">
      <c r="A45" s="247" t="s">
        <v>2488</v>
      </c>
      <c r="B45" s="64">
        <v>16.45</v>
      </c>
      <c r="C45" s="64">
        <v>60.12</v>
      </c>
      <c r="D45" s="64">
        <v>76.569999999999993</v>
      </c>
      <c r="E45" s="64">
        <v>2.86</v>
      </c>
      <c r="F45" s="64">
        <v>9.2899999999999991</v>
      </c>
      <c r="G45" s="64">
        <v>49.83</v>
      </c>
      <c r="H45" s="64">
        <v>14.49</v>
      </c>
      <c r="I45" s="64">
        <v>3.94</v>
      </c>
      <c r="J45" s="64">
        <v>0.8</v>
      </c>
      <c r="K45" s="64">
        <v>56.19</v>
      </c>
      <c r="L45" s="64">
        <v>25.25</v>
      </c>
      <c r="M45" s="64">
        <v>62.21</v>
      </c>
      <c r="N45" s="64">
        <v>583.79999999999995</v>
      </c>
      <c r="O45" s="64">
        <v>0</v>
      </c>
      <c r="P45" s="64">
        <v>0.62</v>
      </c>
      <c r="Q45" s="64">
        <v>9.3800000000000008</v>
      </c>
      <c r="R45" s="198"/>
      <c r="S45" s="198"/>
      <c r="T45" s="198"/>
      <c r="U45" s="198"/>
    </row>
    <row r="46" spans="1:21" s="12" customFormat="1" x14ac:dyDescent="0.25">
      <c r="A46" s="247" t="s">
        <v>2489</v>
      </c>
      <c r="B46" s="64">
        <v>13.68</v>
      </c>
      <c r="C46" s="64">
        <v>57.03</v>
      </c>
      <c r="D46" s="64">
        <v>70.709999999999994</v>
      </c>
      <c r="E46" s="64">
        <v>3.01</v>
      </c>
      <c r="F46" s="64">
        <v>10.08</v>
      </c>
      <c r="G46" s="64">
        <v>49.83</v>
      </c>
      <c r="H46" s="64">
        <v>14.49</v>
      </c>
      <c r="I46" s="64">
        <v>3.93</v>
      </c>
      <c r="J46" s="64">
        <v>0.76</v>
      </c>
      <c r="K46" s="64">
        <v>83.36</v>
      </c>
      <c r="L46" s="64">
        <v>26.02</v>
      </c>
      <c r="M46" s="64">
        <v>59.36</v>
      </c>
      <c r="N46" s="64">
        <v>639.20000000000005</v>
      </c>
      <c r="O46" s="64">
        <v>0</v>
      </c>
      <c r="P46" s="64">
        <v>0.6</v>
      </c>
      <c r="Q46" s="64">
        <v>9.36</v>
      </c>
      <c r="R46" s="198"/>
      <c r="S46" s="198"/>
      <c r="T46" s="198"/>
      <c r="U46" s="198"/>
    </row>
    <row r="47" spans="1:21" s="12" customFormat="1" x14ac:dyDescent="0.25">
      <c r="A47" s="247" t="s">
        <v>2490</v>
      </c>
      <c r="B47" s="64">
        <v>12.41</v>
      </c>
      <c r="C47" s="64">
        <v>55.8</v>
      </c>
      <c r="D47" s="64">
        <v>68.209999999999994</v>
      </c>
      <c r="E47" s="64">
        <v>2.37</v>
      </c>
      <c r="F47" s="64">
        <v>9.35</v>
      </c>
      <c r="G47" s="64">
        <v>48.78</v>
      </c>
      <c r="H47" s="64">
        <v>16.39</v>
      </c>
      <c r="I47" s="64">
        <v>3.96</v>
      </c>
      <c r="J47" s="64">
        <v>1.24</v>
      </c>
      <c r="K47" s="64">
        <v>117.23</v>
      </c>
      <c r="L47" s="64">
        <v>25.23</v>
      </c>
      <c r="M47" s="64">
        <v>61.11</v>
      </c>
      <c r="N47" s="64">
        <v>691</v>
      </c>
      <c r="O47" s="64">
        <v>0</v>
      </c>
      <c r="P47" s="64">
        <v>0.6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47" t="s">
        <v>2491</v>
      </c>
      <c r="B48" s="64">
        <v>11.16</v>
      </c>
      <c r="C48" s="64">
        <v>57.92</v>
      </c>
      <c r="D48" s="64">
        <v>69.08</v>
      </c>
      <c r="E48" s="64">
        <v>2.57</v>
      </c>
      <c r="F48" s="64">
        <v>10.87</v>
      </c>
      <c r="G48" s="64">
        <v>48.21</v>
      </c>
      <c r="H48" s="64">
        <v>17.48</v>
      </c>
      <c r="I48" s="64">
        <v>4.13</v>
      </c>
      <c r="J48" s="64">
        <v>0.7</v>
      </c>
      <c r="K48" s="64">
        <v>117.18</v>
      </c>
      <c r="L48" s="64">
        <v>26.35</v>
      </c>
      <c r="M48" s="64">
        <v>56.83</v>
      </c>
      <c r="N48" s="64">
        <v>728.2</v>
      </c>
      <c r="O48" s="64">
        <v>0</v>
      </c>
      <c r="P48" s="64">
        <v>0.6</v>
      </c>
      <c r="Q48" s="64">
        <v>9.2899999999999991</v>
      </c>
      <c r="R48" s="198"/>
      <c r="S48" s="198"/>
      <c r="T48" s="198"/>
      <c r="U48" s="198"/>
    </row>
    <row r="49" spans="1:21" s="12" customFormat="1" x14ac:dyDescent="0.25">
      <c r="A49" s="247" t="s">
        <v>2492</v>
      </c>
      <c r="B49" s="64">
        <v>12.78</v>
      </c>
      <c r="C49" s="64">
        <v>57.11</v>
      </c>
      <c r="D49" s="64">
        <v>69.88</v>
      </c>
      <c r="E49" s="64">
        <v>2.66</v>
      </c>
      <c r="F49" s="64">
        <v>10.87</v>
      </c>
      <c r="G49" s="64">
        <v>48.21</v>
      </c>
      <c r="H49" s="64">
        <v>17.48</v>
      </c>
      <c r="I49" s="64">
        <v>3.98</v>
      </c>
      <c r="J49" s="64">
        <v>1.4</v>
      </c>
      <c r="K49" s="64">
        <v>346.29</v>
      </c>
      <c r="L49" s="64">
        <v>29.59</v>
      </c>
      <c r="M49" s="64">
        <v>47.11</v>
      </c>
      <c r="N49" s="64">
        <v>756.3</v>
      </c>
      <c r="O49" s="64">
        <v>0</v>
      </c>
      <c r="P49" s="64">
        <v>0.64</v>
      </c>
      <c r="Q49" s="64">
        <v>9.26</v>
      </c>
      <c r="R49" s="198"/>
      <c r="S49" s="198"/>
      <c r="T49" s="198"/>
      <c r="U49" s="198"/>
    </row>
    <row r="50" spans="1:21" s="12" customFormat="1" x14ac:dyDescent="0.25">
      <c r="A50" s="247" t="s">
        <v>2493</v>
      </c>
      <c r="B50" s="64">
        <v>10.35</v>
      </c>
      <c r="C50" s="64">
        <v>58.9</v>
      </c>
      <c r="D50" s="64">
        <v>69.260000000000005</v>
      </c>
      <c r="E50" s="64">
        <v>2.63</v>
      </c>
      <c r="F50" s="64">
        <v>11.99</v>
      </c>
      <c r="G50" s="64">
        <v>48.21</v>
      </c>
      <c r="H50" s="64">
        <v>17.48</v>
      </c>
      <c r="I50" s="64">
        <v>3.96</v>
      </c>
      <c r="J50" s="64">
        <v>0.36</v>
      </c>
      <c r="K50" s="64">
        <v>344.32</v>
      </c>
      <c r="L50" s="64">
        <v>30.91</v>
      </c>
      <c r="M50" s="64">
        <v>43.81</v>
      </c>
      <c r="N50" s="64">
        <v>780.2</v>
      </c>
      <c r="O50" s="64">
        <v>0</v>
      </c>
      <c r="P50" s="64">
        <v>0.65</v>
      </c>
      <c r="Q50" s="64">
        <v>9.23</v>
      </c>
      <c r="R50" s="198"/>
      <c r="S50" s="198"/>
      <c r="T50" s="198"/>
      <c r="U50" s="198"/>
    </row>
    <row r="51" spans="1:21" s="12" customFormat="1" x14ac:dyDescent="0.25">
      <c r="A51" s="247" t="s">
        <v>2494</v>
      </c>
      <c r="B51" s="64">
        <v>5.64</v>
      </c>
      <c r="C51" s="64">
        <v>60.82</v>
      </c>
      <c r="D51" s="64">
        <v>66.459999999999994</v>
      </c>
      <c r="E51" s="64">
        <v>3.03</v>
      </c>
      <c r="F51" s="64">
        <v>14.26</v>
      </c>
      <c r="G51" s="64">
        <v>43.99</v>
      </c>
      <c r="H51" s="64">
        <v>16.7</v>
      </c>
      <c r="I51" s="64">
        <v>3.91</v>
      </c>
      <c r="J51" s="64">
        <v>1.01</v>
      </c>
      <c r="K51" s="64">
        <v>144.24</v>
      </c>
      <c r="L51" s="64">
        <v>28.7</v>
      </c>
      <c r="M51" s="64">
        <v>48.66</v>
      </c>
      <c r="N51" s="64">
        <v>795.1</v>
      </c>
      <c r="O51" s="64">
        <v>0</v>
      </c>
      <c r="P51" s="64">
        <v>0.63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47" t="s">
        <v>2495</v>
      </c>
      <c r="B52" s="64">
        <v>4.25</v>
      </c>
      <c r="C52" s="64">
        <v>58.67</v>
      </c>
      <c r="D52" s="64">
        <v>62.92</v>
      </c>
      <c r="E52" s="64">
        <v>2.83</v>
      </c>
      <c r="F52" s="64">
        <v>17.16</v>
      </c>
      <c r="G52" s="209" t="s">
        <v>36</v>
      </c>
      <c r="H52" s="209" t="s">
        <v>36</v>
      </c>
      <c r="I52" s="64">
        <v>3.82</v>
      </c>
      <c r="J52" s="64">
        <v>1.0900000000000001</v>
      </c>
      <c r="K52" s="64">
        <v>343.25</v>
      </c>
      <c r="L52" s="64">
        <v>30.09</v>
      </c>
      <c r="M52" s="64">
        <v>45.03</v>
      </c>
      <c r="N52" s="64">
        <v>797.3</v>
      </c>
      <c r="O52" s="64">
        <v>0</v>
      </c>
      <c r="P52" s="64">
        <v>0.63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47" t="s">
        <v>2496</v>
      </c>
      <c r="B53" s="64">
        <v>3.9</v>
      </c>
      <c r="C53" s="64">
        <v>62.68</v>
      </c>
      <c r="D53" s="64">
        <v>66.58</v>
      </c>
      <c r="E53" s="64">
        <v>3.54</v>
      </c>
      <c r="F53" s="64">
        <v>18.73</v>
      </c>
      <c r="G53" s="209" t="s">
        <v>36</v>
      </c>
      <c r="H53" s="209" t="s">
        <v>36</v>
      </c>
      <c r="I53" s="64">
        <v>4.1100000000000003</v>
      </c>
      <c r="J53" s="64">
        <v>0.95</v>
      </c>
      <c r="K53" s="64">
        <v>340.35</v>
      </c>
      <c r="L53" s="64">
        <v>32.01</v>
      </c>
      <c r="M53" s="64">
        <v>40.07</v>
      </c>
      <c r="N53" s="64">
        <v>790.9</v>
      </c>
      <c r="O53" s="64">
        <v>0</v>
      </c>
      <c r="P53" s="64">
        <v>0.71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47" t="s">
        <v>2497</v>
      </c>
      <c r="B54" s="64">
        <v>3.85</v>
      </c>
      <c r="C54" s="64">
        <v>57.52</v>
      </c>
      <c r="D54" s="64">
        <v>61.37</v>
      </c>
      <c r="E54" s="64">
        <v>3.37</v>
      </c>
      <c r="F54" s="64">
        <v>18.96</v>
      </c>
      <c r="G54" s="209" t="s">
        <v>36</v>
      </c>
      <c r="H54" s="209" t="s">
        <v>36</v>
      </c>
      <c r="I54" s="64">
        <v>3.98</v>
      </c>
      <c r="J54" s="64">
        <v>0.89</v>
      </c>
      <c r="K54" s="64">
        <v>355.78</v>
      </c>
      <c r="L54" s="64">
        <v>31.3</v>
      </c>
      <c r="M54" s="64">
        <v>41.65</v>
      </c>
      <c r="N54" s="64">
        <v>823.7</v>
      </c>
      <c r="O54" s="64">
        <v>0</v>
      </c>
      <c r="P54" s="64">
        <v>0.71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47" t="s">
        <v>2498</v>
      </c>
      <c r="B55" s="64">
        <v>5.71</v>
      </c>
      <c r="C55" s="64">
        <v>47.8</v>
      </c>
      <c r="D55" s="64">
        <v>53.51</v>
      </c>
      <c r="E55" s="64">
        <v>4.12</v>
      </c>
      <c r="F55" s="64">
        <v>24</v>
      </c>
      <c r="G55" s="209" t="s">
        <v>36</v>
      </c>
      <c r="H55" s="209" t="s">
        <v>36</v>
      </c>
      <c r="I55" s="64">
        <v>4.09</v>
      </c>
      <c r="J55" s="64">
        <v>1.26</v>
      </c>
      <c r="K55" s="64">
        <v>11.74</v>
      </c>
      <c r="L55" s="64">
        <v>31.23</v>
      </c>
      <c r="M55" s="64">
        <v>41.09</v>
      </c>
      <c r="N55" s="64">
        <v>831.7</v>
      </c>
      <c r="O55" s="64">
        <v>0</v>
      </c>
      <c r="P55" s="64">
        <v>0.67</v>
      </c>
      <c r="Q55" s="64">
        <v>9.15</v>
      </c>
      <c r="R55" s="198"/>
      <c r="S55" s="198"/>
      <c r="T55" s="198"/>
      <c r="U55" s="198"/>
    </row>
    <row r="56" spans="1:21" s="12" customFormat="1" x14ac:dyDescent="0.25">
      <c r="A56" s="247" t="s">
        <v>2499</v>
      </c>
      <c r="B56" s="64">
        <v>4.1399999999999997</v>
      </c>
      <c r="C56" s="64">
        <v>50.87</v>
      </c>
      <c r="D56" s="64">
        <v>55</v>
      </c>
      <c r="E56" s="64">
        <v>4.05</v>
      </c>
      <c r="F56" s="64">
        <v>27.34</v>
      </c>
      <c r="G56" s="64">
        <v>17.53</v>
      </c>
      <c r="H56" s="64">
        <v>2.87</v>
      </c>
      <c r="I56" s="64">
        <v>4.09</v>
      </c>
      <c r="J56" s="64">
        <v>1.07</v>
      </c>
      <c r="K56" s="64">
        <v>349.93</v>
      </c>
      <c r="L56" s="64">
        <v>32.51</v>
      </c>
      <c r="M56" s="64">
        <v>36.96</v>
      </c>
      <c r="N56" s="64">
        <v>853.3</v>
      </c>
      <c r="O56" s="64">
        <v>0</v>
      </c>
      <c r="P56" s="64">
        <v>0.67</v>
      </c>
      <c r="Q56" s="64">
        <v>9.1199999999999992</v>
      </c>
      <c r="R56" s="198"/>
      <c r="S56" s="198"/>
      <c r="T56" s="198"/>
      <c r="U56" s="198"/>
    </row>
    <row r="57" spans="1:21" s="12" customFormat="1" x14ac:dyDescent="0.25">
      <c r="A57" s="247" t="s">
        <v>2500</v>
      </c>
      <c r="B57" s="64">
        <v>4.66</v>
      </c>
      <c r="C57" s="64">
        <v>49.68</v>
      </c>
      <c r="D57" s="64">
        <v>54.34</v>
      </c>
      <c r="E57" s="64">
        <v>4.07</v>
      </c>
      <c r="F57" s="64">
        <v>19.77</v>
      </c>
      <c r="G57" s="64">
        <v>75.14</v>
      </c>
      <c r="H57" s="64">
        <v>9.56</v>
      </c>
      <c r="I57" s="64">
        <v>4</v>
      </c>
      <c r="J57" s="64">
        <v>0.76</v>
      </c>
      <c r="K57" s="64">
        <v>315.8</v>
      </c>
      <c r="L57" s="64">
        <v>32.950000000000003</v>
      </c>
      <c r="M57" s="64">
        <v>36.119999999999997</v>
      </c>
      <c r="N57" s="64">
        <v>876.3</v>
      </c>
      <c r="O57" s="64">
        <v>0</v>
      </c>
      <c r="P57" s="64">
        <v>0.68</v>
      </c>
      <c r="Q57" s="64">
        <v>9.1199999999999992</v>
      </c>
      <c r="R57" s="198"/>
      <c r="S57" s="198"/>
      <c r="T57" s="198"/>
      <c r="U57" s="198"/>
    </row>
    <row r="58" spans="1:21" s="12" customFormat="1" x14ac:dyDescent="0.25">
      <c r="A58" s="247" t="s">
        <v>2501</v>
      </c>
      <c r="B58" s="64">
        <v>5.12</v>
      </c>
      <c r="C58" s="64">
        <v>47.16</v>
      </c>
      <c r="D58" s="64">
        <v>52.29</v>
      </c>
      <c r="E58" s="64">
        <v>4.37</v>
      </c>
      <c r="F58" s="64">
        <v>26.78</v>
      </c>
      <c r="G58" s="64">
        <v>75.14</v>
      </c>
      <c r="H58" s="64">
        <v>9.56</v>
      </c>
      <c r="I58" s="64">
        <v>4.26</v>
      </c>
      <c r="J58" s="64">
        <v>0.91</v>
      </c>
      <c r="K58" s="64">
        <v>347.73</v>
      </c>
      <c r="L58" s="64">
        <v>32.33</v>
      </c>
      <c r="M58" s="64">
        <v>36.51</v>
      </c>
      <c r="N58" s="64">
        <v>892.9</v>
      </c>
      <c r="O58" s="64">
        <v>0</v>
      </c>
      <c r="P58" s="64">
        <v>0.69</v>
      </c>
      <c r="Q58" s="64">
        <v>9.09</v>
      </c>
      <c r="R58" s="198"/>
      <c r="S58" s="198"/>
      <c r="T58" s="198"/>
      <c r="U58" s="198"/>
    </row>
    <row r="59" spans="1:21" s="12" customFormat="1" x14ac:dyDescent="0.25">
      <c r="A59" s="247" t="s">
        <v>2502</v>
      </c>
      <c r="B59" s="64">
        <v>4.63</v>
      </c>
      <c r="C59" s="64">
        <v>42.15</v>
      </c>
      <c r="D59" s="64">
        <v>46.79</v>
      </c>
      <c r="E59" s="64">
        <v>4.17</v>
      </c>
      <c r="F59" s="64">
        <v>25.64</v>
      </c>
      <c r="G59" s="64">
        <v>75.14</v>
      </c>
      <c r="H59" s="64">
        <v>9.56</v>
      </c>
      <c r="I59" s="64">
        <v>3.97</v>
      </c>
      <c r="J59" s="64">
        <v>1.1399999999999999</v>
      </c>
      <c r="K59" s="64">
        <v>336.73</v>
      </c>
      <c r="L59" s="64">
        <v>34.06</v>
      </c>
      <c r="M59" s="64">
        <v>30.81</v>
      </c>
      <c r="N59" s="64">
        <v>937.4</v>
      </c>
      <c r="O59" s="64">
        <v>0</v>
      </c>
      <c r="P59" s="64">
        <v>0.63</v>
      </c>
      <c r="Q59" s="64">
        <v>9.08</v>
      </c>
      <c r="R59" s="198"/>
      <c r="S59" s="198"/>
      <c r="T59" s="198"/>
      <c r="U59" s="198"/>
    </row>
    <row r="60" spans="1:21" s="12" customFormat="1" x14ac:dyDescent="0.25">
      <c r="A60" s="247" t="s">
        <v>2503</v>
      </c>
      <c r="B60" s="64">
        <v>5.63</v>
      </c>
      <c r="C60" s="64">
        <v>41.52</v>
      </c>
      <c r="D60" s="64">
        <v>47.15</v>
      </c>
      <c r="E60" s="64">
        <v>5.05</v>
      </c>
      <c r="F60" s="64">
        <v>31.3</v>
      </c>
      <c r="G60" s="64">
        <v>71.42</v>
      </c>
      <c r="H60" s="64">
        <v>10.16</v>
      </c>
      <c r="I60" s="64">
        <v>4.0599999999999996</v>
      </c>
      <c r="J60" s="64">
        <v>1.58</v>
      </c>
      <c r="K60" s="64">
        <v>357.75</v>
      </c>
      <c r="L60" s="64">
        <v>34.200000000000003</v>
      </c>
      <c r="M60" s="64">
        <v>27.35</v>
      </c>
      <c r="N60" s="64">
        <v>719.4</v>
      </c>
      <c r="O60" s="64">
        <v>0</v>
      </c>
      <c r="P60" s="64">
        <v>0.62</v>
      </c>
      <c r="Q60" s="64">
        <v>9.09</v>
      </c>
      <c r="R60" s="198"/>
      <c r="S60" s="198"/>
      <c r="T60" s="198"/>
      <c r="U60" s="198"/>
    </row>
    <row r="61" spans="1:21" s="12" customFormat="1" x14ac:dyDescent="0.25">
      <c r="A61" s="247" t="s">
        <v>2504</v>
      </c>
      <c r="B61" s="64">
        <v>5.78</v>
      </c>
      <c r="C61" s="64">
        <v>39.86</v>
      </c>
      <c r="D61" s="64">
        <v>41.32</v>
      </c>
      <c r="E61" s="64">
        <v>4.49</v>
      </c>
      <c r="F61" s="64">
        <v>24.37</v>
      </c>
      <c r="G61" s="64">
        <v>59.92</v>
      </c>
      <c r="H61" s="64">
        <v>11.47</v>
      </c>
      <c r="I61" s="64">
        <v>4.09</v>
      </c>
      <c r="J61" s="64">
        <v>0.21</v>
      </c>
      <c r="K61" s="64">
        <v>326.83999999999997</v>
      </c>
      <c r="L61" s="64">
        <v>32.07</v>
      </c>
      <c r="M61" s="64">
        <v>24.96</v>
      </c>
      <c r="N61" s="64">
        <v>480.4</v>
      </c>
      <c r="O61" s="64">
        <v>0</v>
      </c>
      <c r="P61" s="64">
        <v>0.55000000000000004</v>
      </c>
      <c r="Q61" s="64">
        <v>9.08</v>
      </c>
      <c r="R61" s="198"/>
      <c r="S61" s="198"/>
      <c r="T61" s="198"/>
      <c r="U61" s="198"/>
    </row>
    <row r="62" spans="1:21" s="12" customFormat="1" x14ac:dyDescent="0.25">
      <c r="A62" s="247" t="s">
        <v>2505</v>
      </c>
      <c r="B62" s="64">
        <v>4.42</v>
      </c>
      <c r="C62" s="64">
        <v>48.23</v>
      </c>
      <c r="D62" s="64">
        <v>52.65</v>
      </c>
      <c r="E62" s="64">
        <v>3.52</v>
      </c>
      <c r="F62" s="64">
        <v>19.38</v>
      </c>
      <c r="G62" s="64">
        <v>59.92</v>
      </c>
      <c r="H62" s="64">
        <v>11.47</v>
      </c>
      <c r="I62" s="64">
        <v>4.0599999999999996</v>
      </c>
      <c r="J62" s="64">
        <v>0.9</v>
      </c>
      <c r="K62" s="64">
        <v>349.84</v>
      </c>
      <c r="L62" s="64">
        <v>31.62</v>
      </c>
      <c r="M62" s="64">
        <v>28.77</v>
      </c>
      <c r="N62" s="64">
        <v>833.7</v>
      </c>
      <c r="O62" s="64">
        <v>0</v>
      </c>
      <c r="P62" s="64">
        <v>0.57999999999999996</v>
      </c>
      <c r="Q62" s="64">
        <v>9.07</v>
      </c>
      <c r="R62" s="198"/>
      <c r="S62" s="198"/>
      <c r="T62" s="198"/>
      <c r="U62" s="198"/>
    </row>
    <row r="63" spans="1:21" s="12" customFormat="1" x14ac:dyDescent="0.25">
      <c r="A63" s="247" t="s">
        <v>2506</v>
      </c>
      <c r="B63" s="64">
        <v>5.63</v>
      </c>
      <c r="C63" s="64">
        <v>53.36</v>
      </c>
      <c r="D63" s="64">
        <v>58.99</v>
      </c>
      <c r="E63" s="64">
        <v>4.49</v>
      </c>
      <c r="F63" s="64">
        <v>21.11</v>
      </c>
      <c r="G63" s="64">
        <v>59.92</v>
      </c>
      <c r="H63" s="64">
        <v>11.47</v>
      </c>
      <c r="I63" s="64">
        <v>3.92</v>
      </c>
      <c r="J63" s="64">
        <v>1.26</v>
      </c>
      <c r="K63" s="64">
        <v>339.24</v>
      </c>
      <c r="L63" s="64">
        <v>33.85</v>
      </c>
      <c r="M63" s="64">
        <v>25.05</v>
      </c>
      <c r="N63" s="64">
        <v>658.8</v>
      </c>
      <c r="O63" s="64">
        <v>0</v>
      </c>
      <c r="P63" s="64">
        <v>0.56999999999999995</v>
      </c>
      <c r="Q63" s="64">
        <v>9.08</v>
      </c>
      <c r="R63" s="198"/>
      <c r="S63" s="198"/>
      <c r="T63" s="198"/>
      <c r="U63" s="198"/>
    </row>
    <row r="64" spans="1:21" s="12" customFormat="1" x14ac:dyDescent="0.25">
      <c r="A64" s="247" t="s">
        <v>2507</v>
      </c>
      <c r="B64" s="64">
        <v>4.74</v>
      </c>
      <c r="C64" s="64">
        <v>53.35</v>
      </c>
      <c r="D64" s="64">
        <v>58.09</v>
      </c>
      <c r="E64" s="64">
        <v>6.55</v>
      </c>
      <c r="F64" s="64">
        <v>22.34</v>
      </c>
      <c r="G64" s="64">
        <v>60.98</v>
      </c>
      <c r="H64" s="64">
        <v>13.19</v>
      </c>
      <c r="I64" s="64">
        <v>3.97</v>
      </c>
      <c r="J64" s="64">
        <v>1.37</v>
      </c>
      <c r="K64" s="64">
        <v>345.22</v>
      </c>
      <c r="L64" s="64">
        <v>33.32</v>
      </c>
      <c r="M64" s="64">
        <v>26.17</v>
      </c>
      <c r="N64" s="64">
        <v>529.5</v>
      </c>
      <c r="O64" s="64">
        <v>0</v>
      </c>
      <c r="P64" s="64">
        <v>0.6</v>
      </c>
      <c r="Q64" s="64">
        <v>9.09</v>
      </c>
      <c r="R64" s="198"/>
      <c r="S64" s="198"/>
      <c r="T64" s="198"/>
      <c r="U64" s="198"/>
    </row>
    <row r="65" spans="1:21" s="12" customFormat="1" x14ac:dyDescent="0.25">
      <c r="A65" s="247" t="s">
        <v>2508</v>
      </c>
      <c r="B65" s="64">
        <v>4.1100000000000003</v>
      </c>
      <c r="C65" s="64">
        <v>48.66</v>
      </c>
      <c r="D65" s="64">
        <v>52.76</v>
      </c>
      <c r="E65" s="64">
        <v>5.77</v>
      </c>
      <c r="F65" s="64">
        <v>23.49</v>
      </c>
      <c r="G65" s="64">
        <v>64.489999999999995</v>
      </c>
      <c r="H65" s="64">
        <v>16.97</v>
      </c>
      <c r="I65" s="64">
        <v>4.05</v>
      </c>
      <c r="J65" s="64">
        <v>0.56999999999999995</v>
      </c>
      <c r="K65" s="64">
        <v>8.1</v>
      </c>
      <c r="L65" s="64">
        <v>32.97</v>
      </c>
      <c r="M65" s="64">
        <v>24.75</v>
      </c>
      <c r="N65" s="64">
        <v>454.2</v>
      </c>
      <c r="O65" s="64">
        <v>0</v>
      </c>
      <c r="P65" s="64">
        <v>0.6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47" t="s">
        <v>2509</v>
      </c>
      <c r="B66" s="64">
        <v>4.54</v>
      </c>
      <c r="C66" s="64">
        <v>49.46</v>
      </c>
      <c r="D66" s="64">
        <v>54.01</v>
      </c>
      <c r="E66" s="64">
        <v>5.33</v>
      </c>
      <c r="F66" s="64">
        <v>19.46</v>
      </c>
      <c r="G66" s="64">
        <v>64.489999999999995</v>
      </c>
      <c r="H66" s="64">
        <v>16.97</v>
      </c>
      <c r="I66" s="64">
        <v>3.92</v>
      </c>
      <c r="J66" s="64">
        <v>0.39</v>
      </c>
      <c r="K66" s="64">
        <v>290.86</v>
      </c>
      <c r="L66" s="64">
        <v>31.25</v>
      </c>
      <c r="M66" s="64">
        <v>25.83</v>
      </c>
      <c r="N66" s="64">
        <v>683</v>
      </c>
      <c r="O66" s="64">
        <v>0</v>
      </c>
      <c r="P66" s="64">
        <v>0.56999999999999995</v>
      </c>
      <c r="Q66" s="64">
        <v>9.09</v>
      </c>
      <c r="R66" s="198"/>
      <c r="S66" s="198"/>
      <c r="T66" s="198"/>
      <c r="U66" s="198"/>
    </row>
    <row r="67" spans="1:21" s="12" customFormat="1" x14ac:dyDescent="0.25">
      <c r="A67" s="247" t="s">
        <v>2510</v>
      </c>
      <c r="B67" s="64">
        <v>5.73</v>
      </c>
      <c r="C67" s="64">
        <v>47.86</v>
      </c>
      <c r="D67" s="64">
        <v>53.6</v>
      </c>
      <c r="E67" s="64">
        <v>4.8499999999999996</v>
      </c>
      <c r="F67" s="64">
        <v>18.77</v>
      </c>
      <c r="G67" s="64">
        <v>64.489999999999995</v>
      </c>
      <c r="H67" s="64">
        <v>16.97</v>
      </c>
      <c r="I67" s="64">
        <v>3.94</v>
      </c>
      <c r="J67" s="64">
        <v>1.42</v>
      </c>
      <c r="K67" s="64">
        <v>327.04000000000002</v>
      </c>
      <c r="L67" s="64">
        <v>32.47</v>
      </c>
      <c r="M67" s="64">
        <v>22.61</v>
      </c>
      <c r="N67" s="64">
        <v>418.6</v>
      </c>
      <c r="O67" s="64">
        <v>0</v>
      </c>
      <c r="P67" s="64">
        <v>0.57999999999999996</v>
      </c>
      <c r="Q67" s="64">
        <v>9.07</v>
      </c>
      <c r="R67" s="198"/>
      <c r="S67" s="198"/>
      <c r="T67" s="198"/>
      <c r="U67" s="198"/>
    </row>
    <row r="68" spans="1:21" s="12" customFormat="1" x14ac:dyDescent="0.25">
      <c r="A68" s="247" t="s">
        <v>2511</v>
      </c>
      <c r="B68" s="64">
        <v>3.33</v>
      </c>
      <c r="C68" s="64">
        <v>56.08</v>
      </c>
      <c r="D68" s="64">
        <v>59.41</v>
      </c>
      <c r="E68" s="64">
        <v>3.43</v>
      </c>
      <c r="F68" s="64">
        <v>12.46</v>
      </c>
      <c r="G68" s="64">
        <v>62.36</v>
      </c>
      <c r="H68" s="64">
        <v>16.77</v>
      </c>
      <c r="I68" s="64">
        <v>3.96</v>
      </c>
      <c r="J68" s="64">
        <v>1.6</v>
      </c>
      <c r="K68" s="64">
        <v>300.45999999999998</v>
      </c>
      <c r="L68" s="64">
        <v>32.659999999999997</v>
      </c>
      <c r="M68" s="64">
        <v>21.6</v>
      </c>
      <c r="N68" s="64">
        <v>389</v>
      </c>
      <c r="O68" s="64">
        <v>0</v>
      </c>
      <c r="P68" s="64">
        <v>0.57999999999999996</v>
      </c>
      <c r="Q68" s="64">
        <v>9.06</v>
      </c>
      <c r="R68" s="198"/>
      <c r="S68" s="198"/>
      <c r="T68" s="198"/>
      <c r="U68" s="198"/>
    </row>
    <row r="69" spans="1:21" s="12" customFormat="1" x14ac:dyDescent="0.25">
      <c r="A69" s="247" t="s">
        <v>2512</v>
      </c>
      <c r="B69" s="64">
        <v>4.54</v>
      </c>
      <c r="C69" s="64">
        <v>55.78</v>
      </c>
      <c r="D69" s="64">
        <v>60.32</v>
      </c>
      <c r="E69" s="64">
        <v>4.58</v>
      </c>
      <c r="F69" s="64">
        <v>24.5</v>
      </c>
      <c r="G69" s="64">
        <v>55.37</v>
      </c>
      <c r="H69" s="64">
        <v>15.91</v>
      </c>
      <c r="I69" s="64">
        <v>3.97</v>
      </c>
      <c r="J69" s="64">
        <v>1.06</v>
      </c>
      <c r="K69" s="64">
        <v>323.81</v>
      </c>
      <c r="L69" s="64">
        <v>32.97</v>
      </c>
      <c r="M69" s="64">
        <v>19.53</v>
      </c>
      <c r="N69" s="64">
        <v>305.5</v>
      </c>
      <c r="O69" s="64">
        <v>0</v>
      </c>
      <c r="P69" s="64">
        <v>0.5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47" t="s">
        <v>2513</v>
      </c>
      <c r="B70" s="64">
        <v>4.13</v>
      </c>
      <c r="C70" s="64">
        <v>55.7</v>
      </c>
      <c r="D70" s="64">
        <v>59.82</v>
      </c>
      <c r="E70" s="64">
        <v>3.11</v>
      </c>
      <c r="F70" s="64">
        <v>12.96</v>
      </c>
      <c r="G70" s="64">
        <v>55.37</v>
      </c>
      <c r="H70" s="64">
        <v>15.91</v>
      </c>
      <c r="I70" s="64">
        <v>3.89</v>
      </c>
      <c r="J70" s="64">
        <v>2.2599999999999998</v>
      </c>
      <c r="K70" s="64">
        <v>340.11</v>
      </c>
      <c r="L70" s="64">
        <v>31.67</v>
      </c>
      <c r="M70" s="64">
        <v>20.63</v>
      </c>
      <c r="N70" s="64">
        <v>258.8</v>
      </c>
      <c r="O70" s="64">
        <v>0</v>
      </c>
      <c r="P70" s="64">
        <v>0.52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47" t="s">
        <v>2514</v>
      </c>
      <c r="B71" s="64">
        <v>5.77</v>
      </c>
      <c r="C71" s="64">
        <v>61.45</v>
      </c>
      <c r="D71" s="64">
        <v>67.22</v>
      </c>
      <c r="E71" s="64">
        <v>2.96</v>
      </c>
      <c r="F71" s="64">
        <v>25.02</v>
      </c>
      <c r="G71" s="64">
        <v>55.37</v>
      </c>
      <c r="H71" s="64">
        <v>15.91</v>
      </c>
      <c r="I71" s="64">
        <v>3.97</v>
      </c>
      <c r="J71" s="64">
        <v>1.55</v>
      </c>
      <c r="K71" s="64">
        <v>325.38</v>
      </c>
      <c r="L71" s="64">
        <v>31.33</v>
      </c>
      <c r="M71" s="64">
        <v>21.43</v>
      </c>
      <c r="N71" s="64">
        <v>221.5</v>
      </c>
      <c r="O71" s="64">
        <v>0</v>
      </c>
      <c r="P71" s="64">
        <v>0.49</v>
      </c>
      <c r="Q71" s="64">
        <v>9.0500000000000007</v>
      </c>
      <c r="R71" s="198"/>
      <c r="S71" s="198"/>
      <c r="T71" s="198"/>
      <c r="U71" s="198"/>
    </row>
    <row r="72" spans="1:21" s="12" customFormat="1" x14ac:dyDescent="0.25">
      <c r="A72" s="247" t="s">
        <v>2515</v>
      </c>
      <c r="B72" s="64">
        <v>4.87</v>
      </c>
      <c r="C72" s="64">
        <v>52.33</v>
      </c>
      <c r="D72" s="64">
        <v>57.21</v>
      </c>
      <c r="E72" s="64">
        <v>5.13</v>
      </c>
      <c r="F72" s="64">
        <v>28.31</v>
      </c>
      <c r="G72" s="64">
        <v>56.28</v>
      </c>
      <c r="H72" s="64">
        <v>16.04</v>
      </c>
      <c r="I72" s="64">
        <v>4.01</v>
      </c>
      <c r="J72" s="64">
        <v>1.45</v>
      </c>
      <c r="K72" s="64">
        <v>337.84</v>
      </c>
      <c r="L72" s="64">
        <v>31.47</v>
      </c>
      <c r="M72" s="64">
        <v>22.08</v>
      </c>
      <c r="N72" s="64">
        <v>222.3</v>
      </c>
      <c r="O72" s="64">
        <v>0</v>
      </c>
      <c r="P72" s="64">
        <v>0.5</v>
      </c>
      <c r="Q72" s="64">
        <v>9.0399999999999991</v>
      </c>
      <c r="R72" s="198"/>
      <c r="S72" s="198"/>
      <c r="T72" s="198"/>
      <c r="U72" s="198"/>
    </row>
    <row r="73" spans="1:21" s="12" customFormat="1" x14ac:dyDescent="0.25">
      <c r="A73" s="247" t="s">
        <v>2516</v>
      </c>
      <c r="B73" s="64">
        <v>6.82</v>
      </c>
      <c r="C73" s="64">
        <v>63.88</v>
      </c>
      <c r="D73" s="64">
        <v>67.58</v>
      </c>
      <c r="E73" s="64">
        <v>5.9</v>
      </c>
      <c r="F73" s="64">
        <v>25.17</v>
      </c>
      <c r="G73" s="64">
        <v>59.27</v>
      </c>
      <c r="H73" s="64">
        <v>16.32</v>
      </c>
      <c r="I73" s="64">
        <v>4.01</v>
      </c>
      <c r="J73" s="64">
        <v>2.0499999999999998</v>
      </c>
      <c r="K73" s="64">
        <v>348.68</v>
      </c>
      <c r="L73" s="64">
        <v>31.01</v>
      </c>
      <c r="M73" s="64">
        <v>23.77</v>
      </c>
      <c r="N73" s="64">
        <v>232.7</v>
      </c>
      <c r="O73" s="64">
        <v>0</v>
      </c>
      <c r="P73" s="64">
        <v>0.54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47" t="s">
        <v>2517</v>
      </c>
      <c r="B74" s="64">
        <v>6.89</v>
      </c>
      <c r="C74" s="64">
        <v>59.28</v>
      </c>
      <c r="D74" s="64">
        <v>36.49</v>
      </c>
      <c r="E74" s="64">
        <v>4.5199999999999996</v>
      </c>
      <c r="F74" s="64">
        <v>21.83</v>
      </c>
      <c r="G74" s="64">
        <v>59.27</v>
      </c>
      <c r="H74" s="64">
        <v>16.32</v>
      </c>
      <c r="I74" s="64">
        <v>3.84</v>
      </c>
      <c r="J74" s="64">
        <v>2.13</v>
      </c>
      <c r="K74" s="64">
        <v>348.82</v>
      </c>
      <c r="L74" s="64">
        <v>30.16</v>
      </c>
      <c r="M74" s="64">
        <v>26.26</v>
      </c>
      <c r="N74" s="64">
        <v>172.2</v>
      </c>
      <c r="O74" s="64">
        <v>0</v>
      </c>
      <c r="P74" s="64">
        <v>0.54</v>
      </c>
      <c r="Q74" s="64">
        <v>9.06</v>
      </c>
      <c r="R74" s="198"/>
      <c r="S74" s="198"/>
      <c r="T74" s="198"/>
      <c r="U74" s="198"/>
    </row>
    <row r="75" spans="1:21" s="12" customFormat="1" x14ac:dyDescent="0.25">
      <c r="A75" s="247" t="s">
        <v>2518</v>
      </c>
      <c r="B75" s="64">
        <v>5.95</v>
      </c>
      <c r="C75" s="64">
        <v>58.15</v>
      </c>
      <c r="D75" s="64">
        <v>35.15</v>
      </c>
      <c r="E75" s="64">
        <v>6.78</v>
      </c>
      <c r="F75" s="64">
        <v>28.88</v>
      </c>
      <c r="G75" s="64">
        <v>59.27</v>
      </c>
      <c r="H75" s="64">
        <v>16.32</v>
      </c>
      <c r="I75" s="64">
        <v>4</v>
      </c>
      <c r="J75" s="64">
        <v>2.29</v>
      </c>
      <c r="K75" s="64">
        <v>352.18</v>
      </c>
      <c r="L75" s="64">
        <v>29.45</v>
      </c>
      <c r="M75" s="64">
        <v>27.07</v>
      </c>
      <c r="N75" s="64">
        <v>137.19999999999999</v>
      </c>
      <c r="O75" s="64">
        <v>0</v>
      </c>
      <c r="P75" s="64">
        <v>0.54</v>
      </c>
      <c r="Q75" s="64">
        <v>9.07</v>
      </c>
      <c r="R75" s="198"/>
      <c r="S75" s="198"/>
      <c r="T75" s="198"/>
      <c r="U75" s="198"/>
    </row>
    <row r="76" spans="1:21" s="12" customFormat="1" x14ac:dyDescent="0.25">
      <c r="A76" s="247" t="s">
        <v>2519</v>
      </c>
      <c r="B76" s="64">
        <v>8.23</v>
      </c>
      <c r="C76" s="64">
        <v>60.44</v>
      </c>
      <c r="D76" s="64">
        <v>38.18</v>
      </c>
      <c r="E76" s="64">
        <v>8.02</v>
      </c>
      <c r="F76" s="64">
        <v>33.67</v>
      </c>
      <c r="G76" s="64">
        <v>56.83</v>
      </c>
      <c r="H76" s="64">
        <v>15.7</v>
      </c>
      <c r="I76" s="64">
        <v>4.05</v>
      </c>
      <c r="J76" s="64">
        <v>1.45</v>
      </c>
      <c r="K76" s="64">
        <v>346.96</v>
      </c>
      <c r="L76" s="64">
        <v>29.36</v>
      </c>
      <c r="M76" s="64">
        <v>26.96</v>
      </c>
      <c r="N76" s="64">
        <v>121.4</v>
      </c>
      <c r="O76" s="64">
        <v>0</v>
      </c>
      <c r="P76" s="64">
        <v>0.56000000000000005</v>
      </c>
      <c r="Q76" s="64">
        <v>9.08</v>
      </c>
      <c r="R76" s="198"/>
      <c r="S76" s="198"/>
      <c r="T76" s="198"/>
      <c r="U76" s="198"/>
    </row>
    <row r="77" spans="1:21" s="12" customFormat="1" x14ac:dyDescent="0.25">
      <c r="A77" s="247" t="s">
        <v>2520</v>
      </c>
      <c r="B77" s="64">
        <v>10.97</v>
      </c>
      <c r="C77" s="64">
        <v>72.78</v>
      </c>
      <c r="D77" s="64">
        <v>46.82</v>
      </c>
      <c r="E77" s="64">
        <v>8.99</v>
      </c>
      <c r="F77" s="64">
        <v>27.7</v>
      </c>
      <c r="G77" s="64">
        <v>48.8</v>
      </c>
      <c r="H77" s="64">
        <v>14.32</v>
      </c>
      <c r="I77" s="64">
        <v>4</v>
      </c>
      <c r="J77" s="64">
        <v>1.67</v>
      </c>
      <c r="K77" s="64">
        <v>353.93</v>
      </c>
      <c r="L77" s="64">
        <v>29.05</v>
      </c>
      <c r="M77" s="64">
        <v>26.21</v>
      </c>
      <c r="N77" s="64">
        <v>106.9</v>
      </c>
      <c r="O77" s="64">
        <v>0</v>
      </c>
      <c r="P77" s="64">
        <v>0.67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47" t="s">
        <v>2521</v>
      </c>
      <c r="B78" s="64">
        <v>8.74</v>
      </c>
      <c r="C78" s="64">
        <v>70.180000000000007</v>
      </c>
      <c r="D78" s="64">
        <v>43.68</v>
      </c>
      <c r="E78" s="64">
        <v>5.45</v>
      </c>
      <c r="F78" s="64">
        <v>26.36</v>
      </c>
      <c r="G78" s="64">
        <v>48.8</v>
      </c>
      <c r="H78" s="64">
        <v>14.32</v>
      </c>
      <c r="I78" s="64">
        <v>4.1399999999999997</v>
      </c>
      <c r="J78" s="64">
        <v>1.63</v>
      </c>
      <c r="K78" s="64">
        <v>352.29</v>
      </c>
      <c r="L78" s="64">
        <v>28.43</v>
      </c>
      <c r="M78" s="64">
        <v>26.91</v>
      </c>
      <c r="N78" s="64">
        <v>91.6</v>
      </c>
      <c r="O78" s="64">
        <v>0</v>
      </c>
      <c r="P78" s="64">
        <v>0.64</v>
      </c>
      <c r="Q78" s="64">
        <v>9.14</v>
      </c>
      <c r="R78" s="198"/>
      <c r="S78" s="198"/>
      <c r="T78" s="198"/>
      <c r="U78" s="198"/>
    </row>
    <row r="79" spans="1:21" s="12" customFormat="1" x14ac:dyDescent="0.25">
      <c r="A79" s="247" t="s">
        <v>2522</v>
      </c>
      <c r="B79" s="64">
        <v>11.68</v>
      </c>
      <c r="C79" s="64">
        <v>69.239999999999995</v>
      </c>
      <c r="D79" s="64">
        <v>45.54</v>
      </c>
      <c r="E79" s="64">
        <v>5.45</v>
      </c>
      <c r="F79" s="64">
        <v>16.84</v>
      </c>
      <c r="G79" s="64">
        <v>48.8</v>
      </c>
      <c r="H79" s="64">
        <v>14.32</v>
      </c>
      <c r="I79" s="64">
        <v>3.86</v>
      </c>
      <c r="J79" s="64">
        <v>1.6</v>
      </c>
      <c r="K79" s="64">
        <v>354.13</v>
      </c>
      <c r="L79" s="64">
        <v>27.88</v>
      </c>
      <c r="M79" s="64">
        <v>25.42</v>
      </c>
      <c r="N79" s="64">
        <v>78.900000000000006</v>
      </c>
      <c r="O79" s="64">
        <v>0</v>
      </c>
      <c r="P79" s="64">
        <v>0.65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47" t="s">
        <v>2523</v>
      </c>
      <c r="B80" s="64">
        <v>11.8</v>
      </c>
      <c r="C80" s="64">
        <v>72.260000000000005</v>
      </c>
      <c r="D80" s="64">
        <v>47.22</v>
      </c>
      <c r="E80" s="64">
        <v>5.22</v>
      </c>
      <c r="F80" s="64">
        <v>18.61</v>
      </c>
      <c r="G80" s="64">
        <v>52.64</v>
      </c>
      <c r="H80" s="64">
        <v>15.13</v>
      </c>
      <c r="I80" s="64">
        <v>3.99</v>
      </c>
      <c r="J80" s="64">
        <v>1.1399999999999999</v>
      </c>
      <c r="K80" s="64">
        <v>5.3</v>
      </c>
      <c r="L80" s="64">
        <v>27.42</v>
      </c>
      <c r="M80" s="64">
        <v>24.64</v>
      </c>
      <c r="N80" s="64">
        <v>66.400000000000006</v>
      </c>
      <c r="O80" s="64">
        <v>0</v>
      </c>
      <c r="P80" s="64">
        <v>0.76</v>
      </c>
      <c r="Q80" s="64">
        <v>9.1999999999999993</v>
      </c>
      <c r="R80" s="198"/>
      <c r="S80" s="198"/>
      <c r="T80" s="198"/>
      <c r="U80" s="198"/>
    </row>
    <row r="81" spans="1:26" s="12" customFormat="1" x14ac:dyDescent="0.25">
      <c r="A81" s="247" t="s">
        <v>2524</v>
      </c>
      <c r="B81" s="64">
        <v>14.19</v>
      </c>
      <c r="C81" s="64">
        <v>82.12</v>
      </c>
      <c r="D81" s="64">
        <v>54.29</v>
      </c>
      <c r="E81" s="64">
        <v>6.31</v>
      </c>
      <c r="F81" s="64">
        <v>19.62</v>
      </c>
      <c r="G81" s="64">
        <v>65.25</v>
      </c>
      <c r="H81" s="64">
        <v>16.89</v>
      </c>
      <c r="I81" s="64">
        <v>4.0599999999999996</v>
      </c>
      <c r="J81" s="64">
        <v>0.96</v>
      </c>
      <c r="K81" s="64">
        <v>10.050000000000001</v>
      </c>
      <c r="L81" s="64">
        <v>26.9</v>
      </c>
      <c r="M81" s="64">
        <v>24.88</v>
      </c>
      <c r="N81" s="64">
        <v>58.3</v>
      </c>
      <c r="O81" s="64">
        <v>0</v>
      </c>
      <c r="P81" s="64">
        <v>1.03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47" t="s">
        <v>2525</v>
      </c>
      <c r="B82" s="64">
        <v>22.03</v>
      </c>
      <c r="C82" s="64">
        <v>89.32</v>
      </c>
      <c r="D82" s="64">
        <v>64.33</v>
      </c>
      <c r="E82" s="64">
        <v>7.05</v>
      </c>
      <c r="F82" s="64">
        <v>15.97</v>
      </c>
      <c r="G82" s="64">
        <v>65.25</v>
      </c>
      <c r="H82" s="64">
        <v>16.89</v>
      </c>
      <c r="I82" s="64">
        <v>3.95</v>
      </c>
      <c r="J82" s="64">
        <v>0.92</v>
      </c>
      <c r="K82" s="64">
        <v>6.36</v>
      </c>
      <c r="L82" s="64">
        <v>26.29</v>
      </c>
      <c r="M82" s="64">
        <v>26.52</v>
      </c>
      <c r="N82" s="64">
        <v>55.1</v>
      </c>
      <c r="O82" s="64">
        <v>0</v>
      </c>
      <c r="P82" s="64">
        <v>1.1399999999999999</v>
      </c>
      <c r="Q82" s="64">
        <v>9.25</v>
      </c>
      <c r="R82" s="198"/>
      <c r="S82" s="198"/>
      <c r="T82" s="198"/>
      <c r="U82" s="198"/>
    </row>
    <row r="83" spans="1:26" s="12" customFormat="1" x14ac:dyDescent="0.25">
      <c r="A83" s="247" t="s">
        <v>2526</v>
      </c>
      <c r="B83" s="64">
        <v>36.86</v>
      </c>
      <c r="C83" s="64">
        <v>104.35</v>
      </c>
      <c r="D83" s="64">
        <v>84.08</v>
      </c>
      <c r="E83" s="64">
        <v>6.55</v>
      </c>
      <c r="F83" s="64">
        <v>12.67</v>
      </c>
      <c r="G83" s="64">
        <v>65.25</v>
      </c>
      <c r="H83" s="64">
        <v>16.89</v>
      </c>
      <c r="I83" s="64">
        <v>3.95</v>
      </c>
      <c r="J83" s="64">
        <v>0.9</v>
      </c>
      <c r="K83" s="64">
        <v>7.96</v>
      </c>
      <c r="L83" s="64">
        <v>25.6</v>
      </c>
      <c r="M83" s="64">
        <v>28.15</v>
      </c>
      <c r="N83" s="64">
        <v>54.8</v>
      </c>
      <c r="O83" s="64">
        <v>0</v>
      </c>
      <c r="P83" s="64">
        <v>1.48</v>
      </c>
      <c r="Q83" s="64">
        <v>9.31</v>
      </c>
      <c r="R83" s="198"/>
      <c r="S83" s="198"/>
      <c r="T83" s="198"/>
      <c r="U83" s="198"/>
    </row>
    <row r="84" spans="1:26" s="12" customFormat="1" x14ac:dyDescent="0.25">
      <c r="A84" s="247" t="s">
        <v>2527</v>
      </c>
      <c r="B84" s="64">
        <v>27.43</v>
      </c>
      <c r="C84" s="64">
        <v>121.07</v>
      </c>
      <c r="D84" s="64">
        <v>85.25</v>
      </c>
      <c r="E84" s="64">
        <v>6.7</v>
      </c>
      <c r="F84" s="64">
        <v>10.82</v>
      </c>
      <c r="G84" s="64">
        <v>66.38</v>
      </c>
      <c r="H84" s="64">
        <v>17.59</v>
      </c>
      <c r="I84" s="64">
        <v>3.95</v>
      </c>
      <c r="J84" s="64">
        <v>0.73</v>
      </c>
      <c r="K84" s="64">
        <v>44.18</v>
      </c>
      <c r="L84" s="64">
        <v>25.11</v>
      </c>
      <c r="M84" s="64">
        <v>28.89</v>
      </c>
      <c r="N84" s="64">
        <v>54.8</v>
      </c>
      <c r="O84" s="64">
        <v>0</v>
      </c>
      <c r="P84" s="64">
        <v>1.73</v>
      </c>
      <c r="Q84" s="64">
        <v>9.41</v>
      </c>
      <c r="R84" s="198"/>
      <c r="S84" s="198"/>
      <c r="T84" s="198"/>
      <c r="U84" s="198"/>
    </row>
    <row r="85" spans="1:26" s="12" customFormat="1" x14ac:dyDescent="0.25">
      <c r="A85" s="247" t="s">
        <v>2528</v>
      </c>
      <c r="B85" s="64">
        <v>14.43</v>
      </c>
      <c r="C85" s="64">
        <v>97.42</v>
      </c>
      <c r="D85" s="64">
        <v>62.47</v>
      </c>
      <c r="E85" s="64">
        <v>7.45</v>
      </c>
      <c r="F85" s="64">
        <v>15.24</v>
      </c>
      <c r="G85" s="64">
        <v>70.06</v>
      </c>
      <c r="H85" s="64">
        <v>19.62</v>
      </c>
      <c r="I85" s="64">
        <v>3.92</v>
      </c>
      <c r="J85" s="64">
        <v>0.74</v>
      </c>
      <c r="K85" s="64">
        <v>50.74</v>
      </c>
      <c r="L85" s="64">
        <v>24.87</v>
      </c>
      <c r="M85" s="64">
        <v>27.69</v>
      </c>
      <c r="N85" s="64">
        <v>54.4</v>
      </c>
      <c r="O85" s="64">
        <v>0</v>
      </c>
      <c r="P85" s="64">
        <v>1.19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47" t="s">
        <v>2529</v>
      </c>
      <c r="B86" s="64">
        <v>16.93</v>
      </c>
      <c r="C86" s="64">
        <v>109.26</v>
      </c>
      <c r="D86" s="64">
        <v>70.66</v>
      </c>
      <c r="E86" s="64">
        <v>6.89</v>
      </c>
      <c r="F86" s="64">
        <v>14.07</v>
      </c>
      <c r="G86" s="64">
        <v>70.06</v>
      </c>
      <c r="H86" s="64">
        <v>19.62</v>
      </c>
      <c r="I86" s="64">
        <v>3.98</v>
      </c>
      <c r="J86" s="64">
        <v>0.62</v>
      </c>
      <c r="K86" s="64">
        <v>55.56</v>
      </c>
      <c r="L86" s="64">
        <v>24.5</v>
      </c>
      <c r="M86" s="64">
        <v>27.86</v>
      </c>
      <c r="N86" s="64">
        <v>54.5</v>
      </c>
      <c r="O86" s="64">
        <v>0</v>
      </c>
      <c r="P86" s="64">
        <v>1.35</v>
      </c>
      <c r="Q86" s="64">
        <v>9.49</v>
      </c>
      <c r="R86" s="198"/>
      <c r="S86" s="198"/>
      <c r="T86" s="198"/>
      <c r="U86" s="198"/>
    </row>
    <row r="87" spans="1:26" s="12" customFormat="1" x14ac:dyDescent="0.25">
      <c r="A87" s="247" t="s">
        <v>2530</v>
      </c>
      <c r="B87" s="64">
        <v>37.58</v>
      </c>
      <c r="C87" s="64">
        <v>92.2</v>
      </c>
      <c r="D87" s="64">
        <v>78.31</v>
      </c>
      <c r="E87" s="64">
        <v>4.51</v>
      </c>
      <c r="F87" s="64">
        <v>8.8000000000000007</v>
      </c>
      <c r="G87" s="64">
        <v>70.06</v>
      </c>
      <c r="H87" s="64">
        <v>19.62</v>
      </c>
      <c r="I87" s="64">
        <v>4.16</v>
      </c>
      <c r="J87" s="64">
        <v>0.71</v>
      </c>
      <c r="K87" s="64">
        <v>24.5</v>
      </c>
      <c r="L87" s="64">
        <v>24.01</v>
      </c>
      <c r="M87" s="64">
        <v>34.36</v>
      </c>
      <c r="N87" s="64">
        <v>54.8</v>
      </c>
      <c r="O87" s="64">
        <v>0</v>
      </c>
      <c r="P87" s="64">
        <v>1.66</v>
      </c>
      <c r="Q87" s="64">
        <v>9.5</v>
      </c>
      <c r="R87" s="198"/>
      <c r="S87" s="198"/>
      <c r="T87" s="198"/>
      <c r="U87" s="198"/>
    </row>
    <row r="88" spans="1:26" s="12" customFormat="1" x14ac:dyDescent="0.25">
      <c r="A88" s="247" t="s">
        <v>2531</v>
      </c>
      <c r="B88" s="64">
        <v>17.48</v>
      </c>
      <c r="C88" s="64">
        <v>101</v>
      </c>
      <c r="D88" s="64">
        <v>66.78</v>
      </c>
      <c r="E88" s="64">
        <v>5.17</v>
      </c>
      <c r="F88" s="64">
        <v>12.71</v>
      </c>
      <c r="G88" s="64">
        <v>72.069999999999993</v>
      </c>
      <c r="H88" s="64">
        <v>19.78</v>
      </c>
      <c r="I88" s="64">
        <v>4</v>
      </c>
      <c r="J88" s="64">
        <v>0.68</v>
      </c>
      <c r="K88" s="64">
        <v>45.64</v>
      </c>
      <c r="L88" s="64">
        <v>23.8</v>
      </c>
      <c r="M88" s="64">
        <v>31.06</v>
      </c>
      <c r="N88" s="64">
        <v>54.5</v>
      </c>
      <c r="O88" s="64">
        <v>0</v>
      </c>
      <c r="P88" s="64">
        <v>1.6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47" t="s">
        <v>2532</v>
      </c>
      <c r="B89" s="64">
        <v>29.41</v>
      </c>
      <c r="C89" s="64">
        <v>110.81</v>
      </c>
      <c r="D89" s="64">
        <v>81.48</v>
      </c>
      <c r="E89" s="64">
        <v>4.96</v>
      </c>
      <c r="F89" s="64">
        <v>12.1</v>
      </c>
      <c r="G89" s="64">
        <v>78.67</v>
      </c>
      <c r="H89" s="64">
        <v>20.239999999999998</v>
      </c>
      <c r="I89" s="64">
        <v>4.07</v>
      </c>
      <c r="J89" s="64">
        <v>0.57999999999999996</v>
      </c>
      <c r="K89" s="64">
        <v>42.88</v>
      </c>
      <c r="L89" s="64">
        <v>23.44</v>
      </c>
      <c r="M89" s="64">
        <v>33.159999999999997</v>
      </c>
      <c r="N89" s="64">
        <v>54.6</v>
      </c>
      <c r="O89" s="64">
        <v>0</v>
      </c>
      <c r="P89" s="64">
        <v>1.88</v>
      </c>
      <c r="Q89" s="64">
        <v>9.5</v>
      </c>
      <c r="R89" s="198"/>
      <c r="S89" s="198"/>
      <c r="T89" s="198"/>
      <c r="U89" s="198"/>
    </row>
    <row r="90" spans="1:26" s="12" customFormat="1" x14ac:dyDescent="0.25">
      <c r="A90" s="247" t="s">
        <v>2533</v>
      </c>
      <c r="B90" s="64">
        <v>30.56</v>
      </c>
      <c r="C90" s="64">
        <v>114.22</v>
      </c>
      <c r="D90" s="64">
        <v>84.18</v>
      </c>
      <c r="E90" s="64">
        <v>4.3899999999999997</v>
      </c>
      <c r="F90" s="64">
        <v>8.61</v>
      </c>
      <c r="G90" s="64">
        <v>78.67</v>
      </c>
      <c r="H90" s="64">
        <v>20.239999999999998</v>
      </c>
      <c r="I90" s="64">
        <v>3.98</v>
      </c>
      <c r="J90" s="64">
        <v>0.51</v>
      </c>
      <c r="K90" s="64">
        <v>247.29</v>
      </c>
      <c r="L90" s="64">
        <v>23.29</v>
      </c>
      <c r="M90" s="64">
        <v>33.81</v>
      </c>
      <c r="N90" s="64">
        <v>54.7</v>
      </c>
      <c r="O90" s="64">
        <v>0</v>
      </c>
      <c r="P90" s="64">
        <v>1.56</v>
      </c>
      <c r="Q90" s="64">
        <v>9.5299999999999994</v>
      </c>
      <c r="R90" s="198"/>
      <c r="S90" s="198"/>
      <c r="T90" s="198"/>
      <c r="U90" s="198"/>
    </row>
    <row r="91" spans="1:26" s="12" customFormat="1" x14ac:dyDescent="0.25">
      <c r="A91" s="247" t="s">
        <v>2534</v>
      </c>
      <c r="B91" s="64">
        <v>52.99</v>
      </c>
      <c r="C91" s="64">
        <v>102.45</v>
      </c>
      <c r="D91" s="64">
        <v>96.02</v>
      </c>
      <c r="E91" s="64">
        <v>4.6399999999999997</v>
      </c>
      <c r="F91" s="64">
        <v>8.73</v>
      </c>
      <c r="G91" s="64">
        <v>78.67</v>
      </c>
      <c r="H91" s="64">
        <v>20.239999999999998</v>
      </c>
      <c r="I91" s="64">
        <v>4</v>
      </c>
      <c r="J91" s="64">
        <v>0.3</v>
      </c>
      <c r="K91" s="64">
        <v>334.62</v>
      </c>
      <c r="L91" s="64">
        <v>23.04</v>
      </c>
      <c r="M91" s="64">
        <v>36.770000000000003</v>
      </c>
      <c r="N91" s="64">
        <v>54</v>
      </c>
      <c r="O91" s="64">
        <v>0</v>
      </c>
      <c r="P91" s="64">
        <v>1.97</v>
      </c>
      <c r="Q91" s="64">
        <v>9.52</v>
      </c>
      <c r="R91" s="198"/>
      <c r="S91" s="198"/>
      <c r="T91" s="198"/>
      <c r="U91" s="198"/>
    </row>
    <row r="92" spans="1:26" s="12" customFormat="1" x14ac:dyDescent="0.25">
      <c r="A92" s="247" t="s">
        <v>2535</v>
      </c>
      <c r="B92" s="64">
        <v>57.19</v>
      </c>
      <c r="C92" s="64">
        <v>110.77</v>
      </c>
      <c r="D92" s="64">
        <v>103.73</v>
      </c>
      <c r="E92" s="64">
        <v>4.66</v>
      </c>
      <c r="F92" s="64">
        <v>10.15</v>
      </c>
      <c r="G92" s="64">
        <v>80.66</v>
      </c>
      <c r="H92" s="64">
        <v>21.06</v>
      </c>
      <c r="I92" s="64">
        <v>4.0599999999999996</v>
      </c>
      <c r="J92" s="64">
        <v>0.56000000000000005</v>
      </c>
      <c r="K92" s="64">
        <v>95.51</v>
      </c>
      <c r="L92" s="64">
        <v>23.32</v>
      </c>
      <c r="M92" s="64">
        <v>36.799999999999997</v>
      </c>
      <c r="N92" s="64">
        <v>53.4</v>
      </c>
      <c r="O92" s="64">
        <v>0</v>
      </c>
      <c r="P92" s="64">
        <v>1.99</v>
      </c>
      <c r="Q92" s="64">
        <v>9.51</v>
      </c>
      <c r="R92" s="198"/>
      <c r="S92" s="198"/>
      <c r="T92" s="198"/>
      <c r="U92" s="198"/>
    </row>
    <row r="93" spans="1:26" s="12" customFormat="1" x14ac:dyDescent="0.25">
      <c r="A93" s="247" t="s">
        <v>2536</v>
      </c>
      <c r="B93" s="64">
        <v>102.49</v>
      </c>
      <c r="C93" s="64">
        <v>123.12</v>
      </c>
      <c r="D93" s="64">
        <v>146.52000000000001</v>
      </c>
      <c r="E93" s="64">
        <v>4.3600000000000003</v>
      </c>
      <c r="F93" s="64">
        <v>7.81</v>
      </c>
      <c r="G93" s="64">
        <v>87.2</v>
      </c>
      <c r="H93" s="64">
        <v>23.58</v>
      </c>
      <c r="I93" s="64">
        <v>3.88</v>
      </c>
      <c r="J93" s="64">
        <v>0.11</v>
      </c>
      <c r="K93" s="64">
        <v>188.93</v>
      </c>
      <c r="L93" s="64">
        <v>22.66</v>
      </c>
      <c r="M93" s="64">
        <v>42.48</v>
      </c>
      <c r="N93" s="64">
        <v>54.8</v>
      </c>
      <c r="O93" s="64">
        <v>0</v>
      </c>
      <c r="P93" s="64">
        <v>1.98</v>
      </c>
      <c r="Q93" s="64">
        <v>9.49</v>
      </c>
      <c r="R93" s="198"/>
      <c r="S93" s="198"/>
      <c r="T93" s="198"/>
      <c r="U93" s="198"/>
    </row>
    <row r="94" spans="1:26" s="12" customFormat="1" x14ac:dyDescent="0.25">
      <c r="A94" s="247" t="s">
        <v>2537</v>
      </c>
      <c r="B94" s="64">
        <v>113.82</v>
      </c>
      <c r="C94" s="64">
        <v>115.77</v>
      </c>
      <c r="D94" s="64">
        <v>151.76</v>
      </c>
      <c r="E94" s="64">
        <v>4.53</v>
      </c>
      <c r="F94" s="64">
        <v>7.42</v>
      </c>
      <c r="G94" s="64">
        <v>87.2</v>
      </c>
      <c r="H94" s="64">
        <v>23.58</v>
      </c>
      <c r="I94" s="64">
        <v>4.05</v>
      </c>
      <c r="J94" s="64">
        <v>0.47</v>
      </c>
      <c r="K94" s="64">
        <v>308.98</v>
      </c>
      <c r="L94" s="64">
        <v>22.41</v>
      </c>
      <c r="M94" s="64">
        <v>43.48</v>
      </c>
      <c r="N94" s="64">
        <v>54.7</v>
      </c>
      <c r="O94" s="64">
        <v>0</v>
      </c>
      <c r="P94" s="64">
        <v>2.2599999999999998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47" t="s">
        <v>2538</v>
      </c>
      <c r="B95" s="64">
        <v>126.27</v>
      </c>
      <c r="C95" s="64">
        <v>114.58</v>
      </c>
      <c r="D95" s="64">
        <v>161.12</v>
      </c>
      <c r="E95" s="64">
        <v>4.26</v>
      </c>
      <c r="F95" s="64">
        <v>7.49</v>
      </c>
      <c r="G95" s="64">
        <v>87.2</v>
      </c>
      <c r="H95" s="64">
        <v>23.58</v>
      </c>
      <c r="I95" s="64">
        <v>4.04</v>
      </c>
      <c r="J95" s="64">
        <v>0.57999999999999996</v>
      </c>
      <c r="K95" s="64">
        <v>333.64</v>
      </c>
      <c r="L95" s="64">
        <v>21.17</v>
      </c>
      <c r="M95" s="64">
        <v>50.75</v>
      </c>
      <c r="N95" s="64">
        <v>55.5</v>
      </c>
      <c r="O95" s="64">
        <v>0</v>
      </c>
      <c r="P95" s="64">
        <v>2.81</v>
      </c>
      <c r="Q95" s="64">
        <v>9.5</v>
      </c>
      <c r="R95" s="198"/>
      <c r="S95" s="198"/>
      <c r="T95" s="198"/>
      <c r="U95" s="198"/>
    </row>
    <row r="96" spans="1:26" s="12" customFormat="1" x14ac:dyDescent="0.25">
      <c r="A96" s="247" t="s">
        <v>2539</v>
      </c>
      <c r="B96" s="64">
        <v>206.01</v>
      </c>
      <c r="C96" s="64">
        <v>114.11</v>
      </c>
      <c r="D96" s="64">
        <v>224.06</v>
      </c>
      <c r="E96" s="64">
        <v>4.9800000000000004</v>
      </c>
      <c r="F96" s="64">
        <v>8.3699999999999992</v>
      </c>
      <c r="G96" s="64">
        <v>91.5</v>
      </c>
      <c r="H96" s="64">
        <v>23.91</v>
      </c>
      <c r="I96" s="64">
        <v>4.0999999999999996</v>
      </c>
      <c r="J96" s="64">
        <v>0.18</v>
      </c>
      <c r="K96" s="64">
        <v>33.15</v>
      </c>
      <c r="L96" s="64">
        <v>21.03</v>
      </c>
      <c r="M96" s="64">
        <v>49.52</v>
      </c>
      <c r="N96" s="64">
        <v>54.6</v>
      </c>
      <c r="O96" s="64">
        <v>0</v>
      </c>
      <c r="P96" s="64">
        <v>2.93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2540</v>
      </c>
      <c r="B97" s="64">
        <v>94.2</v>
      </c>
      <c r="C97" s="64">
        <v>88.99</v>
      </c>
      <c r="D97" s="64">
        <v>122.03</v>
      </c>
      <c r="E97" s="64">
        <v>3.52</v>
      </c>
      <c r="F97" s="64">
        <v>7.11</v>
      </c>
      <c r="G97" s="64">
        <v>105.63</v>
      </c>
      <c r="H97" s="64">
        <v>25</v>
      </c>
      <c r="I97" s="64">
        <v>4</v>
      </c>
      <c r="J97" s="64">
        <v>0.76</v>
      </c>
      <c r="K97" s="64">
        <v>4.3899999999999997</v>
      </c>
      <c r="L97" s="64">
        <v>20.6</v>
      </c>
      <c r="M97" s="64">
        <v>50.23</v>
      </c>
      <c r="N97" s="64">
        <v>55.2</v>
      </c>
      <c r="O97" s="64">
        <v>0</v>
      </c>
      <c r="P97" s="64">
        <v>2.17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47" t="s">
        <v>2541</v>
      </c>
      <c r="B98" s="64">
        <v>115.71</v>
      </c>
      <c r="C98" s="64">
        <v>80</v>
      </c>
      <c r="D98" s="64">
        <v>134.31</v>
      </c>
      <c r="E98" s="64">
        <v>2.4900000000000002</v>
      </c>
      <c r="F98" s="64">
        <v>7.23</v>
      </c>
      <c r="G98" s="64">
        <v>105.63</v>
      </c>
      <c r="H98" s="64">
        <v>25</v>
      </c>
      <c r="I98" s="64">
        <v>3.95</v>
      </c>
      <c r="J98" s="64">
        <v>0.71</v>
      </c>
      <c r="K98" s="64">
        <v>252.9</v>
      </c>
      <c r="L98" s="64">
        <v>20.75</v>
      </c>
      <c r="M98" s="64">
        <v>50.6</v>
      </c>
      <c r="N98" s="64">
        <v>54.5</v>
      </c>
      <c r="O98" s="64">
        <v>0</v>
      </c>
      <c r="P98" s="64">
        <v>2.06</v>
      </c>
      <c r="Q98" s="64">
        <v>9.5299999999999994</v>
      </c>
      <c r="R98" s="198"/>
      <c r="S98" s="198"/>
      <c r="T98" s="198"/>
      <c r="U98" s="198"/>
    </row>
    <row r="99" spans="1:33" s="12" customFormat="1" x14ac:dyDescent="0.25">
      <c r="A99" s="247" t="s">
        <v>2542</v>
      </c>
      <c r="B99" s="64">
        <v>113.48</v>
      </c>
      <c r="C99" s="64">
        <v>83.76</v>
      </c>
      <c r="D99" s="64">
        <v>134.77000000000001</v>
      </c>
      <c r="E99" s="64">
        <v>2.77</v>
      </c>
      <c r="F99" s="64">
        <v>7.2</v>
      </c>
      <c r="G99" s="64">
        <v>105.63</v>
      </c>
      <c r="H99" s="64">
        <v>25</v>
      </c>
      <c r="I99" s="64">
        <v>4.0199999999999996</v>
      </c>
      <c r="J99" s="64">
        <v>0.26</v>
      </c>
      <c r="K99" s="64">
        <v>40.799999999999997</v>
      </c>
      <c r="L99" s="64">
        <v>20.350000000000001</v>
      </c>
      <c r="M99" s="64">
        <v>54.51</v>
      </c>
      <c r="N99" s="64">
        <v>54.8</v>
      </c>
      <c r="O99" s="64">
        <v>0</v>
      </c>
      <c r="P99" s="64">
        <v>2.11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47" t="s">
        <v>2543</v>
      </c>
      <c r="B100" s="64">
        <v>98.48</v>
      </c>
      <c r="C100" s="64">
        <v>71.650000000000006</v>
      </c>
      <c r="D100" s="64">
        <v>116.41</v>
      </c>
      <c r="E100" s="64">
        <v>2.5499999999999998</v>
      </c>
      <c r="F100" s="64">
        <v>7.09</v>
      </c>
      <c r="G100" s="64">
        <v>109.13</v>
      </c>
      <c r="H100" s="64">
        <v>26.01</v>
      </c>
      <c r="I100" s="64">
        <v>3.88</v>
      </c>
      <c r="J100" s="64">
        <v>0.57999999999999996</v>
      </c>
      <c r="K100" s="64">
        <v>323.8</v>
      </c>
      <c r="L100" s="64">
        <v>20.58</v>
      </c>
      <c r="M100" s="64">
        <v>54.69</v>
      </c>
      <c r="N100" s="64">
        <v>54.9</v>
      </c>
      <c r="O100" s="64">
        <v>0</v>
      </c>
      <c r="P100" s="64">
        <v>1.98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2544</v>
      </c>
      <c r="B101" s="64">
        <v>83.88</v>
      </c>
      <c r="C101" s="64">
        <v>83</v>
      </c>
      <c r="D101" s="64">
        <v>110.63</v>
      </c>
      <c r="E101" s="64">
        <v>2.6</v>
      </c>
      <c r="F101" s="64">
        <v>7.76</v>
      </c>
      <c r="G101" s="64">
        <v>120.62</v>
      </c>
      <c r="H101" s="64">
        <v>29.34</v>
      </c>
      <c r="I101" s="64">
        <v>4.05</v>
      </c>
      <c r="J101" s="64">
        <v>0.13</v>
      </c>
      <c r="K101" s="64">
        <v>131.52000000000001</v>
      </c>
      <c r="L101" s="64">
        <v>20.29</v>
      </c>
      <c r="M101" s="64">
        <v>49.43</v>
      </c>
      <c r="N101" s="64">
        <v>54.3</v>
      </c>
      <c r="O101" s="64">
        <v>0</v>
      </c>
      <c r="P101" s="64">
        <v>1.91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47" t="s">
        <v>2545</v>
      </c>
      <c r="B102" s="64">
        <v>77.31</v>
      </c>
      <c r="C102" s="64">
        <v>85.48</v>
      </c>
      <c r="D102" s="64">
        <v>106.66</v>
      </c>
      <c r="E102" s="64">
        <v>2.48</v>
      </c>
      <c r="F102" s="64">
        <v>8.0500000000000007</v>
      </c>
      <c r="G102" s="64">
        <v>120.62</v>
      </c>
      <c r="H102" s="64">
        <v>29.34</v>
      </c>
      <c r="I102" s="64">
        <v>3.85</v>
      </c>
      <c r="J102" s="64">
        <v>0.28999999999999998</v>
      </c>
      <c r="K102" s="64">
        <v>142.31</v>
      </c>
      <c r="L102" s="64">
        <v>21.54</v>
      </c>
      <c r="M102" s="64">
        <v>41.51</v>
      </c>
      <c r="N102" s="64">
        <v>53.1</v>
      </c>
      <c r="O102" s="64">
        <v>0</v>
      </c>
      <c r="P102" s="64">
        <v>1.72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47" t="s">
        <v>2546</v>
      </c>
      <c r="B103" s="64">
        <v>83.51</v>
      </c>
      <c r="C103" s="64">
        <v>72.25</v>
      </c>
      <c r="D103" s="64">
        <v>104.72</v>
      </c>
      <c r="E103" s="64">
        <v>2.35</v>
      </c>
      <c r="F103" s="64">
        <v>8.19</v>
      </c>
      <c r="G103" s="64">
        <v>120.62</v>
      </c>
      <c r="H103" s="64">
        <v>29.34</v>
      </c>
      <c r="I103" s="64">
        <v>4.0599999999999996</v>
      </c>
      <c r="J103" s="64">
        <v>0.38</v>
      </c>
      <c r="K103" s="64">
        <v>239.99</v>
      </c>
      <c r="L103" s="64">
        <v>22.09</v>
      </c>
      <c r="M103" s="64">
        <v>39.29</v>
      </c>
      <c r="N103" s="64">
        <v>53.8</v>
      </c>
      <c r="O103" s="64">
        <v>0</v>
      </c>
      <c r="P103" s="64">
        <v>1.8</v>
      </c>
      <c r="Q103" s="64">
        <v>9.7200000000000006</v>
      </c>
      <c r="R103" s="198"/>
      <c r="S103" s="198"/>
      <c r="T103" s="198"/>
      <c r="U103" s="198"/>
    </row>
    <row r="104" spans="1:33" s="12" customFormat="1" x14ac:dyDescent="0.25">
      <c r="A104" s="247" t="s">
        <v>2547</v>
      </c>
      <c r="B104" s="64">
        <v>70.489999999999995</v>
      </c>
      <c r="C104" s="64">
        <v>75.400000000000006</v>
      </c>
      <c r="D104" s="64">
        <v>95.93</v>
      </c>
      <c r="E104" s="64">
        <v>4.91</v>
      </c>
      <c r="F104" s="64">
        <v>7.94</v>
      </c>
      <c r="G104" s="64">
        <v>113.59</v>
      </c>
      <c r="H104" s="64">
        <v>28.04</v>
      </c>
      <c r="I104" s="64">
        <v>4.08</v>
      </c>
      <c r="J104" s="64">
        <v>0.37</v>
      </c>
      <c r="K104" s="64">
        <v>195.43</v>
      </c>
      <c r="L104" s="64">
        <v>21.31</v>
      </c>
      <c r="M104" s="64">
        <v>41.87</v>
      </c>
      <c r="N104" s="64">
        <v>55</v>
      </c>
      <c r="O104" s="64">
        <v>0</v>
      </c>
      <c r="P104" s="64">
        <v>1.66</v>
      </c>
      <c r="Q104" s="64">
        <v>9.73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3.33</v>
      </c>
      <c r="C106" s="67">
        <f>MIN(C9:C104)</f>
        <v>39.86</v>
      </c>
      <c r="D106" s="67">
        <f t="shared" ref="D106:Q106" si="0">MIN(D9:D104)</f>
        <v>35.15</v>
      </c>
      <c r="E106" s="67">
        <f t="shared" si="0"/>
        <v>1.44</v>
      </c>
      <c r="F106" s="67">
        <f t="shared" si="0"/>
        <v>6.62</v>
      </c>
      <c r="G106" s="67">
        <f t="shared" si="0"/>
        <v>17.53</v>
      </c>
      <c r="H106" s="67">
        <f t="shared" si="0"/>
        <v>2.87</v>
      </c>
      <c r="I106" s="67">
        <f t="shared" si="0"/>
        <v>3.82</v>
      </c>
      <c r="J106" s="67">
        <f t="shared" si="0"/>
        <v>0.11</v>
      </c>
      <c r="K106" s="67">
        <f t="shared" si="0"/>
        <v>4.2699999999999996</v>
      </c>
      <c r="L106" s="67">
        <f t="shared" si="0"/>
        <v>18.489999999999998</v>
      </c>
      <c r="M106" s="67">
        <f t="shared" si="0"/>
        <v>19.53</v>
      </c>
      <c r="N106" s="67">
        <f t="shared" si="0"/>
        <v>53.1</v>
      </c>
      <c r="O106" s="67">
        <f t="shared" si="0"/>
        <v>0</v>
      </c>
      <c r="P106" s="67">
        <f t="shared" si="0"/>
        <v>0.49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206.01</v>
      </c>
      <c r="C107" s="66">
        <f t="shared" ref="C107:Q107" si="1">MAX(C9:C104)</f>
        <v>123.12</v>
      </c>
      <c r="D107" s="66">
        <f t="shared" si="1"/>
        <v>224.06</v>
      </c>
      <c r="E107" s="66">
        <f t="shared" si="1"/>
        <v>8.99</v>
      </c>
      <c r="F107" s="66">
        <f t="shared" si="1"/>
        <v>33.67</v>
      </c>
      <c r="G107" s="66">
        <f t="shared" si="1"/>
        <v>120.62</v>
      </c>
      <c r="H107" s="66">
        <f t="shared" si="1"/>
        <v>29.34</v>
      </c>
      <c r="I107" s="66">
        <f t="shared" si="1"/>
        <v>4.26</v>
      </c>
      <c r="J107" s="66">
        <f t="shared" si="1"/>
        <v>2.29</v>
      </c>
      <c r="K107" s="66">
        <f t="shared" si="1"/>
        <v>357.75</v>
      </c>
      <c r="L107" s="66">
        <f t="shared" si="1"/>
        <v>34.200000000000003</v>
      </c>
      <c r="M107" s="66">
        <f t="shared" si="1"/>
        <v>94.35</v>
      </c>
      <c r="N107" s="66">
        <f t="shared" si="1"/>
        <v>937.4</v>
      </c>
      <c r="O107" s="66">
        <f t="shared" si="1"/>
        <v>0</v>
      </c>
      <c r="P107" s="66">
        <f t="shared" si="1"/>
        <v>2.93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23.618750000000002</v>
      </c>
      <c r="C108" s="67">
        <f t="shared" ref="C108:Q108" si="2">AVERAGE(C9:C104)</f>
        <v>64.377916666666678</v>
      </c>
      <c r="D108" s="67">
        <f t="shared" si="2"/>
        <v>70.431562500000027</v>
      </c>
      <c r="E108" s="67">
        <f t="shared" si="2"/>
        <v>3.5864583333333351</v>
      </c>
      <c r="F108" s="67">
        <f t="shared" si="2"/>
        <v>13.589895833333328</v>
      </c>
      <c r="G108" s="67">
        <f t="shared" si="2"/>
        <v>58.713586956521745</v>
      </c>
      <c r="H108" s="67">
        <f t="shared" si="2"/>
        <v>16.545760869565214</v>
      </c>
      <c r="I108" s="67">
        <f t="shared" si="2"/>
        <v>3.9996875000000007</v>
      </c>
      <c r="J108" s="67">
        <f t="shared" si="2"/>
        <v>0.99656250000000002</v>
      </c>
      <c r="K108" s="67">
        <f t="shared" si="2"/>
        <v>161.01729166666661</v>
      </c>
      <c r="L108" s="67">
        <f t="shared" si="2"/>
        <v>24.857708333333331</v>
      </c>
      <c r="M108" s="67">
        <f t="shared" si="2"/>
        <v>53.034479166666692</v>
      </c>
      <c r="N108" s="67">
        <f t="shared" si="2"/>
        <v>261.50104166666671</v>
      </c>
      <c r="O108" s="67">
        <f t="shared" si="2"/>
        <v>0</v>
      </c>
      <c r="P108" s="67">
        <f t="shared" si="2"/>
        <v>0.91000000000000014</v>
      </c>
      <c r="Q108" s="67">
        <f t="shared" si="2"/>
        <v>9.2483333333333313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35.199212678096863</v>
      </c>
      <c r="C109" s="67">
        <f t="shared" ref="C109:Q109" si="3">STDEV(C9:C104)</f>
        <v>21.735414125177865</v>
      </c>
      <c r="D109" s="67">
        <f t="shared" si="3"/>
        <v>29.312968436948182</v>
      </c>
      <c r="E109" s="67">
        <f t="shared" si="3"/>
        <v>1.7224492837490764</v>
      </c>
      <c r="F109" s="67">
        <f t="shared" si="3"/>
        <v>6.9829362689633454</v>
      </c>
      <c r="G109" s="67">
        <f t="shared" si="3"/>
        <v>22.466733335591449</v>
      </c>
      <c r="H109" s="67">
        <f t="shared" si="3"/>
        <v>4.6899797871341491</v>
      </c>
      <c r="I109" s="67">
        <f t="shared" si="3"/>
        <v>8.663842741684058E-2</v>
      </c>
      <c r="J109" s="67">
        <f t="shared" si="3"/>
        <v>0.4871611170314894</v>
      </c>
      <c r="K109" s="67">
        <f t="shared" si="3"/>
        <v>134.61570865931995</v>
      </c>
      <c r="L109" s="67">
        <f t="shared" si="3"/>
        <v>5.0292626809538392</v>
      </c>
      <c r="M109" s="67">
        <f t="shared" si="3"/>
        <v>24.922054991292963</v>
      </c>
      <c r="N109" s="67">
        <f t="shared" si="3"/>
        <v>285.50247984720454</v>
      </c>
      <c r="O109" s="67">
        <f t="shared" si="3"/>
        <v>0</v>
      </c>
      <c r="P109" s="67">
        <f t="shared" si="3"/>
        <v>0.584355695571942</v>
      </c>
      <c r="Q109" s="67">
        <f t="shared" si="3"/>
        <v>0.18643845699215075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2548</v>
      </c>
      <c r="B9" s="64">
        <v>71.180000000000007</v>
      </c>
      <c r="C9" s="64">
        <v>71.28</v>
      </c>
      <c r="D9" s="64">
        <v>94.33</v>
      </c>
      <c r="E9" s="64">
        <v>5.15</v>
      </c>
      <c r="F9" s="64">
        <v>8.5500000000000007</v>
      </c>
      <c r="G9" s="64">
        <v>91.85</v>
      </c>
      <c r="H9" s="64">
        <v>23.78</v>
      </c>
      <c r="I9" s="64">
        <v>4.0599999999999996</v>
      </c>
      <c r="J9" s="64">
        <v>0.56000000000000005</v>
      </c>
      <c r="K9" s="64">
        <v>77.2</v>
      </c>
      <c r="L9" s="64">
        <v>21.57</v>
      </c>
      <c r="M9" s="64">
        <v>41.92</v>
      </c>
      <c r="N9" s="64">
        <v>53.9</v>
      </c>
      <c r="O9" s="64">
        <v>0</v>
      </c>
      <c r="P9" s="64">
        <v>1.62</v>
      </c>
      <c r="Q9" s="64">
        <v>9.74</v>
      </c>
      <c r="R9" s="198"/>
      <c r="S9" s="198"/>
      <c r="T9" s="198"/>
      <c r="U9" s="198"/>
    </row>
    <row r="10" spans="1:21" s="12" customFormat="1" x14ac:dyDescent="0.25">
      <c r="A10" s="247" t="s">
        <v>2549</v>
      </c>
      <c r="B10" s="64">
        <v>69.63</v>
      </c>
      <c r="C10" s="64">
        <v>68.73</v>
      </c>
      <c r="D10" s="64">
        <v>91.74</v>
      </c>
      <c r="E10" s="64">
        <v>5.07</v>
      </c>
      <c r="F10" s="64">
        <v>8.4600000000000009</v>
      </c>
      <c r="G10" s="64">
        <v>91.85</v>
      </c>
      <c r="H10" s="64">
        <v>23.78</v>
      </c>
      <c r="I10" s="64">
        <v>3.85</v>
      </c>
      <c r="J10" s="64">
        <v>0.51</v>
      </c>
      <c r="K10" s="64">
        <v>273.45999999999998</v>
      </c>
      <c r="L10" s="64">
        <v>20.82</v>
      </c>
      <c r="M10" s="64">
        <v>49.62</v>
      </c>
      <c r="N10" s="64">
        <v>55.4</v>
      </c>
      <c r="O10" s="64">
        <v>0</v>
      </c>
      <c r="P10" s="64">
        <v>1.64</v>
      </c>
      <c r="Q10" s="64">
        <v>9.7200000000000006</v>
      </c>
      <c r="R10" s="198"/>
      <c r="S10" s="198"/>
      <c r="T10" s="198"/>
      <c r="U10" s="198"/>
    </row>
    <row r="11" spans="1:21" s="12" customFormat="1" x14ac:dyDescent="0.25">
      <c r="A11" s="247" t="s">
        <v>2550</v>
      </c>
      <c r="B11" s="64">
        <v>46.03</v>
      </c>
      <c r="C11" s="64">
        <v>62.39</v>
      </c>
      <c r="D11" s="64">
        <v>69.510000000000005</v>
      </c>
      <c r="E11" s="64">
        <v>5.17</v>
      </c>
      <c r="F11" s="64">
        <v>13.38</v>
      </c>
      <c r="G11" s="64">
        <v>91.85</v>
      </c>
      <c r="H11" s="64">
        <v>23.78</v>
      </c>
      <c r="I11" s="64">
        <v>4.01</v>
      </c>
      <c r="J11" s="64">
        <v>0.44</v>
      </c>
      <c r="K11" s="64">
        <v>255.22</v>
      </c>
      <c r="L11" s="64">
        <v>20.83</v>
      </c>
      <c r="M11" s="64">
        <v>50.7</v>
      </c>
      <c r="N11" s="64">
        <v>54.3</v>
      </c>
      <c r="O11" s="64">
        <v>0</v>
      </c>
      <c r="P11" s="64">
        <v>1.23</v>
      </c>
      <c r="Q11" s="64">
        <v>9.7100000000000009</v>
      </c>
      <c r="R11" s="198"/>
      <c r="S11" s="198"/>
      <c r="T11" s="198"/>
      <c r="U11" s="198"/>
    </row>
    <row r="12" spans="1:21" s="12" customFormat="1" x14ac:dyDescent="0.25">
      <c r="A12" s="247" t="s">
        <v>2551</v>
      </c>
      <c r="B12" s="64">
        <v>32.76</v>
      </c>
      <c r="C12" s="64">
        <v>61.3</v>
      </c>
      <c r="D12" s="64">
        <v>58.3</v>
      </c>
      <c r="E12" s="64">
        <v>5.34</v>
      </c>
      <c r="F12" s="64">
        <v>16.190000000000001</v>
      </c>
      <c r="G12" s="64">
        <v>88.56</v>
      </c>
      <c r="H12" s="64">
        <v>23.35</v>
      </c>
      <c r="I12" s="64">
        <v>3.93</v>
      </c>
      <c r="J12" s="64">
        <v>0.43</v>
      </c>
      <c r="K12" s="64">
        <v>284.88</v>
      </c>
      <c r="L12" s="64">
        <v>19.850000000000001</v>
      </c>
      <c r="M12" s="64">
        <v>57.78</v>
      </c>
      <c r="N12" s="64">
        <v>55.4</v>
      </c>
      <c r="O12" s="64">
        <v>0</v>
      </c>
      <c r="P12" s="64">
        <v>0.99</v>
      </c>
      <c r="Q12" s="64">
        <v>9.6999999999999993</v>
      </c>
      <c r="R12" s="198"/>
      <c r="S12" s="198"/>
      <c r="T12" s="198"/>
      <c r="U12" s="198"/>
    </row>
    <row r="13" spans="1:21" s="12" customFormat="1" x14ac:dyDescent="0.25">
      <c r="A13" s="247" t="s">
        <v>2552</v>
      </c>
      <c r="B13" s="64">
        <v>40.26</v>
      </c>
      <c r="C13" s="64">
        <v>57.53</v>
      </c>
      <c r="D13" s="64">
        <v>62.34</v>
      </c>
      <c r="E13" s="64">
        <v>5.89</v>
      </c>
      <c r="F13" s="64">
        <v>17.420000000000002</v>
      </c>
      <c r="G13" s="64">
        <v>78.41</v>
      </c>
      <c r="H13" s="64">
        <v>22.04</v>
      </c>
      <c r="I13" s="64">
        <v>4.13</v>
      </c>
      <c r="J13" s="64">
        <v>1.02</v>
      </c>
      <c r="K13" s="64">
        <v>91.11</v>
      </c>
      <c r="L13" s="64">
        <v>20.68</v>
      </c>
      <c r="M13" s="64">
        <v>49.73</v>
      </c>
      <c r="N13" s="64">
        <v>53</v>
      </c>
      <c r="O13" s="64">
        <v>0</v>
      </c>
      <c r="P13" s="64">
        <v>0.89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47" t="s">
        <v>2553</v>
      </c>
      <c r="B14" s="64">
        <v>30.64</v>
      </c>
      <c r="C14" s="64">
        <v>52.1</v>
      </c>
      <c r="D14" s="64">
        <v>51.8</v>
      </c>
      <c r="E14" s="64">
        <v>6.52</v>
      </c>
      <c r="F14" s="64">
        <v>23.2</v>
      </c>
      <c r="G14" s="64">
        <v>78.41</v>
      </c>
      <c r="H14" s="64">
        <v>22.04</v>
      </c>
      <c r="I14" s="64">
        <v>3.92</v>
      </c>
      <c r="J14" s="64">
        <v>0.7</v>
      </c>
      <c r="K14" s="64">
        <v>41.57</v>
      </c>
      <c r="L14" s="64">
        <v>21.38</v>
      </c>
      <c r="M14" s="64">
        <v>49.2</v>
      </c>
      <c r="N14" s="64">
        <v>54.3</v>
      </c>
      <c r="O14" s="64">
        <v>0</v>
      </c>
      <c r="P14" s="64">
        <v>0.8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47" t="s">
        <v>2554</v>
      </c>
      <c r="B15" s="64">
        <v>41.02</v>
      </c>
      <c r="C15" s="64">
        <v>48.15</v>
      </c>
      <c r="D15" s="64">
        <v>58.05</v>
      </c>
      <c r="E15" s="64">
        <v>6.18</v>
      </c>
      <c r="F15" s="64">
        <v>16.87</v>
      </c>
      <c r="G15" s="64">
        <v>78.41</v>
      </c>
      <c r="H15" s="64">
        <v>22.04</v>
      </c>
      <c r="I15" s="64">
        <v>4</v>
      </c>
      <c r="J15" s="64">
        <v>1.52</v>
      </c>
      <c r="K15" s="64">
        <v>102.48</v>
      </c>
      <c r="L15" s="64">
        <v>21.06</v>
      </c>
      <c r="M15" s="64">
        <v>52.13</v>
      </c>
      <c r="N15" s="64">
        <v>54</v>
      </c>
      <c r="O15" s="64">
        <v>0</v>
      </c>
      <c r="P15" s="64">
        <v>0.99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47" t="s">
        <v>2555</v>
      </c>
      <c r="B16" s="64">
        <v>31.64</v>
      </c>
      <c r="C16" s="64">
        <v>49.21</v>
      </c>
      <c r="D16" s="64">
        <v>51.08</v>
      </c>
      <c r="E16" s="64">
        <v>5.77</v>
      </c>
      <c r="F16" s="64">
        <v>19.55</v>
      </c>
      <c r="G16" s="64">
        <v>73.290000000000006</v>
      </c>
      <c r="H16" s="64">
        <v>22.46</v>
      </c>
      <c r="I16" s="64">
        <v>3.93</v>
      </c>
      <c r="J16" s="64">
        <v>0.77</v>
      </c>
      <c r="K16" s="64">
        <v>92.75</v>
      </c>
      <c r="L16" s="64">
        <v>21.17</v>
      </c>
      <c r="M16" s="64">
        <v>52.04</v>
      </c>
      <c r="N16" s="64">
        <v>54.6</v>
      </c>
      <c r="O16" s="64">
        <v>0</v>
      </c>
      <c r="P16" s="64">
        <v>0.85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47" t="s">
        <v>2556</v>
      </c>
      <c r="B17" s="64">
        <v>33.549999999999997</v>
      </c>
      <c r="C17" s="64">
        <v>49.78</v>
      </c>
      <c r="D17" s="64">
        <v>52.91</v>
      </c>
      <c r="E17" s="64">
        <v>5.77</v>
      </c>
      <c r="F17" s="64">
        <v>15.83</v>
      </c>
      <c r="G17" s="64">
        <v>56.46</v>
      </c>
      <c r="H17" s="64">
        <v>23.86</v>
      </c>
      <c r="I17" s="64">
        <v>4.03</v>
      </c>
      <c r="J17" s="64">
        <v>0.53</v>
      </c>
      <c r="K17" s="64">
        <v>339.01</v>
      </c>
      <c r="L17" s="64">
        <v>20.49</v>
      </c>
      <c r="M17" s="64">
        <v>58.21</v>
      </c>
      <c r="N17" s="64">
        <v>55.7</v>
      </c>
      <c r="O17" s="64">
        <v>0</v>
      </c>
      <c r="P17" s="64">
        <v>0.87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47" t="s">
        <v>2557</v>
      </c>
      <c r="B18" s="64">
        <v>36.450000000000003</v>
      </c>
      <c r="C18" s="64">
        <v>49.02</v>
      </c>
      <c r="D18" s="64">
        <v>54.84</v>
      </c>
      <c r="E18" s="64">
        <v>5.7</v>
      </c>
      <c r="F18" s="64">
        <v>14.25</v>
      </c>
      <c r="G18" s="64">
        <v>56.46</v>
      </c>
      <c r="H18" s="64">
        <v>23.86</v>
      </c>
      <c r="I18" s="64">
        <v>4.09</v>
      </c>
      <c r="J18" s="64">
        <v>0.96</v>
      </c>
      <c r="K18" s="64">
        <v>8.52</v>
      </c>
      <c r="L18" s="64">
        <v>19.45</v>
      </c>
      <c r="M18" s="64">
        <v>60.73</v>
      </c>
      <c r="N18" s="64">
        <v>54.7</v>
      </c>
      <c r="O18" s="64">
        <v>0</v>
      </c>
      <c r="P18" s="64">
        <v>0.93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47" t="s">
        <v>2558</v>
      </c>
      <c r="B19" s="64">
        <v>44.2</v>
      </c>
      <c r="C19" s="64">
        <v>60.02</v>
      </c>
      <c r="D19" s="64">
        <v>66.8</v>
      </c>
      <c r="E19" s="64">
        <v>5.17</v>
      </c>
      <c r="F19" s="64">
        <v>6.81</v>
      </c>
      <c r="G19" s="64">
        <v>56.46</v>
      </c>
      <c r="H19" s="64">
        <v>23.86</v>
      </c>
      <c r="I19" s="64">
        <v>3.97</v>
      </c>
      <c r="J19" s="64">
        <v>1.8</v>
      </c>
      <c r="K19" s="64">
        <v>358.57</v>
      </c>
      <c r="L19" s="64">
        <v>19.63</v>
      </c>
      <c r="M19" s="64">
        <v>55.33</v>
      </c>
      <c r="N19" s="64">
        <v>54.3</v>
      </c>
      <c r="O19" s="64">
        <v>0</v>
      </c>
      <c r="P19" s="64">
        <v>1.1399999999999999</v>
      </c>
      <c r="Q19" s="64">
        <v>9.59</v>
      </c>
      <c r="R19" s="198"/>
      <c r="S19" s="198"/>
      <c r="T19" s="198"/>
      <c r="U19" s="198"/>
    </row>
    <row r="20" spans="1:21" s="12" customFormat="1" x14ac:dyDescent="0.25">
      <c r="A20" s="247" t="s">
        <v>2559</v>
      </c>
      <c r="B20" s="64">
        <v>39</v>
      </c>
      <c r="C20" s="64">
        <v>62.08</v>
      </c>
      <c r="D20" s="64">
        <v>63.71</v>
      </c>
      <c r="E20" s="64">
        <v>5.0999999999999996</v>
      </c>
      <c r="F20" s="64">
        <v>7.4</v>
      </c>
      <c r="G20" s="64">
        <v>57.93</v>
      </c>
      <c r="H20" s="64">
        <v>22.15</v>
      </c>
      <c r="I20" s="64">
        <v>3.92</v>
      </c>
      <c r="J20" s="64">
        <v>1.44</v>
      </c>
      <c r="K20" s="64">
        <v>354.99</v>
      </c>
      <c r="L20" s="64">
        <v>19.559999999999999</v>
      </c>
      <c r="M20" s="64">
        <v>54.45</v>
      </c>
      <c r="N20" s="64">
        <v>54.9</v>
      </c>
      <c r="O20" s="64">
        <v>0</v>
      </c>
      <c r="P20" s="64">
        <v>1.0900000000000001</v>
      </c>
      <c r="Q20" s="64">
        <v>9.59</v>
      </c>
      <c r="R20" s="198"/>
      <c r="S20" s="198"/>
      <c r="T20" s="198"/>
      <c r="U20" s="198"/>
    </row>
    <row r="21" spans="1:21" s="12" customFormat="1" x14ac:dyDescent="0.25">
      <c r="A21" s="247" t="s">
        <v>2560</v>
      </c>
      <c r="B21" s="64">
        <v>34.520000000000003</v>
      </c>
      <c r="C21" s="64">
        <v>66.41</v>
      </c>
      <c r="D21" s="64">
        <v>62.38</v>
      </c>
      <c r="E21" s="64">
        <v>6.12</v>
      </c>
      <c r="F21" s="64">
        <v>7.32</v>
      </c>
      <c r="G21" s="64">
        <v>62.73</v>
      </c>
      <c r="H21" s="64">
        <v>16.54</v>
      </c>
      <c r="I21" s="64">
        <v>4.1500000000000004</v>
      </c>
      <c r="J21" s="64">
        <v>1.18</v>
      </c>
      <c r="K21" s="64">
        <v>353.78</v>
      </c>
      <c r="L21" s="64">
        <v>19.43</v>
      </c>
      <c r="M21" s="64">
        <v>53.56</v>
      </c>
      <c r="N21" s="64">
        <v>55.1</v>
      </c>
      <c r="O21" s="64">
        <v>0</v>
      </c>
      <c r="P21" s="64">
        <v>1.07</v>
      </c>
      <c r="Q21" s="64">
        <v>9.59</v>
      </c>
      <c r="R21" s="198"/>
      <c r="S21" s="198"/>
      <c r="T21" s="198"/>
      <c r="U21" s="198"/>
    </row>
    <row r="22" spans="1:21" s="12" customFormat="1" x14ac:dyDescent="0.25">
      <c r="A22" s="247" t="s">
        <v>2561</v>
      </c>
      <c r="B22" s="64">
        <v>30.54</v>
      </c>
      <c r="C22" s="64">
        <v>67.19</v>
      </c>
      <c r="D22" s="64">
        <v>59.6</v>
      </c>
      <c r="E22" s="64">
        <v>5.92</v>
      </c>
      <c r="F22" s="64">
        <v>8</v>
      </c>
      <c r="G22" s="64">
        <v>62.73</v>
      </c>
      <c r="H22" s="64">
        <v>16.54</v>
      </c>
      <c r="I22" s="64">
        <v>4.1100000000000003</v>
      </c>
      <c r="J22" s="64">
        <v>0.43</v>
      </c>
      <c r="K22" s="64">
        <v>272.11</v>
      </c>
      <c r="L22" s="64">
        <v>19.22</v>
      </c>
      <c r="M22" s="64">
        <v>54.27</v>
      </c>
      <c r="N22" s="64">
        <v>55.4</v>
      </c>
      <c r="O22" s="64">
        <v>0</v>
      </c>
      <c r="P22" s="64">
        <v>1.06</v>
      </c>
      <c r="Q22" s="64">
        <v>9.58</v>
      </c>
      <c r="R22" s="198"/>
      <c r="S22" s="198"/>
      <c r="T22" s="198"/>
      <c r="U22" s="198"/>
    </row>
    <row r="23" spans="1:21" s="12" customFormat="1" x14ac:dyDescent="0.25">
      <c r="A23" s="247" t="s">
        <v>2562</v>
      </c>
      <c r="B23" s="64">
        <v>29.18</v>
      </c>
      <c r="C23" s="64">
        <v>65.12</v>
      </c>
      <c r="D23" s="64">
        <v>57.43</v>
      </c>
      <c r="E23" s="64">
        <v>5.08</v>
      </c>
      <c r="F23" s="64">
        <v>7.69</v>
      </c>
      <c r="G23" s="64">
        <v>62.73</v>
      </c>
      <c r="H23" s="64">
        <v>16.54</v>
      </c>
      <c r="I23" s="64">
        <v>4.0599999999999996</v>
      </c>
      <c r="J23" s="64">
        <v>0.97</v>
      </c>
      <c r="K23" s="64">
        <v>216.34</v>
      </c>
      <c r="L23" s="64">
        <v>19.02</v>
      </c>
      <c r="M23" s="64">
        <v>55.54</v>
      </c>
      <c r="N23" s="64">
        <v>54.8</v>
      </c>
      <c r="O23" s="64">
        <v>0</v>
      </c>
      <c r="P23" s="64">
        <v>1.04</v>
      </c>
      <c r="Q23" s="64">
        <v>9.58</v>
      </c>
      <c r="R23" s="198"/>
      <c r="S23" s="198"/>
      <c r="T23" s="198"/>
      <c r="U23" s="198"/>
    </row>
    <row r="24" spans="1:21" s="12" customFormat="1" x14ac:dyDescent="0.25">
      <c r="A24" s="247" t="s">
        <v>2563</v>
      </c>
      <c r="B24" s="64">
        <v>29.8</v>
      </c>
      <c r="C24" s="64">
        <v>63.46</v>
      </c>
      <c r="D24" s="64">
        <v>57.05</v>
      </c>
      <c r="E24" s="64">
        <v>4.7699999999999996</v>
      </c>
      <c r="F24" s="64">
        <v>7.11</v>
      </c>
      <c r="G24" s="64">
        <v>69.5</v>
      </c>
      <c r="H24" s="64">
        <v>17.13</v>
      </c>
      <c r="I24" s="64">
        <v>3.88</v>
      </c>
      <c r="J24" s="64">
        <v>0.56999999999999995</v>
      </c>
      <c r="K24" s="64">
        <v>257.37</v>
      </c>
      <c r="L24" s="64">
        <v>18.77</v>
      </c>
      <c r="M24" s="64">
        <v>58.74</v>
      </c>
      <c r="N24" s="64">
        <v>55.3</v>
      </c>
      <c r="O24" s="64">
        <v>0</v>
      </c>
      <c r="P24" s="64">
        <v>1.03</v>
      </c>
      <c r="Q24" s="64">
        <v>9.58</v>
      </c>
      <c r="R24" s="198"/>
      <c r="S24" s="198"/>
      <c r="T24" s="198"/>
      <c r="U24" s="198"/>
    </row>
    <row r="25" spans="1:21" s="12" customFormat="1" x14ac:dyDescent="0.25">
      <c r="A25" s="247" t="s">
        <v>2564</v>
      </c>
      <c r="B25" s="64">
        <v>30.13</v>
      </c>
      <c r="C25" s="64">
        <v>63.22</v>
      </c>
      <c r="D25" s="64">
        <v>57.2</v>
      </c>
      <c r="E25" s="64">
        <v>4.5999999999999996</v>
      </c>
      <c r="F25" s="64">
        <v>7.14</v>
      </c>
      <c r="G25" s="64">
        <v>91.74</v>
      </c>
      <c r="H25" s="64">
        <v>19.059999999999999</v>
      </c>
      <c r="I25" s="64">
        <v>4.03</v>
      </c>
      <c r="J25" s="64">
        <v>0.8</v>
      </c>
      <c r="K25" s="64">
        <v>224.53</v>
      </c>
      <c r="L25" s="64">
        <v>18.350000000000001</v>
      </c>
      <c r="M25" s="64">
        <v>60.22</v>
      </c>
      <c r="N25" s="64">
        <v>55</v>
      </c>
      <c r="O25" s="64">
        <v>0</v>
      </c>
      <c r="P25" s="64">
        <v>1.03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47" t="s">
        <v>2565</v>
      </c>
      <c r="B26" s="64">
        <v>31.22</v>
      </c>
      <c r="C26" s="64">
        <v>61.11</v>
      </c>
      <c r="D26" s="64">
        <v>56.97</v>
      </c>
      <c r="E26" s="64">
        <v>4.54</v>
      </c>
      <c r="F26" s="64">
        <v>6.62</v>
      </c>
      <c r="G26" s="64">
        <v>91.74</v>
      </c>
      <c r="H26" s="64">
        <v>19.059999999999999</v>
      </c>
      <c r="I26" s="64">
        <v>3.87</v>
      </c>
      <c r="J26" s="64">
        <v>0.87</v>
      </c>
      <c r="K26" s="64">
        <v>202.48</v>
      </c>
      <c r="L26" s="64">
        <v>18.100000000000001</v>
      </c>
      <c r="M26" s="64">
        <v>62.95</v>
      </c>
      <c r="N26" s="64">
        <v>54.6</v>
      </c>
      <c r="O26" s="64">
        <v>0</v>
      </c>
      <c r="P26" s="64">
        <v>1.02</v>
      </c>
      <c r="Q26" s="64">
        <v>9.5500000000000007</v>
      </c>
      <c r="R26" s="198"/>
      <c r="S26" s="198"/>
      <c r="T26" s="198"/>
      <c r="U26" s="198"/>
    </row>
    <row r="27" spans="1:21" s="12" customFormat="1" x14ac:dyDescent="0.25">
      <c r="A27" s="247" t="s">
        <v>2566</v>
      </c>
      <c r="B27" s="64">
        <v>32.65</v>
      </c>
      <c r="C27" s="64">
        <v>59.91</v>
      </c>
      <c r="D27" s="64">
        <v>57.49</v>
      </c>
      <c r="E27" s="64">
        <v>4.18</v>
      </c>
      <c r="F27" s="64">
        <v>7.12</v>
      </c>
      <c r="G27" s="64">
        <v>91.74</v>
      </c>
      <c r="H27" s="64">
        <v>19.059999999999999</v>
      </c>
      <c r="I27" s="64">
        <v>4.0999999999999996</v>
      </c>
      <c r="J27" s="64">
        <v>0.49</v>
      </c>
      <c r="K27" s="64">
        <v>244.18</v>
      </c>
      <c r="L27" s="64">
        <v>17.850000000000001</v>
      </c>
      <c r="M27" s="64">
        <v>63.31</v>
      </c>
      <c r="N27" s="64">
        <v>55.2</v>
      </c>
      <c r="O27" s="64">
        <v>0</v>
      </c>
      <c r="P27" s="64">
        <v>1.02</v>
      </c>
      <c r="Q27" s="64">
        <v>9.5299999999999994</v>
      </c>
      <c r="R27" s="198"/>
      <c r="S27" s="198"/>
      <c r="T27" s="198"/>
      <c r="U27" s="198"/>
    </row>
    <row r="28" spans="1:21" s="12" customFormat="1" x14ac:dyDescent="0.25">
      <c r="A28" s="247" t="s">
        <v>2567</v>
      </c>
      <c r="B28" s="64">
        <v>33.74</v>
      </c>
      <c r="C28" s="64">
        <v>60.06</v>
      </c>
      <c r="D28" s="64">
        <v>58.44</v>
      </c>
      <c r="E28" s="64">
        <v>4.6900000000000004</v>
      </c>
      <c r="F28" s="64">
        <v>7.5</v>
      </c>
      <c r="G28" s="64">
        <v>99.93</v>
      </c>
      <c r="H28" s="64">
        <v>20.99</v>
      </c>
      <c r="I28" s="64">
        <v>4</v>
      </c>
      <c r="J28" s="64">
        <v>0.38</v>
      </c>
      <c r="K28" s="64">
        <v>290.26</v>
      </c>
      <c r="L28" s="64">
        <v>17.829999999999998</v>
      </c>
      <c r="M28" s="64">
        <v>60.07</v>
      </c>
      <c r="N28" s="64">
        <v>54.7</v>
      </c>
      <c r="O28" s="64">
        <v>0</v>
      </c>
      <c r="P28" s="64">
        <v>0.99</v>
      </c>
      <c r="Q28" s="64">
        <v>9.5399999999999991</v>
      </c>
      <c r="R28" s="198"/>
      <c r="S28" s="198"/>
      <c r="T28" s="198"/>
      <c r="U28" s="198"/>
    </row>
    <row r="29" spans="1:21" s="12" customFormat="1" x14ac:dyDescent="0.25">
      <c r="A29" s="247" t="s">
        <v>2568</v>
      </c>
      <c r="B29" s="64">
        <v>26.49</v>
      </c>
      <c r="C29" s="64">
        <v>57.39</v>
      </c>
      <c r="D29" s="64">
        <v>51.23</v>
      </c>
      <c r="E29" s="64">
        <v>4.84</v>
      </c>
      <c r="F29" s="64">
        <v>7.82</v>
      </c>
      <c r="G29" s="64">
        <v>126.85</v>
      </c>
      <c r="H29" s="64">
        <v>27.32</v>
      </c>
      <c r="I29" s="64">
        <v>4</v>
      </c>
      <c r="J29" s="64">
        <v>0.36</v>
      </c>
      <c r="K29" s="64">
        <v>102.11</v>
      </c>
      <c r="L29" s="64">
        <v>17.32</v>
      </c>
      <c r="M29" s="64">
        <v>63.36</v>
      </c>
      <c r="N29" s="64">
        <v>55.1</v>
      </c>
      <c r="O29" s="64">
        <v>0</v>
      </c>
      <c r="P29" s="64">
        <v>0.88</v>
      </c>
      <c r="Q29" s="64">
        <v>9.5500000000000007</v>
      </c>
      <c r="R29" s="198"/>
      <c r="S29" s="198"/>
      <c r="T29" s="198"/>
      <c r="U29" s="198"/>
    </row>
    <row r="30" spans="1:21" s="12" customFormat="1" x14ac:dyDescent="0.25">
      <c r="A30" s="247" t="s">
        <v>2569</v>
      </c>
      <c r="B30" s="64">
        <v>36.65</v>
      </c>
      <c r="C30" s="64">
        <v>59.92</v>
      </c>
      <c r="D30" s="64">
        <v>60.7</v>
      </c>
      <c r="E30" s="64">
        <v>5.01</v>
      </c>
      <c r="F30" s="64">
        <v>8.1999999999999993</v>
      </c>
      <c r="G30" s="64">
        <v>126.85</v>
      </c>
      <c r="H30" s="64">
        <v>27.32</v>
      </c>
      <c r="I30" s="64">
        <v>4.1100000000000003</v>
      </c>
      <c r="J30" s="64">
        <v>0.61</v>
      </c>
      <c r="K30" s="64">
        <v>344.51</v>
      </c>
      <c r="L30" s="64">
        <v>17.07</v>
      </c>
      <c r="M30" s="64">
        <v>66.05</v>
      </c>
      <c r="N30" s="64">
        <v>55.2</v>
      </c>
      <c r="O30" s="64">
        <v>0</v>
      </c>
      <c r="P30" s="64">
        <v>0.96</v>
      </c>
      <c r="Q30" s="64">
        <v>9.5500000000000007</v>
      </c>
      <c r="R30" s="198"/>
      <c r="S30" s="198"/>
      <c r="T30" s="198"/>
      <c r="U30" s="198"/>
    </row>
    <row r="31" spans="1:21" s="12" customFormat="1" x14ac:dyDescent="0.25">
      <c r="A31" s="247" t="s">
        <v>2570</v>
      </c>
      <c r="B31" s="64">
        <v>31.12</v>
      </c>
      <c r="C31" s="64">
        <v>57.92</v>
      </c>
      <c r="D31" s="64">
        <v>55.22</v>
      </c>
      <c r="E31" s="64">
        <v>4.32</v>
      </c>
      <c r="F31" s="64">
        <v>7.59</v>
      </c>
      <c r="G31" s="64">
        <v>126.85</v>
      </c>
      <c r="H31" s="64">
        <v>27.32</v>
      </c>
      <c r="I31" s="64">
        <v>3.95</v>
      </c>
      <c r="J31" s="64">
        <v>0.34</v>
      </c>
      <c r="K31" s="64">
        <v>91.21</v>
      </c>
      <c r="L31" s="64">
        <v>17.010000000000002</v>
      </c>
      <c r="M31" s="64">
        <v>62.78</v>
      </c>
      <c r="N31" s="64">
        <v>54.9</v>
      </c>
      <c r="O31" s="64">
        <v>0</v>
      </c>
      <c r="P31" s="64">
        <v>0.9</v>
      </c>
      <c r="Q31" s="64">
        <v>9.5500000000000007</v>
      </c>
      <c r="R31" s="198"/>
      <c r="S31" s="198"/>
      <c r="T31" s="198"/>
      <c r="U31" s="198"/>
    </row>
    <row r="32" spans="1:21" s="12" customFormat="1" x14ac:dyDescent="0.25">
      <c r="A32" s="247" t="s">
        <v>2571</v>
      </c>
      <c r="B32" s="64">
        <v>26.76</v>
      </c>
      <c r="C32" s="64">
        <v>57.93</v>
      </c>
      <c r="D32" s="64">
        <v>51.73</v>
      </c>
      <c r="E32" s="64">
        <v>5.13</v>
      </c>
      <c r="F32" s="64">
        <v>9.15</v>
      </c>
      <c r="G32" s="64">
        <v>123.72</v>
      </c>
      <c r="H32" s="64">
        <v>27.74</v>
      </c>
      <c r="I32" s="64">
        <v>3.95</v>
      </c>
      <c r="J32" s="64">
        <v>0.28000000000000003</v>
      </c>
      <c r="K32" s="64">
        <v>93.2</v>
      </c>
      <c r="L32" s="64">
        <v>17.14</v>
      </c>
      <c r="M32" s="64">
        <v>62.26</v>
      </c>
      <c r="N32" s="64">
        <v>56.9</v>
      </c>
      <c r="O32" s="64">
        <v>0</v>
      </c>
      <c r="P32" s="64">
        <v>0.81</v>
      </c>
      <c r="Q32" s="64">
        <v>9.5500000000000007</v>
      </c>
      <c r="R32" s="198"/>
      <c r="S32" s="198"/>
      <c r="T32" s="198"/>
      <c r="U32" s="198"/>
    </row>
    <row r="33" spans="1:21" s="12" customFormat="1" x14ac:dyDescent="0.25">
      <c r="A33" s="247" t="s">
        <v>2572</v>
      </c>
      <c r="B33" s="64">
        <v>44.5</v>
      </c>
      <c r="C33" s="64">
        <v>61.97</v>
      </c>
      <c r="D33" s="64">
        <v>68.06</v>
      </c>
      <c r="E33" s="64">
        <v>4.74</v>
      </c>
      <c r="F33" s="64">
        <v>7.94</v>
      </c>
      <c r="G33" s="64">
        <v>113.46</v>
      </c>
      <c r="H33" s="64">
        <v>29.13</v>
      </c>
      <c r="I33" s="64">
        <v>3.97</v>
      </c>
      <c r="J33" s="64">
        <v>0.21</v>
      </c>
      <c r="K33" s="64">
        <v>43.29</v>
      </c>
      <c r="L33" s="64">
        <v>17.02</v>
      </c>
      <c r="M33" s="64">
        <v>65.84</v>
      </c>
      <c r="N33" s="64">
        <v>65.7</v>
      </c>
      <c r="O33" s="64">
        <v>0</v>
      </c>
      <c r="P33" s="64">
        <v>0.93</v>
      </c>
      <c r="Q33" s="64">
        <v>9.5399999999999991</v>
      </c>
      <c r="R33" s="198"/>
      <c r="S33" s="198"/>
      <c r="T33" s="198"/>
      <c r="U33" s="198"/>
    </row>
    <row r="34" spans="1:21" s="12" customFormat="1" x14ac:dyDescent="0.25">
      <c r="A34" s="247" t="s">
        <v>2573</v>
      </c>
      <c r="B34" s="64">
        <v>38.799999999999997</v>
      </c>
      <c r="C34" s="64">
        <v>63.6</v>
      </c>
      <c r="D34" s="64">
        <v>64.349999999999994</v>
      </c>
      <c r="E34" s="64">
        <v>4.91</v>
      </c>
      <c r="F34" s="64">
        <v>8.6999999999999993</v>
      </c>
      <c r="G34" s="64">
        <v>113.46</v>
      </c>
      <c r="H34" s="64">
        <v>29.13</v>
      </c>
      <c r="I34" s="64">
        <v>4.05</v>
      </c>
      <c r="J34" s="64">
        <v>0.45</v>
      </c>
      <c r="K34" s="64">
        <v>69.930000000000007</v>
      </c>
      <c r="L34" s="64">
        <v>17.600000000000001</v>
      </c>
      <c r="M34" s="64">
        <v>59.15</v>
      </c>
      <c r="N34" s="64">
        <v>86.2</v>
      </c>
      <c r="O34" s="64">
        <v>0</v>
      </c>
      <c r="P34" s="64">
        <v>0.88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47" t="s">
        <v>2574</v>
      </c>
      <c r="B35" s="64">
        <v>51.3</v>
      </c>
      <c r="C35" s="64">
        <v>68.8</v>
      </c>
      <c r="D35" s="64">
        <v>77.09</v>
      </c>
      <c r="E35" s="64">
        <v>4.8</v>
      </c>
      <c r="F35" s="64">
        <v>7.55</v>
      </c>
      <c r="G35" s="64">
        <v>113.46</v>
      </c>
      <c r="H35" s="64">
        <v>29.13</v>
      </c>
      <c r="I35" s="64">
        <v>3.99</v>
      </c>
      <c r="J35" s="64">
        <v>0.28000000000000003</v>
      </c>
      <c r="K35" s="64">
        <v>341.79</v>
      </c>
      <c r="L35" s="64">
        <v>18.600000000000001</v>
      </c>
      <c r="M35" s="64">
        <v>60.9</v>
      </c>
      <c r="N35" s="64">
        <v>124.7</v>
      </c>
      <c r="O35" s="64">
        <v>0</v>
      </c>
      <c r="P35" s="64">
        <v>1.01</v>
      </c>
      <c r="Q35" s="64">
        <v>9.5399999999999991</v>
      </c>
      <c r="R35" s="198"/>
      <c r="S35" s="198"/>
      <c r="T35" s="198"/>
      <c r="U35" s="198"/>
    </row>
    <row r="36" spans="1:21" s="12" customFormat="1" x14ac:dyDescent="0.25">
      <c r="A36" s="247" t="s">
        <v>2575</v>
      </c>
      <c r="B36" s="64">
        <v>40.07</v>
      </c>
      <c r="C36" s="64">
        <v>55.18</v>
      </c>
      <c r="D36" s="64">
        <v>60.96</v>
      </c>
      <c r="E36" s="64">
        <v>4.41</v>
      </c>
      <c r="F36" s="64">
        <v>6.97</v>
      </c>
      <c r="G36" s="64">
        <v>113.63</v>
      </c>
      <c r="H36" s="64">
        <v>31.13</v>
      </c>
      <c r="I36" s="64">
        <v>3.82</v>
      </c>
      <c r="J36" s="64">
        <v>0.67</v>
      </c>
      <c r="K36" s="64">
        <v>116.4</v>
      </c>
      <c r="L36" s="64">
        <v>20.059999999999999</v>
      </c>
      <c r="M36" s="64">
        <v>56.35</v>
      </c>
      <c r="N36" s="64">
        <v>170.4</v>
      </c>
      <c r="O36" s="64">
        <v>0</v>
      </c>
      <c r="P36" s="64">
        <v>0.94</v>
      </c>
      <c r="Q36" s="64">
        <v>9.5399999999999991</v>
      </c>
      <c r="R36" s="198"/>
      <c r="S36" s="198"/>
      <c r="T36" s="198"/>
      <c r="U36" s="198"/>
    </row>
    <row r="37" spans="1:21" s="12" customFormat="1" x14ac:dyDescent="0.25">
      <c r="A37" s="247" t="s">
        <v>2576</v>
      </c>
      <c r="B37" s="64">
        <v>40.119999999999997</v>
      </c>
      <c r="C37" s="64">
        <v>58.68</v>
      </c>
      <c r="D37" s="64">
        <v>62.83</v>
      </c>
      <c r="E37" s="64">
        <v>4.91</v>
      </c>
      <c r="F37" s="64">
        <v>6.69</v>
      </c>
      <c r="G37" s="64">
        <v>114.16</v>
      </c>
      <c r="H37" s="64">
        <v>37.71</v>
      </c>
      <c r="I37" s="64">
        <v>3.94</v>
      </c>
      <c r="J37" s="64">
        <v>0.43</v>
      </c>
      <c r="K37" s="64">
        <v>225.27</v>
      </c>
      <c r="L37" s="64">
        <v>21.99</v>
      </c>
      <c r="M37" s="64">
        <v>47.15</v>
      </c>
      <c r="N37" s="64">
        <v>219.1</v>
      </c>
      <c r="O37" s="64">
        <v>0</v>
      </c>
      <c r="P37" s="64">
        <v>1.01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47" t="s">
        <v>2577</v>
      </c>
      <c r="B38" s="64">
        <v>43.89</v>
      </c>
      <c r="C38" s="64">
        <v>62.97</v>
      </c>
      <c r="D38" s="64">
        <v>68.099999999999994</v>
      </c>
      <c r="E38" s="64">
        <v>4.9400000000000004</v>
      </c>
      <c r="F38" s="64">
        <v>7.15</v>
      </c>
      <c r="G38" s="64">
        <v>114.16</v>
      </c>
      <c r="H38" s="64">
        <v>37.71</v>
      </c>
      <c r="I38" s="64">
        <v>4.07</v>
      </c>
      <c r="J38" s="64">
        <v>0.78</v>
      </c>
      <c r="K38" s="64">
        <v>347.85</v>
      </c>
      <c r="L38" s="64">
        <v>24.1</v>
      </c>
      <c r="M38" s="64">
        <v>42.97</v>
      </c>
      <c r="N38" s="64">
        <v>266.60000000000002</v>
      </c>
      <c r="O38" s="64">
        <v>0</v>
      </c>
      <c r="P38" s="64">
        <v>1.08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47" t="s">
        <v>2578</v>
      </c>
      <c r="B39" s="64">
        <v>42.16</v>
      </c>
      <c r="C39" s="64">
        <v>62.31</v>
      </c>
      <c r="D39" s="64">
        <v>66.37</v>
      </c>
      <c r="E39" s="64">
        <v>4.57</v>
      </c>
      <c r="F39" s="64">
        <v>6.99</v>
      </c>
      <c r="G39" s="64">
        <v>114.16</v>
      </c>
      <c r="H39" s="64">
        <v>37.71</v>
      </c>
      <c r="I39" s="64">
        <v>3.86</v>
      </c>
      <c r="J39" s="64">
        <v>0.91</v>
      </c>
      <c r="K39" s="64">
        <v>347.09</v>
      </c>
      <c r="L39" s="64">
        <v>25.86</v>
      </c>
      <c r="M39" s="64">
        <v>38.26</v>
      </c>
      <c r="N39" s="64">
        <v>315.8</v>
      </c>
      <c r="O39" s="64">
        <v>0</v>
      </c>
      <c r="P39" s="64">
        <v>1.07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47" t="s">
        <v>2579</v>
      </c>
      <c r="B40" s="64">
        <v>42.25</v>
      </c>
      <c r="C40" s="64">
        <v>65.88</v>
      </c>
      <c r="D40" s="64">
        <v>68.3</v>
      </c>
      <c r="E40" s="64">
        <v>3.43</v>
      </c>
      <c r="F40" s="64">
        <v>7.59</v>
      </c>
      <c r="G40" s="64">
        <v>112.23</v>
      </c>
      <c r="H40" s="64">
        <v>36.06</v>
      </c>
      <c r="I40" s="64">
        <v>3.93</v>
      </c>
      <c r="J40" s="64">
        <v>0.9</v>
      </c>
      <c r="K40" s="64">
        <v>331.43</v>
      </c>
      <c r="L40" s="64">
        <v>27.28</v>
      </c>
      <c r="M40" s="64">
        <v>34.58</v>
      </c>
      <c r="N40" s="64">
        <v>363.4</v>
      </c>
      <c r="O40" s="64">
        <v>0</v>
      </c>
      <c r="P40" s="64">
        <v>1.06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47" t="s">
        <v>2580</v>
      </c>
      <c r="B41" s="64">
        <v>37.42</v>
      </c>
      <c r="C41" s="64">
        <v>67.760000000000005</v>
      </c>
      <c r="D41" s="64">
        <v>65.41</v>
      </c>
      <c r="E41" s="64">
        <v>4.58</v>
      </c>
      <c r="F41" s="64">
        <v>8.4600000000000009</v>
      </c>
      <c r="G41" s="64">
        <v>105.88</v>
      </c>
      <c r="H41" s="64">
        <v>30.63</v>
      </c>
      <c r="I41" s="64">
        <v>3.89</v>
      </c>
      <c r="J41" s="64">
        <v>0.6</v>
      </c>
      <c r="K41" s="64">
        <v>39.549999999999997</v>
      </c>
      <c r="L41" s="64">
        <v>26.95</v>
      </c>
      <c r="M41" s="64">
        <v>36.44</v>
      </c>
      <c r="N41" s="64">
        <v>404.4</v>
      </c>
      <c r="O41" s="64">
        <v>0</v>
      </c>
      <c r="P41" s="64">
        <v>1.04</v>
      </c>
      <c r="Q41" s="64">
        <v>9.57</v>
      </c>
      <c r="R41" s="198"/>
      <c r="S41" s="198"/>
      <c r="T41" s="198"/>
      <c r="U41" s="198"/>
    </row>
    <row r="42" spans="1:21" s="12" customFormat="1" x14ac:dyDescent="0.25">
      <c r="A42" s="247" t="s">
        <v>2581</v>
      </c>
      <c r="B42" s="64">
        <v>33.08</v>
      </c>
      <c r="C42" s="64">
        <v>68.040000000000006</v>
      </c>
      <c r="D42" s="64">
        <v>62.08</v>
      </c>
      <c r="E42" s="64">
        <v>4.6399999999999997</v>
      </c>
      <c r="F42" s="64">
        <v>8.16</v>
      </c>
      <c r="G42" s="64">
        <v>105.88</v>
      </c>
      <c r="H42" s="64">
        <v>30.63</v>
      </c>
      <c r="I42" s="64">
        <v>4.08</v>
      </c>
      <c r="J42" s="64">
        <v>1.02</v>
      </c>
      <c r="K42" s="64">
        <v>94.81</v>
      </c>
      <c r="L42" s="64">
        <v>25.46</v>
      </c>
      <c r="M42" s="64">
        <v>38.65</v>
      </c>
      <c r="N42" s="64">
        <v>449.6</v>
      </c>
      <c r="O42" s="64">
        <v>0</v>
      </c>
      <c r="P42" s="64">
        <v>1.04</v>
      </c>
      <c r="Q42" s="64">
        <v>9.58</v>
      </c>
      <c r="R42" s="198"/>
      <c r="S42" s="198"/>
      <c r="T42" s="198"/>
      <c r="U42" s="198"/>
    </row>
    <row r="43" spans="1:21" s="12" customFormat="1" x14ac:dyDescent="0.25">
      <c r="A43" s="247" t="s">
        <v>2582</v>
      </c>
      <c r="B43" s="64">
        <v>33.28</v>
      </c>
      <c r="C43" s="64">
        <v>67.2</v>
      </c>
      <c r="D43" s="64">
        <v>61.8</v>
      </c>
      <c r="E43" s="64">
        <v>4.8</v>
      </c>
      <c r="F43" s="64">
        <v>8.09</v>
      </c>
      <c r="G43" s="64">
        <v>105.88</v>
      </c>
      <c r="H43" s="64">
        <v>30.63</v>
      </c>
      <c r="I43" s="64">
        <v>3.99</v>
      </c>
      <c r="J43" s="64">
        <v>1.1399999999999999</v>
      </c>
      <c r="K43" s="64">
        <v>91.82</v>
      </c>
      <c r="L43" s="64">
        <v>25.38</v>
      </c>
      <c r="M43" s="64">
        <v>37.43</v>
      </c>
      <c r="N43" s="64">
        <v>515.70000000000005</v>
      </c>
      <c r="O43" s="64">
        <v>0</v>
      </c>
      <c r="P43" s="64">
        <v>1.02</v>
      </c>
      <c r="Q43" s="64">
        <v>9.58</v>
      </c>
      <c r="R43" s="198"/>
      <c r="S43" s="198"/>
      <c r="T43" s="198"/>
      <c r="U43" s="198"/>
    </row>
    <row r="44" spans="1:21" s="12" customFormat="1" x14ac:dyDescent="0.25">
      <c r="A44" s="247" t="s">
        <v>2583</v>
      </c>
      <c r="B44" s="64">
        <v>28.39</v>
      </c>
      <c r="C44" s="64">
        <v>67.92</v>
      </c>
      <c r="D44" s="64">
        <v>58.26</v>
      </c>
      <c r="E44" s="64">
        <v>4.7300000000000004</v>
      </c>
      <c r="F44" s="64">
        <v>7.87</v>
      </c>
      <c r="G44" s="64">
        <v>105.48</v>
      </c>
      <c r="H44" s="64">
        <v>32.32</v>
      </c>
      <c r="I44" s="64">
        <v>3.99</v>
      </c>
      <c r="J44" s="64">
        <v>1.03</v>
      </c>
      <c r="K44" s="64">
        <v>92.29</v>
      </c>
      <c r="L44" s="64">
        <v>26.35</v>
      </c>
      <c r="M44" s="64">
        <v>34.799999999999997</v>
      </c>
      <c r="N44" s="64">
        <v>565</v>
      </c>
      <c r="O44" s="64">
        <v>0</v>
      </c>
      <c r="P44" s="64">
        <v>1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47" t="s">
        <v>2584</v>
      </c>
      <c r="B45" s="64">
        <v>25.21</v>
      </c>
      <c r="C45" s="64">
        <v>68.8</v>
      </c>
      <c r="D45" s="64">
        <v>56.16</v>
      </c>
      <c r="E45" s="64">
        <v>4.63</v>
      </c>
      <c r="F45" s="64">
        <v>9</v>
      </c>
      <c r="G45" s="64">
        <v>104.15</v>
      </c>
      <c r="H45" s="64">
        <v>37.880000000000003</v>
      </c>
      <c r="I45" s="64">
        <v>4</v>
      </c>
      <c r="J45" s="64">
        <v>1.1399999999999999</v>
      </c>
      <c r="K45" s="64">
        <v>94.43</v>
      </c>
      <c r="L45" s="64">
        <v>26.42</v>
      </c>
      <c r="M45" s="64">
        <v>35.21</v>
      </c>
      <c r="N45" s="64">
        <v>610.70000000000005</v>
      </c>
      <c r="O45" s="64">
        <v>0</v>
      </c>
      <c r="P45" s="64">
        <v>0.96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47" t="s">
        <v>2585</v>
      </c>
      <c r="B46" s="64">
        <v>21.08</v>
      </c>
      <c r="C46" s="64">
        <v>68.400000000000006</v>
      </c>
      <c r="D46" s="64">
        <v>52.64</v>
      </c>
      <c r="E46" s="64">
        <v>5.7</v>
      </c>
      <c r="F46" s="64">
        <v>10.02</v>
      </c>
      <c r="G46" s="64">
        <v>104.15</v>
      </c>
      <c r="H46" s="64">
        <v>37.880000000000003</v>
      </c>
      <c r="I46" s="64">
        <v>4.1900000000000004</v>
      </c>
      <c r="J46" s="64">
        <v>1.28</v>
      </c>
      <c r="K46" s="64">
        <v>92.12</v>
      </c>
      <c r="L46" s="64">
        <v>26.73</v>
      </c>
      <c r="M46" s="64">
        <v>36.04</v>
      </c>
      <c r="N46" s="64">
        <v>670.4</v>
      </c>
      <c r="O46" s="64">
        <v>0</v>
      </c>
      <c r="P46" s="64">
        <v>0.93</v>
      </c>
      <c r="Q46" s="64">
        <v>9.5500000000000007</v>
      </c>
      <c r="R46" s="198"/>
      <c r="S46" s="198"/>
      <c r="T46" s="198"/>
      <c r="U46" s="198"/>
    </row>
    <row r="47" spans="1:21" s="12" customFormat="1" x14ac:dyDescent="0.25">
      <c r="A47" s="247" t="s">
        <v>2586</v>
      </c>
      <c r="B47" s="64">
        <v>17.95</v>
      </c>
      <c r="C47" s="64">
        <v>67</v>
      </c>
      <c r="D47" s="64">
        <v>49.4</v>
      </c>
      <c r="E47" s="64">
        <v>5.81</v>
      </c>
      <c r="F47" s="64">
        <v>9.56</v>
      </c>
      <c r="G47" s="64">
        <v>104.15</v>
      </c>
      <c r="H47" s="64">
        <v>37.880000000000003</v>
      </c>
      <c r="I47" s="64">
        <v>4.05</v>
      </c>
      <c r="J47" s="64">
        <v>1.69</v>
      </c>
      <c r="K47" s="64">
        <v>96.88</v>
      </c>
      <c r="L47" s="64">
        <v>26.72</v>
      </c>
      <c r="M47" s="64">
        <v>36.56</v>
      </c>
      <c r="N47" s="64">
        <v>739.2</v>
      </c>
      <c r="O47" s="64">
        <v>0</v>
      </c>
      <c r="P47" s="64">
        <v>0.91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47" t="s">
        <v>2587</v>
      </c>
      <c r="B48" s="64">
        <v>14.85</v>
      </c>
      <c r="C48" s="64">
        <v>64.83</v>
      </c>
      <c r="D48" s="64">
        <v>45.78</v>
      </c>
      <c r="E48" s="64">
        <v>6.45</v>
      </c>
      <c r="F48" s="64">
        <v>15.01</v>
      </c>
      <c r="G48" s="64">
        <v>102.27</v>
      </c>
      <c r="H48" s="64">
        <v>38.590000000000003</v>
      </c>
      <c r="I48" s="64">
        <v>3.89</v>
      </c>
      <c r="J48" s="64">
        <v>1.52</v>
      </c>
      <c r="K48" s="64">
        <v>101.76</v>
      </c>
      <c r="L48" s="64">
        <v>26.86</v>
      </c>
      <c r="M48" s="64">
        <v>35.82</v>
      </c>
      <c r="N48" s="64">
        <v>782.1</v>
      </c>
      <c r="O48" s="64">
        <v>0</v>
      </c>
      <c r="P48" s="64">
        <v>0.83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47" t="s">
        <v>2588</v>
      </c>
      <c r="B49" s="64">
        <v>12.69</v>
      </c>
      <c r="C49" s="64">
        <v>67</v>
      </c>
      <c r="D49" s="64">
        <v>45.18</v>
      </c>
      <c r="E49" s="64">
        <v>7.82</v>
      </c>
      <c r="F49" s="64">
        <v>12.93</v>
      </c>
      <c r="G49" s="64">
        <v>96.1</v>
      </c>
      <c r="H49" s="64">
        <v>40.94</v>
      </c>
      <c r="I49" s="64">
        <v>3.97</v>
      </c>
      <c r="J49" s="64">
        <v>1.38</v>
      </c>
      <c r="K49" s="64">
        <v>101.58</v>
      </c>
      <c r="L49" s="64">
        <v>27.66</v>
      </c>
      <c r="M49" s="64">
        <v>34.9</v>
      </c>
      <c r="N49" s="64">
        <v>806.5</v>
      </c>
      <c r="O49" s="64">
        <v>0</v>
      </c>
      <c r="P49" s="64">
        <v>0.81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47" t="s">
        <v>2589</v>
      </c>
      <c r="B50" s="64">
        <v>10.7</v>
      </c>
      <c r="C50" s="64">
        <v>67.13</v>
      </c>
      <c r="D50" s="64">
        <v>43.65</v>
      </c>
      <c r="E50" s="64">
        <v>9.9700000000000006</v>
      </c>
      <c r="F50" s="64">
        <v>15.94</v>
      </c>
      <c r="G50" s="64">
        <v>96.1</v>
      </c>
      <c r="H50" s="64">
        <v>40.94</v>
      </c>
      <c r="I50" s="64">
        <v>4.1500000000000004</v>
      </c>
      <c r="J50" s="64">
        <v>0.86</v>
      </c>
      <c r="K50" s="64">
        <v>108.46</v>
      </c>
      <c r="L50" s="64">
        <v>28.44</v>
      </c>
      <c r="M50" s="64">
        <v>33.43</v>
      </c>
      <c r="N50" s="64">
        <v>820.2</v>
      </c>
      <c r="O50" s="64">
        <v>0</v>
      </c>
      <c r="P50" s="64">
        <v>0.77</v>
      </c>
      <c r="Q50" s="64">
        <v>9.34</v>
      </c>
      <c r="R50" s="198"/>
      <c r="S50" s="198"/>
      <c r="T50" s="198"/>
      <c r="U50" s="198"/>
    </row>
    <row r="51" spans="1:21" s="12" customFormat="1" x14ac:dyDescent="0.25">
      <c r="A51" s="247" t="s">
        <v>2590</v>
      </c>
      <c r="B51" s="64">
        <v>8.36</v>
      </c>
      <c r="C51" s="64">
        <v>64.31</v>
      </c>
      <c r="D51" s="64">
        <v>40.31</v>
      </c>
      <c r="E51" s="64">
        <v>8.6199999999999992</v>
      </c>
      <c r="F51" s="64">
        <v>18.36</v>
      </c>
      <c r="G51" s="64">
        <v>96.1</v>
      </c>
      <c r="H51" s="64">
        <v>40.94</v>
      </c>
      <c r="I51" s="64">
        <v>3.92</v>
      </c>
      <c r="J51" s="64">
        <v>1.06</v>
      </c>
      <c r="K51" s="64">
        <v>131.06</v>
      </c>
      <c r="L51" s="64">
        <v>29.09</v>
      </c>
      <c r="M51" s="64">
        <v>31.19</v>
      </c>
      <c r="N51" s="64">
        <v>838.4</v>
      </c>
      <c r="O51" s="64">
        <v>0</v>
      </c>
      <c r="P51" s="64">
        <v>0.72</v>
      </c>
      <c r="Q51" s="64">
        <v>9.2799999999999994</v>
      </c>
      <c r="R51" s="198"/>
      <c r="S51" s="198"/>
      <c r="T51" s="198"/>
      <c r="U51" s="198"/>
    </row>
    <row r="52" spans="1:21" s="12" customFormat="1" x14ac:dyDescent="0.25">
      <c r="A52" s="247" t="s">
        <v>2591</v>
      </c>
      <c r="B52" s="64">
        <v>6.71</v>
      </c>
      <c r="C52" s="64">
        <v>61.53</v>
      </c>
      <c r="D52" s="64">
        <v>37.53</v>
      </c>
      <c r="E52" s="64">
        <v>10.7</v>
      </c>
      <c r="F52" s="64">
        <v>18.12</v>
      </c>
      <c r="G52" s="64">
        <v>90.78</v>
      </c>
      <c r="H52" s="64">
        <v>39.61</v>
      </c>
      <c r="I52" s="64">
        <v>3.94</v>
      </c>
      <c r="J52" s="64">
        <v>0.81</v>
      </c>
      <c r="K52" s="64">
        <v>195.18</v>
      </c>
      <c r="L52" s="64">
        <v>30.01</v>
      </c>
      <c r="M52" s="64">
        <v>29.44</v>
      </c>
      <c r="N52" s="64">
        <v>833.4</v>
      </c>
      <c r="O52" s="64">
        <v>0</v>
      </c>
      <c r="P52" s="64">
        <v>0.69</v>
      </c>
      <c r="Q52" s="64">
        <v>9.2200000000000006</v>
      </c>
      <c r="R52" s="198"/>
      <c r="S52" s="198"/>
      <c r="T52" s="198"/>
      <c r="U52" s="198"/>
    </row>
    <row r="53" spans="1:21" s="12" customFormat="1" x14ac:dyDescent="0.25">
      <c r="A53" s="247" t="s">
        <v>2592</v>
      </c>
      <c r="B53" s="64">
        <v>5</v>
      </c>
      <c r="C53" s="64">
        <v>56</v>
      </c>
      <c r="D53" s="64">
        <v>33.270000000000003</v>
      </c>
      <c r="E53" s="64">
        <v>12.95</v>
      </c>
      <c r="F53" s="64">
        <v>19.07</v>
      </c>
      <c r="G53" s="64">
        <v>73.28</v>
      </c>
      <c r="H53" s="64">
        <v>35.24</v>
      </c>
      <c r="I53" s="64">
        <v>4.16</v>
      </c>
      <c r="J53" s="64">
        <v>0.06</v>
      </c>
      <c r="K53" s="64">
        <v>322.04000000000002</v>
      </c>
      <c r="L53" s="64">
        <v>30.19</v>
      </c>
      <c r="M53" s="64">
        <v>29.86</v>
      </c>
      <c r="N53" s="64">
        <v>808.3</v>
      </c>
      <c r="O53" s="64">
        <v>0</v>
      </c>
      <c r="P53" s="64">
        <v>0.67</v>
      </c>
      <c r="Q53" s="64">
        <v>9.18</v>
      </c>
      <c r="R53" s="198"/>
      <c r="S53" s="198"/>
      <c r="T53" s="198"/>
      <c r="U53" s="198"/>
    </row>
    <row r="54" spans="1:21" s="12" customFormat="1" x14ac:dyDescent="0.25">
      <c r="A54" s="247" t="s">
        <v>2593</v>
      </c>
      <c r="B54" s="64">
        <v>5.14</v>
      </c>
      <c r="C54" s="64">
        <v>63.24</v>
      </c>
      <c r="D54" s="64">
        <v>37.159999999999997</v>
      </c>
      <c r="E54" s="64">
        <v>6.82</v>
      </c>
      <c r="F54" s="64">
        <v>9.77</v>
      </c>
      <c r="G54" s="64">
        <v>73.28</v>
      </c>
      <c r="H54" s="64">
        <v>35.24</v>
      </c>
      <c r="I54" s="64">
        <v>4.05</v>
      </c>
      <c r="J54" s="64">
        <v>1.0900000000000001</v>
      </c>
      <c r="K54" s="64">
        <v>327.56</v>
      </c>
      <c r="L54" s="64">
        <v>33.659999999999997</v>
      </c>
      <c r="M54" s="64">
        <v>24.3</v>
      </c>
      <c r="N54" s="64">
        <v>840.4</v>
      </c>
      <c r="O54" s="64">
        <v>0</v>
      </c>
      <c r="P54" s="64">
        <v>0.73</v>
      </c>
      <c r="Q54" s="64">
        <v>9.1300000000000008</v>
      </c>
      <c r="R54" s="198"/>
      <c r="S54" s="198"/>
      <c r="T54" s="198"/>
      <c r="U54" s="198"/>
    </row>
    <row r="55" spans="1:21" s="12" customFormat="1" x14ac:dyDescent="0.25">
      <c r="A55" s="247" t="s">
        <v>2594</v>
      </c>
      <c r="B55" s="64">
        <v>5.08</v>
      </c>
      <c r="C55" s="64">
        <v>65.66</v>
      </c>
      <c r="D55" s="64">
        <v>38.380000000000003</v>
      </c>
      <c r="E55" s="64">
        <v>6.76</v>
      </c>
      <c r="F55" s="64">
        <v>12.07</v>
      </c>
      <c r="G55" s="64">
        <v>73.28</v>
      </c>
      <c r="H55" s="64">
        <v>35.24</v>
      </c>
      <c r="I55" s="64">
        <v>3.95</v>
      </c>
      <c r="J55" s="64">
        <v>1.1399999999999999</v>
      </c>
      <c r="K55" s="64">
        <v>328.06</v>
      </c>
      <c r="L55" s="64">
        <v>34.06</v>
      </c>
      <c r="M55" s="64">
        <v>24.24</v>
      </c>
      <c r="N55" s="64">
        <v>863.1</v>
      </c>
      <c r="O55" s="64">
        <v>0</v>
      </c>
      <c r="P55" s="64">
        <v>0.73</v>
      </c>
      <c r="Q55" s="64">
        <v>9.11</v>
      </c>
      <c r="R55" s="198"/>
      <c r="S55" s="198"/>
      <c r="T55" s="198"/>
      <c r="U55" s="198"/>
    </row>
    <row r="56" spans="1:21" s="12" customFormat="1" x14ac:dyDescent="0.25">
      <c r="A56" s="247" t="s">
        <v>2595</v>
      </c>
      <c r="B56" s="64">
        <v>5.51</v>
      </c>
      <c r="C56" s="64">
        <v>66.67</v>
      </c>
      <c r="D56" s="64">
        <v>39.25</v>
      </c>
      <c r="E56" s="64">
        <v>7.6</v>
      </c>
      <c r="F56" s="64">
        <v>18.64</v>
      </c>
      <c r="G56" s="64">
        <v>70.75</v>
      </c>
      <c r="H56" s="64">
        <v>33.99</v>
      </c>
      <c r="I56" s="64">
        <v>4.07</v>
      </c>
      <c r="J56" s="64">
        <v>1.31</v>
      </c>
      <c r="K56" s="64">
        <v>341.31</v>
      </c>
      <c r="L56" s="64">
        <v>34.79</v>
      </c>
      <c r="M56" s="64">
        <v>20.49</v>
      </c>
      <c r="N56" s="64">
        <v>868.2</v>
      </c>
      <c r="O56" s="64">
        <v>0</v>
      </c>
      <c r="P56" s="64">
        <v>0.68</v>
      </c>
      <c r="Q56" s="64">
        <v>9.09</v>
      </c>
      <c r="R56" s="198"/>
      <c r="S56" s="198"/>
      <c r="T56" s="198"/>
      <c r="U56" s="198"/>
    </row>
    <row r="57" spans="1:21" s="12" customFormat="1" x14ac:dyDescent="0.25">
      <c r="A57" s="247" t="s">
        <v>2596</v>
      </c>
      <c r="B57" s="64">
        <v>5.18</v>
      </c>
      <c r="C57" s="64">
        <v>62.55</v>
      </c>
      <c r="D57" s="64">
        <v>36.83</v>
      </c>
      <c r="E57" s="64">
        <v>6.95</v>
      </c>
      <c r="F57" s="64">
        <v>12.6</v>
      </c>
      <c r="G57" s="64">
        <v>62.92</v>
      </c>
      <c r="H57" s="64">
        <v>29.88</v>
      </c>
      <c r="I57" s="64">
        <v>3.9</v>
      </c>
      <c r="J57" s="64">
        <v>1.26</v>
      </c>
      <c r="K57" s="64">
        <v>317.73</v>
      </c>
      <c r="L57" s="64">
        <v>35.54</v>
      </c>
      <c r="M57" s="64">
        <v>18.47</v>
      </c>
      <c r="N57" s="64">
        <v>879.3</v>
      </c>
      <c r="O57" s="64">
        <v>0</v>
      </c>
      <c r="P57" s="64">
        <v>0.68</v>
      </c>
      <c r="Q57" s="64">
        <v>9.07</v>
      </c>
      <c r="R57" s="198"/>
      <c r="S57" s="198"/>
      <c r="T57" s="198"/>
      <c r="U57" s="198"/>
    </row>
    <row r="58" spans="1:21" s="12" customFormat="1" x14ac:dyDescent="0.25">
      <c r="A58" s="247" t="s">
        <v>2597</v>
      </c>
      <c r="B58" s="64">
        <v>3.91</v>
      </c>
      <c r="C58" s="64">
        <v>65.11</v>
      </c>
      <c r="D58" s="64">
        <v>37.159999999999997</v>
      </c>
      <c r="E58" s="64">
        <v>5.27</v>
      </c>
      <c r="F58" s="64">
        <v>14.06</v>
      </c>
      <c r="G58" s="64">
        <v>62.92</v>
      </c>
      <c r="H58" s="64">
        <v>29.88</v>
      </c>
      <c r="I58" s="64">
        <v>4</v>
      </c>
      <c r="J58" s="64">
        <v>1.03</v>
      </c>
      <c r="K58" s="64">
        <v>299.24</v>
      </c>
      <c r="L58" s="64">
        <v>35.520000000000003</v>
      </c>
      <c r="M58" s="64">
        <v>18.190000000000001</v>
      </c>
      <c r="N58" s="64">
        <v>857.3</v>
      </c>
      <c r="O58" s="64">
        <v>0</v>
      </c>
      <c r="P58" s="64">
        <v>0.68</v>
      </c>
      <c r="Q58" s="64">
        <v>9.0500000000000007</v>
      </c>
      <c r="R58" s="198"/>
      <c r="S58" s="198"/>
      <c r="T58" s="198"/>
      <c r="U58" s="198"/>
    </row>
    <row r="59" spans="1:21" s="12" customFormat="1" x14ac:dyDescent="0.25">
      <c r="A59" s="247" t="s">
        <v>2598</v>
      </c>
      <c r="B59" s="64">
        <v>4.04</v>
      </c>
      <c r="C59" s="64">
        <v>62.9</v>
      </c>
      <c r="D59" s="64">
        <v>36.1</v>
      </c>
      <c r="E59" s="64">
        <v>9.35</v>
      </c>
      <c r="F59" s="64">
        <v>22.31</v>
      </c>
      <c r="G59" s="64">
        <v>62.92</v>
      </c>
      <c r="H59" s="64">
        <v>29.88</v>
      </c>
      <c r="I59" s="64">
        <v>3.98</v>
      </c>
      <c r="J59" s="64">
        <v>0.87</v>
      </c>
      <c r="K59" s="64">
        <v>351.88</v>
      </c>
      <c r="L59" s="64">
        <v>34.19</v>
      </c>
      <c r="M59" s="64">
        <v>20.39</v>
      </c>
      <c r="N59" s="64">
        <v>839.1</v>
      </c>
      <c r="O59" s="64">
        <v>0</v>
      </c>
      <c r="P59" s="64">
        <v>0.64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47" t="s">
        <v>2599</v>
      </c>
      <c r="B60" s="64">
        <v>3.69</v>
      </c>
      <c r="C60" s="64">
        <v>57.57</v>
      </c>
      <c r="D60" s="64">
        <v>33.04</v>
      </c>
      <c r="E60" s="64">
        <v>11.66</v>
      </c>
      <c r="F60" s="64">
        <v>24.01</v>
      </c>
      <c r="G60" s="64">
        <v>62.91</v>
      </c>
      <c r="H60" s="64">
        <v>29.05</v>
      </c>
      <c r="I60" s="64">
        <v>4.01</v>
      </c>
      <c r="J60" s="64">
        <v>1.27</v>
      </c>
      <c r="K60" s="64">
        <v>358.56</v>
      </c>
      <c r="L60" s="64">
        <v>33.380000000000003</v>
      </c>
      <c r="M60" s="64">
        <v>20.04</v>
      </c>
      <c r="N60" s="64">
        <v>842.6</v>
      </c>
      <c r="O60" s="64">
        <v>0</v>
      </c>
      <c r="P60" s="64">
        <v>0.6</v>
      </c>
      <c r="Q60" s="64">
        <v>9.01</v>
      </c>
      <c r="R60" s="198"/>
      <c r="S60" s="198"/>
      <c r="T60" s="198"/>
      <c r="U60" s="198"/>
    </row>
    <row r="61" spans="1:21" s="12" customFormat="1" x14ac:dyDescent="0.25">
      <c r="A61" s="247" t="s">
        <v>2600</v>
      </c>
      <c r="B61" s="64">
        <v>4.5199999999999996</v>
      </c>
      <c r="C61" s="64">
        <v>63.25</v>
      </c>
      <c r="D61" s="64">
        <v>36.67</v>
      </c>
      <c r="E61" s="64">
        <v>14.84</v>
      </c>
      <c r="F61" s="64">
        <v>24.79</v>
      </c>
      <c r="G61" s="64">
        <v>62.87</v>
      </c>
      <c r="H61" s="64">
        <v>26.32</v>
      </c>
      <c r="I61" s="64">
        <v>3.98</v>
      </c>
      <c r="J61" s="64">
        <v>1.24</v>
      </c>
      <c r="K61" s="64">
        <v>358.56</v>
      </c>
      <c r="L61" s="64">
        <v>33.880000000000003</v>
      </c>
      <c r="M61" s="64">
        <v>19.649999999999999</v>
      </c>
      <c r="N61" s="64">
        <v>842.3</v>
      </c>
      <c r="O61" s="64">
        <v>0</v>
      </c>
      <c r="P61" s="64">
        <v>0.62</v>
      </c>
      <c r="Q61" s="64">
        <v>9.02</v>
      </c>
      <c r="R61" s="198"/>
      <c r="S61" s="198"/>
      <c r="T61" s="198"/>
      <c r="U61" s="198"/>
    </row>
    <row r="62" spans="1:21" s="12" customFormat="1" x14ac:dyDescent="0.25">
      <c r="A62" s="247" t="s">
        <v>2601</v>
      </c>
      <c r="B62" s="64">
        <v>3.54</v>
      </c>
      <c r="C62" s="64">
        <v>62.87</v>
      </c>
      <c r="D62" s="64">
        <v>35.68</v>
      </c>
      <c r="E62" s="64">
        <v>11.42</v>
      </c>
      <c r="F62" s="64">
        <v>24.41</v>
      </c>
      <c r="G62" s="64">
        <v>62.87</v>
      </c>
      <c r="H62" s="64">
        <v>26.32</v>
      </c>
      <c r="I62" s="64">
        <v>4.03</v>
      </c>
      <c r="J62" s="64">
        <v>0.34</v>
      </c>
      <c r="K62" s="64">
        <v>303.08</v>
      </c>
      <c r="L62" s="64">
        <v>34.19</v>
      </c>
      <c r="M62" s="64">
        <v>19.96</v>
      </c>
      <c r="N62" s="64">
        <v>822.4</v>
      </c>
      <c r="O62" s="64">
        <v>0</v>
      </c>
      <c r="P62" s="64">
        <v>0.65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47" t="s">
        <v>2602</v>
      </c>
      <c r="B63" s="64">
        <v>3.05</v>
      </c>
      <c r="C63" s="64">
        <v>63.16</v>
      </c>
      <c r="D63" s="64">
        <v>35.44</v>
      </c>
      <c r="E63" s="64">
        <v>10.93</v>
      </c>
      <c r="F63" s="64">
        <v>21.76</v>
      </c>
      <c r="G63" s="64">
        <v>62.87</v>
      </c>
      <c r="H63" s="64">
        <v>26.32</v>
      </c>
      <c r="I63" s="64">
        <v>3.85</v>
      </c>
      <c r="J63" s="64">
        <v>1.07</v>
      </c>
      <c r="K63" s="64">
        <v>311.85000000000002</v>
      </c>
      <c r="L63" s="64">
        <v>35.07</v>
      </c>
      <c r="M63" s="64">
        <v>18.89</v>
      </c>
      <c r="N63" s="64">
        <v>720.5</v>
      </c>
      <c r="O63" s="64">
        <v>0</v>
      </c>
      <c r="P63" s="64">
        <v>0.64</v>
      </c>
      <c r="Q63" s="64">
        <v>9</v>
      </c>
      <c r="R63" s="198"/>
      <c r="S63" s="198"/>
      <c r="T63" s="198"/>
      <c r="U63" s="198"/>
    </row>
    <row r="64" spans="1:21" s="12" customFormat="1" x14ac:dyDescent="0.25">
      <c r="A64" s="247" t="s">
        <v>2603</v>
      </c>
      <c r="B64" s="64">
        <v>4.18</v>
      </c>
      <c r="C64" s="64">
        <v>58.89</v>
      </c>
      <c r="D64" s="64">
        <v>34.119999999999997</v>
      </c>
      <c r="E64" s="64">
        <v>15.19</v>
      </c>
      <c r="F64" s="64">
        <v>24.55</v>
      </c>
      <c r="G64" s="64">
        <v>64.25</v>
      </c>
      <c r="H64" s="64">
        <v>26.87</v>
      </c>
      <c r="I64" s="64">
        <v>4.03</v>
      </c>
      <c r="J64" s="64">
        <v>1.1200000000000001</v>
      </c>
      <c r="K64" s="64">
        <v>323.48</v>
      </c>
      <c r="L64" s="64">
        <v>34.75</v>
      </c>
      <c r="M64" s="64">
        <v>18.16</v>
      </c>
      <c r="N64" s="64">
        <v>698.1</v>
      </c>
      <c r="O64" s="64">
        <v>0</v>
      </c>
      <c r="P64" s="64">
        <v>0.64</v>
      </c>
      <c r="Q64" s="64">
        <v>8.98</v>
      </c>
      <c r="R64" s="198"/>
      <c r="S64" s="198"/>
      <c r="T64" s="198"/>
      <c r="U64" s="198"/>
    </row>
    <row r="65" spans="1:21" s="12" customFormat="1" x14ac:dyDescent="0.25">
      <c r="A65" s="247" t="s">
        <v>2604</v>
      </c>
      <c r="B65" s="64">
        <v>3.56</v>
      </c>
      <c r="C65" s="64">
        <v>58.86</v>
      </c>
      <c r="D65" s="64">
        <v>33.6</v>
      </c>
      <c r="E65" s="64">
        <v>12.37</v>
      </c>
      <c r="F65" s="64">
        <v>27.76</v>
      </c>
      <c r="G65" s="64">
        <v>68.790000000000006</v>
      </c>
      <c r="H65" s="64">
        <v>28.69</v>
      </c>
      <c r="I65" s="64">
        <v>4.03</v>
      </c>
      <c r="J65" s="64">
        <v>0.63</v>
      </c>
      <c r="K65" s="64">
        <v>299.22000000000003</v>
      </c>
      <c r="L65" s="64">
        <v>33.39</v>
      </c>
      <c r="M65" s="64">
        <v>20.05</v>
      </c>
      <c r="N65" s="64">
        <v>522.6</v>
      </c>
      <c r="O65" s="64">
        <v>0</v>
      </c>
      <c r="P65" s="64">
        <v>0.63</v>
      </c>
      <c r="Q65" s="64">
        <v>8.9600000000000009</v>
      </c>
      <c r="R65" s="198"/>
      <c r="S65" s="198"/>
      <c r="T65" s="198"/>
      <c r="U65" s="198"/>
    </row>
    <row r="66" spans="1:21" s="12" customFormat="1" x14ac:dyDescent="0.25">
      <c r="A66" s="247" t="s">
        <v>2605</v>
      </c>
      <c r="B66" s="64">
        <v>3.17</v>
      </c>
      <c r="C66" s="64">
        <v>58.85</v>
      </c>
      <c r="D66" s="64">
        <v>33.28</v>
      </c>
      <c r="E66" s="64">
        <v>6.24</v>
      </c>
      <c r="F66" s="64">
        <v>21.23</v>
      </c>
      <c r="G66" s="64">
        <v>68.790000000000006</v>
      </c>
      <c r="H66" s="64">
        <v>28.69</v>
      </c>
      <c r="I66" s="64">
        <v>4.1100000000000003</v>
      </c>
      <c r="J66" s="64">
        <v>1.06</v>
      </c>
      <c r="K66" s="64">
        <v>290.95</v>
      </c>
      <c r="L66" s="64">
        <v>33.56</v>
      </c>
      <c r="M66" s="64">
        <v>20.03</v>
      </c>
      <c r="N66" s="64">
        <v>666.8</v>
      </c>
      <c r="O66" s="64">
        <v>0</v>
      </c>
      <c r="P66" s="64">
        <v>0.65</v>
      </c>
      <c r="Q66" s="64">
        <v>8.9600000000000009</v>
      </c>
      <c r="R66" s="198"/>
      <c r="S66" s="198"/>
      <c r="T66" s="198"/>
      <c r="U66" s="198"/>
    </row>
    <row r="67" spans="1:21" s="12" customFormat="1" x14ac:dyDescent="0.25">
      <c r="A67" s="247" t="s">
        <v>2606</v>
      </c>
      <c r="B67" s="64">
        <v>2.98</v>
      </c>
      <c r="C67" s="64">
        <v>57.59</v>
      </c>
      <c r="D67" s="64">
        <v>32.479999999999997</v>
      </c>
      <c r="E67" s="64">
        <v>10.5</v>
      </c>
      <c r="F67" s="64">
        <v>26.25</v>
      </c>
      <c r="G67" s="64">
        <v>68.790000000000006</v>
      </c>
      <c r="H67" s="64">
        <v>28.69</v>
      </c>
      <c r="I67" s="64">
        <v>3.96</v>
      </c>
      <c r="J67" s="64">
        <v>0.95</v>
      </c>
      <c r="K67" s="64">
        <v>219.25</v>
      </c>
      <c r="L67" s="64">
        <v>31.56</v>
      </c>
      <c r="M67" s="64">
        <v>19.45</v>
      </c>
      <c r="N67" s="64">
        <v>443.3</v>
      </c>
      <c r="O67" s="64">
        <v>0</v>
      </c>
      <c r="P67" s="64">
        <v>0.63</v>
      </c>
      <c r="Q67" s="64">
        <v>8.9600000000000009</v>
      </c>
      <c r="R67" s="198"/>
      <c r="S67" s="198"/>
      <c r="T67" s="198"/>
      <c r="U67" s="198"/>
    </row>
    <row r="68" spans="1:21" s="12" customFormat="1" x14ac:dyDescent="0.25">
      <c r="A68" s="247" t="s">
        <v>2607</v>
      </c>
      <c r="B68" s="64">
        <v>3.11</v>
      </c>
      <c r="C68" s="64">
        <v>59.21</v>
      </c>
      <c r="D68" s="64">
        <v>33.43</v>
      </c>
      <c r="E68" s="64">
        <v>9.0500000000000007</v>
      </c>
      <c r="F68" s="64">
        <v>24.87</v>
      </c>
      <c r="G68" s="64">
        <v>68.2</v>
      </c>
      <c r="H68" s="64">
        <v>28.45</v>
      </c>
      <c r="I68" s="64">
        <v>4.1100000000000003</v>
      </c>
      <c r="J68" s="64">
        <v>0.74</v>
      </c>
      <c r="K68" s="64">
        <v>272.61</v>
      </c>
      <c r="L68" s="64">
        <v>31.63</v>
      </c>
      <c r="M68" s="64">
        <v>19.45</v>
      </c>
      <c r="N68" s="64">
        <v>394.3</v>
      </c>
      <c r="O68" s="64">
        <v>0</v>
      </c>
      <c r="P68" s="64">
        <v>0.61</v>
      </c>
      <c r="Q68" s="64">
        <v>8.94</v>
      </c>
      <c r="R68" s="198"/>
      <c r="S68" s="198"/>
      <c r="T68" s="198"/>
      <c r="U68" s="198"/>
    </row>
    <row r="69" spans="1:21" s="12" customFormat="1" x14ac:dyDescent="0.25">
      <c r="A69" s="247" t="s">
        <v>2608</v>
      </c>
      <c r="B69" s="64">
        <v>3.15</v>
      </c>
      <c r="C69" s="64">
        <v>59.16</v>
      </c>
      <c r="D69" s="64">
        <v>33.43</v>
      </c>
      <c r="E69" s="64">
        <v>10.18</v>
      </c>
      <c r="F69" s="64">
        <v>23.42</v>
      </c>
      <c r="G69" s="64">
        <v>66.290000000000006</v>
      </c>
      <c r="H69" s="64">
        <v>27.67</v>
      </c>
      <c r="I69" s="64">
        <v>4.0999999999999996</v>
      </c>
      <c r="J69" s="64">
        <v>0.76</v>
      </c>
      <c r="K69" s="64">
        <v>234.96</v>
      </c>
      <c r="L69" s="64">
        <v>31.4</v>
      </c>
      <c r="M69" s="64">
        <v>19.59</v>
      </c>
      <c r="N69" s="64">
        <v>329</v>
      </c>
      <c r="O69" s="64">
        <v>0</v>
      </c>
      <c r="P69" s="64">
        <v>0.59</v>
      </c>
      <c r="Q69" s="64">
        <v>8.91</v>
      </c>
      <c r="R69" s="198"/>
      <c r="S69" s="198"/>
      <c r="T69" s="198"/>
      <c r="U69" s="198"/>
    </row>
    <row r="70" spans="1:21" s="12" customFormat="1" x14ac:dyDescent="0.25">
      <c r="A70" s="247" t="s">
        <v>2609</v>
      </c>
      <c r="B70" s="64">
        <v>2.97</v>
      </c>
      <c r="C70" s="64">
        <v>56.02</v>
      </c>
      <c r="D70" s="64">
        <v>31.65</v>
      </c>
      <c r="E70" s="64">
        <v>14.93</v>
      </c>
      <c r="F70" s="64">
        <v>35.909999999999997</v>
      </c>
      <c r="G70" s="64">
        <v>66.290000000000006</v>
      </c>
      <c r="H70" s="64">
        <v>27.67</v>
      </c>
      <c r="I70" s="64">
        <v>3.94</v>
      </c>
      <c r="J70" s="64">
        <v>0.47</v>
      </c>
      <c r="K70" s="64">
        <v>262.16000000000003</v>
      </c>
      <c r="L70" s="64">
        <v>31.46</v>
      </c>
      <c r="M70" s="64">
        <v>19.64</v>
      </c>
      <c r="N70" s="64">
        <v>266.2</v>
      </c>
      <c r="O70" s="64">
        <v>0</v>
      </c>
      <c r="P70" s="64">
        <v>0.56000000000000005</v>
      </c>
      <c r="Q70" s="64">
        <v>8.91</v>
      </c>
      <c r="R70" s="198"/>
      <c r="S70" s="198"/>
      <c r="T70" s="198"/>
      <c r="U70" s="198"/>
    </row>
    <row r="71" spans="1:21" s="12" customFormat="1" x14ac:dyDescent="0.25">
      <c r="A71" s="247" t="s">
        <v>2610</v>
      </c>
      <c r="B71" s="64">
        <v>2.84</v>
      </c>
      <c r="C71" s="64">
        <v>53.74</v>
      </c>
      <c r="D71" s="64">
        <v>30.35</v>
      </c>
      <c r="E71" s="64">
        <v>13.94</v>
      </c>
      <c r="F71" s="64">
        <v>31.69</v>
      </c>
      <c r="G71" s="64">
        <v>66.290000000000006</v>
      </c>
      <c r="H71" s="64">
        <v>27.67</v>
      </c>
      <c r="I71" s="64">
        <v>4.0199999999999996</v>
      </c>
      <c r="J71" s="64">
        <v>0.8</v>
      </c>
      <c r="K71" s="64">
        <v>208.81</v>
      </c>
      <c r="L71" s="64">
        <v>30.91</v>
      </c>
      <c r="M71" s="64">
        <v>19.14</v>
      </c>
      <c r="N71" s="64">
        <v>224.7</v>
      </c>
      <c r="O71" s="64">
        <v>0</v>
      </c>
      <c r="P71" s="64">
        <v>0.54</v>
      </c>
      <c r="Q71" s="64">
        <v>8.9</v>
      </c>
      <c r="R71" s="198"/>
      <c r="S71" s="198"/>
      <c r="T71" s="198"/>
      <c r="U71" s="198"/>
    </row>
    <row r="72" spans="1:21" s="12" customFormat="1" x14ac:dyDescent="0.25">
      <c r="A72" s="247" t="s">
        <v>2611</v>
      </c>
      <c r="B72" s="64">
        <v>2.77</v>
      </c>
      <c r="C72" s="64">
        <v>54.9</v>
      </c>
      <c r="D72" s="64">
        <v>30.9</v>
      </c>
      <c r="E72" s="64">
        <v>8.94</v>
      </c>
      <c r="F72" s="64">
        <v>24.16</v>
      </c>
      <c r="G72" s="64">
        <v>67.33</v>
      </c>
      <c r="H72" s="64">
        <v>28.39</v>
      </c>
      <c r="I72" s="64">
        <v>4.0999999999999996</v>
      </c>
      <c r="J72" s="64">
        <v>0.39</v>
      </c>
      <c r="K72" s="64">
        <v>234.22</v>
      </c>
      <c r="L72" s="64">
        <v>30.92</v>
      </c>
      <c r="M72" s="64">
        <v>19.350000000000001</v>
      </c>
      <c r="N72" s="64">
        <v>243.9</v>
      </c>
      <c r="O72" s="64">
        <v>0</v>
      </c>
      <c r="P72" s="64">
        <v>0.56999999999999995</v>
      </c>
      <c r="Q72" s="64">
        <v>8.8699999999999992</v>
      </c>
      <c r="R72" s="198"/>
      <c r="S72" s="198"/>
      <c r="T72" s="198"/>
      <c r="U72" s="198"/>
    </row>
    <row r="73" spans="1:21" s="12" customFormat="1" x14ac:dyDescent="0.25">
      <c r="A73" s="247" t="s">
        <v>2612</v>
      </c>
      <c r="B73" s="64">
        <v>2.87</v>
      </c>
      <c r="C73" s="64">
        <v>56.17</v>
      </c>
      <c r="D73" s="64">
        <v>31.65</v>
      </c>
      <c r="E73" s="64">
        <v>10.52</v>
      </c>
      <c r="F73" s="64">
        <v>27.88</v>
      </c>
      <c r="G73" s="64">
        <v>70.739999999999995</v>
      </c>
      <c r="H73" s="64">
        <v>30.64</v>
      </c>
      <c r="I73" s="64">
        <v>4.18</v>
      </c>
      <c r="J73" s="64">
        <v>0.44</v>
      </c>
      <c r="K73" s="64">
        <v>257.47000000000003</v>
      </c>
      <c r="L73" s="64">
        <v>30.96</v>
      </c>
      <c r="M73" s="64">
        <v>18.93</v>
      </c>
      <c r="N73" s="64">
        <v>235.7</v>
      </c>
      <c r="O73" s="64">
        <v>0</v>
      </c>
      <c r="P73" s="64">
        <v>0.57999999999999996</v>
      </c>
      <c r="Q73" s="64">
        <v>8.86</v>
      </c>
      <c r="R73" s="198"/>
      <c r="S73" s="198"/>
      <c r="T73" s="198"/>
      <c r="U73" s="198"/>
    </row>
    <row r="74" spans="1:21" s="12" customFormat="1" x14ac:dyDescent="0.25">
      <c r="A74" s="247" t="s">
        <v>2613</v>
      </c>
      <c r="B74" s="64">
        <v>2.82</v>
      </c>
      <c r="C74" s="64">
        <v>55.95</v>
      </c>
      <c r="D74" s="64">
        <v>31.49</v>
      </c>
      <c r="E74" s="64">
        <v>6.95</v>
      </c>
      <c r="F74" s="64">
        <v>16.690000000000001</v>
      </c>
      <c r="G74" s="64">
        <v>70.739999999999995</v>
      </c>
      <c r="H74" s="64">
        <v>30.64</v>
      </c>
      <c r="I74" s="64">
        <v>3.84</v>
      </c>
      <c r="J74" s="64">
        <v>0.76</v>
      </c>
      <c r="K74" s="64">
        <v>266.45999999999998</v>
      </c>
      <c r="L74" s="64">
        <v>30.75</v>
      </c>
      <c r="M74" s="64">
        <v>18.649999999999999</v>
      </c>
      <c r="N74" s="64">
        <v>180</v>
      </c>
      <c r="O74" s="64">
        <v>0</v>
      </c>
      <c r="P74" s="64">
        <v>0.57999999999999996</v>
      </c>
      <c r="Q74" s="64">
        <v>8.86</v>
      </c>
      <c r="R74" s="198"/>
      <c r="S74" s="198"/>
      <c r="T74" s="198"/>
      <c r="U74" s="198"/>
    </row>
    <row r="75" spans="1:21" s="12" customFormat="1" x14ac:dyDescent="0.25">
      <c r="A75" s="247" t="s">
        <v>2614</v>
      </c>
      <c r="B75" s="64">
        <v>8.1199999999999992</v>
      </c>
      <c r="C75" s="64">
        <v>69.94</v>
      </c>
      <c r="D75" s="64">
        <v>43.06</v>
      </c>
      <c r="E75" s="64">
        <v>21.37</v>
      </c>
      <c r="F75" s="64">
        <v>45.51</v>
      </c>
      <c r="G75" s="64">
        <v>70.739999999999995</v>
      </c>
      <c r="H75" s="64">
        <v>30.64</v>
      </c>
      <c r="I75" s="64">
        <v>4</v>
      </c>
      <c r="J75" s="64">
        <v>0.39</v>
      </c>
      <c r="K75" s="64">
        <v>294.01</v>
      </c>
      <c r="L75" s="64">
        <v>30.5</v>
      </c>
      <c r="M75" s="64">
        <v>18.97</v>
      </c>
      <c r="N75" s="64">
        <v>144.1</v>
      </c>
      <c r="O75" s="64">
        <v>0</v>
      </c>
      <c r="P75" s="64">
        <v>0.57999999999999996</v>
      </c>
      <c r="Q75" s="64">
        <v>8.85</v>
      </c>
      <c r="R75" s="198"/>
      <c r="S75" s="198"/>
      <c r="T75" s="198"/>
      <c r="U75" s="198"/>
    </row>
    <row r="76" spans="1:21" s="12" customFormat="1" x14ac:dyDescent="0.25">
      <c r="A76" s="247" t="s">
        <v>2615</v>
      </c>
      <c r="B76" s="64">
        <v>4.08</v>
      </c>
      <c r="C76" s="64">
        <v>59.23</v>
      </c>
      <c r="D76" s="64">
        <v>34.22</v>
      </c>
      <c r="E76" s="64">
        <v>21.27</v>
      </c>
      <c r="F76" s="64">
        <v>38.119999999999997</v>
      </c>
      <c r="G76" s="64">
        <v>70.23</v>
      </c>
      <c r="H76" s="64">
        <v>30.07</v>
      </c>
      <c r="I76" s="64">
        <v>3.95</v>
      </c>
      <c r="J76" s="64">
        <v>0.67</v>
      </c>
      <c r="K76" s="64">
        <v>222.23</v>
      </c>
      <c r="L76" s="64">
        <v>29.9</v>
      </c>
      <c r="M76" s="64">
        <v>20.13</v>
      </c>
      <c r="N76" s="64">
        <v>130.6</v>
      </c>
      <c r="O76" s="64">
        <v>0</v>
      </c>
      <c r="P76" s="64">
        <v>0.54</v>
      </c>
      <c r="Q76" s="64">
        <v>8.85</v>
      </c>
      <c r="R76" s="198"/>
      <c r="S76" s="198"/>
      <c r="T76" s="198"/>
      <c r="U76" s="198"/>
    </row>
    <row r="77" spans="1:21" s="12" customFormat="1" x14ac:dyDescent="0.25">
      <c r="A77" s="247" t="s">
        <v>2616</v>
      </c>
      <c r="B77" s="64">
        <v>4.8600000000000003</v>
      </c>
      <c r="C77" s="64">
        <v>72.34</v>
      </c>
      <c r="D77" s="64">
        <v>41.69</v>
      </c>
      <c r="E77" s="64">
        <v>19.77</v>
      </c>
      <c r="F77" s="64">
        <v>42.74</v>
      </c>
      <c r="G77" s="64">
        <v>68.650000000000006</v>
      </c>
      <c r="H77" s="64">
        <v>28.2</v>
      </c>
      <c r="I77" s="64">
        <v>4.08</v>
      </c>
      <c r="J77" s="64">
        <v>0.49</v>
      </c>
      <c r="K77" s="64">
        <v>249.9</v>
      </c>
      <c r="L77" s="64">
        <v>29.54</v>
      </c>
      <c r="M77" s="64">
        <v>19.86</v>
      </c>
      <c r="N77" s="64">
        <v>116.3</v>
      </c>
      <c r="O77" s="64">
        <v>0</v>
      </c>
      <c r="P77" s="64">
        <v>0.68</v>
      </c>
      <c r="Q77" s="64">
        <v>8.85</v>
      </c>
      <c r="R77" s="198"/>
      <c r="S77" s="198"/>
      <c r="T77" s="198"/>
      <c r="U77" s="198"/>
    </row>
    <row r="78" spans="1:21" s="12" customFormat="1" x14ac:dyDescent="0.25">
      <c r="A78" s="247" t="s">
        <v>2617</v>
      </c>
      <c r="B78" s="64">
        <v>5.43</v>
      </c>
      <c r="C78" s="64">
        <v>74.44</v>
      </c>
      <c r="D78" s="64">
        <v>43.25</v>
      </c>
      <c r="E78" s="64">
        <v>17.16</v>
      </c>
      <c r="F78" s="64">
        <v>32.75</v>
      </c>
      <c r="G78" s="64">
        <v>68.650000000000006</v>
      </c>
      <c r="H78" s="64">
        <v>28.2</v>
      </c>
      <c r="I78" s="64">
        <v>4.08</v>
      </c>
      <c r="J78" s="64">
        <v>0.49</v>
      </c>
      <c r="K78" s="64">
        <v>194.07</v>
      </c>
      <c r="L78" s="64">
        <v>29.17</v>
      </c>
      <c r="M78" s="64">
        <v>23.4</v>
      </c>
      <c r="N78" s="64">
        <v>103.5</v>
      </c>
      <c r="O78" s="64">
        <v>0</v>
      </c>
      <c r="P78" s="64">
        <v>0.75</v>
      </c>
      <c r="Q78" s="64">
        <v>8.85</v>
      </c>
      <c r="R78" s="198"/>
      <c r="S78" s="198"/>
      <c r="T78" s="198"/>
      <c r="U78" s="198"/>
    </row>
    <row r="79" spans="1:21" s="12" customFormat="1" x14ac:dyDescent="0.25">
      <c r="A79" s="247" t="s">
        <v>2618</v>
      </c>
      <c r="B79" s="64">
        <v>3.09</v>
      </c>
      <c r="C79" s="64">
        <v>71.06</v>
      </c>
      <c r="D79" s="64">
        <v>39.61</v>
      </c>
      <c r="E79" s="64">
        <v>12.49</v>
      </c>
      <c r="F79" s="64">
        <v>30.51</v>
      </c>
      <c r="G79" s="64">
        <v>68.650000000000006</v>
      </c>
      <c r="H79" s="64">
        <v>28.2</v>
      </c>
      <c r="I79" s="64">
        <v>4.05</v>
      </c>
      <c r="J79" s="64">
        <v>1.59</v>
      </c>
      <c r="K79" s="64">
        <v>153.30000000000001</v>
      </c>
      <c r="L79" s="64">
        <v>28.46</v>
      </c>
      <c r="M79" s="64">
        <v>26.11</v>
      </c>
      <c r="N79" s="64">
        <v>88.5</v>
      </c>
      <c r="O79" s="64">
        <v>0</v>
      </c>
      <c r="P79" s="64">
        <v>0.59</v>
      </c>
      <c r="Q79" s="64">
        <v>8.84</v>
      </c>
      <c r="R79" s="198"/>
      <c r="S79" s="198"/>
      <c r="T79" s="198"/>
      <c r="U79" s="198"/>
    </row>
    <row r="80" spans="1:21" s="12" customFormat="1" x14ac:dyDescent="0.25">
      <c r="A80" s="247" t="s">
        <v>2619</v>
      </c>
      <c r="B80" s="64">
        <v>3.17</v>
      </c>
      <c r="C80" s="64">
        <v>86.07</v>
      </c>
      <c r="D80" s="64">
        <v>47.51</v>
      </c>
      <c r="E80" s="64">
        <v>13.8</v>
      </c>
      <c r="F80" s="64">
        <v>30.18</v>
      </c>
      <c r="G80" s="64">
        <v>68.31</v>
      </c>
      <c r="H80" s="64">
        <v>28.26</v>
      </c>
      <c r="I80" s="64">
        <v>3.96</v>
      </c>
      <c r="J80" s="64">
        <v>1.32</v>
      </c>
      <c r="K80" s="64">
        <v>157.19</v>
      </c>
      <c r="L80" s="64">
        <v>28.11</v>
      </c>
      <c r="M80" s="64">
        <v>25.83</v>
      </c>
      <c r="N80" s="64">
        <v>74</v>
      </c>
      <c r="O80" s="64">
        <v>0</v>
      </c>
      <c r="P80" s="64">
        <v>0.57999999999999996</v>
      </c>
      <c r="Q80" s="64">
        <v>8.85</v>
      </c>
      <c r="R80" s="198"/>
      <c r="S80" s="198"/>
      <c r="T80" s="198"/>
      <c r="U80" s="198"/>
    </row>
    <row r="81" spans="1:26" s="12" customFormat="1" x14ac:dyDescent="0.25">
      <c r="A81" s="247" t="s">
        <v>2620</v>
      </c>
      <c r="B81" s="64">
        <v>3.71</v>
      </c>
      <c r="C81" s="64">
        <v>121.52</v>
      </c>
      <c r="D81" s="64">
        <v>66.47</v>
      </c>
      <c r="E81" s="64">
        <v>20.059999999999999</v>
      </c>
      <c r="F81" s="64">
        <v>33.86</v>
      </c>
      <c r="G81" s="64">
        <v>67.27</v>
      </c>
      <c r="H81" s="64">
        <v>28.46</v>
      </c>
      <c r="I81" s="64">
        <v>4.0999999999999996</v>
      </c>
      <c r="J81" s="64">
        <v>0.23</v>
      </c>
      <c r="K81" s="64">
        <v>192.45</v>
      </c>
      <c r="L81" s="64">
        <v>27.3</v>
      </c>
      <c r="M81" s="64">
        <v>31.89</v>
      </c>
      <c r="N81" s="64">
        <v>65.2</v>
      </c>
      <c r="O81" s="64">
        <v>0</v>
      </c>
      <c r="P81" s="64">
        <v>0.62</v>
      </c>
      <c r="Q81" s="64">
        <v>8.85</v>
      </c>
      <c r="R81" s="198"/>
      <c r="S81" s="198"/>
      <c r="T81" s="198"/>
      <c r="U81" s="198"/>
    </row>
    <row r="82" spans="1:26" s="12" customFormat="1" x14ac:dyDescent="0.25">
      <c r="A82" s="247" t="s">
        <v>2621</v>
      </c>
      <c r="B82" s="64">
        <v>3.29</v>
      </c>
      <c r="C82" s="64">
        <v>118.19</v>
      </c>
      <c r="D82" s="64">
        <v>64.39</v>
      </c>
      <c r="E82" s="64">
        <v>24.87</v>
      </c>
      <c r="F82" s="64">
        <v>34.340000000000003</v>
      </c>
      <c r="G82" s="64">
        <v>67.27</v>
      </c>
      <c r="H82" s="64">
        <v>28.46</v>
      </c>
      <c r="I82" s="64">
        <v>3.99</v>
      </c>
      <c r="J82" s="64">
        <v>0.53</v>
      </c>
      <c r="K82" s="64">
        <v>182.13</v>
      </c>
      <c r="L82" s="64">
        <v>26.84</v>
      </c>
      <c r="M82" s="64">
        <v>29</v>
      </c>
      <c r="N82" s="64">
        <v>61.3</v>
      </c>
      <c r="O82" s="64">
        <v>0</v>
      </c>
      <c r="P82" s="64">
        <v>0.81</v>
      </c>
      <c r="Q82" s="64">
        <v>8.8800000000000008</v>
      </c>
      <c r="R82" s="198"/>
      <c r="S82" s="198"/>
      <c r="T82" s="198"/>
      <c r="U82" s="198"/>
    </row>
    <row r="83" spans="1:26" s="12" customFormat="1" x14ac:dyDescent="0.25">
      <c r="A83" s="247" t="s">
        <v>2622</v>
      </c>
      <c r="B83" s="64">
        <v>4.8499999999999996</v>
      </c>
      <c r="C83" s="64">
        <v>124.21</v>
      </c>
      <c r="D83" s="64">
        <v>68.78</v>
      </c>
      <c r="E83" s="64">
        <v>23.45</v>
      </c>
      <c r="F83" s="64">
        <v>31.13</v>
      </c>
      <c r="G83" s="64">
        <v>67.27</v>
      </c>
      <c r="H83" s="64">
        <v>28.46</v>
      </c>
      <c r="I83" s="64">
        <v>3.92</v>
      </c>
      <c r="J83" s="64">
        <v>0.51</v>
      </c>
      <c r="K83" s="64">
        <v>233.84</v>
      </c>
      <c r="L83" s="64">
        <v>26.8</v>
      </c>
      <c r="M83" s="64">
        <v>29.49</v>
      </c>
      <c r="N83" s="64">
        <v>61</v>
      </c>
      <c r="O83" s="64">
        <v>0</v>
      </c>
      <c r="P83" s="64">
        <v>0.94</v>
      </c>
      <c r="Q83" s="64">
        <v>8.93</v>
      </c>
      <c r="R83" s="198"/>
      <c r="S83" s="198"/>
      <c r="T83" s="198"/>
      <c r="U83" s="198"/>
    </row>
    <row r="84" spans="1:26" s="12" customFormat="1" x14ac:dyDescent="0.25">
      <c r="A84" s="247" t="s">
        <v>2623</v>
      </c>
      <c r="B84" s="64">
        <v>4.8899999999999997</v>
      </c>
      <c r="C84" s="64">
        <v>112.89</v>
      </c>
      <c r="D84" s="64">
        <v>62.91</v>
      </c>
      <c r="E84" s="64">
        <v>21.33</v>
      </c>
      <c r="F84" s="64">
        <v>33.1</v>
      </c>
      <c r="G84" s="64">
        <v>71.739999999999995</v>
      </c>
      <c r="H84" s="64">
        <v>29.16</v>
      </c>
      <c r="I84" s="64">
        <v>4.03</v>
      </c>
      <c r="J84" s="64">
        <v>0.68</v>
      </c>
      <c r="K84" s="64">
        <v>300.45999999999998</v>
      </c>
      <c r="L84" s="64">
        <v>25.21</v>
      </c>
      <c r="M84" s="64">
        <v>38.9</v>
      </c>
      <c r="N84" s="64">
        <v>61.5</v>
      </c>
      <c r="O84" s="64">
        <v>0</v>
      </c>
      <c r="P84" s="64">
        <v>1.1399999999999999</v>
      </c>
      <c r="Q84" s="64">
        <v>8.9700000000000006</v>
      </c>
      <c r="R84" s="198"/>
      <c r="S84" s="198"/>
      <c r="T84" s="198"/>
      <c r="U84" s="198"/>
    </row>
    <row r="85" spans="1:26" s="12" customFormat="1" x14ac:dyDescent="0.25">
      <c r="A85" s="247" t="s">
        <v>2624</v>
      </c>
      <c r="B85" s="64">
        <v>14.56</v>
      </c>
      <c r="C85" s="64">
        <v>162.08000000000001</v>
      </c>
      <c r="D85" s="64">
        <v>96.35</v>
      </c>
      <c r="E85" s="64">
        <v>21.06</v>
      </c>
      <c r="F85" s="64">
        <v>20.12</v>
      </c>
      <c r="G85" s="64">
        <v>86.41</v>
      </c>
      <c r="H85" s="64">
        <v>31.44</v>
      </c>
      <c r="I85" s="64">
        <v>3.97</v>
      </c>
      <c r="J85" s="64">
        <v>0.68</v>
      </c>
      <c r="K85" s="64">
        <v>304.89999999999998</v>
      </c>
      <c r="L85" s="64">
        <v>24.74</v>
      </c>
      <c r="M85" s="64">
        <v>34.57</v>
      </c>
      <c r="N85" s="64">
        <v>61.4</v>
      </c>
      <c r="O85" s="64">
        <v>0</v>
      </c>
      <c r="P85" s="64">
        <v>1.36</v>
      </c>
      <c r="Q85" s="64">
        <v>9</v>
      </c>
      <c r="R85" s="198"/>
      <c r="S85" s="198"/>
      <c r="T85" s="198"/>
      <c r="U85" s="198"/>
    </row>
    <row r="86" spans="1:26" s="12" customFormat="1" x14ac:dyDescent="0.25">
      <c r="A86" s="247" t="s">
        <v>2625</v>
      </c>
      <c r="B86" s="64">
        <v>81.19</v>
      </c>
      <c r="C86" s="64">
        <v>177.62</v>
      </c>
      <c r="D86" s="64">
        <v>157.9</v>
      </c>
      <c r="E86" s="64">
        <v>18.010000000000002</v>
      </c>
      <c r="F86" s="64">
        <v>13.82</v>
      </c>
      <c r="G86" s="64">
        <v>86.41</v>
      </c>
      <c r="H86" s="64">
        <v>31.44</v>
      </c>
      <c r="I86" s="64">
        <v>3.97</v>
      </c>
      <c r="J86" s="64">
        <v>0.6</v>
      </c>
      <c r="K86" s="64">
        <v>259.64</v>
      </c>
      <c r="L86" s="64">
        <v>24.8</v>
      </c>
      <c r="M86" s="64">
        <v>35.22</v>
      </c>
      <c r="N86" s="64">
        <v>60.5</v>
      </c>
      <c r="O86" s="64">
        <v>0</v>
      </c>
      <c r="P86" s="64">
        <v>1.93</v>
      </c>
      <c r="Q86" s="64">
        <v>9.0500000000000007</v>
      </c>
      <c r="R86" s="198"/>
      <c r="S86" s="198"/>
      <c r="T86" s="198"/>
      <c r="U86" s="198"/>
    </row>
    <row r="87" spans="1:26" s="12" customFormat="1" x14ac:dyDescent="0.25">
      <c r="A87" s="247" t="s">
        <v>2626</v>
      </c>
      <c r="B87" s="64">
        <v>5.66</v>
      </c>
      <c r="C87" s="64">
        <v>105.5</v>
      </c>
      <c r="D87" s="64">
        <v>59.66</v>
      </c>
      <c r="E87" s="64">
        <v>17.940000000000001</v>
      </c>
      <c r="F87" s="64">
        <v>25.23</v>
      </c>
      <c r="G87" s="64">
        <v>86.41</v>
      </c>
      <c r="H87" s="64">
        <v>31.44</v>
      </c>
      <c r="I87" s="64">
        <v>3.99</v>
      </c>
      <c r="J87" s="64">
        <v>0.89</v>
      </c>
      <c r="K87" s="64">
        <v>183.26</v>
      </c>
      <c r="L87" s="64">
        <v>25.57</v>
      </c>
      <c r="M87" s="64">
        <v>31.19</v>
      </c>
      <c r="N87" s="64">
        <v>59.8</v>
      </c>
      <c r="O87" s="64">
        <v>0</v>
      </c>
      <c r="P87" s="64">
        <v>1.02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47" t="s">
        <v>2627</v>
      </c>
      <c r="B88" s="64">
        <v>5.48</v>
      </c>
      <c r="C88" s="64">
        <v>90.4</v>
      </c>
      <c r="D88" s="64">
        <v>51.63</v>
      </c>
      <c r="E88" s="64">
        <v>15.02</v>
      </c>
      <c r="F88" s="64">
        <v>27.11</v>
      </c>
      <c r="G88" s="64">
        <v>89.87</v>
      </c>
      <c r="H88" s="64">
        <v>28.75</v>
      </c>
      <c r="I88" s="64">
        <v>4.1100000000000003</v>
      </c>
      <c r="J88" s="64">
        <v>0.89</v>
      </c>
      <c r="K88" s="64">
        <v>187.98</v>
      </c>
      <c r="L88" s="64">
        <v>25.57</v>
      </c>
      <c r="M88" s="64">
        <v>31.7</v>
      </c>
      <c r="N88" s="64">
        <v>60.1</v>
      </c>
      <c r="O88" s="64">
        <v>0</v>
      </c>
      <c r="P88" s="64">
        <v>0.85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47" t="s">
        <v>2628</v>
      </c>
      <c r="B89" s="64">
        <v>5.81</v>
      </c>
      <c r="C89" s="64">
        <v>81.349999999999994</v>
      </c>
      <c r="D89" s="64">
        <v>47.16</v>
      </c>
      <c r="E89" s="64">
        <v>9.09</v>
      </c>
      <c r="F89" s="64">
        <v>16.18</v>
      </c>
      <c r="G89" s="64">
        <v>100.55</v>
      </c>
      <c r="H89" s="64">
        <v>20.440000000000001</v>
      </c>
      <c r="I89" s="64">
        <v>3.96</v>
      </c>
      <c r="J89" s="64">
        <v>0.83</v>
      </c>
      <c r="K89" s="64">
        <v>189.31</v>
      </c>
      <c r="L89" s="64">
        <v>25.36</v>
      </c>
      <c r="M89" s="64">
        <v>33.11</v>
      </c>
      <c r="N89" s="64">
        <v>60.6</v>
      </c>
      <c r="O89" s="64">
        <v>0</v>
      </c>
      <c r="P89" s="64">
        <v>0.84</v>
      </c>
      <c r="Q89" s="64">
        <v>9.17</v>
      </c>
      <c r="R89" s="198"/>
      <c r="S89" s="198"/>
      <c r="T89" s="198"/>
      <c r="U89" s="198"/>
    </row>
    <row r="90" spans="1:26" s="12" customFormat="1" x14ac:dyDescent="0.25">
      <c r="A90" s="247" t="s">
        <v>2629</v>
      </c>
      <c r="B90" s="64">
        <v>5.76</v>
      </c>
      <c r="C90" s="64">
        <v>79.41</v>
      </c>
      <c r="D90" s="64">
        <v>46.11</v>
      </c>
      <c r="E90" s="64">
        <v>8.56</v>
      </c>
      <c r="F90" s="64">
        <v>18.579999999999998</v>
      </c>
      <c r="G90" s="64">
        <v>100.55</v>
      </c>
      <c r="H90" s="64">
        <v>20.440000000000001</v>
      </c>
      <c r="I90" s="64">
        <v>3.98</v>
      </c>
      <c r="J90" s="64">
        <v>0.78</v>
      </c>
      <c r="K90" s="64">
        <v>192.15</v>
      </c>
      <c r="L90" s="64">
        <v>24.8</v>
      </c>
      <c r="M90" s="64">
        <v>34.85</v>
      </c>
      <c r="N90" s="64">
        <v>61</v>
      </c>
      <c r="O90" s="64">
        <v>0</v>
      </c>
      <c r="P90" s="64">
        <v>0.89</v>
      </c>
      <c r="Q90" s="64">
        <v>9.1300000000000008</v>
      </c>
      <c r="R90" s="198"/>
      <c r="S90" s="198"/>
      <c r="T90" s="198"/>
      <c r="U90" s="198"/>
    </row>
    <row r="91" spans="1:26" s="12" customFormat="1" x14ac:dyDescent="0.25">
      <c r="A91" s="247" t="s">
        <v>2630</v>
      </c>
      <c r="B91" s="64">
        <v>5.34</v>
      </c>
      <c r="C91" s="64">
        <v>90.51</v>
      </c>
      <c r="D91" s="64">
        <v>51.57</v>
      </c>
      <c r="E91" s="64">
        <v>8.73</v>
      </c>
      <c r="F91" s="64">
        <v>15.29</v>
      </c>
      <c r="G91" s="64">
        <v>100.55</v>
      </c>
      <c r="H91" s="64">
        <v>20.440000000000001</v>
      </c>
      <c r="I91" s="64">
        <v>4.0999999999999996</v>
      </c>
      <c r="J91" s="64">
        <v>0.89</v>
      </c>
      <c r="K91" s="64">
        <v>185.82</v>
      </c>
      <c r="L91" s="64">
        <v>24.52</v>
      </c>
      <c r="M91" s="64">
        <v>36</v>
      </c>
      <c r="N91" s="64">
        <v>60.6</v>
      </c>
      <c r="O91" s="64">
        <v>0</v>
      </c>
      <c r="P91" s="64">
        <v>0.89</v>
      </c>
      <c r="Q91" s="64">
        <v>9.1300000000000008</v>
      </c>
      <c r="R91" s="198"/>
      <c r="S91" s="198"/>
      <c r="T91" s="198"/>
      <c r="U91" s="198"/>
    </row>
    <row r="92" spans="1:26" s="12" customFormat="1" x14ac:dyDescent="0.25">
      <c r="A92" s="247" t="s">
        <v>2631</v>
      </c>
      <c r="B92" s="64">
        <v>8.36</v>
      </c>
      <c r="C92" s="64">
        <v>98.33</v>
      </c>
      <c r="D92" s="64">
        <v>58.08</v>
      </c>
      <c r="E92" s="64">
        <v>7.65</v>
      </c>
      <c r="F92" s="64">
        <v>13.12</v>
      </c>
      <c r="G92" s="64">
        <v>99.89</v>
      </c>
      <c r="H92" s="64">
        <v>24.96</v>
      </c>
      <c r="I92" s="64">
        <v>3.97</v>
      </c>
      <c r="J92" s="64">
        <v>1</v>
      </c>
      <c r="K92" s="64">
        <v>166.23</v>
      </c>
      <c r="L92" s="64">
        <v>24.39</v>
      </c>
      <c r="M92" s="64">
        <v>36.28</v>
      </c>
      <c r="N92" s="64">
        <v>60.3</v>
      </c>
      <c r="O92" s="64">
        <v>0</v>
      </c>
      <c r="P92" s="64">
        <v>0.88</v>
      </c>
      <c r="Q92" s="64">
        <v>9.1300000000000008</v>
      </c>
      <c r="R92" s="198"/>
      <c r="S92" s="198"/>
      <c r="T92" s="198"/>
      <c r="U92" s="198"/>
    </row>
    <row r="93" spans="1:26" s="12" customFormat="1" x14ac:dyDescent="0.25">
      <c r="A93" s="247" t="s">
        <v>2632</v>
      </c>
      <c r="B93" s="64">
        <v>6.09</v>
      </c>
      <c r="C93" s="64">
        <v>78.3</v>
      </c>
      <c r="D93" s="64">
        <v>45.79</v>
      </c>
      <c r="E93" s="64">
        <v>6.9</v>
      </c>
      <c r="F93" s="64">
        <v>12.93</v>
      </c>
      <c r="G93" s="64">
        <v>97.85</v>
      </c>
      <c r="H93" s="64">
        <v>39.840000000000003</v>
      </c>
      <c r="I93" s="64">
        <v>3.9</v>
      </c>
      <c r="J93" s="64">
        <v>1.07</v>
      </c>
      <c r="K93" s="64">
        <v>163.12</v>
      </c>
      <c r="L93" s="64">
        <v>24.25</v>
      </c>
      <c r="M93" s="64">
        <v>35.78</v>
      </c>
      <c r="N93" s="64">
        <v>60.5</v>
      </c>
      <c r="O93" s="64">
        <v>0</v>
      </c>
      <c r="P93" s="64">
        <v>0.86</v>
      </c>
      <c r="Q93" s="64">
        <v>9.16</v>
      </c>
      <c r="R93" s="198"/>
      <c r="S93" s="198"/>
      <c r="T93" s="198"/>
      <c r="U93" s="198"/>
    </row>
    <row r="94" spans="1:26" s="12" customFormat="1" x14ac:dyDescent="0.25">
      <c r="A94" s="247" t="s">
        <v>2633</v>
      </c>
      <c r="B94" s="64">
        <v>5.77</v>
      </c>
      <c r="C94" s="64">
        <v>84.29</v>
      </c>
      <c r="D94" s="64">
        <v>48.67</v>
      </c>
      <c r="E94" s="64">
        <v>5.98</v>
      </c>
      <c r="F94" s="64">
        <v>12.13</v>
      </c>
      <c r="G94" s="64">
        <v>97.85</v>
      </c>
      <c r="H94" s="64">
        <v>39.840000000000003</v>
      </c>
      <c r="I94" s="64">
        <v>4.09</v>
      </c>
      <c r="J94" s="64">
        <v>0.88</v>
      </c>
      <c r="K94" s="64">
        <v>167.58</v>
      </c>
      <c r="L94" s="64">
        <v>23.84</v>
      </c>
      <c r="M94" s="64">
        <v>37.6</v>
      </c>
      <c r="N94" s="64">
        <v>61.1</v>
      </c>
      <c r="O94" s="64">
        <v>0</v>
      </c>
      <c r="P94" s="64">
        <v>0.84</v>
      </c>
      <c r="Q94" s="64">
        <v>9.17</v>
      </c>
      <c r="R94" s="198"/>
      <c r="S94" s="198"/>
      <c r="T94" s="198"/>
      <c r="U94" s="198"/>
    </row>
    <row r="95" spans="1:26" s="12" customFormat="1" x14ac:dyDescent="0.25">
      <c r="A95" s="247" t="s">
        <v>2634</v>
      </c>
      <c r="B95" s="64">
        <v>5.76</v>
      </c>
      <c r="C95" s="64">
        <v>85.09</v>
      </c>
      <c r="D95" s="64">
        <v>49.08</v>
      </c>
      <c r="E95" s="64">
        <v>6.5</v>
      </c>
      <c r="F95" s="64">
        <v>12.03</v>
      </c>
      <c r="G95" s="64">
        <v>97.85</v>
      </c>
      <c r="H95" s="64">
        <v>39.840000000000003</v>
      </c>
      <c r="I95" s="64">
        <v>4.12</v>
      </c>
      <c r="J95" s="64">
        <v>0.79</v>
      </c>
      <c r="K95" s="64">
        <v>168.69</v>
      </c>
      <c r="L95" s="64">
        <v>23.08</v>
      </c>
      <c r="M95" s="64">
        <v>39.51</v>
      </c>
      <c r="N95" s="64">
        <v>60.7</v>
      </c>
      <c r="O95" s="64">
        <v>0</v>
      </c>
      <c r="P95" s="64">
        <v>0.85</v>
      </c>
      <c r="Q95" s="64">
        <v>9.17</v>
      </c>
      <c r="R95" s="198"/>
      <c r="S95" s="198"/>
      <c r="T95" s="198"/>
      <c r="U95" s="198"/>
    </row>
    <row r="96" spans="1:26" s="12" customFormat="1" x14ac:dyDescent="0.25">
      <c r="A96" s="247" t="s">
        <v>2635</v>
      </c>
      <c r="B96" s="64">
        <v>4.9400000000000004</v>
      </c>
      <c r="C96" s="64">
        <v>74.47</v>
      </c>
      <c r="D96" s="64">
        <v>42.87</v>
      </c>
      <c r="E96" s="64">
        <v>6.2</v>
      </c>
      <c r="F96" s="64">
        <v>18.22</v>
      </c>
      <c r="G96" s="64">
        <v>96.03</v>
      </c>
      <c r="H96" s="64">
        <v>39.53</v>
      </c>
      <c r="I96" s="64">
        <v>4.01</v>
      </c>
      <c r="J96" s="64">
        <v>0.36</v>
      </c>
      <c r="K96" s="64">
        <v>186.55</v>
      </c>
      <c r="L96" s="64">
        <v>23.37</v>
      </c>
      <c r="M96" s="64">
        <v>37.69</v>
      </c>
      <c r="N96" s="64">
        <v>61</v>
      </c>
      <c r="O96" s="64">
        <v>0</v>
      </c>
      <c r="P96" s="64">
        <v>0.83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2636</v>
      </c>
      <c r="B97" s="64">
        <v>4.62</v>
      </c>
      <c r="C97" s="64">
        <v>75.900000000000006</v>
      </c>
      <c r="D97" s="64">
        <v>43.36</v>
      </c>
      <c r="E97" s="64">
        <v>6.34</v>
      </c>
      <c r="F97" s="64">
        <v>17.13</v>
      </c>
      <c r="G97" s="64">
        <v>90.43</v>
      </c>
      <c r="H97" s="64">
        <v>38.54</v>
      </c>
      <c r="I97" s="64">
        <v>4.0199999999999996</v>
      </c>
      <c r="J97" s="64">
        <v>0.72</v>
      </c>
      <c r="K97" s="64">
        <v>185.71</v>
      </c>
      <c r="L97" s="64">
        <v>23.14</v>
      </c>
      <c r="M97" s="64">
        <v>38.200000000000003</v>
      </c>
      <c r="N97" s="64">
        <v>60.5</v>
      </c>
      <c r="O97" s="64">
        <v>0</v>
      </c>
      <c r="P97" s="64">
        <v>0.82</v>
      </c>
      <c r="Q97" s="64">
        <v>9.14</v>
      </c>
      <c r="R97" s="198"/>
      <c r="S97" s="198"/>
      <c r="T97" s="198"/>
      <c r="U97" s="198"/>
    </row>
    <row r="98" spans="1:33" s="12" customFormat="1" x14ac:dyDescent="0.25">
      <c r="A98" s="247" t="s">
        <v>2637</v>
      </c>
      <c r="B98" s="64">
        <v>5.1100000000000003</v>
      </c>
      <c r="C98" s="64">
        <v>81.569999999999993</v>
      </c>
      <c r="D98" s="64">
        <v>46.71</v>
      </c>
      <c r="E98" s="64">
        <v>6.25</v>
      </c>
      <c r="F98" s="64">
        <v>15.64</v>
      </c>
      <c r="G98" s="64">
        <v>90.43</v>
      </c>
      <c r="H98" s="64">
        <v>38.54</v>
      </c>
      <c r="I98" s="64">
        <v>3.91</v>
      </c>
      <c r="J98" s="64">
        <v>0.56999999999999995</v>
      </c>
      <c r="K98" s="64">
        <v>213.19</v>
      </c>
      <c r="L98" s="64">
        <v>23.03</v>
      </c>
      <c r="M98" s="64">
        <v>38.03</v>
      </c>
      <c r="N98" s="64">
        <v>60.8</v>
      </c>
      <c r="O98" s="64">
        <v>0</v>
      </c>
      <c r="P98" s="64">
        <v>0.8</v>
      </c>
      <c r="Q98" s="64">
        <v>9.1300000000000008</v>
      </c>
      <c r="R98" s="198"/>
      <c r="S98" s="198"/>
      <c r="T98" s="198"/>
      <c r="U98" s="198"/>
    </row>
    <row r="99" spans="1:33" s="12" customFormat="1" x14ac:dyDescent="0.25">
      <c r="A99" s="247" t="s">
        <v>2638</v>
      </c>
      <c r="B99" s="64">
        <v>33.11</v>
      </c>
      <c r="C99" s="64">
        <v>105.04</v>
      </c>
      <c r="D99" s="64">
        <v>81.430000000000007</v>
      </c>
      <c r="E99" s="64">
        <v>10.01</v>
      </c>
      <c r="F99" s="64">
        <v>17.850000000000001</v>
      </c>
      <c r="G99" s="64">
        <v>90.43</v>
      </c>
      <c r="H99" s="64">
        <v>38.54</v>
      </c>
      <c r="I99" s="64">
        <v>4.05</v>
      </c>
      <c r="J99" s="64">
        <v>0.46</v>
      </c>
      <c r="K99" s="64">
        <v>252.98</v>
      </c>
      <c r="L99" s="64">
        <v>22.63</v>
      </c>
      <c r="M99" s="64">
        <v>38.58</v>
      </c>
      <c r="N99" s="64">
        <v>61.2</v>
      </c>
      <c r="O99" s="64">
        <v>0</v>
      </c>
      <c r="P99" s="64">
        <v>0.93</v>
      </c>
      <c r="Q99" s="64">
        <v>9.14</v>
      </c>
      <c r="R99" s="198"/>
      <c r="S99" s="198"/>
      <c r="T99" s="198"/>
      <c r="U99" s="198"/>
    </row>
    <row r="100" spans="1:33" s="12" customFormat="1" x14ac:dyDescent="0.25">
      <c r="A100" s="247" t="s">
        <v>2639</v>
      </c>
      <c r="B100" s="64">
        <v>40.22</v>
      </c>
      <c r="C100" s="64">
        <v>114.23</v>
      </c>
      <c r="D100" s="64">
        <v>91.93</v>
      </c>
      <c r="E100" s="64">
        <v>9.19</v>
      </c>
      <c r="F100" s="64">
        <v>11.84</v>
      </c>
      <c r="G100" s="64">
        <v>89.8</v>
      </c>
      <c r="H100" s="64">
        <v>38.090000000000003</v>
      </c>
      <c r="I100" s="64">
        <v>4.01</v>
      </c>
      <c r="J100" s="64">
        <v>0.78</v>
      </c>
      <c r="K100" s="64">
        <v>332.83</v>
      </c>
      <c r="L100" s="64">
        <v>22.16</v>
      </c>
      <c r="M100" s="64">
        <v>45.52</v>
      </c>
      <c r="N100" s="64">
        <v>61.7</v>
      </c>
      <c r="O100" s="64">
        <v>0</v>
      </c>
      <c r="P100" s="64">
        <v>1.1599999999999999</v>
      </c>
      <c r="Q100" s="64">
        <v>9.1999999999999993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2640</v>
      </c>
      <c r="B101" s="64">
        <v>37.5</v>
      </c>
      <c r="C101" s="64">
        <v>113.97</v>
      </c>
      <c r="D101" s="64">
        <v>89.62</v>
      </c>
      <c r="E101" s="64">
        <v>8.39</v>
      </c>
      <c r="F101" s="64">
        <v>10.24</v>
      </c>
      <c r="G101" s="64">
        <v>87.86</v>
      </c>
      <c r="H101" s="64">
        <v>36.700000000000003</v>
      </c>
      <c r="I101" s="64">
        <v>3.94</v>
      </c>
      <c r="J101" s="64">
        <v>0.74</v>
      </c>
      <c r="K101" s="64">
        <v>333.82</v>
      </c>
      <c r="L101" s="64">
        <v>21.08</v>
      </c>
      <c r="M101" s="64">
        <v>47.21</v>
      </c>
      <c r="N101" s="64">
        <v>61.4</v>
      </c>
      <c r="O101" s="64">
        <v>0</v>
      </c>
      <c r="P101" s="64">
        <v>1.26</v>
      </c>
      <c r="Q101" s="64">
        <v>9.3000000000000007</v>
      </c>
      <c r="R101" s="198"/>
      <c r="S101" s="198"/>
      <c r="T101" s="198"/>
      <c r="U101" s="198"/>
    </row>
    <row r="102" spans="1:33" s="12" customFormat="1" x14ac:dyDescent="0.25">
      <c r="A102" s="247" t="s">
        <v>2641</v>
      </c>
      <c r="B102" s="64">
        <v>40.65</v>
      </c>
      <c r="C102" s="64">
        <v>130.72999999999999</v>
      </c>
      <c r="D102" s="64">
        <v>100.9</v>
      </c>
      <c r="E102" s="64">
        <v>9.26</v>
      </c>
      <c r="F102" s="64">
        <v>8.1</v>
      </c>
      <c r="G102" s="64">
        <v>87.86</v>
      </c>
      <c r="H102" s="64">
        <v>36.700000000000003</v>
      </c>
      <c r="I102" s="64">
        <v>3.88</v>
      </c>
      <c r="J102" s="64">
        <v>0.11</v>
      </c>
      <c r="K102" s="64">
        <v>3.41</v>
      </c>
      <c r="L102" s="64">
        <v>20.65</v>
      </c>
      <c r="M102" s="64">
        <v>47.37</v>
      </c>
      <c r="N102" s="64">
        <v>61.3</v>
      </c>
      <c r="O102" s="64">
        <v>0</v>
      </c>
      <c r="P102" s="64">
        <v>1.2</v>
      </c>
      <c r="Q102" s="64">
        <v>9.3699999999999992</v>
      </c>
      <c r="R102" s="198"/>
      <c r="S102" s="198"/>
      <c r="T102" s="198"/>
      <c r="U102" s="198"/>
    </row>
    <row r="103" spans="1:33" s="12" customFormat="1" x14ac:dyDescent="0.25">
      <c r="A103" s="247" t="s">
        <v>2642</v>
      </c>
      <c r="B103" s="64">
        <v>41.98</v>
      </c>
      <c r="C103" s="64">
        <v>119.89</v>
      </c>
      <c r="D103" s="64">
        <v>96.3</v>
      </c>
      <c r="E103" s="64">
        <v>8.6199999999999992</v>
      </c>
      <c r="F103" s="64">
        <v>7.57</v>
      </c>
      <c r="G103" s="64">
        <v>87.86</v>
      </c>
      <c r="H103" s="64">
        <v>36.700000000000003</v>
      </c>
      <c r="I103" s="64">
        <v>4.01</v>
      </c>
      <c r="J103" s="64">
        <v>0.39</v>
      </c>
      <c r="K103" s="64">
        <v>263.29000000000002</v>
      </c>
      <c r="L103" s="64">
        <v>20.55</v>
      </c>
      <c r="M103" s="64">
        <v>48.57</v>
      </c>
      <c r="N103" s="64">
        <v>61.3</v>
      </c>
      <c r="O103" s="64">
        <v>0</v>
      </c>
      <c r="P103" s="64">
        <v>1.2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47" t="s">
        <v>2643</v>
      </c>
      <c r="B104" s="64">
        <v>26.27</v>
      </c>
      <c r="C104" s="64">
        <v>112.53</v>
      </c>
      <c r="D104" s="64">
        <v>79.86</v>
      </c>
      <c r="E104" s="64">
        <v>7.54</v>
      </c>
      <c r="F104" s="64">
        <v>8.1199999999999992</v>
      </c>
      <c r="G104" s="64">
        <v>88.92</v>
      </c>
      <c r="H104" s="64">
        <v>36.51</v>
      </c>
      <c r="I104" s="64">
        <v>4.01</v>
      </c>
      <c r="J104" s="64">
        <v>0.49</v>
      </c>
      <c r="K104" s="64">
        <v>310.31</v>
      </c>
      <c r="L104" s="64">
        <v>20.190000000000001</v>
      </c>
      <c r="M104" s="64">
        <v>49.49</v>
      </c>
      <c r="N104" s="64">
        <v>61.3</v>
      </c>
      <c r="O104" s="64">
        <v>0</v>
      </c>
      <c r="P104" s="64">
        <v>1.04</v>
      </c>
      <c r="Q104" s="64">
        <v>9.44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2.77</v>
      </c>
      <c r="C106" s="67">
        <f>MIN(C9:C104)</f>
        <v>48.15</v>
      </c>
      <c r="D106" s="67">
        <f t="shared" ref="D106:Q106" si="0">MIN(D9:D104)</f>
        <v>30.35</v>
      </c>
      <c r="E106" s="67">
        <f t="shared" si="0"/>
        <v>3.43</v>
      </c>
      <c r="F106" s="67">
        <f t="shared" si="0"/>
        <v>6.62</v>
      </c>
      <c r="G106" s="67">
        <f t="shared" si="0"/>
        <v>56.46</v>
      </c>
      <c r="H106" s="67">
        <f t="shared" si="0"/>
        <v>16.54</v>
      </c>
      <c r="I106" s="67">
        <f t="shared" si="0"/>
        <v>3.82</v>
      </c>
      <c r="J106" s="67">
        <f t="shared" si="0"/>
        <v>0.06</v>
      </c>
      <c r="K106" s="67">
        <f t="shared" si="0"/>
        <v>3.41</v>
      </c>
      <c r="L106" s="67">
        <f t="shared" si="0"/>
        <v>17.010000000000002</v>
      </c>
      <c r="M106" s="67">
        <f t="shared" si="0"/>
        <v>18.16</v>
      </c>
      <c r="N106" s="67">
        <f t="shared" si="0"/>
        <v>53</v>
      </c>
      <c r="O106" s="67">
        <f t="shared" si="0"/>
        <v>0</v>
      </c>
      <c r="P106" s="67">
        <f t="shared" si="0"/>
        <v>0.54</v>
      </c>
      <c r="Q106" s="67">
        <f t="shared" si="0"/>
        <v>8.84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81.19</v>
      </c>
      <c r="C107" s="66">
        <f t="shared" ref="C107:Q107" si="1">MAX(C9:C104)</f>
        <v>177.62</v>
      </c>
      <c r="D107" s="66">
        <f t="shared" si="1"/>
        <v>157.9</v>
      </c>
      <c r="E107" s="66">
        <f t="shared" si="1"/>
        <v>24.87</v>
      </c>
      <c r="F107" s="66">
        <f t="shared" si="1"/>
        <v>45.51</v>
      </c>
      <c r="G107" s="66">
        <f t="shared" si="1"/>
        <v>126.85</v>
      </c>
      <c r="H107" s="66">
        <f t="shared" si="1"/>
        <v>40.94</v>
      </c>
      <c r="I107" s="66">
        <f t="shared" si="1"/>
        <v>4.1900000000000004</v>
      </c>
      <c r="J107" s="66">
        <f t="shared" si="1"/>
        <v>1.8</v>
      </c>
      <c r="K107" s="66">
        <f t="shared" si="1"/>
        <v>358.57</v>
      </c>
      <c r="L107" s="66">
        <f t="shared" si="1"/>
        <v>35.54</v>
      </c>
      <c r="M107" s="66">
        <f t="shared" si="1"/>
        <v>66.05</v>
      </c>
      <c r="N107" s="66">
        <f t="shared" si="1"/>
        <v>879.3</v>
      </c>
      <c r="O107" s="66">
        <f t="shared" si="1"/>
        <v>0</v>
      </c>
      <c r="P107" s="66">
        <f t="shared" si="1"/>
        <v>1.93</v>
      </c>
      <c r="Q107" s="66">
        <f t="shared" si="1"/>
        <v>9.74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20.778333333333325</v>
      </c>
      <c r="C108" s="67">
        <f t="shared" ref="C108:Q108" si="2">AVERAGE(C9:C104)</f>
        <v>73.12458333333332</v>
      </c>
      <c r="D108" s="67">
        <f t="shared" si="2"/>
        <v>54.868124999999971</v>
      </c>
      <c r="E108" s="67">
        <f t="shared" si="2"/>
        <v>8.9308333333333341</v>
      </c>
      <c r="F108" s="67">
        <f t="shared" si="2"/>
        <v>16.683958333333326</v>
      </c>
      <c r="G108" s="67">
        <f t="shared" si="2"/>
        <v>85.235937499999991</v>
      </c>
      <c r="H108" s="67">
        <f t="shared" si="2"/>
        <v>29.650625000000019</v>
      </c>
      <c r="I108" s="67">
        <f t="shared" si="2"/>
        <v>4.0031249999999998</v>
      </c>
      <c r="J108" s="67">
        <f t="shared" si="2"/>
        <v>0.78895833333333343</v>
      </c>
      <c r="K108" s="67">
        <f t="shared" si="2"/>
        <v>218.27749999999992</v>
      </c>
      <c r="L108" s="67">
        <f t="shared" si="2"/>
        <v>25.390520833333344</v>
      </c>
      <c r="M108" s="67">
        <f t="shared" si="2"/>
        <v>38.198229166666657</v>
      </c>
      <c r="N108" s="67">
        <f t="shared" si="2"/>
        <v>275.78541666666655</v>
      </c>
      <c r="O108" s="67">
        <f t="shared" si="2"/>
        <v>0</v>
      </c>
      <c r="P108" s="67">
        <f t="shared" si="2"/>
        <v>0.88677083333333329</v>
      </c>
      <c r="Q108" s="67">
        <f t="shared" si="2"/>
        <v>9.2810416666666669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18.280091999461398</v>
      </c>
      <c r="C109" s="67">
        <f t="shared" ref="C109:Q109" si="3">STDEV(C9:C104)</f>
        <v>23.61657285697428</v>
      </c>
      <c r="D109" s="67">
        <f t="shared" si="3"/>
        <v>19.968408276048205</v>
      </c>
      <c r="E109" s="67">
        <f t="shared" si="3"/>
        <v>5.1299263699787643</v>
      </c>
      <c r="F109" s="67">
        <f t="shared" si="3"/>
        <v>9.3586693250209478</v>
      </c>
      <c r="G109" s="67">
        <f t="shared" si="3"/>
        <v>18.966654316298168</v>
      </c>
      <c r="H109" s="67">
        <f t="shared" si="3"/>
        <v>6.5137635353715568</v>
      </c>
      <c r="I109" s="67">
        <f t="shared" si="3"/>
        <v>8.2644610102216409E-2</v>
      </c>
      <c r="J109" s="67">
        <f t="shared" si="3"/>
        <v>0.36654425787680311</v>
      </c>
      <c r="K109" s="67">
        <f t="shared" si="3"/>
        <v>97.14407083784063</v>
      </c>
      <c r="L109" s="67">
        <f t="shared" si="3"/>
        <v>5.4197856570146605</v>
      </c>
      <c r="M109" s="67">
        <f t="shared" si="3"/>
        <v>14.769098037156535</v>
      </c>
      <c r="N109" s="67">
        <f t="shared" si="3"/>
        <v>301.12793293816844</v>
      </c>
      <c r="O109" s="67">
        <f t="shared" si="3"/>
        <v>0</v>
      </c>
      <c r="P109" s="67">
        <f t="shared" si="3"/>
        <v>0.24564199363115419</v>
      </c>
      <c r="Q109" s="67">
        <f t="shared" si="3"/>
        <v>0.29084804919287033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2644</v>
      </c>
      <c r="B9" s="64">
        <v>22.87</v>
      </c>
      <c r="C9" s="64">
        <v>100.53</v>
      </c>
      <c r="D9" s="64">
        <v>70.86</v>
      </c>
      <c r="E9" s="64">
        <v>6.67</v>
      </c>
      <c r="F9" s="64">
        <v>9.91</v>
      </c>
      <c r="G9" s="64">
        <v>92.17</v>
      </c>
      <c r="H9" s="64">
        <v>35.9</v>
      </c>
      <c r="I9" s="64">
        <v>3.92</v>
      </c>
      <c r="J9" s="64">
        <v>0.73</v>
      </c>
      <c r="K9" s="64">
        <v>341.19</v>
      </c>
      <c r="L9" s="64">
        <v>19.89</v>
      </c>
      <c r="M9" s="64">
        <v>52.5</v>
      </c>
      <c r="N9" s="64">
        <v>61.3</v>
      </c>
      <c r="O9" s="64">
        <v>0</v>
      </c>
      <c r="P9" s="64">
        <v>1.31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47" t="s">
        <v>2645</v>
      </c>
      <c r="B10" s="64">
        <v>25.17</v>
      </c>
      <c r="C10" s="64">
        <v>92.48</v>
      </c>
      <c r="D10" s="64">
        <v>68.5</v>
      </c>
      <c r="E10" s="64">
        <v>6.54</v>
      </c>
      <c r="F10" s="64">
        <v>7.89</v>
      </c>
      <c r="G10" s="64">
        <v>92.17</v>
      </c>
      <c r="H10" s="64">
        <v>35.9</v>
      </c>
      <c r="I10" s="64">
        <v>4.12</v>
      </c>
      <c r="J10" s="64">
        <v>0.31</v>
      </c>
      <c r="K10" s="64">
        <v>69.239999999999995</v>
      </c>
      <c r="L10" s="64">
        <v>19.809999999999999</v>
      </c>
      <c r="M10" s="64">
        <v>52.1</v>
      </c>
      <c r="N10" s="64">
        <v>61.2</v>
      </c>
      <c r="O10" s="64">
        <v>0</v>
      </c>
      <c r="P10" s="64">
        <v>1.0900000000000001</v>
      </c>
      <c r="Q10" s="64">
        <v>9.4700000000000006</v>
      </c>
      <c r="R10" s="198"/>
      <c r="S10" s="198"/>
      <c r="T10" s="198"/>
      <c r="U10" s="198"/>
    </row>
    <row r="11" spans="1:21" s="12" customFormat="1" x14ac:dyDescent="0.25">
      <c r="A11" s="247" t="s">
        <v>2646</v>
      </c>
      <c r="B11" s="64">
        <v>25.36</v>
      </c>
      <c r="C11" s="64">
        <v>77.349999999999994</v>
      </c>
      <c r="D11" s="64">
        <v>60.75</v>
      </c>
      <c r="E11" s="64">
        <v>4.43</v>
      </c>
      <c r="F11" s="64">
        <v>6.84</v>
      </c>
      <c r="G11" s="64">
        <v>92.17</v>
      </c>
      <c r="H11" s="64">
        <v>35.9</v>
      </c>
      <c r="I11" s="64">
        <v>3.93</v>
      </c>
      <c r="J11" s="64">
        <v>0.28000000000000003</v>
      </c>
      <c r="K11" s="64">
        <v>311.45999999999998</v>
      </c>
      <c r="L11" s="64">
        <v>19.86</v>
      </c>
      <c r="M11" s="64">
        <v>55.4</v>
      </c>
      <c r="N11" s="64">
        <v>60.9</v>
      </c>
      <c r="O11" s="64">
        <v>0</v>
      </c>
      <c r="P11" s="64">
        <v>1.02</v>
      </c>
      <c r="Q11" s="64">
        <v>9.48</v>
      </c>
      <c r="R11" s="198"/>
      <c r="S11" s="198"/>
      <c r="T11" s="198"/>
      <c r="U11" s="198"/>
    </row>
    <row r="12" spans="1:21" s="12" customFormat="1" x14ac:dyDescent="0.25">
      <c r="A12" s="247" t="s">
        <v>2647</v>
      </c>
      <c r="B12" s="64">
        <v>18.3</v>
      </c>
      <c r="C12" s="64">
        <v>71.290000000000006</v>
      </c>
      <c r="D12" s="64">
        <v>51.92</v>
      </c>
      <c r="E12" s="64">
        <v>4.2300000000000004</v>
      </c>
      <c r="F12" s="64">
        <v>10.19</v>
      </c>
      <c r="G12" s="64">
        <v>93.55</v>
      </c>
      <c r="H12" s="64">
        <v>36.64</v>
      </c>
      <c r="I12" s="64">
        <v>4.1399999999999997</v>
      </c>
      <c r="J12" s="64">
        <v>0.69</v>
      </c>
      <c r="K12" s="64">
        <v>243.38</v>
      </c>
      <c r="L12" s="64">
        <v>20.21</v>
      </c>
      <c r="M12" s="64">
        <v>53.96</v>
      </c>
      <c r="N12" s="64">
        <v>60.8</v>
      </c>
      <c r="O12" s="64">
        <v>0</v>
      </c>
      <c r="P12" s="64">
        <v>1.02</v>
      </c>
      <c r="Q12" s="64">
        <v>9.4700000000000006</v>
      </c>
      <c r="R12" s="198"/>
      <c r="S12" s="198"/>
      <c r="T12" s="198"/>
      <c r="U12" s="198"/>
    </row>
    <row r="13" spans="1:21" s="12" customFormat="1" x14ac:dyDescent="0.25">
      <c r="A13" s="247" t="s">
        <v>2648</v>
      </c>
      <c r="B13" s="64">
        <v>18.170000000000002</v>
      </c>
      <c r="C13" s="64">
        <v>71.95</v>
      </c>
      <c r="D13" s="64">
        <v>52.16</v>
      </c>
      <c r="E13" s="64">
        <v>3.9</v>
      </c>
      <c r="F13" s="64">
        <v>7.71</v>
      </c>
      <c r="G13" s="64">
        <v>98.07</v>
      </c>
      <c r="H13" s="64">
        <v>38.92</v>
      </c>
      <c r="I13" s="64">
        <v>3.9</v>
      </c>
      <c r="J13" s="64">
        <v>0.32</v>
      </c>
      <c r="K13" s="64">
        <v>309.7</v>
      </c>
      <c r="L13" s="64">
        <v>19.87</v>
      </c>
      <c r="M13" s="64">
        <v>56.66</v>
      </c>
      <c r="N13" s="64">
        <v>61.1</v>
      </c>
      <c r="O13" s="64">
        <v>0</v>
      </c>
      <c r="P13" s="64">
        <v>0.94</v>
      </c>
      <c r="Q13" s="64">
        <v>9.4700000000000006</v>
      </c>
      <c r="R13" s="198"/>
      <c r="S13" s="198"/>
      <c r="T13" s="198"/>
      <c r="U13" s="198"/>
    </row>
    <row r="14" spans="1:21" s="12" customFormat="1" x14ac:dyDescent="0.25">
      <c r="A14" s="247" t="s">
        <v>2649</v>
      </c>
      <c r="B14" s="64">
        <v>15.56</v>
      </c>
      <c r="C14" s="64">
        <v>73.739999999999995</v>
      </c>
      <c r="D14" s="64">
        <v>51</v>
      </c>
      <c r="E14" s="64">
        <v>4.43</v>
      </c>
      <c r="F14" s="64">
        <v>8.84</v>
      </c>
      <c r="G14" s="64">
        <v>98.07</v>
      </c>
      <c r="H14" s="64">
        <v>38.92</v>
      </c>
      <c r="I14" s="64">
        <v>4.05</v>
      </c>
      <c r="J14" s="64">
        <v>0.25</v>
      </c>
      <c r="K14" s="64">
        <v>233.68</v>
      </c>
      <c r="L14" s="64">
        <v>19.829999999999998</v>
      </c>
      <c r="M14" s="64">
        <v>54.19</v>
      </c>
      <c r="N14" s="64">
        <v>61</v>
      </c>
      <c r="O14" s="64">
        <v>0</v>
      </c>
      <c r="P14" s="64">
        <v>1.0900000000000001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47" t="s">
        <v>2650</v>
      </c>
      <c r="B15" s="64">
        <v>17.239999999999998</v>
      </c>
      <c r="C15" s="64">
        <v>74.569999999999993</v>
      </c>
      <c r="D15" s="64">
        <v>52.79</v>
      </c>
      <c r="E15" s="64">
        <v>4.84</v>
      </c>
      <c r="F15" s="64">
        <v>7.64</v>
      </c>
      <c r="G15" s="64">
        <v>98.07</v>
      </c>
      <c r="H15" s="64">
        <v>38.92</v>
      </c>
      <c r="I15" s="64">
        <v>3.97</v>
      </c>
      <c r="J15" s="64">
        <v>0.23</v>
      </c>
      <c r="K15" s="64">
        <v>299.77999999999997</v>
      </c>
      <c r="L15" s="64">
        <v>19.649999999999999</v>
      </c>
      <c r="M15" s="64">
        <v>53.19</v>
      </c>
      <c r="N15" s="64">
        <v>60.9</v>
      </c>
      <c r="O15" s="64">
        <v>0</v>
      </c>
      <c r="P15" s="64">
        <v>1.1299999999999999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47" t="s">
        <v>2651</v>
      </c>
      <c r="B16" s="64">
        <v>16.16</v>
      </c>
      <c r="C16" s="64">
        <v>75.510000000000005</v>
      </c>
      <c r="D16" s="64">
        <v>52.41</v>
      </c>
      <c r="E16" s="64">
        <v>5.74</v>
      </c>
      <c r="F16" s="64">
        <v>8.0299999999999994</v>
      </c>
      <c r="G16" s="64">
        <v>104.57</v>
      </c>
      <c r="H16" s="64">
        <v>41.34</v>
      </c>
      <c r="I16" s="64">
        <v>4.0199999999999996</v>
      </c>
      <c r="J16" s="64">
        <v>0.4</v>
      </c>
      <c r="K16" s="64">
        <v>2.4900000000000002</v>
      </c>
      <c r="L16" s="64">
        <v>19.32</v>
      </c>
      <c r="M16" s="64">
        <v>55.31</v>
      </c>
      <c r="N16" s="64">
        <v>61.1</v>
      </c>
      <c r="O16" s="64">
        <v>0</v>
      </c>
      <c r="P16" s="64">
        <v>1.31</v>
      </c>
      <c r="Q16" s="64">
        <v>9.5</v>
      </c>
      <c r="R16" s="198"/>
      <c r="S16" s="198"/>
      <c r="T16" s="198"/>
      <c r="U16" s="198"/>
    </row>
    <row r="17" spans="1:21" s="12" customFormat="1" x14ac:dyDescent="0.25">
      <c r="A17" s="247" t="s">
        <v>2652</v>
      </c>
      <c r="B17" s="64">
        <v>18.04</v>
      </c>
      <c r="C17" s="64">
        <v>73.489999999999995</v>
      </c>
      <c r="D17" s="64">
        <v>52.86</v>
      </c>
      <c r="E17" s="64">
        <v>5.21</v>
      </c>
      <c r="F17" s="64">
        <v>7.44</v>
      </c>
      <c r="G17" s="64">
        <v>125.96</v>
      </c>
      <c r="H17" s="64">
        <v>49.28</v>
      </c>
      <c r="I17" s="64">
        <v>4.1500000000000004</v>
      </c>
      <c r="J17" s="64">
        <v>0.22</v>
      </c>
      <c r="K17" s="64">
        <v>146.97</v>
      </c>
      <c r="L17" s="64">
        <v>19.23</v>
      </c>
      <c r="M17" s="64">
        <v>53.65</v>
      </c>
      <c r="N17" s="64">
        <v>61.3</v>
      </c>
      <c r="O17" s="64">
        <v>0</v>
      </c>
      <c r="P17" s="64">
        <v>1.34</v>
      </c>
      <c r="Q17" s="64">
        <v>9.51</v>
      </c>
      <c r="R17" s="198"/>
      <c r="S17" s="198"/>
      <c r="T17" s="198"/>
      <c r="U17" s="198"/>
    </row>
    <row r="18" spans="1:21" s="12" customFormat="1" x14ac:dyDescent="0.25">
      <c r="A18" s="247" t="s">
        <v>2653</v>
      </c>
      <c r="B18" s="64">
        <v>17.78</v>
      </c>
      <c r="C18" s="64">
        <v>71.45</v>
      </c>
      <c r="D18" s="64">
        <v>51.59</v>
      </c>
      <c r="E18" s="64">
        <v>5.45</v>
      </c>
      <c r="F18" s="64">
        <v>7.46</v>
      </c>
      <c r="G18" s="64">
        <v>125.96</v>
      </c>
      <c r="H18" s="64">
        <v>49.28</v>
      </c>
      <c r="I18" s="64">
        <v>3.99</v>
      </c>
      <c r="J18" s="64">
        <v>0.54</v>
      </c>
      <c r="K18" s="64">
        <v>164.5</v>
      </c>
      <c r="L18" s="64">
        <v>19.02</v>
      </c>
      <c r="M18" s="64">
        <v>53.88</v>
      </c>
      <c r="N18" s="64">
        <v>61.1</v>
      </c>
      <c r="O18" s="64">
        <v>0</v>
      </c>
      <c r="P18" s="64">
        <v>1.33</v>
      </c>
      <c r="Q18" s="64">
        <v>9.49</v>
      </c>
      <c r="R18" s="198"/>
      <c r="S18" s="198"/>
      <c r="T18" s="198"/>
      <c r="U18" s="198"/>
    </row>
    <row r="19" spans="1:21" s="12" customFormat="1" x14ac:dyDescent="0.25">
      <c r="A19" s="247" t="s">
        <v>2654</v>
      </c>
      <c r="B19" s="64">
        <v>20.09</v>
      </c>
      <c r="C19" s="64">
        <v>70.89</v>
      </c>
      <c r="D19" s="64">
        <v>53.15</v>
      </c>
      <c r="E19" s="64">
        <v>4.95</v>
      </c>
      <c r="F19" s="64">
        <v>7.22</v>
      </c>
      <c r="G19" s="64">
        <v>125.96</v>
      </c>
      <c r="H19" s="64">
        <v>49.28</v>
      </c>
      <c r="I19" s="64">
        <v>4.08</v>
      </c>
      <c r="J19" s="64">
        <v>0.37</v>
      </c>
      <c r="K19" s="64">
        <v>299.64</v>
      </c>
      <c r="L19" s="64">
        <v>19.02</v>
      </c>
      <c r="M19" s="64">
        <v>57.07</v>
      </c>
      <c r="N19" s="64">
        <v>61</v>
      </c>
      <c r="O19" s="64">
        <v>0</v>
      </c>
      <c r="P19" s="64">
        <v>1.36</v>
      </c>
      <c r="Q19" s="64">
        <v>9.49</v>
      </c>
      <c r="R19" s="198"/>
      <c r="S19" s="198"/>
      <c r="T19" s="198"/>
      <c r="U19" s="198"/>
    </row>
    <row r="20" spans="1:21" s="12" customFormat="1" x14ac:dyDescent="0.25">
      <c r="A20" s="247" t="s">
        <v>2655</v>
      </c>
      <c r="B20" s="64">
        <v>22.19</v>
      </c>
      <c r="C20" s="64">
        <v>69.650000000000006</v>
      </c>
      <c r="D20" s="64">
        <v>54.19</v>
      </c>
      <c r="E20" s="64">
        <v>5.09</v>
      </c>
      <c r="F20" s="64">
        <v>7.85</v>
      </c>
      <c r="G20" s="64">
        <v>159.37</v>
      </c>
      <c r="H20" s="64">
        <v>63.36</v>
      </c>
      <c r="I20" s="64">
        <v>3.91</v>
      </c>
      <c r="J20" s="64">
        <v>0.5</v>
      </c>
      <c r="K20" s="64">
        <v>330.45</v>
      </c>
      <c r="L20" s="64">
        <v>18.5</v>
      </c>
      <c r="M20" s="64">
        <v>62</v>
      </c>
      <c r="N20" s="64">
        <v>61.3</v>
      </c>
      <c r="O20" s="64">
        <v>0</v>
      </c>
      <c r="P20" s="64">
        <v>1.51</v>
      </c>
      <c r="Q20" s="64">
        <v>9.48</v>
      </c>
      <c r="R20" s="198"/>
      <c r="S20" s="198"/>
      <c r="T20" s="198"/>
      <c r="U20" s="198"/>
    </row>
    <row r="21" spans="1:21" s="12" customFormat="1" x14ac:dyDescent="0.25">
      <c r="A21" s="247" t="s">
        <v>2656</v>
      </c>
      <c r="B21" s="64">
        <v>26.09</v>
      </c>
      <c r="C21" s="64">
        <v>72.72</v>
      </c>
      <c r="D21" s="64">
        <v>58.91</v>
      </c>
      <c r="E21" s="64">
        <v>7.54</v>
      </c>
      <c r="F21" s="64">
        <v>8.58</v>
      </c>
      <c r="G21" s="64">
        <v>269.12</v>
      </c>
      <c r="H21" s="64">
        <v>109.63</v>
      </c>
      <c r="I21" s="64">
        <v>4.12</v>
      </c>
      <c r="J21" s="64">
        <v>0.38</v>
      </c>
      <c r="K21" s="64">
        <v>18.93</v>
      </c>
      <c r="L21" s="64">
        <v>18.559999999999999</v>
      </c>
      <c r="M21" s="64">
        <v>61.92</v>
      </c>
      <c r="N21" s="64">
        <v>61</v>
      </c>
      <c r="O21" s="64">
        <v>0</v>
      </c>
      <c r="P21" s="64">
        <v>1.66</v>
      </c>
      <c r="Q21" s="64">
        <v>9.5</v>
      </c>
      <c r="R21" s="198"/>
      <c r="S21" s="198"/>
      <c r="T21" s="198"/>
      <c r="U21" s="198"/>
    </row>
    <row r="22" spans="1:21" s="12" customFormat="1" x14ac:dyDescent="0.25">
      <c r="A22" s="247" t="s">
        <v>2657</v>
      </c>
      <c r="B22" s="64">
        <v>29.69</v>
      </c>
      <c r="C22" s="64">
        <v>70.180000000000007</v>
      </c>
      <c r="D22" s="64">
        <v>60.48</v>
      </c>
      <c r="E22" s="64">
        <v>7.28</v>
      </c>
      <c r="F22" s="64">
        <v>7.75</v>
      </c>
      <c r="G22" s="64">
        <v>269.12</v>
      </c>
      <c r="H22" s="64">
        <v>109.63</v>
      </c>
      <c r="I22" s="64">
        <v>4.03</v>
      </c>
      <c r="J22" s="64">
        <v>0.25</v>
      </c>
      <c r="K22" s="64">
        <v>203.08</v>
      </c>
      <c r="L22" s="64">
        <v>18.52</v>
      </c>
      <c r="M22" s="64">
        <v>63.08</v>
      </c>
      <c r="N22" s="64">
        <v>61.1</v>
      </c>
      <c r="O22" s="64">
        <v>0</v>
      </c>
      <c r="P22" s="64">
        <v>1.67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47" t="s">
        <v>2658</v>
      </c>
      <c r="B23" s="64">
        <v>36.159999999999997</v>
      </c>
      <c r="C23" s="64">
        <v>69.94</v>
      </c>
      <c r="D23" s="64">
        <v>65.540000000000006</v>
      </c>
      <c r="E23" s="64">
        <v>8.1</v>
      </c>
      <c r="F23" s="64">
        <v>8.3800000000000008</v>
      </c>
      <c r="G23" s="64">
        <v>269.12</v>
      </c>
      <c r="H23" s="64">
        <v>109.63</v>
      </c>
      <c r="I23" s="64">
        <v>3.92</v>
      </c>
      <c r="J23" s="64">
        <v>0.17</v>
      </c>
      <c r="K23" s="64">
        <v>271.58</v>
      </c>
      <c r="L23" s="64">
        <v>18.350000000000001</v>
      </c>
      <c r="M23" s="64">
        <v>63.43</v>
      </c>
      <c r="N23" s="64">
        <v>61.2</v>
      </c>
      <c r="O23" s="64">
        <v>0</v>
      </c>
      <c r="P23" s="64">
        <v>1.73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47" t="s">
        <v>2659</v>
      </c>
      <c r="B24" s="64">
        <v>38.42</v>
      </c>
      <c r="C24" s="64">
        <v>68.09</v>
      </c>
      <c r="D24" s="64">
        <v>66.38</v>
      </c>
      <c r="E24" s="64">
        <v>8.6999999999999993</v>
      </c>
      <c r="F24" s="64">
        <v>9.3000000000000007</v>
      </c>
      <c r="G24" s="64">
        <v>270.57</v>
      </c>
      <c r="H24" s="64">
        <v>110.7</v>
      </c>
      <c r="I24" s="64">
        <v>4</v>
      </c>
      <c r="J24" s="64">
        <v>0.41</v>
      </c>
      <c r="K24" s="64">
        <v>330.22</v>
      </c>
      <c r="L24" s="64">
        <v>18.3</v>
      </c>
      <c r="M24" s="64">
        <v>64.17</v>
      </c>
      <c r="N24" s="64">
        <v>61.3</v>
      </c>
      <c r="O24" s="64">
        <v>0</v>
      </c>
      <c r="P24" s="64">
        <v>1.86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47" t="s">
        <v>2660</v>
      </c>
      <c r="B25" s="64">
        <v>55.8</v>
      </c>
      <c r="C25" s="64">
        <v>70.36</v>
      </c>
      <c r="D25" s="64">
        <v>81.510000000000005</v>
      </c>
      <c r="E25" s="64">
        <v>9.1199999999999992</v>
      </c>
      <c r="F25" s="64">
        <v>8.3000000000000007</v>
      </c>
      <c r="G25" s="64">
        <v>275.33</v>
      </c>
      <c r="H25" s="64">
        <v>114.2</v>
      </c>
      <c r="I25" s="64">
        <v>4.0199999999999996</v>
      </c>
      <c r="J25" s="64">
        <v>0.46</v>
      </c>
      <c r="K25" s="64">
        <v>189.44</v>
      </c>
      <c r="L25" s="64">
        <v>18.170000000000002</v>
      </c>
      <c r="M25" s="64">
        <v>63.63</v>
      </c>
      <c r="N25" s="64">
        <v>60.9</v>
      </c>
      <c r="O25" s="64">
        <v>0</v>
      </c>
      <c r="P25" s="64">
        <v>1.85</v>
      </c>
      <c r="Q25" s="64">
        <v>9.51</v>
      </c>
      <c r="R25" s="198"/>
      <c r="S25" s="198"/>
      <c r="T25" s="198"/>
      <c r="U25" s="198"/>
    </row>
    <row r="26" spans="1:21" s="12" customFormat="1" x14ac:dyDescent="0.25">
      <c r="A26" s="247" t="s">
        <v>2661</v>
      </c>
      <c r="B26" s="64">
        <v>61.64</v>
      </c>
      <c r="C26" s="64">
        <v>68.58</v>
      </c>
      <c r="D26" s="64">
        <v>85.27</v>
      </c>
      <c r="E26" s="64">
        <v>9.98</v>
      </c>
      <c r="F26" s="64">
        <v>8.7899999999999991</v>
      </c>
      <c r="G26" s="64">
        <v>275.33</v>
      </c>
      <c r="H26" s="64">
        <v>114.2</v>
      </c>
      <c r="I26" s="64">
        <v>3.97</v>
      </c>
      <c r="J26" s="64">
        <v>0.48</v>
      </c>
      <c r="K26" s="64">
        <v>265.23</v>
      </c>
      <c r="L26" s="64">
        <v>18.309999999999999</v>
      </c>
      <c r="M26" s="64">
        <v>63.29</v>
      </c>
      <c r="N26" s="64">
        <v>61.3</v>
      </c>
      <c r="O26" s="64">
        <v>0</v>
      </c>
      <c r="P26" s="64">
        <v>1.91</v>
      </c>
      <c r="Q26" s="64">
        <v>9.51</v>
      </c>
      <c r="R26" s="198"/>
      <c r="S26" s="198"/>
      <c r="T26" s="198"/>
      <c r="U26" s="198"/>
    </row>
    <row r="27" spans="1:21" s="12" customFormat="1" x14ac:dyDescent="0.25">
      <c r="A27" s="247" t="s">
        <v>2662</v>
      </c>
      <c r="B27" s="64">
        <v>47.74</v>
      </c>
      <c r="C27" s="64">
        <v>72.11</v>
      </c>
      <c r="D27" s="64">
        <v>75.959999999999994</v>
      </c>
      <c r="E27" s="64">
        <v>8.5299999999999994</v>
      </c>
      <c r="F27" s="64">
        <v>7.8</v>
      </c>
      <c r="G27" s="64">
        <v>275.33</v>
      </c>
      <c r="H27" s="64">
        <v>114.2</v>
      </c>
      <c r="I27" s="64">
        <v>3.97</v>
      </c>
      <c r="J27" s="64">
        <v>0.28000000000000003</v>
      </c>
      <c r="K27" s="64">
        <v>209.77</v>
      </c>
      <c r="L27" s="64">
        <v>18.04</v>
      </c>
      <c r="M27" s="64">
        <v>63.35</v>
      </c>
      <c r="N27" s="64">
        <v>61.1</v>
      </c>
      <c r="O27" s="64">
        <v>0</v>
      </c>
      <c r="P27" s="64">
        <v>1.64</v>
      </c>
      <c r="Q27" s="64">
        <v>9.52</v>
      </c>
      <c r="R27" s="198"/>
      <c r="S27" s="198"/>
      <c r="T27" s="198"/>
      <c r="U27" s="198"/>
    </row>
    <row r="28" spans="1:21" s="12" customFormat="1" x14ac:dyDescent="0.25">
      <c r="A28" s="247" t="s">
        <v>2663</v>
      </c>
      <c r="B28" s="64">
        <v>39.36</v>
      </c>
      <c r="C28" s="64">
        <v>56.46</v>
      </c>
      <c r="D28" s="64">
        <v>61.06</v>
      </c>
      <c r="E28" s="64">
        <v>5.54</v>
      </c>
      <c r="F28" s="64">
        <v>7.28</v>
      </c>
      <c r="G28" s="64">
        <v>281.76</v>
      </c>
      <c r="H28" s="64">
        <v>110.4</v>
      </c>
      <c r="I28" s="64">
        <v>3.81</v>
      </c>
      <c r="J28" s="64">
        <v>0.5</v>
      </c>
      <c r="K28" s="64">
        <v>316.43</v>
      </c>
      <c r="L28" s="64">
        <v>17.920000000000002</v>
      </c>
      <c r="M28" s="64">
        <v>65.790000000000006</v>
      </c>
      <c r="N28" s="64">
        <v>61.4</v>
      </c>
      <c r="O28" s="64">
        <v>0</v>
      </c>
      <c r="P28" s="64">
        <v>1.54</v>
      </c>
      <c r="Q28" s="64">
        <v>9.5399999999999991</v>
      </c>
      <c r="R28" s="198"/>
      <c r="S28" s="198"/>
      <c r="T28" s="198"/>
      <c r="U28" s="198"/>
    </row>
    <row r="29" spans="1:21" s="12" customFormat="1" x14ac:dyDescent="0.25">
      <c r="A29" s="247" t="s">
        <v>2664</v>
      </c>
      <c r="B29" s="64">
        <v>44.12</v>
      </c>
      <c r="C29" s="64">
        <v>61.14</v>
      </c>
      <c r="D29" s="64">
        <v>67.33</v>
      </c>
      <c r="E29" s="64">
        <v>4.2</v>
      </c>
      <c r="F29" s="64">
        <v>7.03</v>
      </c>
      <c r="G29" s="64">
        <v>302.89</v>
      </c>
      <c r="H29" s="64">
        <v>97.94</v>
      </c>
      <c r="I29" s="64">
        <v>3.95</v>
      </c>
      <c r="J29" s="64">
        <v>0.43</v>
      </c>
      <c r="K29" s="64">
        <v>42.92</v>
      </c>
      <c r="L29" s="64">
        <v>17.329999999999998</v>
      </c>
      <c r="M29" s="64">
        <v>69.58</v>
      </c>
      <c r="N29" s="64">
        <v>61.3</v>
      </c>
      <c r="O29" s="64">
        <v>0</v>
      </c>
      <c r="P29" s="64">
        <v>1.57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47" t="s">
        <v>2665</v>
      </c>
      <c r="B30" s="64">
        <v>52.12</v>
      </c>
      <c r="C30" s="64">
        <v>63.37</v>
      </c>
      <c r="D30" s="64">
        <v>74.900000000000006</v>
      </c>
      <c r="E30" s="64">
        <v>4.45</v>
      </c>
      <c r="F30" s="64">
        <v>7.04</v>
      </c>
      <c r="G30" s="64">
        <v>302.89</v>
      </c>
      <c r="H30" s="64">
        <v>97.94</v>
      </c>
      <c r="I30" s="64">
        <v>3.85</v>
      </c>
      <c r="J30" s="64">
        <v>0.47</v>
      </c>
      <c r="K30" s="64">
        <v>224.87</v>
      </c>
      <c r="L30" s="64">
        <v>17.329999999999998</v>
      </c>
      <c r="M30" s="64">
        <v>69.44</v>
      </c>
      <c r="N30" s="64">
        <v>61</v>
      </c>
      <c r="O30" s="64">
        <v>0</v>
      </c>
      <c r="P30" s="64">
        <v>1.58</v>
      </c>
      <c r="Q30" s="64">
        <v>9.52</v>
      </c>
      <c r="R30" s="198"/>
      <c r="S30" s="198"/>
      <c r="T30" s="198"/>
      <c r="U30" s="198"/>
    </row>
    <row r="31" spans="1:21" s="12" customFormat="1" x14ac:dyDescent="0.25">
      <c r="A31" s="247" t="s">
        <v>2666</v>
      </c>
      <c r="B31" s="64">
        <v>55.84</v>
      </c>
      <c r="C31" s="64">
        <v>61.68</v>
      </c>
      <c r="D31" s="64">
        <v>77.010000000000005</v>
      </c>
      <c r="E31" s="64">
        <v>4.5</v>
      </c>
      <c r="F31" s="64">
        <v>6.87</v>
      </c>
      <c r="G31" s="64">
        <v>302.89</v>
      </c>
      <c r="H31" s="64">
        <v>97.94</v>
      </c>
      <c r="I31" s="64">
        <v>4.1399999999999997</v>
      </c>
      <c r="J31" s="64">
        <v>0.56000000000000005</v>
      </c>
      <c r="K31" s="64">
        <v>274.48</v>
      </c>
      <c r="L31" s="64">
        <v>17.71</v>
      </c>
      <c r="M31" s="64">
        <v>69.260000000000005</v>
      </c>
      <c r="N31" s="64">
        <v>61.1</v>
      </c>
      <c r="O31" s="64">
        <v>0</v>
      </c>
      <c r="P31" s="64">
        <v>1.59</v>
      </c>
      <c r="Q31" s="64">
        <v>9.5299999999999994</v>
      </c>
      <c r="R31" s="198"/>
      <c r="S31" s="198"/>
      <c r="T31" s="198"/>
      <c r="U31" s="198"/>
    </row>
    <row r="32" spans="1:21" s="12" customFormat="1" x14ac:dyDescent="0.25">
      <c r="A32" s="247" t="s">
        <v>2667</v>
      </c>
      <c r="B32" s="64">
        <v>57.02</v>
      </c>
      <c r="C32" s="64">
        <v>64.069999999999993</v>
      </c>
      <c r="D32" s="64">
        <v>79.2</v>
      </c>
      <c r="E32" s="64">
        <v>3.83</v>
      </c>
      <c r="F32" s="64">
        <v>7.14</v>
      </c>
      <c r="G32" s="64">
        <v>275.83</v>
      </c>
      <c r="H32" s="64">
        <v>91.3</v>
      </c>
      <c r="I32" s="64">
        <v>3.96</v>
      </c>
      <c r="J32" s="64">
        <v>0.49</v>
      </c>
      <c r="K32" s="64">
        <v>282.68</v>
      </c>
      <c r="L32" s="64">
        <v>17.760000000000002</v>
      </c>
      <c r="M32" s="64">
        <v>72.09</v>
      </c>
      <c r="N32" s="64">
        <v>62.9</v>
      </c>
      <c r="O32" s="64">
        <v>0</v>
      </c>
      <c r="P32" s="64">
        <v>1.58</v>
      </c>
      <c r="Q32" s="64">
        <v>9.56</v>
      </c>
      <c r="R32" s="198"/>
      <c r="S32" s="198"/>
      <c r="T32" s="198"/>
      <c r="U32" s="198"/>
    </row>
    <row r="33" spans="1:21" s="12" customFormat="1" x14ac:dyDescent="0.25">
      <c r="A33" s="247" t="s">
        <v>2668</v>
      </c>
      <c r="B33" s="64">
        <v>64.849999999999994</v>
      </c>
      <c r="C33" s="64">
        <v>61.33</v>
      </c>
      <c r="D33" s="64">
        <v>84.05</v>
      </c>
      <c r="E33" s="64">
        <v>3.85</v>
      </c>
      <c r="F33" s="64">
        <v>7.3</v>
      </c>
      <c r="G33" s="64">
        <v>186.95</v>
      </c>
      <c r="H33" s="64">
        <v>69.48</v>
      </c>
      <c r="I33" s="64">
        <v>3.77</v>
      </c>
      <c r="J33" s="64">
        <v>0.23</v>
      </c>
      <c r="K33" s="64">
        <v>314.81</v>
      </c>
      <c r="L33" s="64">
        <v>17.18</v>
      </c>
      <c r="M33" s="64">
        <v>74.94</v>
      </c>
      <c r="N33" s="64">
        <v>71.7</v>
      </c>
      <c r="O33" s="64">
        <v>0</v>
      </c>
      <c r="P33" s="64">
        <v>1.62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47" t="s">
        <v>2669</v>
      </c>
      <c r="B34" s="64">
        <v>74.53</v>
      </c>
      <c r="C34" s="64">
        <v>62.93</v>
      </c>
      <c r="D34" s="64">
        <v>92.65</v>
      </c>
      <c r="E34" s="64">
        <v>3.77</v>
      </c>
      <c r="F34" s="64">
        <v>7.13</v>
      </c>
      <c r="G34" s="64">
        <v>186.95</v>
      </c>
      <c r="H34" s="64">
        <v>69.48</v>
      </c>
      <c r="I34" s="64">
        <v>4.08</v>
      </c>
      <c r="J34" s="64">
        <v>0.46</v>
      </c>
      <c r="K34" s="64">
        <v>319.33999999999997</v>
      </c>
      <c r="L34" s="64">
        <v>17.37</v>
      </c>
      <c r="M34" s="64">
        <v>74.459999999999994</v>
      </c>
      <c r="N34" s="64">
        <v>91.7</v>
      </c>
      <c r="O34" s="64">
        <v>0</v>
      </c>
      <c r="P34" s="64">
        <v>1.67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47" t="s">
        <v>2670</v>
      </c>
      <c r="B35" s="64">
        <v>83.08</v>
      </c>
      <c r="C35" s="64">
        <v>66.5</v>
      </c>
      <c r="D35" s="64">
        <v>101.37</v>
      </c>
      <c r="E35" s="64">
        <v>3.76</v>
      </c>
      <c r="F35" s="64">
        <v>7.18</v>
      </c>
      <c r="G35" s="64">
        <v>186.95</v>
      </c>
      <c r="H35" s="64">
        <v>69.48</v>
      </c>
      <c r="I35" s="64">
        <v>3.9</v>
      </c>
      <c r="J35" s="64">
        <v>0.68</v>
      </c>
      <c r="K35" s="64">
        <v>8.66</v>
      </c>
      <c r="L35" s="64">
        <v>18.5</v>
      </c>
      <c r="M35" s="64">
        <v>70.94</v>
      </c>
      <c r="N35" s="64">
        <v>128.69999999999999</v>
      </c>
      <c r="O35" s="64">
        <v>0</v>
      </c>
      <c r="P35" s="64">
        <v>1.74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47" t="s">
        <v>2671</v>
      </c>
      <c r="B36" s="64">
        <v>87.18</v>
      </c>
      <c r="C36" s="64">
        <v>69.180000000000007</v>
      </c>
      <c r="D36" s="64">
        <v>106.05</v>
      </c>
      <c r="E36" s="64">
        <v>4.1100000000000003</v>
      </c>
      <c r="F36" s="64">
        <v>7.53</v>
      </c>
      <c r="G36" s="64">
        <v>193.26</v>
      </c>
      <c r="H36" s="64">
        <v>67.73</v>
      </c>
      <c r="I36" s="64">
        <v>4.03</v>
      </c>
      <c r="J36" s="64">
        <v>0.46</v>
      </c>
      <c r="K36" s="64">
        <v>352.3</v>
      </c>
      <c r="L36" s="64">
        <v>20.25</v>
      </c>
      <c r="M36" s="64">
        <v>65.88</v>
      </c>
      <c r="N36" s="64">
        <v>174.4</v>
      </c>
      <c r="O36" s="64">
        <v>0</v>
      </c>
      <c r="P36" s="64">
        <v>1.81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47" t="s">
        <v>2672</v>
      </c>
      <c r="B37" s="64">
        <v>93.07</v>
      </c>
      <c r="C37" s="64">
        <v>79.260000000000005</v>
      </c>
      <c r="D37" s="64">
        <v>116.04</v>
      </c>
      <c r="E37" s="64">
        <v>4.51</v>
      </c>
      <c r="F37" s="64">
        <v>7.56</v>
      </c>
      <c r="G37" s="64">
        <v>214.03</v>
      </c>
      <c r="H37" s="64">
        <v>62</v>
      </c>
      <c r="I37" s="64">
        <v>4.03</v>
      </c>
      <c r="J37" s="64">
        <v>0.68</v>
      </c>
      <c r="K37" s="64">
        <v>356.77</v>
      </c>
      <c r="L37" s="64">
        <v>22.51</v>
      </c>
      <c r="M37" s="64">
        <v>55.51</v>
      </c>
      <c r="N37" s="64">
        <v>219.9</v>
      </c>
      <c r="O37" s="64">
        <v>0</v>
      </c>
      <c r="P37" s="64">
        <v>1.63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47" t="s">
        <v>2673</v>
      </c>
      <c r="B38" s="64">
        <v>77.12</v>
      </c>
      <c r="C38" s="64">
        <v>95.49</v>
      </c>
      <c r="D38" s="64">
        <v>111.73</v>
      </c>
      <c r="E38" s="64">
        <v>5.91</v>
      </c>
      <c r="F38" s="64">
        <v>10.79</v>
      </c>
      <c r="G38" s="64">
        <v>214.03</v>
      </c>
      <c r="H38" s="64">
        <v>62</v>
      </c>
      <c r="I38" s="64">
        <v>4.01</v>
      </c>
      <c r="J38" s="64">
        <v>0.83</v>
      </c>
      <c r="K38" s="64">
        <v>1.79</v>
      </c>
      <c r="L38" s="64">
        <v>24.44</v>
      </c>
      <c r="M38" s="64">
        <v>42.93</v>
      </c>
      <c r="N38" s="64">
        <v>274.8</v>
      </c>
      <c r="O38" s="64">
        <v>0</v>
      </c>
      <c r="P38" s="64">
        <v>1.61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47" t="s">
        <v>2674</v>
      </c>
      <c r="B39" s="64">
        <v>64.010000000000005</v>
      </c>
      <c r="C39" s="64">
        <v>91.08</v>
      </c>
      <c r="D39" s="64">
        <v>98.92</v>
      </c>
      <c r="E39" s="64">
        <v>7.19</v>
      </c>
      <c r="F39" s="64">
        <v>12.87</v>
      </c>
      <c r="G39" s="64">
        <v>214.03</v>
      </c>
      <c r="H39" s="64">
        <v>62</v>
      </c>
      <c r="I39" s="64">
        <v>3.8</v>
      </c>
      <c r="J39" s="64">
        <v>0.45</v>
      </c>
      <c r="K39" s="64">
        <v>33.01</v>
      </c>
      <c r="L39" s="64">
        <v>25.99</v>
      </c>
      <c r="M39" s="64">
        <v>35.71</v>
      </c>
      <c r="N39" s="64">
        <v>323.89999999999998</v>
      </c>
      <c r="O39" s="64">
        <v>0</v>
      </c>
      <c r="P39" s="64">
        <v>1.44</v>
      </c>
      <c r="Q39" s="64">
        <v>9.6999999999999993</v>
      </c>
      <c r="R39" s="198"/>
      <c r="S39" s="198"/>
      <c r="T39" s="198"/>
      <c r="U39" s="198"/>
    </row>
    <row r="40" spans="1:21" s="12" customFormat="1" x14ac:dyDescent="0.25">
      <c r="A40" s="247" t="s">
        <v>2675</v>
      </c>
      <c r="B40" s="64">
        <v>57.85</v>
      </c>
      <c r="C40" s="64">
        <v>82.09</v>
      </c>
      <c r="D40" s="64">
        <v>89.28</v>
      </c>
      <c r="E40" s="64">
        <v>6.38</v>
      </c>
      <c r="F40" s="64">
        <v>15.74</v>
      </c>
      <c r="G40" s="64">
        <v>190.11</v>
      </c>
      <c r="H40" s="64">
        <v>58.04</v>
      </c>
      <c r="I40" s="64">
        <v>4.05</v>
      </c>
      <c r="J40" s="64">
        <v>0.62</v>
      </c>
      <c r="K40" s="64">
        <v>54</v>
      </c>
      <c r="L40" s="64">
        <v>26.74</v>
      </c>
      <c r="M40" s="64">
        <v>35.520000000000003</v>
      </c>
      <c r="N40" s="64">
        <v>371.5</v>
      </c>
      <c r="O40" s="64">
        <v>0</v>
      </c>
      <c r="P40" s="64">
        <v>1.47</v>
      </c>
      <c r="Q40" s="64">
        <v>9.6999999999999993</v>
      </c>
      <c r="R40" s="198"/>
      <c r="S40" s="198"/>
      <c r="T40" s="198"/>
      <c r="U40" s="198"/>
    </row>
    <row r="41" spans="1:21" s="12" customFormat="1" x14ac:dyDescent="0.25">
      <c r="A41" s="247" t="s">
        <v>2676</v>
      </c>
      <c r="B41" s="64">
        <v>58.81</v>
      </c>
      <c r="C41" s="64">
        <v>70.81</v>
      </c>
      <c r="D41" s="64">
        <v>84.16</v>
      </c>
      <c r="E41" s="64">
        <v>5.88</v>
      </c>
      <c r="F41" s="64">
        <v>16.350000000000001</v>
      </c>
      <c r="G41" s="64">
        <v>116.18</v>
      </c>
      <c r="H41" s="64">
        <v>45.05</v>
      </c>
      <c r="I41" s="64">
        <v>4.13</v>
      </c>
      <c r="J41" s="64">
        <v>1.21</v>
      </c>
      <c r="K41" s="64">
        <v>104.31</v>
      </c>
      <c r="L41" s="64">
        <v>25.68</v>
      </c>
      <c r="M41" s="64">
        <v>36.35</v>
      </c>
      <c r="N41" s="64">
        <v>422.3</v>
      </c>
      <c r="O41" s="64">
        <v>0</v>
      </c>
      <c r="P41" s="64">
        <v>1.42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47" t="s">
        <v>2677</v>
      </c>
      <c r="B42" s="64">
        <v>47.8</v>
      </c>
      <c r="C42" s="64">
        <v>74.23</v>
      </c>
      <c r="D42" s="64">
        <v>77.11</v>
      </c>
      <c r="E42" s="64">
        <v>8.48</v>
      </c>
      <c r="F42" s="64">
        <v>21.33</v>
      </c>
      <c r="G42" s="64">
        <v>116.18</v>
      </c>
      <c r="H42" s="64">
        <v>45.05</v>
      </c>
      <c r="I42" s="64">
        <v>4.01</v>
      </c>
      <c r="J42" s="64">
        <v>0.72</v>
      </c>
      <c r="K42" s="64">
        <v>74.41</v>
      </c>
      <c r="L42" s="64">
        <v>26.98</v>
      </c>
      <c r="M42" s="64">
        <v>32.74</v>
      </c>
      <c r="N42" s="64">
        <v>464.2</v>
      </c>
      <c r="O42" s="64">
        <v>0</v>
      </c>
      <c r="P42" s="64">
        <v>1.3</v>
      </c>
      <c r="Q42" s="64">
        <v>9.6999999999999993</v>
      </c>
      <c r="R42" s="198"/>
      <c r="S42" s="198"/>
      <c r="T42" s="198"/>
      <c r="U42" s="198"/>
    </row>
    <row r="43" spans="1:21" s="12" customFormat="1" x14ac:dyDescent="0.25">
      <c r="A43" s="247" t="s">
        <v>2678</v>
      </c>
      <c r="B43" s="64">
        <v>54.51</v>
      </c>
      <c r="C43" s="64">
        <v>80.53</v>
      </c>
      <c r="D43" s="64">
        <v>85.78</v>
      </c>
      <c r="E43" s="64">
        <v>7.78</v>
      </c>
      <c r="F43" s="64">
        <v>15.17</v>
      </c>
      <c r="G43" s="64">
        <v>116.18</v>
      </c>
      <c r="H43" s="64">
        <v>45.05</v>
      </c>
      <c r="I43" s="64">
        <v>3.79</v>
      </c>
      <c r="J43" s="64">
        <v>0.76</v>
      </c>
      <c r="K43" s="64">
        <v>141.61000000000001</v>
      </c>
      <c r="L43" s="64">
        <v>27.84</v>
      </c>
      <c r="M43" s="64">
        <v>31.38</v>
      </c>
      <c r="N43" s="64">
        <v>508.9</v>
      </c>
      <c r="O43" s="64">
        <v>0</v>
      </c>
      <c r="P43" s="64">
        <v>1.42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47" t="s">
        <v>2679</v>
      </c>
      <c r="B44" s="64">
        <v>58.26</v>
      </c>
      <c r="C44" s="64">
        <v>75.900000000000006</v>
      </c>
      <c r="D44" s="64">
        <v>86.37</v>
      </c>
      <c r="E44" s="64">
        <v>5.39</v>
      </c>
      <c r="F44" s="64">
        <v>10.11</v>
      </c>
      <c r="G44" s="64">
        <v>114.06</v>
      </c>
      <c r="H44" s="64">
        <v>45.08</v>
      </c>
      <c r="I44" s="64">
        <v>4.07</v>
      </c>
      <c r="J44" s="64">
        <v>1.92</v>
      </c>
      <c r="K44" s="64">
        <v>152.93</v>
      </c>
      <c r="L44" s="64">
        <v>27.51</v>
      </c>
      <c r="M44" s="64">
        <v>30.94</v>
      </c>
      <c r="N44" s="64">
        <v>572.4</v>
      </c>
      <c r="O44" s="64">
        <v>0</v>
      </c>
      <c r="P44" s="64">
        <v>1.49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47" t="s">
        <v>2680</v>
      </c>
      <c r="B45" s="64">
        <v>53.65</v>
      </c>
      <c r="C45" s="64">
        <v>76.14</v>
      </c>
      <c r="D45" s="64">
        <v>82.81</v>
      </c>
      <c r="E45" s="64">
        <v>4.2300000000000004</v>
      </c>
      <c r="F45" s="64">
        <v>8.85</v>
      </c>
      <c r="G45" s="64">
        <v>107.09</v>
      </c>
      <c r="H45" s="64">
        <v>45.16</v>
      </c>
      <c r="I45" s="64">
        <v>3.91</v>
      </c>
      <c r="J45" s="64">
        <v>1.65</v>
      </c>
      <c r="K45" s="64">
        <v>155.32</v>
      </c>
      <c r="L45" s="64">
        <v>27.32</v>
      </c>
      <c r="M45" s="64">
        <v>33.36</v>
      </c>
      <c r="N45" s="64">
        <v>626.70000000000005</v>
      </c>
      <c r="O45" s="64">
        <v>0</v>
      </c>
      <c r="P45" s="64">
        <v>1.46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47" t="s">
        <v>2681</v>
      </c>
      <c r="B46" s="64">
        <v>47.03</v>
      </c>
      <c r="C46" s="64">
        <v>82.02</v>
      </c>
      <c r="D46" s="64">
        <v>80.569999999999993</v>
      </c>
      <c r="E46" s="64">
        <v>4.0999999999999996</v>
      </c>
      <c r="F46" s="64">
        <v>9.19</v>
      </c>
      <c r="G46" s="64">
        <v>107.09</v>
      </c>
      <c r="H46" s="64">
        <v>45.16</v>
      </c>
      <c r="I46" s="64">
        <v>4.01</v>
      </c>
      <c r="J46" s="64">
        <v>1.53</v>
      </c>
      <c r="K46" s="64">
        <v>158.69</v>
      </c>
      <c r="L46" s="64">
        <v>27.91</v>
      </c>
      <c r="M46" s="64">
        <v>33.71</v>
      </c>
      <c r="N46" s="64">
        <v>686.4</v>
      </c>
      <c r="O46" s="64">
        <v>0</v>
      </c>
      <c r="P46" s="64">
        <v>1.41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47" t="s">
        <v>2682</v>
      </c>
      <c r="B47" s="64">
        <v>39.14</v>
      </c>
      <c r="C47" s="64">
        <v>82.1</v>
      </c>
      <c r="D47" s="64">
        <v>74.290000000000006</v>
      </c>
      <c r="E47" s="64">
        <v>4.33</v>
      </c>
      <c r="F47" s="64">
        <v>9.32</v>
      </c>
      <c r="G47" s="64">
        <v>107.09</v>
      </c>
      <c r="H47" s="64">
        <v>45.16</v>
      </c>
      <c r="I47" s="64">
        <v>3.96</v>
      </c>
      <c r="J47" s="64">
        <v>0.68</v>
      </c>
      <c r="K47" s="64">
        <v>170.41</v>
      </c>
      <c r="L47" s="64">
        <v>28.48</v>
      </c>
      <c r="M47" s="64">
        <v>37.340000000000003</v>
      </c>
      <c r="N47" s="64">
        <v>730.7</v>
      </c>
      <c r="O47" s="64">
        <v>0</v>
      </c>
      <c r="P47" s="64">
        <v>1.34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47" t="s">
        <v>2683</v>
      </c>
      <c r="B48" s="64">
        <v>30.31</v>
      </c>
      <c r="C48" s="64">
        <v>83.33</v>
      </c>
      <c r="D48" s="64">
        <v>67.84</v>
      </c>
      <c r="E48" s="64">
        <v>4.1900000000000004</v>
      </c>
      <c r="F48" s="64">
        <v>10.73</v>
      </c>
      <c r="G48" s="64">
        <v>104.05</v>
      </c>
      <c r="H48" s="64">
        <v>43.43</v>
      </c>
      <c r="I48" s="64">
        <v>4.09</v>
      </c>
      <c r="J48" s="64">
        <v>1.0900000000000001</v>
      </c>
      <c r="K48" s="64">
        <v>166.6</v>
      </c>
      <c r="L48" s="64">
        <v>28.8</v>
      </c>
      <c r="M48" s="64">
        <v>37.92</v>
      </c>
      <c r="N48" s="64">
        <v>779.2</v>
      </c>
      <c r="O48" s="64">
        <v>0</v>
      </c>
      <c r="P48" s="64">
        <v>1.28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47" t="s">
        <v>2684</v>
      </c>
      <c r="B49" s="64">
        <v>23.05</v>
      </c>
      <c r="C49" s="64">
        <v>82.66</v>
      </c>
      <c r="D49" s="64">
        <v>61.67</v>
      </c>
      <c r="E49" s="64">
        <v>4.1399999999999997</v>
      </c>
      <c r="F49" s="64">
        <v>12.77</v>
      </c>
      <c r="G49" s="64">
        <v>94.07</v>
      </c>
      <c r="H49" s="64">
        <v>37.72</v>
      </c>
      <c r="I49" s="64">
        <v>3.99</v>
      </c>
      <c r="J49" s="64">
        <v>0.71</v>
      </c>
      <c r="K49" s="64">
        <v>159.19</v>
      </c>
      <c r="L49" s="64">
        <v>29.24</v>
      </c>
      <c r="M49" s="64">
        <v>36.520000000000003</v>
      </c>
      <c r="N49" s="64">
        <v>803</v>
      </c>
      <c r="O49" s="64">
        <v>0</v>
      </c>
      <c r="P49" s="64">
        <v>1.2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47" t="s">
        <v>2685</v>
      </c>
      <c r="B50" s="64">
        <v>15.38</v>
      </c>
      <c r="C50" s="64">
        <v>80.010000000000005</v>
      </c>
      <c r="D50" s="64">
        <v>54.14</v>
      </c>
      <c r="E50" s="64">
        <v>4.76</v>
      </c>
      <c r="F50" s="64">
        <v>13.34</v>
      </c>
      <c r="G50" s="64">
        <v>94.07</v>
      </c>
      <c r="H50" s="64">
        <v>37.72</v>
      </c>
      <c r="I50" s="64">
        <v>4.1100000000000003</v>
      </c>
      <c r="J50" s="64">
        <v>0.59</v>
      </c>
      <c r="K50" s="64">
        <v>209.66</v>
      </c>
      <c r="L50" s="64">
        <v>29.84</v>
      </c>
      <c r="M50" s="64">
        <v>31</v>
      </c>
      <c r="N50" s="64">
        <v>819.4</v>
      </c>
      <c r="O50" s="64">
        <v>0</v>
      </c>
      <c r="P50" s="64">
        <v>1.1299999999999999</v>
      </c>
      <c r="Q50" s="64">
        <v>9.5299999999999994</v>
      </c>
      <c r="R50" s="198"/>
      <c r="S50" s="198"/>
      <c r="T50" s="198"/>
      <c r="U50" s="198"/>
    </row>
    <row r="51" spans="1:21" s="12" customFormat="1" x14ac:dyDescent="0.25">
      <c r="A51" s="247" t="s">
        <v>2686</v>
      </c>
      <c r="B51" s="64">
        <v>13.03</v>
      </c>
      <c r="C51" s="64">
        <v>83.93</v>
      </c>
      <c r="D51" s="64">
        <v>54.3</v>
      </c>
      <c r="E51" s="64">
        <v>4.26</v>
      </c>
      <c r="F51" s="64">
        <v>9.92</v>
      </c>
      <c r="G51" s="64">
        <v>94.07</v>
      </c>
      <c r="H51" s="64">
        <v>37.72</v>
      </c>
      <c r="I51" s="64">
        <v>4.04</v>
      </c>
      <c r="J51" s="64">
        <v>0.64</v>
      </c>
      <c r="K51" s="64">
        <v>174.53</v>
      </c>
      <c r="L51" s="64">
        <v>30.95</v>
      </c>
      <c r="M51" s="64">
        <v>25.82</v>
      </c>
      <c r="N51" s="64">
        <v>829.1</v>
      </c>
      <c r="O51" s="64">
        <v>0</v>
      </c>
      <c r="P51" s="64">
        <v>1.1200000000000001</v>
      </c>
      <c r="Q51" s="64">
        <v>9.52</v>
      </c>
      <c r="R51" s="198"/>
      <c r="S51" s="198"/>
      <c r="T51" s="198"/>
      <c r="U51" s="198"/>
    </row>
    <row r="52" spans="1:21" s="12" customFormat="1" x14ac:dyDescent="0.25">
      <c r="A52" s="247" t="s">
        <v>2687</v>
      </c>
      <c r="B52" s="64">
        <v>9.4499999999999993</v>
      </c>
      <c r="C52" s="64">
        <v>85.88</v>
      </c>
      <c r="D52" s="64">
        <v>52.45</v>
      </c>
      <c r="E52" s="64">
        <v>3.39</v>
      </c>
      <c r="F52" s="64">
        <v>9.1</v>
      </c>
      <c r="G52" s="64">
        <v>86.42</v>
      </c>
      <c r="H52" s="64">
        <v>35.36</v>
      </c>
      <c r="I52" s="64">
        <v>4.16</v>
      </c>
      <c r="J52" s="64">
        <v>0.64</v>
      </c>
      <c r="K52" s="64">
        <v>254.68</v>
      </c>
      <c r="L52" s="64">
        <v>31.35</v>
      </c>
      <c r="M52" s="64">
        <v>23.11</v>
      </c>
      <c r="N52" s="64">
        <v>827.3</v>
      </c>
      <c r="O52" s="64">
        <v>0</v>
      </c>
      <c r="P52" s="64">
        <v>1.07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47" t="s">
        <v>2688</v>
      </c>
      <c r="B53" s="64">
        <v>6.26</v>
      </c>
      <c r="C53" s="64">
        <v>84.46</v>
      </c>
      <c r="D53" s="64">
        <v>49.15</v>
      </c>
      <c r="E53" s="64">
        <v>3.21</v>
      </c>
      <c r="F53" s="64">
        <v>11.28</v>
      </c>
      <c r="G53" s="64">
        <v>62.79</v>
      </c>
      <c r="H53" s="64">
        <v>27.62</v>
      </c>
      <c r="I53" s="64">
        <v>4.21</v>
      </c>
      <c r="J53" s="64">
        <v>0.87</v>
      </c>
      <c r="K53" s="64">
        <v>204.19</v>
      </c>
      <c r="L53" s="64">
        <v>31.68</v>
      </c>
      <c r="M53" s="64">
        <v>20.86</v>
      </c>
      <c r="N53" s="64">
        <v>844.8</v>
      </c>
      <c r="O53" s="64">
        <v>0</v>
      </c>
      <c r="P53" s="64">
        <v>1.01</v>
      </c>
      <c r="Q53" s="64">
        <v>9.3800000000000008</v>
      </c>
      <c r="R53" s="198"/>
      <c r="S53" s="198"/>
      <c r="T53" s="198"/>
      <c r="U53" s="198"/>
    </row>
    <row r="54" spans="1:21" s="12" customFormat="1" x14ac:dyDescent="0.25">
      <c r="A54" s="247" t="s">
        <v>2689</v>
      </c>
      <c r="B54" s="64">
        <v>3.82</v>
      </c>
      <c r="C54" s="64">
        <v>74.25</v>
      </c>
      <c r="D54" s="64">
        <v>41.86</v>
      </c>
      <c r="E54" s="64">
        <v>4.0599999999999996</v>
      </c>
      <c r="F54" s="64">
        <v>12.91</v>
      </c>
      <c r="G54" s="64">
        <v>62.79</v>
      </c>
      <c r="H54" s="64">
        <v>27.62</v>
      </c>
      <c r="I54" s="64">
        <v>4.08</v>
      </c>
      <c r="J54" s="64">
        <v>0.56999999999999995</v>
      </c>
      <c r="K54" s="64">
        <v>271.45</v>
      </c>
      <c r="L54" s="64">
        <v>31.58</v>
      </c>
      <c r="M54" s="64">
        <v>22.34</v>
      </c>
      <c r="N54" s="64">
        <v>851.6</v>
      </c>
      <c r="O54" s="64">
        <v>0</v>
      </c>
      <c r="P54" s="64">
        <v>0.92</v>
      </c>
      <c r="Q54" s="64">
        <v>9.2899999999999991</v>
      </c>
      <c r="R54" s="198"/>
      <c r="S54" s="198"/>
      <c r="T54" s="198"/>
      <c r="U54" s="198"/>
    </row>
    <row r="55" spans="1:21" s="12" customFormat="1" x14ac:dyDescent="0.25">
      <c r="A55" s="247" t="s">
        <v>2690</v>
      </c>
      <c r="B55" s="64">
        <v>3.19</v>
      </c>
      <c r="C55" s="64">
        <v>76.099999999999994</v>
      </c>
      <c r="D55" s="64">
        <v>42.32</v>
      </c>
      <c r="E55" s="64">
        <v>3.57</v>
      </c>
      <c r="F55" s="64">
        <v>11.38</v>
      </c>
      <c r="G55" s="64">
        <v>62.79</v>
      </c>
      <c r="H55" s="64">
        <v>27.62</v>
      </c>
      <c r="I55" s="64">
        <v>4.03</v>
      </c>
      <c r="J55" s="64">
        <v>0.67</v>
      </c>
      <c r="K55" s="64">
        <v>236.36</v>
      </c>
      <c r="L55" s="64">
        <v>31.64</v>
      </c>
      <c r="M55" s="64">
        <v>18.510000000000002</v>
      </c>
      <c r="N55" s="64">
        <v>848.2</v>
      </c>
      <c r="O55" s="64">
        <v>0</v>
      </c>
      <c r="P55" s="64">
        <v>0.91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47" t="s">
        <v>2691</v>
      </c>
      <c r="B56" s="64">
        <v>2.71</v>
      </c>
      <c r="C56" s="64">
        <v>63.13</v>
      </c>
      <c r="D56" s="64">
        <v>35.159999999999997</v>
      </c>
      <c r="E56" s="64">
        <v>5.37</v>
      </c>
      <c r="F56" s="64">
        <v>20.12</v>
      </c>
      <c r="G56" s="64">
        <v>60.29</v>
      </c>
      <c r="H56" s="64">
        <v>26.6</v>
      </c>
      <c r="I56" s="64">
        <v>4.1100000000000003</v>
      </c>
      <c r="J56" s="64">
        <v>0.96</v>
      </c>
      <c r="K56" s="64">
        <v>182.12</v>
      </c>
      <c r="L56" s="64">
        <v>31</v>
      </c>
      <c r="M56" s="64">
        <v>18.2</v>
      </c>
      <c r="N56" s="64">
        <v>802.6</v>
      </c>
      <c r="O56" s="64">
        <v>0</v>
      </c>
      <c r="P56" s="64">
        <v>0.74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47" t="s">
        <v>2692</v>
      </c>
      <c r="B57" s="64">
        <v>3.81</v>
      </c>
      <c r="C57" s="64">
        <v>65.34</v>
      </c>
      <c r="D57" s="64">
        <v>37.200000000000003</v>
      </c>
      <c r="E57" s="64">
        <v>5.04</v>
      </c>
      <c r="F57" s="64">
        <v>15.76</v>
      </c>
      <c r="G57" s="64">
        <v>52.08</v>
      </c>
      <c r="H57" s="64">
        <v>23.26</v>
      </c>
      <c r="I57" s="64">
        <v>3.95</v>
      </c>
      <c r="J57" s="64">
        <v>0.64</v>
      </c>
      <c r="K57" s="64">
        <v>284.10000000000002</v>
      </c>
      <c r="L57" s="64">
        <v>32.979999999999997</v>
      </c>
      <c r="M57" s="64">
        <v>15.41</v>
      </c>
      <c r="N57" s="64">
        <v>779</v>
      </c>
      <c r="O57" s="64">
        <v>0</v>
      </c>
      <c r="P57" s="64">
        <v>0.78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47" t="s">
        <v>2693</v>
      </c>
      <c r="B58" s="64">
        <v>3.1</v>
      </c>
      <c r="C58" s="64">
        <v>56.25</v>
      </c>
      <c r="D58" s="64">
        <v>31.87</v>
      </c>
      <c r="E58" s="64">
        <v>6.39</v>
      </c>
      <c r="F58" s="64">
        <v>22.64</v>
      </c>
      <c r="G58" s="64">
        <v>52.08</v>
      </c>
      <c r="H58" s="64">
        <v>23.26</v>
      </c>
      <c r="I58" s="64">
        <v>4.1100000000000003</v>
      </c>
      <c r="J58" s="64">
        <v>1.39</v>
      </c>
      <c r="K58" s="64">
        <v>161.55000000000001</v>
      </c>
      <c r="L58" s="64">
        <v>32.22</v>
      </c>
      <c r="M58" s="64">
        <v>15.84</v>
      </c>
      <c r="N58" s="64">
        <v>776.3</v>
      </c>
      <c r="O58" s="64">
        <v>0</v>
      </c>
      <c r="P58" s="64">
        <v>0.68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47" t="s">
        <v>2694</v>
      </c>
      <c r="B59" s="64">
        <v>2.86</v>
      </c>
      <c r="C59" s="64">
        <v>57.4</v>
      </c>
      <c r="D59" s="64">
        <v>32.28</v>
      </c>
      <c r="E59" s="64">
        <v>7.88</v>
      </c>
      <c r="F59" s="64">
        <v>26.02</v>
      </c>
      <c r="G59" s="64">
        <v>52.08</v>
      </c>
      <c r="H59" s="64">
        <v>23.26</v>
      </c>
      <c r="I59" s="64">
        <v>3.86</v>
      </c>
      <c r="J59" s="64">
        <v>0.86</v>
      </c>
      <c r="K59" s="64">
        <v>150.94999999999999</v>
      </c>
      <c r="L59" s="64">
        <v>31.56</v>
      </c>
      <c r="M59" s="64">
        <v>18.899999999999999</v>
      </c>
      <c r="N59" s="64">
        <v>762</v>
      </c>
      <c r="O59" s="64">
        <v>0</v>
      </c>
      <c r="P59" s="64">
        <v>0.63</v>
      </c>
      <c r="Q59" s="64">
        <v>9.08</v>
      </c>
      <c r="R59" s="198"/>
      <c r="S59" s="198"/>
      <c r="T59" s="198"/>
      <c r="U59" s="198"/>
    </row>
    <row r="60" spans="1:21" s="12" customFormat="1" x14ac:dyDescent="0.25">
      <c r="A60" s="247" t="s">
        <v>2695</v>
      </c>
      <c r="B60" s="64">
        <v>2.95</v>
      </c>
      <c r="C60" s="64">
        <v>56.96</v>
      </c>
      <c r="D60" s="64">
        <v>32.119999999999997</v>
      </c>
      <c r="E60" s="64">
        <v>9.82</v>
      </c>
      <c r="F60" s="64">
        <v>29.88</v>
      </c>
      <c r="G60" s="64">
        <v>51.16</v>
      </c>
      <c r="H60" s="64">
        <v>23.28</v>
      </c>
      <c r="I60" s="64">
        <v>4</v>
      </c>
      <c r="J60" s="64">
        <v>0.54</v>
      </c>
      <c r="K60" s="64">
        <v>179.08</v>
      </c>
      <c r="L60" s="64">
        <v>31.95</v>
      </c>
      <c r="M60" s="64">
        <v>17.16</v>
      </c>
      <c r="N60" s="64">
        <v>764.6</v>
      </c>
      <c r="O60" s="64">
        <v>0</v>
      </c>
      <c r="P60" s="64">
        <v>0.61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47" t="s">
        <v>2696</v>
      </c>
      <c r="B61" s="64">
        <v>9.31</v>
      </c>
      <c r="C61" s="64">
        <v>81.47</v>
      </c>
      <c r="D61" s="64">
        <v>50.03</v>
      </c>
      <c r="E61" s="64">
        <v>14.05</v>
      </c>
      <c r="F61" s="64">
        <v>24.07</v>
      </c>
      <c r="G61" s="64">
        <v>48.14</v>
      </c>
      <c r="H61" s="64">
        <v>23.34</v>
      </c>
      <c r="I61" s="64">
        <v>3.97</v>
      </c>
      <c r="J61" s="64">
        <v>0.85</v>
      </c>
      <c r="K61" s="64">
        <v>302.82</v>
      </c>
      <c r="L61" s="64">
        <v>34.18</v>
      </c>
      <c r="M61" s="64">
        <v>16.5</v>
      </c>
      <c r="N61" s="64">
        <v>760.9</v>
      </c>
      <c r="O61" s="64">
        <v>0</v>
      </c>
      <c r="P61" s="64">
        <v>0.69</v>
      </c>
      <c r="Q61" s="64">
        <v>9.0399999999999991</v>
      </c>
      <c r="R61" s="198"/>
      <c r="S61" s="198"/>
      <c r="T61" s="198"/>
      <c r="U61" s="198"/>
    </row>
    <row r="62" spans="1:21" s="12" customFormat="1" x14ac:dyDescent="0.25">
      <c r="A62" s="247" t="s">
        <v>2697</v>
      </c>
      <c r="B62" s="64">
        <v>4.16</v>
      </c>
      <c r="C62" s="64">
        <v>67.599999999999994</v>
      </c>
      <c r="D62" s="64">
        <v>38.65</v>
      </c>
      <c r="E62" s="64">
        <v>7.47</v>
      </c>
      <c r="F62" s="64">
        <v>22.28</v>
      </c>
      <c r="G62" s="64">
        <v>48.14</v>
      </c>
      <c r="H62" s="64">
        <v>23.34</v>
      </c>
      <c r="I62" s="64">
        <v>4.16</v>
      </c>
      <c r="J62" s="64">
        <v>0.31</v>
      </c>
      <c r="K62" s="64">
        <v>248.65</v>
      </c>
      <c r="L62" s="64">
        <v>34.9</v>
      </c>
      <c r="M62" s="64">
        <v>15.29</v>
      </c>
      <c r="N62" s="64">
        <v>753.8</v>
      </c>
      <c r="O62" s="64">
        <v>0</v>
      </c>
      <c r="P62" s="64">
        <v>0.75</v>
      </c>
      <c r="Q62" s="64">
        <v>9.0500000000000007</v>
      </c>
      <c r="R62" s="198"/>
      <c r="S62" s="198"/>
      <c r="T62" s="198"/>
      <c r="U62" s="198"/>
    </row>
    <row r="63" spans="1:21" s="12" customFormat="1" x14ac:dyDescent="0.25">
      <c r="A63" s="247" t="s">
        <v>2698</v>
      </c>
      <c r="B63" s="64">
        <v>3.42</v>
      </c>
      <c r="C63" s="64">
        <v>60.51</v>
      </c>
      <c r="D63" s="64">
        <v>34.36</v>
      </c>
      <c r="E63" s="64">
        <v>6.7</v>
      </c>
      <c r="F63" s="64">
        <v>22.2</v>
      </c>
      <c r="G63" s="64">
        <v>48.14</v>
      </c>
      <c r="H63" s="64">
        <v>23.34</v>
      </c>
      <c r="I63" s="64">
        <v>4.01</v>
      </c>
      <c r="J63" s="64">
        <v>0.67</v>
      </c>
      <c r="K63" s="64">
        <v>173.07</v>
      </c>
      <c r="L63" s="64">
        <v>33.65</v>
      </c>
      <c r="M63" s="64">
        <v>16.190000000000001</v>
      </c>
      <c r="N63" s="64">
        <v>676</v>
      </c>
      <c r="O63" s="64">
        <v>0</v>
      </c>
      <c r="P63" s="64">
        <v>0.7</v>
      </c>
      <c r="Q63" s="64">
        <v>9.0299999999999994</v>
      </c>
      <c r="R63" s="198"/>
      <c r="S63" s="198"/>
      <c r="T63" s="198"/>
      <c r="U63" s="198"/>
    </row>
    <row r="64" spans="1:21" s="12" customFormat="1" x14ac:dyDescent="0.25">
      <c r="A64" s="247" t="s">
        <v>2699</v>
      </c>
      <c r="B64" s="64">
        <v>3.3</v>
      </c>
      <c r="C64" s="64">
        <v>60.05</v>
      </c>
      <c r="D64" s="64">
        <v>34.020000000000003</v>
      </c>
      <c r="E64" s="64">
        <v>11.63</v>
      </c>
      <c r="F64" s="64">
        <v>24.48</v>
      </c>
      <c r="G64" s="64">
        <v>54.76</v>
      </c>
      <c r="H64" s="64">
        <v>24.94</v>
      </c>
      <c r="I64" s="64">
        <v>4.1500000000000004</v>
      </c>
      <c r="J64" s="64">
        <v>0.25</v>
      </c>
      <c r="K64" s="64">
        <v>236.62</v>
      </c>
      <c r="L64" s="64">
        <v>33.24</v>
      </c>
      <c r="M64" s="64">
        <v>16.53</v>
      </c>
      <c r="N64" s="64">
        <v>638.20000000000005</v>
      </c>
      <c r="O64" s="64">
        <v>0</v>
      </c>
      <c r="P64" s="64">
        <v>0.69</v>
      </c>
      <c r="Q64" s="64">
        <v>8.99</v>
      </c>
      <c r="R64" s="198"/>
      <c r="S64" s="198"/>
      <c r="T64" s="198"/>
      <c r="U64" s="198"/>
    </row>
    <row r="65" spans="1:21" s="12" customFormat="1" x14ac:dyDescent="0.25">
      <c r="A65" s="247" t="s">
        <v>2700</v>
      </c>
      <c r="B65" s="64">
        <v>3.89</v>
      </c>
      <c r="C65" s="64">
        <v>58.99</v>
      </c>
      <c r="D65" s="64">
        <v>33.94</v>
      </c>
      <c r="E65" s="64">
        <v>9.1199999999999992</v>
      </c>
      <c r="F65" s="64">
        <v>29.87</v>
      </c>
      <c r="G65" s="64">
        <v>76.510000000000005</v>
      </c>
      <c r="H65" s="64">
        <v>30.2</v>
      </c>
      <c r="I65" s="64">
        <v>3.95</v>
      </c>
      <c r="J65" s="64">
        <v>1.21</v>
      </c>
      <c r="K65" s="64">
        <v>337.75</v>
      </c>
      <c r="L65" s="64">
        <v>35.01</v>
      </c>
      <c r="M65" s="64">
        <v>15.27</v>
      </c>
      <c r="N65" s="64">
        <v>463.9</v>
      </c>
      <c r="O65" s="64">
        <v>0</v>
      </c>
      <c r="P65" s="64">
        <v>0.69</v>
      </c>
      <c r="Q65" s="64">
        <v>8.9499999999999993</v>
      </c>
      <c r="R65" s="198"/>
      <c r="S65" s="198"/>
      <c r="T65" s="198"/>
      <c r="U65" s="198"/>
    </row>
    <row r="66" spans="1:21" s="12" customFormat="1" x14ac:dyDescent="0.25">
      <c r="A66" s="247" t="s">
        <v>2701</v>
      </c>
      <c r="B66" s="64">
        <v>7.14</v>
      </c>
      <c r="C66" s="64">
        <v>69.459999999999994</v>
      </c>
      <c r="D66" s="64">
        <v>42.01</v>
      </c>
      <c r="E66" s="64">
        <v>14.46</v>
      </c>
      <c r="F66" s="64">
        <v>28.33</v>
      </c>
      <c r="G66" s="64">
        <v>76.510000000000005</v>
      </c>
      <c r="H66" s="64">
        <v>30.2</v>
      </c>
      <c r="I66" s="64">
        <v>4.17</v>
      </c>
      <c r="J66" s="64">
        <v>1.3</v>
      </c>
      <c r="K66" s="64">
        <v>346.54</v>
      </c>
      <c r="L66" s="64">
        <v>34.72</v>
      </c>
      <c r="M66" s="64">
        <v>14.58</v>
      </c>
      <c r="N66" s="64">
        <v>613.79999999999995</v>
      </c>
      <c r="O66" s="64">
        <v>0</v>
      </c>
      <c r="P66" s="64">
        <v>0.67</v>
      </c>
      <c r="Q66" s="64">
        <v>8.93</v>
      </c>
      <c r="R66" s="198"/>
      <c r="S66" s="198"/>
      <c r="T66" s="198"/>
      <c r="U66" s="198"/>
    </row>
    <row r="67" spans="1:21" s="12" customFormat="1" x14ac:dyDescent="0.25">
      <c r="A67" s="247" t="s">
        <v>2702</v>
      </c>
      <c r="B67" s="64">
        <v>8.4499999999999993</v>
      </c>
      <c r="C67" s="64">
        <v>63.23</v>
      </c>
      <c r="D67" s="64">
        <v>39.81</v>
      </c>
      <c r="E67" s="64">
        <v>12.83</v>
      </c>
      <c r="F67" s="64">
        <v>30.7</v>
      </c>
      <c r="G67" s="64">
        <v>76.510000000000005</v>
      </c>
      <c r="H67" s="64">
        <v>30.2</v>
      </c>
      <c r="I67" s="64">
        <v>4.07</v>
      </c>
      <c r="J67" s="64">
        <v>1.76</v>
      </c>
      <c r="K67" s="64">
        <v>358.22</v>
      </c>
      <c r="L67" s="64">
        <v>34.729999999999997</v>
      </c>
      <c r="M67" s="64">
        <v>12.82</v>
      </c>
      <c r="N67" s="64">
        <v>473.3</v>
      </c>
      <c r="O67" s="64">
        <v>0</v>
      </c>
      <c r="P67" s="64">
        <v>0.66</v>
      </c>
      <c r="Q67" s="64">
        <v>8.94</v>
      </c>
      <c r="R67" s="198"/>
      <c r="S67" s="198"/>
      <c r="T67" s="198"/>
      <c r="U67" s="198"/>
    </row>
    <row r="68" spans="1:21" s="12" customFormat="1" x14ac:dyDescent="0.25">
      <c r="A68" s="247" t="s">
        <v>2703</v>
      </c>
      <c r="B68" s="64">
        <v>6.83</v>
      </c>
      <c r="C68" s="64">
        <v>58.76</v>
      </c>
      <c r="D68" s="64">
        <v>36.17</v>
      </c>
      <c r="E68" s="64">
        <v>12.26</v>
      </c>
      <c r="F68" s="64">
        <v>25.95</v>
      </c>
      <c r="G68" s="64">
        <v>75.47</v>
      </c>
      <c r="H68" s="64">
        <v>27.33</v>
      </c>
      <c r="I68" s="64">
        <v>3.99</v>
      </c>
      <c r="J68" s="64">
        <v>1.86</v>
      </c>
      <c r="K68" s="64">
        <v>350.84</v>
      </c>
      <c r="L68" s="64">
        <v>34.9</v>
      </c>
      <c r="M68" s="64">
        <v>12.89</v>
      </c>
      <c r="N68" s="64">
        <v>438.5</v>
      </c>
      <c r="O68" s="64">
        <v>0</v>
      </c>
      <c r="P68" s="64">
        <v>0.65</v>
      </c>
      <c r="Q68" s="64">
        <v>8.9600000000000009</v>
      </c>
      <c r="R68" s="198"/>
      <c r="S68" s="198"/>
      <c r="T68" s="198"/>
      <c r="U68" s="198"/>
    </row>
    <row r="69" spans="1:21" s="12" customFormat="1" x14ac:dyDescent="0.25">
      <c r="A69" s="247" t="s">
        <v>2704</v>
      </c>
      <c r="B69" s="64">
        <v>6.2</v>
      </c>
      <c r="C69" s="64">
        <v>52.92</v>
      </c>
      <c r="D69" s="64">
        <v>32.619999999999997</v>
      </c>
      <c r="E69" s="64">
        <v>14.47</v>
      </c>
      <c r="F69" s="64">
        <v>37.58</v>
      </c>
      <c r="G69" s="64">
        <v>72.040000000000006</v>
      </c>
      <c r="H69" s="64">
        <v>17.91</v>
      </c>
      <c r="I69" s="64">
        <v>4.12</v>
      </c>
      <c r="J69" s="64">
        <v>0.79</v>
      </c>
      <c r="K69" s="64">
        <v>352.14</v>
      </c>
      <c r="L69" s="64">
        <v>34.520000000000003</v>
      </c>
      <c r="M69" s="64">
        <v>12.38</v>
      </c>
      <c r="N69" s="64">
        <v>385.2</v>
      </c>
      <c r="O69" s="64">
        <v>0</v>
      </c>
      <c r="P69" s="64">
        <v>0.52</v>
      </c>
      <c r="Q69" s="64">
        <v>8.9499999999999993</v>
      </c>
      <c r="R69" s="198"/>
      <c r="S69" s="198"/>
      <c r="T69" s="198"/>
      <c r="U69" s="198"/>
    </row>
    <row r="70" spans="1:21" s="12" customFormat="1" x14ac:dyDescent="0.25">
      <c r="A70" s="247" t="s">
        <v>2705</v>
      </c>
      <c r="B70" s="64">
        <v>4.32</v>
      </c>
      <c r="C70" s="64">
        <v>40.85</v>
      </c>
      <c r="D70" s="64">
        <v>24.81</v>
      </c>
      <c r="E70" s="64">
        <v>18.79</v>
      </c>
      <c r="F70" s="64">
        <v>45.87</v>
      </c>
      <c r="G70" s="64">
        <v>72.040000000000006</v>
      </c>
      <c r="H70" s="64">
        <v>17.91</v>
      </c>
      <c r="I70" s="64">
        <v>3.88</v>
      </c>
      <c r="J70" s="64">
        <v>0.86</v>
      </c>
      <c r="K70" s="64">
        <v>59.59</v>
      </c>
      <c r="L70" s="64">
        <v>32.49</v>
      </c>
      <c r="M70" s="64">
        <v>13.1</v>
      </c>
      <c r="N70" s="64">
        <v>227.1</v>
      </c>
      <c r="O70" s="64">
        <v>0</v>
      </c>
      <c r="P70" s="64">
        <v>0.4</v>
      </c>
      <c r="Q70" s="64">
        <v>8.9499999999999993</v>
      </c>
      <c r="R70" s="198"/>
      <c r="S70" s="198"/>
      <c r="T70" s="198"/>
      <c r="U70" s="198"/>
    </row>
    <row r="71" spans="1:21" s="12" customFormat="1" x14ac:dyDescent="0.25">
      <c r="A71" s="247" t="s">
        <v>2706</v>
      </c>
      <c r="B71" s="64">
        <v>5.49</v>
      </c>
      <c r="C71" s="64">
        <v>52.27</v>
      </c>
      <c r="D71" s="64">
        <v>31.71</v>
      </c>
      <c r="E71" s="64">
        <v>17.62</v>
      </c>
      <c r="F71" s="64">
        <v>35.96</v>
      </c>
      <c r="G71" s="64">
        <v>72.040000000000006</v>
      </c>
      <c r="H71" s="64">
        <v>17.91</v>
      </c>
      <c r="I71" s="64">
        <v>4</v>
      </c>
      <c r="J71" s="64">
        <v>1.05</v>
      </c>
      <c r="K71" s="64">
        <v>17.579999999999998</v>
      </c>
      <c r="L71" s="64">
        <v>32.590000000000003</v>
      </c>
      <c r="M71" s="64">
        <v>13.43</v>
      </c>
      <c r="N71" s="64">
        <v>200.9</v>
      </c>
      <c r="O71" s="64">
        <v>0</v>
      </c>
      <c r="P71" s="64">
        <v>0.48</v>
      </c>
      <c r="Q71" s="64">
        <v>8.92</v>
      </c>
      <c r="R71" s="198"/>
      <c r="S71" s="198"/>
      <c r="T71" s="198"/>
      <c r="U71" s="198"/>
    </row>
    <row r="72" spans="1:21" s="12" customFormat="1" x14ac:dyDescent="0.25">
      <c r="A72" s="247" t="s">
        <v>2707</v>
      </c>
      <c r="B72" s="64">
        <v>4.7</v>
      </c>
      <c r="C72" s="64">
        <v>54.06</v>
      </c>
      <c r="D72" s="64">
        <v>32.01</v>
      </c>
      <c r="E72" s="64">
        <v>8.7899999999999991</v>
      </c>
      <c r="F72" s="64">
        <v>36.25</v>
      </c>
      <c r="G72" s="64">
        <v>67.39</v>
      </c>
      <c r="H72" s="64">
        <v>18.010000000000002</v>
      </c>
      <c r="I72" s="64">
        <v>4.17</v>
      </c>
      <c r="J72" s="64">
        <v>1.41</v>
      </c>
      <c r="K72" s="64">
        <v>8.86</v>
      </c>
      <c r="L72" s="64">
        <v>32.950000000000003</v>
      </c>
      <c r="M72" s="64">
        <v>12.96</v>
      </c>
      <c r="N72" s="64">
        <v>200.8</v>
      </c>
      <c r="O72" s="64">
        <v>0</v>
      </c>
      <c r="P72" s="64">
        <v>0.51</v>
      </c>
      <c r="Q72" s="64">
        <v>8.91</v>
      </c>
      <c r="R72" s="198"/>
      <c r="S72" s="198"/>
      <c r="T72" s="198"/>
      <c r="U72" s="198"/>
    </row>
    <row r="73" spans="1:21" s="12" customFormat="1" x14ac:dyDescent="0.25">
      <c r="A73" s="247" t="s">
        <v>2708</v>
      </c>
      <c r="B73" s="64">
        <v>5.64</v>
      </c>
      <c r="C73" s="64">
        <v>48.76</v>
      </c>
      <c r="D73" s="64">
        <v>30</v>
      </c>
      <c r="E73" s="64">
        <v>10.59</v>
      </c>
      <c r="F73" s="64">
        <v>35.43</v>
      </c>
      <c r="G73" s="64">
        <v>53.02</v>
      </c>
      <c r="H73" s="64">
        <v>18.32</v>
      </c>
      <c r="I73" s="64">
        <v>3.92</v>
      </c>
      <c r="J73" s="64">
        <v>1.1100000000000001</v>
      </c>
      <c r="K73" s="64">
        <v>41.57</v>
      </c>
      <c r="L73" s="64">
        <v>32.020000000000003</v>
      </c>
      <c r="M73" s="64">
        <v>13.13</v>
      </c>
      <c r="N73" s="64">
        <v>183.5</v>
      </c>
      <c r="O73" s="64">
        <v>0</v>
      </c>
      <c r="P73" s="64">
        <v>0.44</v>
      </c>
      <c r="Q73" s="64">
        <v>8.9</v>
      </c>
      <c r="R73" s="198"/>
      <c r="S73" s="198"/>
      <c r="T73" s="198"/>
      <c r="U73" s="198"/>
    </row>
    <row r="74" spans="1:21" s="12" customFormat="1" x14ac:dyDescent="0.25">
      <c r="A74" s="247" t="s">
        <v>2709</v>
      </c>
      <c r="B74" s="64">
        <v>12.05</v>
      </c>
      <c r="C74" s="64">
        <v>60.95</v>
      </c>
      <c r="D74" s="64">
        <v>41.51</v>
      </c>
      <c r="E74" s="64">
        <v>11.62</v>
      </c>
      <c r="F74" s="64">
        <v>36.03</v>
      </c>
      <c r="G74" s="64">
        <v>53.02</v>
      </c>
      <c r="H74" s="64">
        <v>18.32</v>
      </c>
      <c r="I74" s="64">
        <v>4.0599999999999996</v>
      </c>
      <c r="J74" s="64">
        <v>1.26</v>
      </c>
      <c r="K74" s="64">
        <v>350.82</v>
      </c>
      <c r="L74" s="64">
        <v>32.33</v>
      </c>
      <c r="M74" s="64">
        <v>14.34</v>
      </c>
      <c r="N74" s="64">
        <v>169.7</v>
      </c>
      <c r="O74" s="64">
        <v>0</v>
      </c>
      <c r="P74" s="64">
        <v>0.56000000000000005</v>
      </c>
      <c r="Q74" s="64">
        <v>8.9</v>
      </c>
      <c r="R74" s="198"/>
      <c r="S74" s="198"/>
      <c r="T74" s="198"/>
      <c r="U74" s="198"/>
    </row>
    <row r="75" spans="1:21" s="12" customFormat="1" x14ac:dyDescent="0.25">
      <c r="A75" s="247" t="s">
        <v>2710</v>
      </c>
      <c r="B75" s="64">
        <v>10.14</v>
      </c>
      <c r="C75" s="64">
        <v>60.79</v>
      </c>
      <c r="D75" s="64">
        <v>39.89</v>
      </c>
      <c r="E75" s="64">
        <v>14.4</v>
      </c>
      <c r="F75" s="64">
        <v>38.46</v>
      </c>
      <c r="G75" s="64">
        <v>53.02</v>
      </c>
      <c r="H75" s="64">
        <v>18.32</v>
      </c>
      <c r="I75" s="64">
        <v>3.97</v>
      </c>
      <c r="J75" s="64">
        <v>0.77</v>
      </c>
      <c r="K75" s="64">
        <v>40.130000000000003</v>
      </c>
      <c r="L75" s="64">
        <v>31.48</v>
      </c>
      <c r="M75" s="64">
        <v>14.13</v>
      </c>
      <c r="N75" s="64">
        <v>133.19999999999999</v>
      </c>
      <c r="O75" s="64">
        <v>0</v>
      </c>
      <c r="P75" s="64">
        <v>0.47</v>
      </c>
      <c r="Q75" s="64">
        <v>8.91</v>
      </c>
      <c r="R75" s="198"/>
      <c r="S75" s="198"/>
      <c r="T75" s="198"/>
      <c r="U75" s="198"/>
    </row>
    <row r="76" spans="1:21" s="12" customFormat="1" x14ac:dyDescent="0.25">
      <c r="A76" s="247" t="s">
        <v>2711</v>
      </c>
      <c r="B76" s="64">
        <v>9.6300000000000008</v>
      </c>
      <c r="C76" s="64">
        <v>59.58</v>
      </c>
      <c r="D76" s="64">
        <v>38.85</v>
      </c>
      <c r="E76" s="64">
        <v>20.260000000000002</v>
      </c>
      <c r="F76" s="64">
        <v>39.71</v>
      </c>
      <c r="G76" s="64">
        <v>50.14</v>
      </c>
      <c r="H76" s="64">
        <v>15.56</v>
      </c>
      <c r="I76" s="64">
        <v>4.03</v>
      </c>
      <c r="J76" s="64">
        <v>0.73</v>
      </c>
      <c r="K76" s="64">
        <v>65.540000000000006</v>
      </c>
      <c r="L76" s="64">
        <v>30.98</v>
      </c>
      <c r="M76" s="64">
        <v>14.5</v>
      </c>
      <c r="N76" s="64">
        <v>125.1</v>
      </c>
      <c r="O76" s="64">
        <v>0</v>
      </c>
      <c r="P76" s="64">
        <v>0.52</v>
      </c>
      <c r="Q76" s="64">
        <v>8.92</v>
      </c>
      <c r="R76" s="198"/>
      <c r="S76" s="198"/>
      <c r="T76" s="198"/>
      <c r="U76" s="198"/>
    </row>
    <row r="77" spans="1:21" s="12" customFormat="1" x14ac:dyDescent="0.25">
      <c r="A77" s="247" t="s">
        <v>2712</v>
      </c>
      <c r="B77" s="64">
        <v>7.28</v>
      </c>
      <c r="C77" s="64">
        <v>57.62</v>
      </c>
      <c r="D77" s="64">
        <v>35.94</v>
      </c>
      <c r="E77" s="64">
        <v>23.5</v>
      </c>
      <c r="F77" s="64">
        <v>43.38</v>
      </c>
      <c r="G77" s="64">
        <v>41.26</v>
      </c>
      <c r="H77" s="64">
        <v>6.48</v>
      </c>
      <c r="I77" s="64">
        <v>3.86</v>
      </c>
      <c r="J77" s="64">
        <v>0.93</v>
      </c>
      <c r="K77" s="64">
        <v>79.94</v>
      </c>
      <c r="L77" s="64">
        <v>30.54</v>
      </c>
      <c r="M77" s="64">
        <v>14.04</v>
      </c>
      <c r="N77" s="64">
        <v>108.6</v>
      </c>
      <c r="O77" s="64">
        <v>0</v>
      </c>
      <c r="P77" s="64">
        <v>0.43</v>
      </c>
      <c r="Q77" s="64">
        <v>8.93</v>
      </c>
      <c r="R77" s="198"/>
      <c r="S77" s="198"/>
      <c r="T77" s="198"/>
      <c r="U77" s="198"/>
    </row>
    <row r="78" spans="1:21" s="12" customFormat="1" x14ac:dyDescent="0.25">
      <c r="A78" s="247" t="s">
        <v>2713</v>
      </c>
      <c r="B78" s="64">
        <v>3.39</v>
      </c>
      <c r="C78" s="64">
        <v>39.9</v>
      </c>
      <c r="D78" s="64">
        <v>23.56</v>
      </c>
      <c r="E78" s="64">
        <v>24.14</v>
      </c>
      <c r="F78" s="64">
        <v>45.61</v>
      </c>
      <c r="G78" s="64">
        <v>41.26</v>
      </c>
      <c r="H78" s="64">
        <v>6.48</v>
      </c>
      <c r="I78" s="64">
        <v>4.2</v>
      </c>
      <c r="J78" s="64">
        <v>0.88</v>
      </c>
      <c r="K78" s="64">
        <v>85.19</v>
      </c>
      <c r="L78" s="64">
        <v>30.27</v>
      </c>
      <c r="M78" s="64">
        <v>15.35</v>
      </c>
      <c r="N78" s="64">
        <v>96.5</v>
      </c>
      <c r="O78" s="64">
        <v>0</v>
      </c>
      <c r="P78" s="64">
        <v>0.38</v>
      </c>
      <c r="Q78" s="64">
        <v>8.93</v>
      </c>
      <c r="R78" s="198"/>
      <c r="S78" s="198"/>
      <c r="T78" s="198"/>
      <c r="U78" s="198"/>
    </row>
    <row r="79" spans="1:21" s="12" customFormat="1" x14ac:dyDescent="0.25">
      <c r="A79" s="247" t="s">
        <v>2714</v>
      </c>
      <c r="B79" s="64">
        <v>4.21</v>
      </c>
      <c r="C79" s="64">
        <v>58.95</v>
      </c>
      <c r="D79" s="64">
        <v>34.17</v>
      </c>
      <c r="E79" s="64">
        <v>21.93</v>
      </c>
      <c r="F79" s="64">
        <v>42.51</v>
      </c>
      <c r="G79" s="64">
        <v>41.26</v>
      </c>
      <c r="H79" s="64">
        <v>6.48</v>
      </c>
      <c r="I79" s="64">
        <v>4.09</v>
      </c>
      <c r="J79" s="64">
        <v>0.94</v>
      </c>
      <c r="K79" s="64">
        <v>93.42</v>
      </c>
      <c r="L79" s="64">
        <v>29.94</v>
      </c>
      <c r="M79" s="64">
        <v>15.9</v>
      </c>
      <c r="N79" s="64">
        <v>83.4</v>
      </c>
      <c r="O79" s="64">
        <v>0</v>
      </c>
      <c r="P79" s="64">
        <v>0.38</v>
      </c>
      <c r="Q79" s="64">
        <v>8.92</v>
      </c>
      <c r="R79" s="198"/>
      <c r="S79" s="198"/>
      <c r="T79" s="198"/>
      <c r="U79" s="198"/>
    </row>
    <row r="80" spans="1:21" s="12" customFormat="1" x14ac:dyDescent="0.25">
      <c r="A80" s="247" t="s">
        <v>2715</v>
      </c>
      <c r="B80" s="64">
        <v>8.68</v>
      </c>
      <c r="C80" s="64">
        <v>76.64</v>
      </c>
      <c r="D80" s="64">
        <v>47.01</v>
      </c>
      <c r="E80" s="64">
        <v>19.23</v>
      </c>
      <c r="F80" s="64">
        <v>36.29</v>
      </c>
      <c r="G80" s="64">
        <v>44.31</v>
      </c>
      <c r="H80" s="64">
        <v>10.36</v>
      </c>
      <c r="I80" s="64">
        <v>4.03</v>
      </c>
      <c r="J80" s="64">
        <v>0.82</v>
      </c>
      <c r="K80" s="64">
        <v>81.34</v>
      </c>
      <c r="L80" s="64">
        <v>29.45</v>
      </c>
      <c r="M80" s="64">
        <v>17.329999999999998</v>
      </c>
      <c r="N80" s="64">
        <v>71.3</v>
      </c>
      <c r="O80" s="64">
        <v>0</v>
      </c>
      <c r="P80" s="64">
        <v>0.72</v>
      </c>
      <c r="Q80" s="64">
        <v>8.9</v>
      </c>
      <c r="R80" s="198"/>
      <c r="S80" s="198"/>
      <c r="T80" s="198"/>
      <c r="U80" s="198"/>
    </row>
    <row r="81" spans="1:26" s="12" customFormat="1" x14ac:dyDescent="0.25">
      <c r="A81" s="247" t="s">
        <v>2716</v>
      </c>
      <c r="B81" s="64">
        <v>3.73</v>
      </c>
      <c r="C81" s="64">
        <v>89.07</v>
      </c>
      <c r="D81" s="64">
        <v>49.53</v>
      </c>
      <c r="E81" s="64">
        <v>13.66</v>
      </c>
      <c r="F81" s="64">
        <v>27.73</v>
      </c>
      <c r="G81" s="64">
        <v>53.73</v>
      </c>
      <c r="H81" s="64">
        <v>22.33</v>
      </c>
      <c r="I81" s="64">
        <v>3.89</v>
      </c>
      <c r="J81" s="64">
        <v>0.53</v>
      </c>
      <c r="K81" s="64">
        <v>102.28</v>
      </c>
      <c r="L81" s="64">
        <v>28.9</v>
      </c>
      <c r="M81" s="64">
        <v>18.78</v>
      </c>
      <c r="N81" s="64">
        <v>62.7</v>
      </c>
      <c r="O81" s="64">
        <v>0</v>
      </c>
      <c r="P81" s="64">
        <v>0.61</v>
      </c>
      <c r="Q81" s="64">
        <v>8.89</v>
      </c>
      <c r="R81" s="198"/>
      <c r="S81" s="198"/>
      <c r="T81" s="198"/>
      <c r="U81" s="198"/>
    </row>
    <row r="82" spans="1:26" s="12" customFormat="1" x14ac:dyDescent="0.25">
      <c r="A82" s="247" t="s">
        <v>2717</v>
      </c>
      <c r="B82" s="64">
        <v>55.08</v>
      </c>
      <c r="C82" s="64">
        <v>126.14</v>
      </c>
      <c r="D82" s="64">
        <v>110.07</v>
      </c>
      <c r="E82" s="64">
        <v>12.44</v>
      </c>
      <c r="F82" s="64">
        <v>15.62</v>
      </c>
      <c r="G82" s="64">
        <v>53.73</v>
      </c>
      <c r="H82" s="64">
        <v>22.33</v>
      </c>
      <c r="I82" s="64">
        <v>4.0599999999999996</v>
      </c>
      <c r="J82" s="64">
        <v>0.48</v>
      </c>
      <c r="K82" s="64">
        <v>281.25</v>
      </c>
      <c r="L82" s="64">
        <v>27.78</v>
      </c>
      <c r="M82" s="64">
        <v>21.93</v>
      </c>
      <c r="N82" s="64">
        <v>60.6</v>
      </c>
      <c r="O82" s="64">
        <v>0</v>
      </c>
      <c r="P82" s="64">
        <v>1.91</v>
      </c>
      <c r="Q82" s="64">
        <v>8.9</v>
      </c>
      <c r="R82" s="198"/>
      <c r="S82" s="198"/>
      <c r="T82" s="198"/>
      <c r="U82" s="198"/>
    </row>
    <row r="83" spans="1:26" s="12" customFormat="1" x14ac:dyDescent="0.25">
      <c r="A83" s="247" t="s">
        <v>2718</v>
      </c>
      <c r="B83" s="64">
        <v>83.61</v>
      </c>
      <c r="C83" s="64">
        <v>154.4</v>
      </c>
      <c r="D83" s="64">
        <v>147.72</v>
      </c>
      <c r="E83" s="64">
        <v>11.42</v>
      </c>
      <c r="F83" s="64">
        <v>9.5399999999999991</v>
      </c>
      <c r="G83" s="64">
        <v>53.73</v>
      </c>
      <c r="H83" s="64">
        <v>22.33</v>
      </c>
      <c r="I83" s="64">
        <v>4</v>
      </c>
      <c r="J83" s="64">
        <v>0.72</v>
      </c>
      <c r="K83" s="64">
        <v>291.93</v>
      </c>
      <c r="L83" s="64">
        <v>26.79</v>
      </c>
      <c r="M83" s="64">
        <v>25.15</v>
      </c>
      <c r="N83" s="64">
        <v>59.9</v>
      </c>
      <c r="O83" s="64">
        <v>0</v>
      </c>
      <c r="P83" s="64">
        <v>1.93</v>
      </c>
      <c r="Q83" s="64">
        <v>8.98</v>
      </c>
      <c r="R83" s="198"/>
      <c r="S83" s="198"/>
      <c r="T83" s="198"/>
      <c r="U83" s="198"/>
    </row>
    <row r="84" spans="1:26" s="12" customFormat="1" x14ac:dyDescent="0.25">
      <c r="A84" s="247" t="s">
        <v>2719</v>
      </c>
      <c r="B84" s="64">
        <v>102.02</v>
      </c>
      <c r="C84" s="64">
        <v>150.78</v>
      </c>
      <c r="D84" s="64">
        <v>160.59</v>
      </c>
      <c r="E84" s="64">
        <v>11.34</v>
      </c>
      <c r="F84" s="64">
        <v>7.47</v>
      </c>
      <c r="G84" s="64">
        <v>62</v>
      </c>
      <c r="H84" s="64">
        <v>23.47</v>
      </c>
      <c r="I84" s="64">
        <v>3.95</v>
      </c>
      <c r="J84" s="64">
        <v>0.56999999999999995</v>
      </c>
      <c r="K84" s="64">
        <v>230.35</v>
      </c>
      <c r="L84" s="64">
        <v>26.17</v>
      </c>
      <c r="M84" s="64">
        <v>27</v>
      </c>
      <c r="N84" s="64">
        <v>59.5</v>
      </c>
      <c r="O84" s="64">
        <v>0</v>
      </c>
      <c r="P84" s="64">
        <v>2.11</v>
      </c>
      <c r="Q84" s="64">
        <v>9.16</v>
      </c>
      <c r="R84" s="198"/>
      <c r="S84" s="198"/>
      <c r="T84" s="198"/>
      <c r="U84" s="198"/>
    </row>
    <row r="85" spans="1:26" s="12" customFormat="1" x14ac:dyDescent="0.25">
      <c r="A85" s="247" t="s">
        <v>2720</v>
      </c>
      <c r="B85" s="64">
        <v>55.28</v>
      </c>
      <c r="C85" s="64">
        <v>125.25</v>
      </c>
      <c r="D85" s="64">
        <v>109.78</v>
      </c>
      <c r="E85" s="64">
        <v>8.56</v>
      </c>
      <c r="F85" s="64">
        <v>10.16</v>
      </c>
      <c r="G85" s="64">
        <v>87.55</v>
      </c>
      <c r="H85" s="64">
        <v>26.99</v>
      </c>
      <c r="I85" s="64">
        <v>4.05</v>
      </c>
      <c r="J85" s="64">
        <v>0.81</v>
      </c>
      <c r="K85" s="64">
        <v>182.82</v>
      </c>
      <c r="L85" s="64">
        <v>26.42</v>
      </c>
      <c r="M85" s="64">
        <v>24.92</v>
      </c>
      <c r="N85" s="64">
        <v>57.8</v>
      </c>
      <c r="O85" s="64">
        <v>0</v>
      </c>
      <c r="P85" s="64">
        <v>1.01</v>
      </c>
      <c r="Q85" s="64">
        <v>9.3800000000000008</v>
      </c>
      <c r="R85" s="198"/>
      <c r="S85" s="198"/>
      <c r="T85" s="198"/>
      <c r="U85" s="198"/>
    </row>
    <row r="86" spans="1:26" s="12" customFormat="1" x14ac:dyDescent="0.25">
      <c r="A86" s="247" t="s">
        <v>2721</v>
      </c>
      <c r="B86" s="64">
        <v>19.22</v>
      </c>
      <c r="C86" s="64">
        <v>95.59</v>
      </c>
      <c r="D86" s="64">
        <v>65.36</v>
      </c>
      <c r="E86" s="64">
        <v>6.39</v>
      </c>
      <c r="F86" s="64">
        <v>14.06</v>
      </c>
      <c r="G86" s="64">
        <v>87.55</v>
      </c>
      <c r="H86" s="64">
        <v>26.99</v>
      </c>
      <c r="I86" s="64">
        <v>3.88</v>
      </c>
      <c r="J86" s="64">
        <v>1.06</v>
      </c>
      <c r="K86" s="64">
        <v>186.63</v>
      </c>
      <c r="L86" s="64">
        <v>26.97</v>
      </c>
      <c r="M86" s="64">
        <v>23.8</v>
      </c>
      <c r="N86" s="64">
        <v>57.8</v>
      </c>
      <c r="O86" s="64">
        <v>0</v>
      </c>
      <c r="P86" s="64">
        <v>0.89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47" t="s">
        <v>2722</v>
      </c>
      <c r="B87" s="64">
        <v>16.12</v>
      </c>
      <c r="C87" s="64">
        <v>92.73</v>
      </c>
      <c r="D87" s="64">
        <v>61.38</v>
      </c>
      <c r="E87" s="64">
        <v>6.45</v>
      </c>
      <c r="F87" s="64">
        <v>17.04</v>
      </c>
      <c r="G87" s="64">
        <v>87.55</v>
      </c>
      <c r="H87" s="64">
        <v>26.99</v>
      </c>
      <c r="I87" s="64">
        <v>4.05</v>
      </c>
      <c r="J87" s="64">
        <v>1.1399999999999999</v>
      </c>
      <c r="K87" s="64">
        <v>157.24</v>
      </c>
      <c r="L87" s="64">
        <v>26.69</v>
      </c>
      <c r="M87" s="64">
        <v>25.43</v>
      </c>
      <c r="N87" s="64">
        <v>58.7</v>
      </c>
      <c r="O87" s="64">
        <v>0</v>
      </c>
      <c r="P87" s="64">
        <v>0.88</v>
      </c>
      <c r="Q87" s="64">
        <v>9.4700000000000006</v>
      </c>
      <c r="R87" s="198"/>
      <c r="S87" s="198"/>
      <c r="T87" s="198"/>
      <c r="U87" s="198"/>
    </row>
    <row r="88" spans="1:26" s="12" customFormat="1" x14ac:dyDescent="0.25">
      <c r="A88" s="247" t="s">
        <v>2723</v>
      </c>
      <c r="B88" s="64">
        <v>13.37</v>
      </c>
      <c r="C88" s="64">
        <v>90.08</v>
      </c>
      <c r="D88" s="64">
        <v>57.78</v>
      </c>
      <c r="E88" s="64">
        <v>7.42</v>
      </c>
      <c r="F88" s="64">
        <v>19.850000000000001</v>
      </c>
      <c r="G88" s="64">
        <v>87.53</v>
      </c>
      <c r="H88" s="64">
        <v>27.62</v>
      </c>
      <c r="I88" s="64">
        <v>3.95</v>
      </c>
      <c r="J88" s="64">
        <v>0.75</v>
      </c>
      <c r="K88" s="64">
        <v>190.15</v>
      </c>
      <c r="L88" s="64">
        <v>26.37</v>
      </c>
      <c r="M88" s="64">
        <v>26.12</v>
      </c>
      <c r="N88" s="64">
        <v>59.1</v>
      </c>
      <c r="O88" s="64">
        <v>0</v>
      </c>
      <c r="P88" s="64">
        <v>0.83</v>
      </c>
      <c r="Q88" s="64">
        <v>9.4700000000000006</v>
      </c>
      <c r="R88" s="198"/>
      <c r="S88" s="198"/>
      <c r="T88" s="198"/>
      <c r="U88" s="198"/>
    </row>
    <row r="89" spans="1:26" s="12" customFormat="1" x14ac:dyDescent="0.25">
      <c r="A89" s="247" t="s">
        <v>2724</v>
      </c>
      <c r="B89" s="64">
        <v>15.95</v>
      </c>
      <c r="C89" s="64">
        <v>115.08</v>
      </c>
      <c r="D89" s="64">
        <v>72.92</v>
      </c>
      <c r="E89" s="64">
        <v>7.42</v>
      </c>
      <c r="F89" s="64">
        <v>13.97</v>
      </c>
      <c r="G89" s="64">
        <v>87.47</v>
      </c>
      <c r="H89" s="64">
        <v>29.59</v>
      </c>
      <c r="I89" s="64">
        <v>4.0999999999999996</v>
      </c>
      <c r="J89" s="64">
        <v>0.25</v>
      </c>
      <c r="K89" s="64">
        <v>272.32</v>
      </c>
      <c r="L89" s="64">
        <v>25.64</v>
      </c>
      <c r="M89" s="64">
        <v>28.77</v>
      </c>
      <c r="N89" s="64">
        <v>59.8</v>
      </c>
      <c r="O89" s="64">
        <v>0</v>
      </c>
      <c r="P89" s="64">
        <v>1.08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47" t="s">
        <v>2725</v>
      </c>
      <c r="B90" s="64">
        <v>27.04</v>
      </c>
      <c r="C90" s="64">
        <v>119.93</v>
      </c>
      <c r="D90" s="64">
        <v>84.34</v>
      </c>
      <c r="E90" s="64">
        <v>7.37</v>
      </c>
      <c r="F90" s="64">
        <v>11.03</v>
      </c>
      <c r="G90" s="64">
        <v>87.47</v>
      </c>
      <c r="H90" s="64">
        <v>29.59</v>
      </c>
      <c r="I90" s="64">
        <v>3.8</v>
      </c>
      <c r="J90" s="64">
        <v>0.52</v>
      </c>
      <c r="K90" s="64">
        <v>245.26</v>
      </c>
      <c r="L90" s="64">
        <v>25.05</v>
      </c>
      <c r="M90" s="64">
        <v>30.16</v>
      </c>
      <c r="N90" s="64">
        <v>59.5</v>
      </c>
      <c r="O90" s="64">
        <v>0</v>
      </c>
      <c r="P90" s="64">
        <v>1.1599999999999999</v>
      </c>
      <c r="Q90" s="64">
        <v>9.4499999999999993</v>
      </c>
      <c r="R90" s="198"/>
      <c r="S90" s="198"/>
      <c r="T90" s="198"/>
      <c r="U90" s="198"/>
    </row>
    <row r="91" spans="1:26" s="12" customFormat="1" x14ac:dyDescent="0.25">
      <c r="A91" s="247" t="s">
        <v>2726</v>
      </c>
      <c r="B91" s="64">
        <v>20.38</v>
      </c>
      <c r="C91" s="64">
        <v>124.61</v>
      </c>
      <c r="D91" s="64">
        <v>81.45</v>
      </c>
      <c r="E91" s="64">
        <v>8.8699999999999992</v>
      </c>
      <c r="F91" s="64">
        <v>14.41</v>
      </c>
      <c r="G91" s="64">
        <v>87.47</v>
      </c>
      <c r="H91" s="64">
        <v>29.59</v>
      </c>
      <c r="I91" s="64">
        <v>4.07</v>
      </c>
      <c r="J91" s="64">
        <v>0.5</v>
      </c>
      <c r="K91" s="64">
        <v>216.28</v>
      </c>
      <c r="L91" s="64">
        <v>24.87</v>
      </c>
      <c r="M91" s="64">
        <v>30.21</v>
      </c>
      <c r="N91" s="64">
        <v>59.2</v>
      </c>
      <c r="O91" s="64">
        <v>0</v>
      </c>
      <c r="P91" s="64">
        <v>1.05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47" t="s">
        <v>2727</v>
      </c>
      <c r="B92" s="64">
        <v>82.86</v>
      </c>
      <c r="C92" s="64">
        <v>148.78</v>
      </c>
      <c r="D92" s="64">
        <v>144.18</v>
      </c>
      <c r="E92" s="64">
        <v>9.5399999999999991</v>
      </c>
      <c r="F92" s="64">
        <v>10.49</v>
      </c>
      <c r="G92" s="64">
        <v>89.53</v>
      </c>
      <c r="H92" s="64">
        <v>30.03</v>
      </c>
      <c r="I92" s="64">
        <v>3.94</v>
      </c>
      <c r="J92" s="64">
        <v>0.38</v>
      </c>
      <c r="K92" s="64">
        <v>254.19</v>
      </c>
      <c r="L92" s="64">
        <v>24.59</v>
      </c>
      <c r="M92" s="64">
        <v>30.39</v>
      </c>
      <c r="N92" s="64">
        <v>59.1</v>
      </c>
      <c r="O92" s="64">
        <v>0</v>
      </c>
      <c r="P92" s="64">
        <v>1.88</v>
      </c>
      <c r="Q92" s="64">
        <v>9.44</v>
      </c>
      <c r="R92" s="198"/>
      <c r="S92" s="198"/>
      <c r="T92" s="198"/>
      <c r="U92" s="198"/>
    </row>
    <row r="93" spans="1:26" s="12" customFormat="1" x14ac:dyDescent="0.25">
      <c r="A93" s="247" t="s">
        <v>2728</v>
      </c>
      <c r="B93" s="64">
        <v>89.07</v>
      </c>
      <c r="C93" s="64">
        <v>153.05000000000001</v>
      </c>
      <c r="D93" s="64">
        <v>151.38999999999999</v>
      </c>
      <c r="E93" s="64">
        <v>8.92</v>
      </c>
      <c r="F93" s="64">
        <v>10.71</v>
      </c>
      <c r="G93" s="64">
        <v>96.32</v>
      </c>
      <c r="H93" s="64">
        <v>31.47</v>
      </c>
      <c r="I93" s="64">
        <v>4</v>
      </c>
      <c r="J93" s="64">
        <v>0.56999999999999995</v>
      </c>
      <c r="K93" s="64">
        <v>276.19</v>
      </c>
      <c r="L93" s="64">
        <v>24.34</v>
      </c>
      <c r="M93" s="64">
        <v>31.84</v>
      </c>
      <c r="N93" s="64">
        <v>59.2</v>
      </c>
      <c r="O93" s="64">
        <v>0</v>
      </c>
      <c r="P93" s="64">
        <v>1.66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47" t="s">
        <v>2729</v>
      </c>
      <c r="B94" s="64">
        <v>98.6</v>
      </c>
      <c r="C94" s="64">
        <v>145.09</v>
      </c>
      <c r="D94" s="64">
        <v>154.87</v>
      </c>
      <c r="E94" s="64">
        <v>8.89</v>
      </c>
      <c r="F94" s="64">
        <v>8.67</v>
      </c>
      <c r="G94" s="64">
        <v>96.32</v>
      </c>
      <c r="H94" s="64">
        <v>31.47</v>
      </c>
      <c r="I94" s="64">
        <v>4.1100000000000003</v>
      </c>
      <c r="J94" s="64">
        <v>0.48</v>
      </c>
      <c r="K94" s="64">
        <v>340.17</v>
      </c>
      <c r="L94" s="64">
        <v>23.65</v>
      </c>
      <c r="M94" s="64">
        <v>34.979999999999997</v>
      </c>
      <c r="N94" s="64">
        <v>59.6</v>
      </c>
      <c r="O94" s="64">
        <v>0</v>
      </c>
      <c r="P94" s="64">
        <v>2.0499999999999998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47" t="s">
        <v>2730</v>
      </c>
      <c r="B95" s="64">
        <v>61.46</v>
      </c>
      <c r="C95" s="64">
        <v>144.74</v>
      </c>
      <c r="D95" s="64">
        <v>124.9</v>
      </c>
      <c r="E95" s="64">
        <v>8.8000000000000007</v>
      </c>
      <c r="F95" s="64">
        <v>12.21</v>
      </c>
      <c r="G95" s="64">
        <v>96.32</v>
      </c>
      <c r="H95" s="64">
        <v>31.47</v>
      </c>
      <c r="I95" s="64">
        <v>3.87</v>
      </c>
      <c r="J95" s="64">
        <v>0.51</v>
      </c>
      <c r="K95" s="64">
        <v>245.49</v>
      </c>
      <c r="L95" s="64">
        <v>23.55</v>
      </c>
      <c r="M95" s="64">
        <v>32.18</v>
      </c>
      <c r="N95" s="64">
        <v>58.8</v>
      </c>
      <c r="O95" s="64">
        <v>0</v>
      </c>
      <c r="P95" s="64">
        <v>1.4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47" t="s">
        <v>2731</v>
      </c>
      <c r="B96" s="64">
        <v>93.8</v>
      </c>
      <c r="C96" s="64">
        <v>139.22</v>
      </c>
      <c r="D96" s="64">
        <v>147.96</v>
      </c>
      <c r="E96" s="64">
        <v>8.82</v>
      </c>
      <c r="F96" s="64">
        <v>9.27</v>
      </c>
      <c r="G96" s="64">
        <v>97.25</v>
      </c>
      <c r="H96" s="64">
        <v>31.96</v>
      </c>
      <c r="I96" s="64">
        <v>3.88</v>
      </c>
      <c r="J96" s="64">
        <v>0.63</v>
      </c>
      <c r="K96" s="64">
        <v>345.21</v>
      </c>
      <c r="L96" s="64">
        <v>23.46</v>
      </c>
      <c r="M96" s="64">
        <v>35.869999999999997</v>
      </c>
      <c r="N96" s="64">
        <v>59.5</v>
      </c>
      <c r="O96" s="64">
        <v>0</v>
      </c>
      <c r="P96" s="64">
        <v>2.5099999999999998</v>
      </c>
      <c r="Q96" s="64">
        <v>9.48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2732</v>
      </c>
      <c r="B97" s="64">
        <v>103.8</v>
      </c>
      <c r="C97" s="64">
        <v>130.72999999999999</v>
      </c>
      <c r="D97" s="64">
        <v>151.54</v>
      </c>
      <c r="E97" s="64">
        <v>7.85</v>
      </c>
      <c r="F97" s="64">
        <v>8.99</v>
      </c>
      <c r="G97" s="64">
        <v>100.1</v>
      </c>
      <c r="H97" s="64">
        <v>33.479999999999997</v>
      </c>
      <c r="I97" s="64">
        <v>4.08</v>
      </c>
      <c r="J97" s="64">
        <v>0.57999999999999996</v>
      </c>
      <c r="K97" s="64">
        <v>343.72</v>
      </c>
      <c r="L97" s="64">
        <v>22.73</v>
      </c>
      <c r="M97" s="64">
        <v>40.06</v>
      </c>
      <c r="N97" s="64">
        <v>59.8</v>
      </c>
      <c r="O97" s="64">
        <v>0</v>
      </c>
      <c r="P97" s="64">
        <v>2.13</v>
      </c>
      <c r="Q97" s="64">
        <v>9.5</v>
      </c>
      <c r="R97" s="198"/>
      <c r="S97" s="198"/>
      <c r="T97" s="198"/>
      <c r="U97" s="198"/>
    </row>
    <row r="98" spans="1:33" s="12" customFormat="1" x14ac:dyDescent="0.25">
      <c r="A98" s="247" t="s">
        <v>2733</v>
      </c>
      <c r="B98" s="64">
        <v>84.53</v>
      </c>
      <c r="C98" s="64">
        <v>131.69</v>
      </c>
      <c r="D98" s="64">
        <v>136.59</v>
      </c>
      <c r="E98" s="64">
        <v>7.73</v>
      </c>
      <c r="F98" s="64">
        <v>7.3</v>
      </c>
      <c r="G98" s="64">
        <v>100.1</v>
      </c>
      <c r="H98" s="64">
        <v>33.479999999999997</v>
      </c>
      <c r="I98" s="64">
        <v>3.98</v>
      </c>
      <c r="J98" s="64">
        <v>0.44</v>
      </c>
      <c r="K98" s="64">
        <v>271.83</v>
      </c>
      <c r="L98" s="64">
        <v>22.37</v>
      </c>
      <c r="M98" s="64">
        <v>37.909999999999997</v>
      </c>
      <c r="N98" s="64">
        <v>59.5</v>
      </c>
      <c r="O98" s="64">
        <v>0</v>
      </c>
      <c r="P98" s="64">
        <v>1.56</v>
      </c>
      <c r="Q98" s="64">
        <v>9.51</v>
      </c>
      <c r="R98" s="198"/>
      <c r="S98" s="198"/>
      <c r="T98" s="198"/>
      <c r="U98" s="198"/>
    </row>
    <row r="99" spans="1:33" s="12" customFormat="1" x14ac:dyDescent="0.25">
      <c r="A99" s="247" t="s">
        <v>2734</v>
      </c>
      <c r="B99" s="64">
        <v>175.95</v>
      </c>
      <c r="C99" s="64">
        <v>129.19999999999999</v>
      </c>
      <c r="D99" s="64">
        <v>208.6</v>
      </c>
      <c r="E99" s="64">
        <v>6.61</v>
      </c>
      <c r="F99" s="64">
        <v>7.47</v>
      </c>
      <c r="G99" s="64">
        <v>100.1</v>
      </c>
      <c r="H99" s="64">
        <v>33.479999999999997</v>
      </c>
      <c r="I99" s="64">
        <v>4.09</v>
      </c>
      <c r="J99" s="64">
        <v>0.56999999999999995</v>
      </c>
      <c r="K99" s="64">
        <v>342.69</v>
      </c>
      <c r="L99" s="64">
        <v>22.1</v>
      </c>
      <c r="M99" s="64">
        <v>38.58</v>
      </c>
      <c r="N99" s="64">
        <v>59.3</v>
      </c>
      <c r="O99" s="64">
        <v>0</v>
      </c>
      <c r="P99" s="64">
        <v>1.85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47" t="s">
        <v>2735</v>
      </c>
      <c r="B100" s="64">
        <v>104.29</v>
      </c>
      <c r="C100" s="64">
        <v>105.77</v>
      </c>
      <c r="D100" s="64">
        <v>138.9</v>
      </c>
      <c r="E100" s="64">
        <v>6.2</v>
      </c>
      <c r="F100" s="64">
        <v>7.31</v>
      </c>
      <c r="G100" s="64">
        <v>103.91</v>
      </c>
      <c r="H100" s="64">
        <v>33.61</v>
      </c>
      <c r="I100" s="64">
        <v>3.99</v>
      </c>
      <c r="J100" s="64">
        <v>0.64</v>
      </c>
      <c r="K100" s="64">
        <v>327.76</v>
      </c>
      <c r="L100" s="64">
        <v>21.76</v>
      </c>
      <c r="M100" s="64">
        <v>44.01</v>
      </c>
      <c r="N100" s="64">
        <v>59.6</v>
      </c>
      <c r="O100" s="64">
        <v>0</v>
      </c>
      <c r="P100" s="64">
        <v>1.82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2736</v>
      </c>
      <c r="B101" s="64">
        <v>79.03</v>
      </c>
      <c r="C101" s="64">
        <v>108.03</v>
      </c>
      <c r="D101" s="64">
        <v>119.82</v>
      </c>
      <c r="E101" s="64">
        <v>4.63</v>
      </c>
      <c r="F101" s="64">
        <v>7.34</v>
      </c>
      <c r="G101" s="64">
        <v>116.43</v>
      </c>
      <c r="H101" s="64">
        <v>34.020000000000003</v>
      </c>
      <c r="I101" s="64">
        <v>4.08</v>
      </c>
      <c r="J101" s="64">
        <v>0.45</v>
      </c>
      <c r="K101" s="64">
        <v>296.16000000000003</v>
      </c>
      <c r="L101" s="64">
        <v>21.26</v>
      </c>
      <c r="M101" s="64">
        <v>43.18</v>
      </c>
      <c r="N101" s="64">
        <v>59.3</v>
      </c>
      <c r="O101" s="64">
        <v>0</v>
      </c>
      <c r="P101" s="64">
        <v>1.62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47" t="s">
        <v>2737</v>
      </c>
      <c r="B102" s="64">
        <v>71.63</v>
      </c>
      <c r="C102" s="64">
        <v>118.11</v>
      </c>
      <c r="D102" s="64">
        <v>119.15</v>
      </c>
      <c r="E102" s="64">
        <v>4.8899999999999997</v>
      </c>
      <c r="F102" s="64">
        <v>7.67</v>
      </c>
      <c r="G102" s="64">
        <v>116.43</v>
      </c>
      <c r="H102" s="64">
        <v>34.020000000000003</v>
      </c>
      <c r="I102" s="64">
        <v>3.85</v>
      </c>
      <c r="J102" s="64">
        <v>0.67</v>
      </c>
      <c r="K102" s="64">
        <v>282.17</v>
      </c>
      <c r="L102" s="64">
        <v>21.27</v>
      </c>
      <c r="M102" s="64">
        <v>39.6</v>
      </c>
      <c r="N102" s="64">
        <v>59.5</v>
      </c>
      <c r="O102" s="64">
        <v>0</v>
      </c>
      <c r="P102" s="64">
        <v>1.55</v>
      </c>
      <c r="Q102" s="64">
        <v>9.58</v>
      </c>
      <c r="R102" s="198"/>
      <c r="S102" s="198"/>
      <c r="T102" s="198"/>
      <c r="U102" s="198"/>
    </row>
    <row r="103" spans="1:33" s="12" customFormat="1" x14ac:dyDescent="0.25">
      <c r="A103" s="247" t="s">
        <v>2738</v>
      </c>
      <c r="B103" s="64">
        <v>71.67</v>
      </c>
      <c r="C103" s="64">
        <v>99.58</v>
      </c>
      <c r="D103" s="64">
        <v>109.5</v>
      </c>
      <c r="E103" s="64">
        <v>5.03</v>
      </c>
      <c r="F103" s="64">
        <v>8.07</v>
      </c>
      <c r="G103" s="64">
        <v>116.43</v>
      </c>
      <c r="H103" s="64">
        <v>34.020000000000003</v>
      </c>
      <c r="I103" s="64">
        <v>3.87</v>
      </c>
      <c r="J103" s="64">
        <v>0.62</v>
      </c>
      <c r="K103" s="64">
        <v>313.10000000000002</v>
      </c>
      <c r="L103" s="64">
        <v>20.96</v>
      </c>
      <c r="M103" s="64">
        <v>42.39</v>
      </c>
      <c r="N103" s="64">
        <v>59.8</v>
      </c>
      <c r="O103" s="64">
        <v>0</v>
      </c>
      <c r="P103" s="64">
        <v>1.53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47" t="s">
        <v>2739</v>
      </c>
      <c r="B104" s="64">
        <v>60.56</v>
      </c>
      <c r="C104" s="64">
        <v>111.69</v>
      </c>
      <c r="D104" s="64">
        <v>106.92</v>
      </c>
      <c r="E104" s="64">
        <v>5.86</v>
      </c>
      <c r="F104" s="64">
        <v>7.17</v>
      </c>
      <c r="G104" s="64">
        <v>114.45</v>
      </c>
      <c r="H104" s="64">
        <v>34.39</v>
      </c>
      <c r="I104" s="64">
        <v>3.89</v>
      </c>
      <c r="J104" s="64">
        <v>0.16</v>
      </c>
      <c r="K104" s="64">
        <v>287.42</v>
      </c>
      <c r="L104" s="64">
        <v>21.08</v>
      </c>
      <c r="M104" s="64">
        <v>38.83</v>
      </c>
      <c r="N104" s="64">
        <v>58.9</v>
      </c>
      <c r="O104" s="64">
        <v>0</v>
      </c>
      <c r="P104" s="64">
        <v>1.38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2.71</v>
      </c>
      <c r="C106" s="67">
        <f>MIN(C9:C104)</f>
        <v>39.9</v>
      </c>
      <c r="D106" s="67">
        <f t="shared" ref="D106:Q106" si="0">MIN(D9:D104)</f>
        <v>23.56</v>
      </c>
      <c r="E106" s="67">
        <f t="shared" si="0"/>
        <v>3.21</v>
      </c>
      <c r="F106" s="67">
        <f t="shared" si="0"/>
        <v>6.84</v>
      </c>
      <c r="G106" s="67">
        <f t="shared" si="0"/>
        <v>41.26</v>
      </c>
      <c r="H106" s="67">
        <f t="shared" si="0"/>
        <v>6.48</v>
      </c>
      <c r="I106" s="67">
        <f t="shared" si="0"/>
        <v>3.77</v>
      </c>
      <c r="J106" s="67">
        <f t="shared" si="0"/>
        <v>0.16</v>
      </c>
      <c r="K106" s="67">
        <f t="shared" si="0"/>
        <v>1.79</v>
      </c>
      <c r="L106" s="67">
        <f t="shared" si="0"/>
        <v>17.18</v>
      </c>
      <c r="M106" s="67">
        <f t="shared" si="0"/>
        <v>12.38</v>
      </c>
      <c r="N106" s="67">
        <f t="shared" si="0"/>
        <v>57.8</v>
      </c>
      <c r="O106" s="67">
        <f t="shared" si="0"/>
        <v>0</v>
      </c>
      <c r="P106" s="67">
        <f t="shared" si="0"/>
        <v>0.38</v>
      </c>
      <c r="Q106" s="67">
        <f t="shared" si="0"/>
        <v>8.89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175.95</v>
      </c>
      <c r="C107" s="66">
        <f t="shared" ref="C107:Q107" si="1">MAX(C9:C104)</f>
        <v>154.4</v>
      </c>
      <c r="D107" s="66">
        <f t="shared" si="1"/>
        <v>208.6</v>
      </c>
      <c r="E107" s="66">
        <f t="shared" si="1"/>
        <v>24.14</v>
      </c>
      <c r="F107" s="66">
        <f t="shared" si="1"/>
        <v>45.87</v>
      </c>
      <c r="G107" s="66">
        <f t="shared" si="1"/>
        <v>302.89</v>
      </c>
      <c r="H107" s="66">
        <f t="shared" si="1"/>
        <v>114.2</v>
      </c>
      <c r="I107" s="66">
        <f t="shared" si="1"/>
        <v>4.21</v>
      </c>
      <c r="J107" s="66">
        <f t="shared" si="1"/>
        <v>1.92</v>
      </c>
      <c r="K107" s="66">
        <f t="shared" si="1"/>
        <v>358.22</v>
      </c>
      <c r="L107" s="66">
        <f t="shared" si="1"/>
        <v>35.01</v>
      </c>
      <c r="M107" s="66">
        <f t="shared" si="1"/>
        <v>74.94</v>
      </c>
      <c r="N107" s="66">
        <f t="shared" si="1"/>
        <v>851.6</v>
      </c>
      <c r="O107" s="66">
        <f t="shared" si="1"/>
        <v>0</v>
      </c>
      <c r="P107" s="66">
        <f t="shared" si="1"/>
        <v>2.5099999999999998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37.281458333333347</v>
      </c>
      <c r="C108" s="67">
        <f t="shared" ref="C108:Q108" si="2">AVERAGE(C9:C104)</f>
        <v>82.849895833333321</v>
      </c>
      <c r="D108" s="67">
        <f t="shared" si="2"/>
        <v>73.183125000000004</v>
      </c>
      <c r="E108" s="67">
        <f t="shared" si="2"/>
        <v>8.1038541666666646</v>
      </c>
      <c r="F108" s="67">
        <f t="shared" si="2"/>
        <v>15.813125000000001</v>
      </c>
      <c r="G108" s="67">
        <f t="shared" si="2"/>
        <v>117.91291666666666</v>
      </c>
      <c r="H108" s="67">
        <f t="shared" si="2"/>
        <v>42.931354166666665</v>
      </c>
      <c r="I108" s="67">
        <f t="shared" si="2"/>
        <v>4.0045833333333336</v>
      </c>
      <c r="J108" s="67">
        <f t="shared" si="2"/>
        <v>0.69333333333333336</v>
      </c>
      <c r="K108" s="67">
        <f t="shared" si="2"/>
        <v>211.75177083333332</v>
      </c>
      <c r="L108" s="67">
        <f t="shared" si="2"/>
        <v>25.621458333333347</v>
      </c>
      <c r="M108" s="67">
        <f t="shared" si="2"/>
        <v>36.510312500000005</v>
      </c>
      <c r="N108" s="67">
        <f t="shared" si="2"/>
        <v>269.31354166666659</v>
      </c>
      <c r="O108" s="67">
        <f t="shared" si="2"/>
        <v>0</v>
      </c>
      <c r="P108" s="67">
        <f t="shared" si="2"/>
        <v>1.2213541666666665</v>
      </c>
      <c r="Q108" s="67">
        <f t="shared" si="2"/>
        <v>9.3569791666666671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33.762396615455152</v>
      </c>
      <c r="C109" s="67">
        <f t="shared" ref="C109:Q109" si="3">STDEV(C9:C104)</f>
        <v>27.376183060032385</v>
      </c>
      <c r="D109" s="67">
        <f t="shared" si="3"/>
        <v>37.692157841693749</v>
      </c>
      <c r="E109" s="67">
        <f t="shared" si="3"/>
        <v>4.6108910817739455</v>
      </c>
      <c r="F109" s="67">
        <f t="shared" si="3"/>
        <v>10.960854491517095</v>
      </c>
      <c r="G109" s="67">
        <f t="shared" si="3"/>
        <v>73.485375543518415</v>
      </c>
      <c r="H109" s="67">
        <f t="shared" si="3"/>
        <v>27.816619894542459</v>
      </c>
      <c r="I109" s="67">
        <f t="shared" si="3"/>
        <v>0.10123361899109944</v>
      </c>
      <c r="J109" s="67">
        <f t="shared" si="3"/>
        <v>0.37424637723990473</v>
      </c>
      <c r="K109" s="67">
        <f t="shared" si="3"/>
        <v>105.04522849450485</v>
      </c>
      <c r="L109" s="67">
        <f t="shared" si="3"/>
        <v>5.6732110983697943</v>
      </c>
      <c r="M109" s="67">
        <f t="shared" si="3"/>
        <v>19.022622070251813</v>
      </c>
      <c r="N109" s="67">
        <f t="shared" si="3"/>
        <v>288.72170341908725</v>
      </c>
      <c r="O109" s="67">
        <f t="shared" si="3"/>
        <v>0</v>
      </c>
      <c r="P109" s="67">
        <f t="shared" si="3"/>
        <v>0.49275513250907499</v>
      </c>
      <c r="Q109" s="67">
        <f t="shared" si="3"/>
        <v>0.2646670989103368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62" sqref="A6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2740</v>
      </c>
      <c r="B9" s="64">
        <v>67.540000000000006</v>
      </c>
      <c r="C9" s="64">
        <v>102.58</v>
      </c>
      <c r="D9" s="64">
        <v>107.76</v>
      </c>
      <c r="E9" s="64">
        <v>4.5199999999999996</v>
      </c>
      <c r="F9" s="64">
        <v>7.23</v>
      </c>
      <c r="G9" s="64">
        <v>108.32</v>
      </c>
      <c r="H9" s="64">
        <v>35.630000000000003</v>
      </c>
      <c r="I9" s="64">
        <v>4.09</v>
      </c>
      <c r="J9" s="64">
        <v>0.1</v>
      </c>
      <c r="K9" s="64">
        <v>63.08</v>
      </c>
      <c r="L9" s="64">
        <v>21.33</v>
      </c>
      <c r="M9" s="64">
        <v>39.18</v>
      </c>
      <c r="N9" s="64">
        <v>58.8</v>
      </c>
      <c r="O9" s="64">
        <v>0</v>
      </c>
      <c r="P9" s="64">
        <v>1.39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47" t="s">
        <v>2741</v>
      </c>
      <c r="B10" s="64">
        <v>45.45</v>
      </c>
      <c r="C10" s="64">
        <v>90.68</v>
      </c>
      <c r="D10" s="64">
        <v>83.83</v>
      </c>
      <c r="E10" s="64">
        <v>5.0999999999999996</v>
      </c>
      <c r="F10" s="64">
        <v>13.04</v>
      </c>
      <c r="G10" s="64">
        <v>108.32</v>
      </c>
      <c r="H10" s="64">
        <v>35.630000000000003</v>
      </c>
      <c r="I10" s="64">
        <v>3.99</v>
      </c>
      <c r="J10" s="64">
        <v>0.35</v>
      </c>
      <c r="K10" s="64">
        <v>309.70999999999998</v>
      </c>
      <c r="L10" s="64">
        <v>21.36</v>
      </c>
      <c r="M10" s="64">
        <v>39.15</v>
      </c>
      <c r="N10" s="64">
        <v>59.3</v>
      </c>
      <c r="O10" s="64">
        <v>0</v>
      </c>
      <c r="P10" s="64">
        <v>1.21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47" t="s">
        <v>2742</v>
      </c>
      <c r="B11" s="64">
        <v>53.18</v>
      </c>
      <c r="C11" s="64">
        <v>86.71</v>
      </c>
      <c r="D11" s="64">
        <v>87.95</v>
      </c>
      <c r="E11" s="64">
        <v>4.17</v>
      </c>
      <c r="F11" s="64">
        <v>9.69</v>
      </c>
      <c r="G11" s="64">
        <v>108.32</v>
      </c>
      <c r="H11" s="64">
        <v>35.630000000000003</v>
      </c>
      <c r="I11" s="64">
        <v>3.89</v>
      </c>
      <c r="J11" s="64">
        <v>0.65</v>
      </c>
      <c r="K11" s="64">
        <v>274.73</v>
      </c>
      <c r="L11" s="64">
        <v>20.59</v>
      </c>
      <c r="M11" s="64">
        <v>42.83</v>
      </c>
      <c r="N11" s="64">
        <v>59.6</v>
      </c>
      <c r="O11" s="64">
        <v>0</v>
      </c>
      <c r="P11" s="64">
        <v>1.29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47" t="s">
        <v>2743</v>
      </c>
      <c r="B12" s="64">
        <v>42.82</v>
      </c>
      <c r="C12" s="64">
        <v>89.82</v>
      </c>
      <c r="D12" s="64">
        <v>81.27</v>
      </c>
      <c r="E12" s="64">
        <v>4.84</v>
      </c>
      <c r="F12" s="64">
        <v>11.11</v>
      </c>
      <c r="G12" s="64">
        <v>105.18</v>
      </c>
      <c r="H12" s="64">
        <v>34.479999999999997</v>
      </c>
      <c r="I12" s="64">
        <v>4.09</v>
      </c>
      <c r="J12" s="64">
        <v>0.55000000000000004</v>
      </c>
      <c r="K12" s="64">
        <v>276.98</v>
      </c>
      <c r="L12" s="64">
        <v>20.93</v>
      </c>
      <c r="M12" s="64">
        <v>40.159999999999997</v>
      </c>
      <c r="N12" s="64">
        <v>59.1</v>
      </c>
      <c r="O12" s="64">
        <v>0</v>
      </c>
      <c r="P12" s="64">
        <v>1.06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47" t="s">
        <v>2744</v>
      </c>
      <c r="B13" s="64">
        <v>28.15</v>
      </c>
      <c r="C13" s="64">
        <v>71.28</v>
      </c>
      <c r="D13" s="64">
        <v>59.82</v>
      </c>
      <c r="E13" s="64">
        <v>5.27</v>
      </c>
      <c r="F13" s="64">
        <v>18.32</v>
      </c>
      <c r="G13" s="64">
        <v>95.45</v>
      </c>
      <c r="H13" s="64">
        <v>30.7</v>
      </c>
      <c r="I13" s="64">
        <v>3.83</v>
      </c>
      <c r="J13" s="64">
        <v>0.56000000000000005</v>
      </c>
      <c r="K13" s="64">
        <v>190.38</v>
      </c>
      <c r="L13" s="64">
        <v>20.6</v>
      </c>
      <c r="M13" s="64">
        <v>41.5</v>
      </c>
      <c r="N13" s="64">
        <v>58.9</v>
      </c>
      <c r="O13" s="64">
        <v>0</v>
      </c>
      <c r="P13" s="64">
        <v>0.85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47" t="s">
        <v>2745</v>
      </c>
      <c r="B14" s="64">
        <v>26.51</v>
      </c>
      <c r="C14" s="64">
        <v>62.82</v>
      </c>
      <c r="D14" s="64">
        <v>54.08</v>
      </c>
      <c r="E14" s="64">
        <v>5.91</v>
      </c>
      <c r="F14" s="64">
        <v>19.420000000000002</v>
      </c>
      <c r="G14" s="64">
        <v>95.45</v>
      </c>
      <c r="H14" s="64">
        <v>30.7</v>
      </c>
      <c r="I14" s="64">
        <v>3.92</v>
      </c>
      <c r="J14" s="64">
        <v>0.59</v>
      </c>
      <c r="K14" s="64">
        <v>307.7</v>
      </c>
      <c r="L14" s="64">
        <v>20.329999999999998</v>
      </c>
      <c r="M14" s="64">
        <v>42.74</v>
      </c>
      <c r="N14" s="64">
        <v>59.6</v>
      </c>
      <c r="O14" s="64">
        <v>0</v>
      </c>
      <c r="P14" s="64">
        <v>0.84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47" t="s">
        <v>2746</v>
      </c>
      <c r="B15" s="64">
        <v>27.27</v>
      </c>
      <c r="C15" s="64">
        <v>58.38</v>
      </c>
      <c r="D15" s="64">
        <v>52.37</v>
      </c>
      <c r="E15" s="64">
        <v>6.12</v>
      </c>
      <c r="F15" s="64">
        <v>21.41</v>
      </c>
      <c r="G15" s="64">
        <v>95.45</v>
      </c>
      <c r="H15" s="64">
        <v>30.7</v>
      </c>
      <c r="I15" s="64">
        <v>4.03</v>
      </c>
      <c r="J15" s="64">
        <v>0.45</v>
      </c>
      <c r="K15" s="64">
        <v>285.19</v>
      </c>
      <c r="L15" s="64">
        <v>20.23</v>
      </c>
      <c r="M15" s="64">
        <v>42.71</v>
      </c>
      <c r="N15" s="64">
        <v>59.5</v>
      </c>
      <c r="O15" s="64">
        <v>0</v>
      </c>
      <c r="P15" s="64">
        <v>0.8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47" t="s">
        <v>2747</v>
      </c>
      <c r="B16" s="64">
        <v>33.64</v>
      </c>
      <c r="C16" s="64">
        <v>64.45</v>
      </c>
      <c r="D16" s="64">
        <v>60.65</v>
      </c>
      <c r="E16" s="64">
        <v>4.7300000000000004</v>
      </c>
      <c r="F16" s="64">
        <v>15.5</v>
      </c>
      <c r="G16" s="64">
        <v>90.85</v>
      </c>
      <c r="H16" s="64">
        <v>29.78</v>
      </c>
      <c r="I16" s="64">
        <v>4.05</v>
      </c>
      <c r="J16" s="64">
        <v>0.56000000000000005</v>
      </c>
      <c r="K16" s="64">
        <v>289.49</v>
      </c>
      <c r="L16" s="64">
        <v>19.829999999999998</v>
      </c>
      <c r="M16" s="64">
        <v>46.44</v>
      </c>
      <c r="N16" s="64">
        <v>58.9</v>
      </c>
      <c r="O16" s="64">
        <v>0</v>
      </c>
      <c r="P16" s="64">
        <v>0.99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47" t="s">
        <v>2748</v>
      </c>
      <c r="B17" s="64">
        <v>22.18</v>
      </c>
      <c r="C17" s="64">
        <v>55.12</v>
      </c>
      <c r="D17" s="64">
        <v>46.59</v>
      </c>
      <c r="E17" s="64">
        <v>6.16</v>
      </c>
      <c r="F17" s="64">
        <v>20.38</v>
      </c>
      <c r="G17" s="64">
        <v>75.72</v>
      </c>
      <c r="H17" s="64">
        <v>26.77</v>
      </c>
      <c r="I17" s="64">
        <v>4.0599999999999996</v>
      </c>
      <c r="J17" s="64">
        <v>0.34</v>
      </c>
      <c r="K17" s="64">
        <v>271.77999999999997</v>
      </c>
      <c r="L17" s="64">
        <v>20.010000000000002</v>
      </c>
      <c r="M17" s="64">
        <v>42.6</v>
      </c>
      <c r="N17" s="64">
        <v>59.1</v>
      </c>
      <c r="O17" s="64">
        <v>0</v>
      </c>
      <c r="P17" s="64">
        <v>0.82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47" t="s">
        <v>2749</v>
      </c>
      <c r="B18" s="64">
        <v>22.76</v>
      </c>
      <c r="C18" s="64">
        <v>55.31</v>
      </c>
      <c r="D18" s="64">
        <v>47.15</v>
      </c>
      <c r="E18" s="64">
        <v>6.61</v>
      </c>
      <c r="F18" s="64">
        <v>20.32</v>
      </c>
      <c r="G18" s="64">
        <v>75.72</v>
      </c>
      <c r="H18" s="64">
        <v>26.77</v>
      </c>
      <c r="I18" s="64">
        <v>3.87</v>
      </c>
      <c r="J18" s="64">
        <v>0.51</v>
      </c>
      <c r="K18" s="64">
        <v>306.27999999999997</v>
      </c>
      <c r="L18" s="64">
        <v>19.96</v>
      </c>
      <c r="M18" s="64">
        <v>42.08</v>
      </c>
      <c r="N18" s="64">
        <v>59.1</v>
      </c>
      <c r="O18" s="64">
        <v>0</v>
      </c>
      <c r="P18" s="64">
        <v>0.87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47" t="s">
        <v>2750</v>
      </c>
      <c r="B19" s="64">
        <v>21.34</v>
      </c>
      <c r="C19" s="64">
        <v>52.59</v>
      </c>
      <c r="D19" s="64">
        <v>44.59</v>
      </c>
      <c r="E19" s="64">
        <v>7.27</v>
      </c>
      <c r="F19" s="64">
        <v>19.100000000000001</v>
      </c>
      <c r="G19" s="64">
        <v>75.72</v>
      </c>
      <c r="H19" s="64">
        <v>26.77</v>
      </c>
      <c r="I19" s="64">
        <v>3.9</v>
      </c>
      <c r="J19" s="64">
        <v>0.47</v>
      </c>
      <c r="K19" s="64">
        <v>338.52</v>
      </c>
      <c r="L19" s="64">
        <v>19.77</v>
      </c>
      <c r="M19" s="64">
        <v>43.35</v>
      </c>
      <c r="N19" s="64">
        <v>59.1</v>
      </c>
      <c r="O19" s="64">
        <v>0</v>
      </c>
      <c r="P19" s="64">
        <v>0.86</v>
      </c>
      <c r="Q19" s="64">
        <v>9.58</v>
      </c>
      <c r="R19" s="198"/>
      <c r="S19" s="198"/>
      <c r="T19" s="198"/>
      <c r="U19" s="198"/>
    </row>
    <row r="20" spans="1:21" s="12" customFormat="1" x14ac:dyDescent="0.25">
      <c r="A20" s="247" t="s">
        <v>2751</v>
      </c>
      <c r="B20" s="64">
        <v>38.020000000000003</v>
      </c>
      <c r="C20" s="64">
        <v>61.77</v>
      </c>
      <c r="D20" s="64">
        <v>62.76</v>
      </c>
      <c r="E20" s="64">
        <v>5.26</v>
      </c>
      <c r="F20" s="64">
        <v>9.7100000000000009</v>
      </c>
      <c r="G20" s="64">
        <v>75.09</v>
      </c>
      <c r="H20" s="64">
        <v>25.63</v>
      </c>
      <c r="I20" s="64">
        <v>3.94</v>
      </c>
      <c r="J20" s="64">
        <v>0.28000000000000003</v>
      </c>
      <c r="K20" s="64">
        <v>343.01</v>
      </c>
      <c r="L20" s="64">
        <v>19.559999999999999</v>
      </c>
      <c r="M20" s="64">
        <v>45.43</v>
      </c>
      <c r="N20" s="64">
        <v>59.4</v>
      </c>
      <c r="O20" s="64">
        <v>0</v>
      </c>
      <c r="P20" s="64">
        <v>1.1000000000000001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47" t="s">
        <v>2752</v>
      </c>
      <c r="B21" s="64">
        <v>33.369999999999997</v>
      </c>
      <c r="C21" s="64">
        <v>61.96</v>
      </c>
      <c r="D21" s="64">
        <v>59.13</v>
      </c>
      <c r="E21" s="64">
        <v>4.13</v>
      </c>
      <c r="F21" s="64">
        <v>9.5500000000000007</v>
      </c>
      <c r="G21" s="64">
        <v>73.02</v>
      </c>
      <c r="H21" s="64">
        <v>21.89</v>
      </c>
      <c r="I21" s="64">
        <v>4.04</v>
      </c>
      <c r="J21" s="64">
        <v>0.52</v>
      </c>
      <c r="K21" s="64">
        <v>91.05</v>
      </c>
      <c r="L21" s="64">
        <v>19.55</v>
      </c>
      <c r="M21" s="64">
        <v>41.85</v>
      </c>
      <c r="N21" s="64">
        <v>59.5</v>
      </c>
      <c r="O21" s="64">
        <v>0</v>
      </c>
      <c r="P21" s="64">
        <v>1.0900000000000001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47" t="s">
        <v>2753</v>
      </c>
      <c r="B22" s="64">
        <v>27.81</v>
      </c>
      <c r="C22" s="64">
        <v>63.05</v>
      </c>
      <c r="D22" s="64">
        <v>55.24</v>
      </c>
      <c r="E22" s="64">
        <v>4.47</v>
      </c>
      <c r="F22" s="64">
        <v>10.29</v>
      </c>
      <c r="G22" s="64">
        <v>73.02</v>
      </c>
      <c r="H22" s="64">
        <v>21.89</v>
      </c>
      <c r="I22" s="64">
        <v>3.9</v>
      </c>
      <c r="J22" s="64">
        <v>0.48</v>
      </c>
      <c r="K22" s="64">
        <v>236.96</v>
      </c>
      <c r="L22" s="64">
        <v>19.649999999999999</v>
      </c>
      <c r="M22" s="64">
        <v>45.48</v>
      </c>
      <c r="N22" s="64">
        <v>59.5</v>
      </c>
      <c r="O22" s="64">
        <v>0</v>
      </c>
      <c r="P22" s="64">
        <v>1.02</v>
      </c>
      <c r="Q22" s="64">
        <v>9.52</v>
      </c>
      <c r="R22" s="198"/>
      <c r="S22" s="198"/>
      <c r="T22" s="198"/>
      <c r="U22" s="198"/>
    </row>
    <row r="23" spans="1:21" s="12" customFormat="1" x14ac:dyDescent="0.25">
      <c r="A23" s="247" t="s">
        <v>2754</v>
      </c>
      <c r="B23" s="64">
        <v>27.82</v>
      </c>
      <c r="C23" s="64">
        <v>63.9</v>
      </c>
      <c r="D23" s="64">
        <v>55.69</v>
      </c>
      <c r="E23" s="64">
        <v>3.76</v>
      </c>
      <c r="F23" s="64">
        <v>8.85</v>
      </c>
      <c r="G23" s="64">
        <v>73.02</v>
      </c>
      <c r="H23" s="64">
        <v>21.89</v>
      </c>
      <c r="I23" s="64">
        <v>3.92</v>
      </c>
      <c r="J23" s="64">
        <v>0.28999999999999998</v>
      </c>
      <c r="K23" s="64">
        <v>180.21</v>
      </c>
      <c r="L23" s="64">
        <v>18.95</v>
      </c>
      <c r="M23" s="64">
        <v>48.5</v>
      </c>
      <c r="N23" s="64">
        <v>59.6</v>
      </c>
      <c r="O23" s="64">
        <v>0</v>
      </c>
      <c r="P23" s="64">
        <v>1.05</v>
      </c>
      <c r="Q23" s="64">
        <v>9.5299999999999994</v>
      </c>
      <c r="R23" s="198"/>
      <c r="S23" s="198"/>
      <c r="T23" s="198"/>
      <c r="U23" s="198"/>
    </row>
    <row r="24" spans="1:21" s="12" customFormat="1" x14ac:dyDescent="0.25">
      <c r="A24" s="247" t="s">
        <v>2755</v>
      </c>
      <c r="B24" s="64">
        <v>27.02</v>
      </c>
      <c r="C24" s="64">
        <v>65.010000000000005</v>
      </c>
      <c r="D24" s="64">
        <v>55.64</v>
      </c>
      <c r="E24" s="64">
        <v>3.5</v>
      </c>
      <c r="F24" s="64">
        <v>8.92</v>
      </c>
      <c r="G24" s="64">
        <v>77.33</v>
      </c>
      <c r="H24" s="64">
        <v>21.92</v>
      </c>
      <c r="I24" s="64">
        <v>4.04</v>
      </c>
      <c r="J24" s="64">
        <v>0.35</v>
      </c>
      <c r="K24" s="64">
        <v>167.27</v>
      </c>
      <c r="L24" s="64">
        <v>18.66</v>
      </c>
      <c r="M24" s="64">
        <v>48.93</v>
      </c>
      <c r="N24" s="64">
        <v>59.6</v>
      </c>
      <c r="O24" s="64">
        <v>0</v>
      </c>
      <c r="P24" s="64">
        <v>1.03</v>
      </c>
      <c r="Q24" s="64">
        <v>9.5299999999999994</v>
      </c>
      <c r="R24" s="198"/>
      <c r="S24" s="198"/>
      <c r="T24" s="198"/>
      <c r="U24" s="198"/>
    </row>
    <row r="25" spans="1:21" s="12" customFormat="1" x14ac:dyDescent="0.25">
      <c r="A25" s="247" t="s">
        <v>2756</v>
      </c>
      <c r="B25" s="64">
        <v>38.82</v>
      </c>
      <c r="C25" s="64">
        <v>66.31</v>
      </c>
      <c r="D25" s="64">
        <v>65.78</v>
      </c>
      <c r="E25" s="64">
        <v>3.32</v>
      </c>
      <c r="F25" s="64">
        <v>7.32</v>
      </c>
      <c r="G25" s="64">
        <v>91.49</v>
      </c>
      <c r="H25" s="64">
        <v>21.98</v>
      </c>
      <c r="I25" s="64">
        <v>4.17</v>
      </c>
      <c r="J25" s="64">
        <v>0.42</v>
      </c>
      <c r="K25" s="64">
        <v>250.47</v>
      </c>
      <c r="L25" s="64">
        <v>18.489999999999998</v>
      </c>
      <c r="M25" s="64">
        <v>51.99</v>
      </c>
      <c r="N25" s="64">
        <v>59.3</v>
      </c>
      <c r="O25" s="64">
        <v>0</v>
      </c>
      <c r="P25" s="64">
        <v>1.08</v>
      </c>
      <c r="Q25" s="64">
        <v>9.52</v>
      </c>
      <c r="R25" s="198"/>
      <c r="S25" s="198"/>
      <c r="T25" s="198"/>
      <c r="U25" s="198"/>
    </row>
    <row r="26" spans="1:21" s="12" customFormat="1" x14ac:dyDescent="0.25">
      <c r="A26" s="247" t="s">
        <v>2757</v>
      </c>
      <c r="B26" s="64">
        <v>33.32</v>
      </c>
      <c r="C26" s="64">
        <v>68.47</v>
      </c>
      <c r="D26" s="64">
        <v>62.5</v>
      </c>
      <c r="E26" s="64">
        <v>3.58</v>
      </c>
      <c r="F26" s="64">
        <v>6.99</v>
      </c>
      <c r="G26" s="64">
        <v>91.49</v>
      </c>
      <c r="H26" s="64">
        <v>21.98</v>
      </c>
      <c r="I26" s="64">
        <v>4.05</v>
      </c>
      <c r="J26" s="64">
        <v>0.7</v>
      </c>
      <c r="K26" s="64">
        <v>219.6</v>
      </c>
      <c r="L26" s="64">
        <v>18.88</v>
      </c>
      <c r="M26" s="64">
        <v>49.14</v>
      </c>
      <c r="N26" s="64">
        <v>58.7</v>
      </c>
      <c r="O26" s="64">
        <v>0</v>
      </c>
      <c r="P26" s="64">
        <v>1.05</v>
      </c>
      <c r="Q26" s="64">
        <v>9.51</v>
      </c>
      <c r="R26" s="198"/>
      <c r="S26" s="198"/>
      <c r="T26" s="198"/>
      <c r="U26" s="198"/>
    </row>
    <row r="27" spans="1:21" s="12" customFormat="1" x14ac:dyDescent="0.25">
      <c r="A27" s="247" t="s">
        <v>2758</v>
      </c>
      <c r="B27" s="64">
        <v>35.19</v>
      </c>
      <c r="C27" s="64">
        <v>68.459999999999994</v>
      </c>
      <c r="D27" s="64">
        <v>63.98</v>
      </c>
      <c r="E27" s="64">
        <v>3.16</v>
      </c>
      <c r="F27" s="64">
        <v>6.69</v>
      </c>
      <c r="G27" s="64">
        <v>91.49</v>
      </c>
      <c r="H27" s="64">
        <v>21.98</v>
      </c>
      <c r="I27" s="64">
        <v>4.0999999999999996</v>
      </c>
      <c r="J27" s="64">
        <v>1.02</v>
      </c>
      <c r="K27" s="64">
        <v>188.38</v>
      </c>
      <c r="L27" s="64">
        <v>19.57</v>
      </c>
      <c r="M27" s="64">
        <v>50.64</v>
      </c>
      <c r="N27" s="64">
        <v>57.5</v>
      </c>
      <c r="O27" s="64">
        <v>0</v>
      </c>
      <c r="P27" s="64">
        <v>1.06</v>
      </c>
      <c r="Q27" s="64">
        <v>9.5299999999999994</v>
      </c>
      <c r="R27" s="198"/>
      <c r="S27" s="198"/>
      <c r="T27" s="198"/>
      <c r="U27" s="198"/>
    </row>
    <row r="28" spans="1:21" s="12" customFormat="1" x14ac:dyDescent="0.25">
      <c r="A28" s="247" t="s">
        <v>2759</v>
      </c>
      <c r="B28" s="64">
        <v>32.69</v>
      </c>
      <c r="C28" s="64">
        <v>68.91</v>
      </c>
      <c r="D28" s="64">
        <v>62.22</v>
      </c>
      <c r="E28" s="64">
        <v>3.22</v>
      </c>
      <c r="F28" s="64">
        <v>6.84</v>
      </c>
      <c r="G28" s="64">
        <v>96</v>
      </c>
      <c r="H28" s="64">
        <v>25.48</v>
      </c>
      <c r="I28" s="64">
        <v>3.92</v>
      </c>
      <c r="J28" s="64">
        <v>0.64</v>
      </c>
      <c r="K28" s="64">
        <v>238.68</v>
      </c>
      <c r="L28" s="64">
        <v>19.82</v>
      </c>
      <c r="M28" s="64">
        <v>51.1</v>
      </c>
      <c r="N28" s="64">
        <v>59</v>
      </c>
      <c r="O28" s="64">
        <v>0</v>
      </c>
      <c r="P28" s="64">
        <v>1.05</v>
      </c>
      <c r="Q28" s="64">
        <v>9.52</v>
      </c>
      <c r="R28" s="198"/>
      <c r="S28" s="198"/>
      <c r="T28" s="198"/>
      <c r="U28" s="198"/>
    </row>
    <row r="29" spans="1:21" s="12" customFormat="1" x14ac:dyDescent="0.25">
      <c r="A29" s="247" t="s">
        <v>2760</v>
      </c>
      <c r="B29" s="64">
        <v>30.55</v>
      </c>
      <c r="C29" s="64">
        <v>65.31</v>
      </c>
      <c r="D29" s="64">
        <v>58.62</v>
      </c>
      <c r="E29" s="64">
        <v>3.6</v>
      </c>
      <c r="F29" s="64">
        <v>8.06</v>
      </c>
      <c r="G29" s="64">
        <v>110.83</v>
      </c>
      <c r="H29" s="64">
        <v>36.99</v>
      </c>
      <c r="I29" s="64">
        <v>4.1500000000000004</v>
      </c>
      <c r="J29" s="64">
        <v>0.67</v>
      </c>
      <c r="K29" s="64">
        <v>309.02</v>
      </c>
      <c r="L29" s="64">
        <v>19.18</v>
      </c>
      <c r="M29" s="64">
        <v>52.46</v>
      </c>
      <c r="N29" s="64">
        <v>59.6</v>
      </c>
      <c r="O29" s="64">
        <v>0</v>
      </c>
      <c r="P29" s="64">
        <v>1.04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47" t="s">
        <v>2761</v>
      </c>
      <c r="B30" s="64">
        <v>30.87</v>
      </c>
      <c r="C30" s="64">
        <v>66.62</v>
      </c>
      <c r="D30" s="64">
        <v>59.56</v>
      </c>
      <c r="E30" s="64">
        <v>3.94</v>
      </c>
      <c r="F30" s="64">
        <v>8.16</v>
      </c>
      <c r="G30" s="64">
        <v>110.83</v>
      </c>
      <c r="H30" s="64">
        <v>36.99</v>
      </c>
      <c r="I30" s="64">
        <v>4.04</v>
      </c>
      <c r="J30" s="64">
        <v>0.65</v>
      </c>
      <c r="K30" s="64">
        <v>330.85</v>
      </c>
      <c r="L30" s="64">
        <v>18.170000000000002</v>
      </c>
      <c r="M30" s="64">
        <v>58.1</v>
      </c>
      <c r="N30" s="64">
        <v>60</v>
      </c>
      <c r="O30" s="64">
        <v>0</v>
      </c>
      <c r="P30" s="64">
        <v>1.02</v>
      </c>
      <c r="Q30" s="64">
        <v>9.5299999999999994</v>
      </c>
      <c r="R30" s="198"/>
      <c r="S30" s="198"/>
      <c r="T30" s="198"/>
      <c r="U30" s="198"/>
    </row>
    <row r="31" spans="1:21" s="12" customFormat="1" x14ac:dyDescent="0.25">
      <c r="A31" s="247" t="s">
        <v>2762</v>
      </c>
      <c r="B31" s="64">
        <v>43.64</v>
      </c>
      <c r="C31" s="64">
        <v>66.02</v>
      </c>
      <c r="D31" s="64">
        <v>69.489999999999995</v>
      </c>
      <c r="E31" s="64">
        <v>4.4800000000000004</v>
      </c>
      <c r="F31" s="64">
        <v>8.5399999999999991</v>
      </c>
      <c r="G31" s="64">
        <v>110.83</v>
      </c>
      <c r="H31" s="64">
        <v>36.99</v>
      </c>
      <c r="I31" s="64">
        <v>3.98</v>
      </c>
      <c r="J31" s="64">
        <v>0.67</v>
      </c>
      <c r="K31" s="64">
        <v>332.28</v>
      </c>
      <c r="L31" s="64">
        <v>17.940000000000001</v>
      </c>
      <c r="M31" s="64">
        <v>57.51</v>
      </c>
      <c r="N31" s="64">
        <v>59.8</v>
      </c>
      <c r="O31" s="64">
        <v>0</v>
      </c>
      <c r="P31" s="64">
        <v>1.08</v>
      </c>
      <c r="Q31" s="64">
        <v>9.56</v>
      </c>
      <c r="R31" s="198"/>
      <c r="S31" s="198"/>
      <c r="T31" s="198"/>
      <c r="U31" s="198"/>
    </row>
    <row r="32" spans="1:21" s="12" customFormat="1" x14ac:dyDescent="0.25">
      <c r="A32" s="247" t="s">
        <v>2763</v>
      </c>
      <c r="B32" s="64">
        <v>44.05</v>
      </c>
      <c r="C32" s="64">
        <v>67.95</v>
      </c>
      <c r="D32" s="64">
        <v>70.819999999999993</v>
      </c>
      <c r="E32" s="64">
        <v>4.17</v>
      </c>
      <c r="F32" s="64">
        <v>7.44</v>
      </c>
      <c r="G32" s="64">
        <v>113.73</v>
      </c>
      <c r="H32" s="64">
        <v>38.159999999999997</v>
      </c>
      <c r="I32" s="64">
        <v>4.09</v>
      </c>
      <c r="J32" s="64">
        <v>0.6</v>
      </c>
      <c r="K32" s="64">
        <v>19.21</v>
      </c>
      <c r="L32" s="64">
        <v>17.600000000000001</v>
      </c>
      <c r="M32" s="64">
        <v>56.54</v>
      </c>
      <c r="N32" s="64">
        <v>61.8</v>
      </c>
      <c r="O32" s="64">
        <v>0</v>
      </c>
      <c r="P32" s="64">
        <v>1.06</v>
      </c>
      <c r="Q32" s="64">
        <v>9.56</v>
      </c>
      <c r="R32" s="198"/>
      <c r="S32" s="198"/>
      <c r="T32" s="198"/>
      <c r="U32" s="198"/>
    </row>
    <row r="33" spans="1:21" s="12" customFormat="1" x14ac:dyDescent="0.25">
      <c r="A33" s="247" t="s">
        <v>2764</v>
      </c>
      <c r="B33" s="64">
        <v>50.6</v>
      </c>
      <c r="C33" s="64">
        <v>71.39</v>
      </c>
      <c r="D33" s="64">
        <v>77.87</v>
      </c>
      <c r="E33" s="64">
        <v>4.92</v>
      </c>
      <c r="F33" s="64">
        <v>8.15</v>
      </c>
      <c r="G33" s="64">
        <v>123.26</v>
      </c>
      <c r="H33" s="64">
        <v>42</v>
      </c>
      <c r="I33" s="64">
        <v>3.97</v>
      </c>
      <c r="J33" s="64">
        <v>0.32</v>
      </c>
      <c r="K33" s="64">
        <v>235.16</v>
      </c>
      <c r="L33" s="64">
        <v>18</v>
      </c>
      <c r="M33" s="64">
        <v>55.35</v>
      </c>
      <c r="N33" s="64">
        <v>70.099999999999994</v>
      </c>
      <c r="O33" s="64">
        <v>0</v>
      </c>
      <c r="P33" s="64">
        <v>1.1399999999999999</v>
      </c>
      <c r="Q33" s="64">
        <v>9.5500000000000007</v>
      </c>
      <c r="R33" s="198"/>
      <c r="S33" s="198"/>
      <c r="T33" s="198"/>
      <c r="U33" s="198"/>
    </row>
    <row r="34" spans="1:21" s="12" customFormat="1" x14ac:dyDescent="0.25">
      <c r="A34" s="247" t="s">
        <v>2765</v>
      </c>
      <c r="B34" s="64">
        <v>39.82</v>
      </c>
      <c r="C34" s="64">
        <v>65.06</v>
      </c>
      <c r="D34" s="64">
        <v>65.92</v>
      </c>
      <c r="E34" s="64">
        <v>4.6399999999999997</v>
      </c>
      <c r="F34" s="64">
        <v>7.48</v>
      </c>
      <c r="G34" s="64">
        <v>123.26</v>
      </c>
      <c r="H34" s="64">
        <v>42</v>
      </c>
      <c r="I34" s="64">
        <v>4.07</v>
      </c>
      <c r="J34" s="64">
        <v>0.38</v>
      </c>
      <c r="K34" s="64">
        <v>26.7</v>
      </c>
      <c r="L34" s="64">
        <v>18.440000000000001</v>
      </c>
      <c r="M34" s="64">
        <v>55.27</v>
      </c>
      <c r="N34" s="64">
        <v>89.4</v>
      </c>
      <c r="O34" s="64">
        <v>0</v>
      </c>
      <c r="P34" s="64">
        <v>1.1399999999999999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47" t="s">
        <v>2766</v>
      </c>
      <c r="B35" s="64">
        <v>58.5</v>
      </c>
      <c r="C35" s="64">
        <v>75.03</v>
      </c>
      <c r="D35" s="64">
        <v>86.11</v>
      </c>
      <c r="E35" s="64">
        <v>6.09</v>
      </c>
      <c r="F35" s="64">
        <v>8.0500000000000007</v>
      </c>
      <c r="G35" s="64">
        <v>123.26</v>
      </c>
      <c r="H35" s="64">
        <v>42</v>
      </c>
      <c r="I35" s="64">
        <v>3.89</v>
      </c>
      <c r="J35" s="64">
        <v>0.08</v>
      </c>
      <c r="K35" s="64">
        <v>147.71</v>
      </c>
      <c r="L35" s="64">
        <v>19.37</v>
      </c>
      <c r="M35" s="64">
        <v>50.71</v>
      </c>
      <c r="N35" s="64">
        <v>120.3</v>
      </c>
      <c r="O35" s="64">
        <v>0</v>
      </c>
      <c r="P35" s="64">
        <v>1.29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47" t="s">
        <v>2767</v>
      </c>
      <c r="B36" s="64">
        <v>52.51</v>
      </c>
      <c r="C36" s="64">
        <v>78.66</v>
      </c>
      <c r="D36" s="64">
        <v>83.21</v>
      </c>
      <c r="E36" s="64">
        <v>6.39</v>
      </c>
      <c r="F36" s="64">
        <v>8.76</v>
      </c>
      <c r="G36" s="64">
        <v>123.7</v>
      </c>
      <c r="H36" s="64">
        <v>43.74</v>
      </c>
      <c r="I36" s="64">
        <v>4.13</v>
      </c>
      <c r="J36" s="64">
        <v>7.0000000000000007E-2</v>
      </c>
      <c r="K36" s="64">
        <v>321.08999999999997</v>
      </c>
      <c r="L36" s="64">
        <v>20.55</v>
      </c>
      <c r="M36" s="64">
        <v>51.77</v>
      </c>
      <c r="N36" s="64">
        <v>158.80000000000001</v>
      </c>
      <c r="O36" s="64">
        <v>0</v>
      </c>
      <c r="P36" s="64">
        <v>1.42</v>
      </c>
      <c r="Q36" s="64">
        <v>9.5299999999999994</v>
      </c>
      <c r="R36" s="198"/>
      <c r="S36" s="198"/>
      <c r="T36" s="198"/>
      <c r="U36" s="198"/>
    </row>
    <row r="37" spans="1:21" s="12" customFormat="1" x14ac:dyDescent="0.25">
      <c r="A37" s="247" t="s">
        <v>2768</v>
      </c>
      <c r="B37" s="64">
        <v>56.09</v>
      </c>
      <c r="C37" s="64">
        <v>80.709999999999994</v>
      </c>
      <c r="D37" s="64">
        <v>87.15</v>
      </c>
      <c r="E37" s="64">
        <v>8.1999999999999993</v>
      </c>
      <c r="F37" s="64">
        <v>7.46</v>
      </c>
      <c r="G37" s="64">
        <v>125.15</v>
      </c>
      <c r="H37" s="64">
        <v>49.47</v>
      </c>
      <c r="I37" s="64">
        <v>4.05</v>
      </c>
      <c r="J37" s="64">
        <v>0.27</v>
      </c>
      <c r="K37" s="64">
        <v>323.05</v>
      </c>
      <c r="L37" s="64">
        <v>22.13</v>
      </c>
      <c r="M37" s="64">
        <v>46.04</v>
      </c>
      <c r="N37" s="64">
        <v>203.3</v>
      </c>
      <c r="O37" s="64">
        <v>0</v>
      </c>
      <c r="P37" s="64">
        <v>1.37</v>
      </c>
      <c r="Q37" s="64">
        <v>9.5500000000000007</v>
      </c>
      <c r="R37" s="198"/>
      <c r="S37" s="198"/>
      <c r="T37" s="198"/>
      <c r="U37" s="198"/>
    </row>
    <row r="38" spans="1:21" s="12" customFormat="1" x14ac:dyDescent="0.25">
      <c r="A38" s="247" t="s">
        <v>2769</v>
      </c>
      <c r="B38" s="64">
        <v>47.26</v>
      </c>
      <c r="C38" s="64">
        <v>64.42</v>
      </c>
      <c r="D38" s="64">
        <v>71.56</v>
      </c>
      <c r="E38" s="64">
        <v>4.29</v>
      </c>
      <c r="F38" s="64">
        <v>6.7</v>
      </c>
      <c r="G38" s="64">
        <v>125.15</v>
      </c>
      <c r="H38" s="64">
        <v>49.47</v>
      </c>
      <c r="I38" s="64">
        <v>3.96</v>
      </c>
      <c r="J38" s="64">
        <v>0.22</v>
      </c>
      <c r="K38" s="64">
        <v>48.7</v>
      </c>
      <c r="L38" s="64">
        <v>23.55</v>
      </c>
      <c r="M38" s="64">
        <v>46.63</v>
      </c>
      <c r="N38" s="64">
        <v>243.6</v>
      </c>
      <c r="O38" s="64">
        <v>0</v>
      </c>
      <c r="P38" s="64">
        <v>1.22</v>
      </c>
      <c r="Q38" s="64">
        <v>9.56</v>
      </c>
      <c r="R38" s="198"/>
      <c r="S38" s="198"/>
      <c r="T38" s="198"/>
      <c r="U38" s="198"/>
    </row>
    <row r="39" spans="1:21" s="12" customFormat="1" x14ac:dyDescent="0.25">
      <c r="A39" s="247" t="s">
        <v>2770</v>
      </c>
      <c r="B39" s="64">
        <v>47.08</v>
      </c>
      <c r="C39" s="64">
        <v>79.37</v>
      </c>
      <c r="D39" s="64">
        <v>79.22</v>
      </c>
      <c r="E39" s="64">
        <v>4.5999999999999996</v>
      </c>
      <c r="F39" s="64">
        <v>8.42</v>
      </c>
      <c r="G39" s="64">
        <v>125.15</v>
      </c>
      <c r="H39" s="64">
        <v>49.47</v>
      </c>
      <c r="I39" s="64">
        <v>3.96</v>
      </c>
      <c r="J39" s="64">
        <v>0.38</v>
      </c>
      <c r="K39" s="64">
        <v>281.48</v>
      </c>
      <c r="L39" s="64">
        <v>25.37</v>
      </c>
      <c r="M39" s="64">
        <v>38.35</v>
      </c>
      <c r="N39" s="64">
        <v>285.10000000000002</v>
      </c>
      <c r="O39" s="64">
        <v>0</v>
      </c>
      <c r="P39" s="64">
        <v>1.36</v>
      </c>
      <c r="Q39" s="64">
        <v>9.56</v>
      </c>
      <c r="R39" s="198"/>
      <c r="S39" s="198"/>
      <c r="T39" s="198"/>
      <c r="U39" s="198"/>
    </row>
    <row r="40" spans="1:21" s="12" customFormat="1" x14ac:dyDescent="0.25">
      <c r="A40" s="247" t="s">
        <v>2771</v>
      </c>
      <c r="B40" s="64">
        <v>45.3</v>
      </c>
      <c r="C40" s="64">
        <v>80.09</v>
      </c>
      <c r="D40" s="64">
        <v>78.180000000000007</v>
      </c>
      <c r="E40" s="64">
        <v>7.77</v>
      </c>
      <c r="F40" s="64">
        <v>8.31</v>
      </c>
      <c r="G40" s="64">
        <v>150.26</v>
      </c>
      <c r="H40" s="64">
        <v>51.74</v>
      </c>
      <c r="I40" s="64">
        <v>4.0999999999999996</v>
      </c>
      <c r="J40" s="64">
        <v>0.94</v>
      </c>
      <c r="K40" s="64">
        <v>292.94</v>
      </c>
      <c r="L40" s="64">
        <v>27.09</v>
      </c>
      <c r="M40" s="64">
        <v>33.29</v>
      </c>
      <c r="N40" s="64">
        <v>317.89999999999998</v>
      </c>
      <c r="O40" s="64">
        <v>0</v>
      </c>
      <c r="P40" s="64">
        <v>1.38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47" t="s">
        <v>2772</v>
      </c>
      <c r="B41" s="64">
        <v>47.23</v>
      </c>
      <c r="C41" s="64">
        <v>80.23</v>
      </c>
      <c r="D41" s="64">
        <v>79.8</v>
      </c>
      <c r="E41" s="64">
        <v>8.59</v>
      </c>
      <c r="F41" s="64">
        <v>7.8</v>
      </c>
      <c r="G41" s="64">
        <v>232.76</v>
      </c>
      <c r="H41" s="64">
        <v>59.17</v>
      </c>
      <c r="I41" s="64">
        <v>3.93</v>
      </c>
      <c r="J41" s="64">
        <v>0.84</v>
      </c>
      <c r="K41" s="64">
        <v>308.93</v>
      </c>
      <c r="L41" s="64">
        <v>28.11</v>
      </c>
      <c r="M41" s="64">
        <v>29.38</v>
      </c>
      <c r="N41" s="64">
        <v>362.6</v>
      </c>
      <c r="O41" s="64">
        <v>0</v>
      </c>
      <c r="P41" s="64">
        <v>1.43</v>
      </c>
      <c r="Q41" s="64">
        <v>9.5500000000000007</v>
      </c>
      <c r="R41" s="198"/>
      <c r="S41" s="198"/>
      <c r="T41" s="198"/>
      <c r="U41" s="198"/>
    </row>
    <row r="42" spans="1:21" s="12" customFormat="1" x14ac:dyDescent="0.25">
      <c r="A42" s="247" t="s">
        <v>2773</v>
      </c>
      <c r="B42" s="64">
        <v>44.84</v>
      </c>
      <c r="C42" s="64">
        <v>83.23</v>
      </c>
      <c r="D42" s="64">
        <v>79.44</v>
      </c>
      <c r="E42" s="64">
        <v>12.44</v>
      </c>
      <c r="F42" s="64">
        <v>10.1</v>
      </c>
      <c r="G42" s="64">
        <v>232.76</v>
      </c>
      <c r="H42" s="64">
        <v>59.17</v>
      </c>
      <c r="I42" s="64">
        <v>3.99</v>
      </c>
      <c r="J42" s="64">
        <v>0.93</v>
      </c>
      <c r="K42" s="64">
        <v>338.41</v>
      </c>
      <c r="L42" s="64">
        <v>28.86</v>
      </c>
      <c r="M42" s="64">
        <v>26.67</v>
      </c>
      <c r="N42" s="64">
        <v>409.4</v>
      </c>
      <c r="O42" s="64">
        <v>0</v>
      </c>
      <c r="P42" s="64">
        <v>1.43</v>
      </c>
      <c r="Q42" s="64">
        <v>9.56</v>
      </c>
      <c r="R42" s="198"/>
      <c r="S42" s="198"/>
      <c r="T42" s="198"/>
      <c r="U42" s="198"/>
    </row>
    <row r="43" spans="1:21" s="12" customFormat="1" x14ac:dyDescent="0.25">
      <c r="A43" s="247" t="s">
        <v>2774</v>
      </c>
      <c r="B43" s="64">
        <v>41.78</v>
      </c>
      <c r="C43" s="64">
        <v>83.62</v>
      </c>
      <c r="D43" s="64">
        <v>77.2</v>
      </c>
      <c r="E43" s="64">
        <v>14.69</v>
      </c>
      <c r="F43" s="64">
        <v>9.8000000000000007</v>
      </c>
      <c r="G43" s="64">
        <v>232.76</v>
      </c>
      <c r="H43" s="64">
        <v>59.17</v>
      </c>
      <c r="I43" s="64">
        <v>4.07</v>
      </c>
      <c r="J43" s="64">
        <v>0.53</v>
      </c>
      <c r="K43" s="64">
        <v>358.68</v>
      </c>
      <c r="L43" s="64">
        <v>29.28</v>
      </c>
      <c r="M43" s="64">
        <v>25.41</v>
      </c>
      <c r="N43" s="64">
        <v>463</v>
      </c>
      <c r="O43" s="64">
        <v>0</v>
      </c>
      <c r="P43" s="64">
        <v>1.42</v>
      </c>
      <c r="Q43" s="64">
        <v>9.56</v>
      </c>
      <c r="R43" s="198"/>
      <c r="S43" s="198"/>
      <c r="T43" s="198"/>
      <c r="U43" s="198"/>
    </row>
    <row r="44" spans="1:21" s="12" customFormat="1" x14ac:dyDescent="0.25">
      <c r="A44" s="247" t="s">
        <v>2775</v>
      </c>
      <c r="B44" s="64">
        <v>34.61</v>
      </c>
      <c r="C44" s="64">
        <v>90.39</v>
      </c>
      <c r="D44" s="64">
        <v>74.98</v>
      </c>
      <c r="E44" s="64">
        <v>14.91</v>
      </c>
      <c r="F44" s="64">
        <v>11.47</v>
      </c>
      <c r="G44" s="64">
        <v>232.28</v>
      </c>
      <c r="H44" s="64">
        <v>61.75</v>
      </c>
      <c r="I44" s="64">
        <v>4</v>
      </c>
      <c r="J44" s="64">
        <v>1.17</v>
      </c>
      <c r="K44" s="64">
        <v>352.14</v>
      </c>
      <c r="L44" s="64">
        <v>30.95</v>
      </c>
      <c r="M44" s="64">
        <v>22.63</v>
      </c>
      <c r="N44" s="64">
        <v>506.5</v>
      </c>
      <c r="O44" s="64">
        <v>0</v>
      </c>
      <c r="P44" s="64">
        <v>1.42</v>
      </c>
      <c r="Q44" s="64">
        <v>9.56</v>
      </c>
      <c r="R44" s="198"/>
      <c r="S44" s="198"/>
      <c r="T44" s="198"/>
      <c r="U44" s="198"/>
    </row>
    <row r="45" spans="1:21" s="12" customFormat="1" x14ac:dyDescent="0.25">
      <c r="A45" s="247" t="s">
        <v>2776</v>
      </c>
      <c r="B45" s="64">
        <v>36.29</v>
      </c>
      <c r="C45" s="64">
        <v>91.66</v>
      </c>
      <c r="D45" s="64">
        <v>76.989999999999995</v>
      </c>
      <c r="E45" s="64">
        <v>15.32</v>
      </c>
      <c r="F45" s="64">
        <v>11.71</v>
      </c>
      <c r="G45" s="64">
        <v>230.71</v>
      </c>
      <c r="H45" s="64">
        <v>70.23</v>
      </c>
      <c r="I45" s="64">
        <v>3.95</v>
      </c>
      <c r="J45" s="64">
        <v>0.93</v>
      </c>
      <c r="K45" s="64">
        <v>350.7</v>
      </c>
      <c r="L45" s="64">
        <v>31.31</v>
      </c>
      <c r="M45" s="64">
        <v>25.29</v>
      </c>
      <c r="N45" s="64">
        <v>570.9</v>
      </c>
      <c r="O45" s="64">
        <v>0</v>
      </c>
      <c r="P45" s="64">
        <v>1.49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47" t="s">
        <v>2777</v>
      </c>
      <c r="B46" s="64">
        <v>33.21</v>
      </c>
      <c r="C46" s="64">
        <v>100.66</v>
      </c>
      <c r="D46" s="64">
        <v>79.22</v>
      </c>
      <c r="E46" s="64">
        <v>19.600000000000001</v>
      </c>
      <c r="F46" s="64">
        <v>10.69</v>
      </c>
      <c r="G46" s="64">
        <v>230.71</v>
      </c>
      <c r="H46" s="64">
        <v>70.23</v>
      </c>
      <c r="I46" s="64">
        <v>3.91</v>
      </c>
      <c r="J46" s="64">
        <v>0.86</v>
      </c>
      <c r="K46" s="64">
        <v>328.78</v>
      </c>
      <c r="L46" s="64">
        <v>31.21</v>
      </c>
      <c r="M46" s="64">
        <v>24.69</v>
      </c>
      <c r="N46" s="64">
        <v>612</v>
      </c>
      <c r="O46" s="64">
        <v>0</v>
      </c>
      <c r="P46" s="64">
        <v>1.56</v>
      </c>
      <c r="Q46" s="64">
        <v>9.5299999999999994</v>
      </c>
      <c r="R46" s="198"/>
      <c r="S46" s="198"/>
      <c r="T46" s="198"/>
      <c r="U46" s="198"/>
    </row>
    <row r="47" spans="1:21" s="12" customFormat="1" x14ac:dyDescent="0.25">
      <c r="A47" s="247" t="s">
        <v>2778</v>
      </c>
      <c r="B47" s="64">
        <v>30.68</v>
      </c>
      <c r="C47" s="64">
        <v>95.45</v>
      </c>
      <c r="D47" s="64">
        <v>74.47</v>
      </c>
      <c r="E47" s="64">
        <v>6.25</v>
      </c>
      <c r="F47" s="64">
        <v>8.19</v>
      </c>
      <c r="G47" s="64">
        <v>230.71</v>
      </c>
      <c r="H47" s="64">
        <v>70.23</v>
      </c>
      <c r="I47" s="64">
        <v>4.03</v>
      </c>
      <c r="J47" s="64">
        <v>0.85</v>
      </c>
      <c r="K47" s="64">
        <v>233.25</v>
      </c>
      <c r="L47" s="64">
        <v>30.11</v>
      </c>
      <c r="M47" s="64">
        <v>23.8</v>
      </c>
      <c r="N47" s="64">
        <v>671.3</v>
      </c>
      <c r="O47" s="64">
        <v>0</v>
      </c>
      <c r="P47" s="64">
        <v>1.48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47" t="s">
        <v>2779</v>
      </c>
      <c r="B48" s="64">
        <v>20.99</v>
      </c>
      <c r="C48" s="64">
        <v>89.72</v>
      </c>
      <c r="D48" s="64">
        <v>63.71</v>
      </c>
      <c r="E48" s="64">
        <v>6.98</v>
      </c>
      <c r="F48" s="64">
        <v>13.45</v>
      </c>
      <c r="G48" s="64">
        <v>210.76</v>
      </c>
      <c r="H48" s="64">
        <v>70.36</v>
      </c>
      <c r="I48" s="64">
        <v>3.95</v>
      </c>
      <c r="J48" s="64">
        <v>0.76</v>
      </c>
      <c r="K48" s="64">
        <v>255.06</v>
      </c>
      <c r="L48" s="64">
        <v>30.29</v>
      </c>
      <c r="M48" s="64">
        <v>23.93</v>
      </c>
      <c r="N48" s="64">
        <v>704.3</v>
      </c>
      <c r="O48" s="64">
        <v>0</v>
      </c>
      <c r="P48" s="64">
        <v>1.46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47" t="s">
        <v>2780</v>
      </c>
      <c r="B49" s="64">
        <v>16.239999999999998</v>
      </c>
      <c r="C49" s="64">
        <v>89.88</v>
      </c>
      <c r="D49" s="64">
        <v>59.98</v>
      </c>
      <c r="E49" s="64">
        <v>6.38</v>
      </c>
      <c r="F49" s="64">
        <v>10.75</v>
      </c>
      <c r="G49" s="64">
        <v>149.1</v>
      </c>
      <c r="H49" s="64">
        <v>70.81</v>
      </c>
      <c r="I49" s="64">
        <v>3.86</v>
      </c>
      <c r="J49" s="64">
        <v>0.75</v>
      </c>
      <c r="K49" s="64">
        <v>255.02</v>
      </c>
      <c r="L49" s="64">
        <v>30.88</v>
      </c>
      <c r="M49" s="64">
        <v>23.47</v>
      </c>
      <c r="N49" s="64">
        <v>734.2</v>
      </c>
      <c r="O49" s="64">
        <v>0</v>
      </c>
      <c r="P49" s="64">
        <v>1.43</v>
      </c>
      <c r="Q49" s="64">
        <v>9.5399999999999991</v>
      </c>
      <c r="R49" s="198"/>
      <c r="S49" s="198"/>
      <c r="T49" s="198"/>
      <c r="U49" s="198"/>
    </row>
    <row r="50" spans="1:21" s="12" customFormat="1" x14ac:dyDescent="0.25">
      <c r="A50" s="247" t="s">
        <v>2781</v>
      </c>
      <c r="B50" s="64">
        <v>12.36</v>
      </c>
      <c r="C50" s="64">
        <v>91.72</v>
      </c>
      <c r="D50" s="64">
        <v>57.83</v>
      </c>
      <c r="E50" s="64">
        <v>5.31</v>
      </c>
      <c r="F50" s="64">
        <v>13.04</v>
      </c>
      <c r="G50" s="64">
        <v>149.1</v>
      </c>
      <c r="H50" s="64">
        <v>70.81</v>
      </c>
      <c r="I50" s="64">
        <v>3.99</v>
      </c>
      <c r="J50" s="64">
        <v>0.8</v>
      </c>
      <c r="K50" s="64">
        <v>255.67</v>
      </c>
      <c r="L50" s="64">
        <v>31.69</v>
      </c>
      <c r="M50" s="64">
        <v>21.49</v>
      </c>
      <c r="N50" s="64">
        <v>766.8</v>
      </c>
      <c r="O50" s="64">
        <v>0</v>
      </c>
      <c r="P50" s="64">
        <v>1.38</v>
      </c>
      <c r="Q50" s="64">
        <v>9.51</v>
      </c>
      <c r="R50" s="198"/>
      <c r="S50" s="198"/>
      <c r="T50" s="198"/>
      <c r="U50" s="198"/>
    </row>
    <row r="51" spans="1:21" s="12" customFormat="1" x14ac:dyDescent="0.25">
      <c r="A51" s="247" t="s">
        <v>2782</v>
      </c>
      <c r="B51" s="64">
        <v>6.81</v>
      </c>
      <c r="C51" s="64">
        <v>83.59</v>
      </c>
      <c r="D51" s="64">
        <v>49.13</v>
      </c>
      <c r="E51" s="64">
        <v>6.18</v>
      </c>
      <c r="F51" s="64">
        <v>15.44</v>
      </c>
      <c r="G51" s="64">
        <v>149.1</v>
      </c>
      <c r="H51" s="64">
        <v>70.81</v>
      </c>
      <c r="I51" s="64">
        <v>3.87</v>
      </c>
      <c r="J51" s="64">
        <v>0.82</v>
      </c>
      <c r="K51" s="64">
        <v>205.75</v>
      </c>
      <c r="L51" s="64">
        <v>31.78</v>
      </c>
      <c r="M51" s="64">
        <v>21.06</v>
      </c>
      <c r="N51" s="64">
        <v>776.7</v>
      </c>
      <c r="O51" s="64">
        <v>0</v>
      </c>
      <c r="P51" s="64">
        <v>1.25</v>
      </c>
      <c r="Q51" s="64">
        <v>9.48</v>
      </c>
      <c r="R51" s="198"/>
      <c r="S51" s="198"/>
      <c r="T51" s="198"/>
      <c r="U51" s="198"/>
    </row>
    <row r="52" spans="1:21" s="12" customFormat="1" x14ac:dyDescent="0.25">
      <c r="A52" s="247" t="s">
        <v>2783</v>
      </c>
      <c r="B52" s="64">
        <v>5.51</v>
      </c>
      <c r="C52" s="64">
        <v>84.72</v>
      </c>
      <c r="D52" s="64">
        <v>48.68</v>
      </c>
      <c r="E52" s="64">
        <v>10.01</v>
      </c>
      <c r="F52" s="64">
        <v>18.86</v>
      </c>
      <c r="G52" s="64">
        <v>133.94</v>
      </c>
      <c r="H52" s="64">
        <v>67.52</v>
      </c>
      <c r="I52" s="64">
        <v>3.95</v>
      </c>
      <c r="J52" s="64">
        <v>0.67</v>
      </c>
      <c r="K52" s="64">
        <v>249.02</v>
      </c>
      <c r="L52" s="64">
        <v>32.04</v>
      </c>
      <c r="M52" s="64">
        <v>22.19</v>
      </c>
      <c r="N52" s="64">
        <v>781</v>
      </c>
      <c r="O52" s="64">
        <v>0</v>
      </c>
      <c r="P52" s="64">
        <v>1.23</v>
      </c>
      <c r="Q52" s="64">
        <v>9.44</v>
      </c>
      <c r="R52" s="198"/>
      <c r="S52" s="198"/>
      <c r="T52" s="198"/>
      <c r="U52" s="198"/>
    </row>
    <row r="53" spans="1:21" s="12" customFormat="1" x14ac:dyDescent="0.25">
      <c r="A53" s="247" t="s">
        <v>2784</v>
      </c>
      <c r="B53" s="64">
        <v>4.32</v>
      </c>
      <c r="C53" s="64">
        <v>83.03</v>
      </c>
      <c r="D53" s="64">
        <v>46.85</v>
      </c>
      <c r="E53" s="64">
        <v>9.18</v>
      </c>
      <c r="F53" s="64">
        <v>15.17</v>
      </c>
      <c r="G53" s="64">
        <v>84.13</v>
      </c>
      <c r="H53" s="64">
        <v>56.7</v>
      </c>
      <c r="I53" s="64">
        <v>3.98</v>
      </c>
      <c r="J53" s="64">
        <v>0.64</v>
      </c>
      <c r="K53" s="64">
        <v>259.5</v>
      </c>
      <c r="L53" s="64">
        <v>33.58</v>
      </c>
      <c r="M53" s="64">
        <v>22.04</v>
      </c>
      <c r="N53" s="64">
        <v>793.8</v>
      </c>
      <c r="O53" s="64">
        <v>0</v>
      </c>
      <c r="P53" s="64">
        <v>1.21</v>
      </c>
      <c r="Q53" s="64">
        <v>9.3699999999999992</v>
      </c>
      <c r="R53" s="198"/>
      <c r="S53" s="198"/>
      <c r="T53" s="198"/>
      <c r="U53" s="198"/>
    </row>
    <row r="54" spans="1:21" s="12" customFormat="1" x14ac:dyDescent="0.25">
      <c r="A54" s="247" t="s">
        <v>2785</v>
      </c>
      <c r="B54" s="64">
        <v>3.39</v>
      </c>
      <c r="C54" s="64">
        <v>81.47</v>
      </c>
      <c r="D54" s="64">
        <v>45.28</v>
      </c>
      <c r="E54" s="64">
        <v>5.92</v>
      </c>
      <c r="F54" s="64">
        <v>13.69</v>
      </c>
      <c r="G54" s="64">
        <v>0</v>
      </c>
      <c r="H54" s="64">
        <v>56.7</v>
      </c>
      <c r="I54" s="64">
        <v>4.03</v>
      </c>
      <c r="J54" s="64">
        <v>0.76</v>
      </c>
      <c r="K54" s="64">
        <v>268.24</v>
      </c>
      <c r="L54" s="64">
        <v>0.57999999999999996</v>
      </c>
      <c r="M54" s="64">
        <v>21.39</v>
      </c>
      <c r="N54" s="64">
        <v>810.2</v>
      </c>
      <c r="O54" s="64">
        <v>0</v>
      </c>
      <c r="P54" s="64">
        <v>1.1499999999999999</v>
      </c>
      <c r="Q54" s="64">
        <v>9.32</v>
      </c>
      <c r="R54" s="198"/>
      <c r="S54" s="198"/>
      <c r="T54" s="198"/>
      <c r="U54" s="198"/>
    </row>
    <row r="55" spans="1:21" s="12" customFormat="1" x14ac:dyDescent="0.25">
      <c r="A55" s="247" t="s">
        <v>2786</v>
      </c>
      <c r="B55" s="248" t="s">
        <v>32</v>
      </c>
      <c r="C55" s="248" t="s">
        <v>32</v>
      </c>
      <c r="D55" s="248" t="s">
        <v>32</v>
      </c>
      <c r="E55" s="248" t="s">
        <v>32</v>
      </c>
      <c r="F55" s="248" t="s">
        <v>32</v>
      </c>
      <c r="G55" s="248" t="s">
        <v>32</v>
      </c>
      <c r="H55" s="248" t="s">
        <v>32</v>
      </c>
      <c r="I55" s="248" t="s">
        <v>32</v>
      </c>
      <c r="J55" s="248" t="s">
        <v>32</v>
      </c>
      <c r="K55" s="248" t="s">
        <v>32</v>
      </c>
      <c r="L55" s="248" t="s">
        <v>32</v>
      </c>
      <c r="M55" s="248" t="s">
        <v>32</v>
      </c>
      <c r="N55" s="248" t="s">
        <v>32</v>
      </c>
      <c r="O55" s="248" t="s">
        <v>32</v>
      </c>
      <c r="P55" s="248" t="s">
        <v>32</v>
      </c>
      <c r="Q55" s="248" t="s">
        <v>32</v>
      </c>
      <c r="R55" s="198"/>
      <c r="S55" s="198"/>
      <c r="T55" s="198"/>
      <c r="U55" s="198"/>
    </row>
    <row r="56" spans="1:21" s="12" customFormat="1" x14ac:dyDescent="0.25">
      <c r="A56" s="247" t="s">
        <v>2787</v>
      </c>
      <c r="B56" s="248" t="s">
        <v>32</v>
      </c>
      <c r="C56" s="248" t="s">
        <v>32</v>
      </c>
      <c r="D56" s="248" t="s">
        <v>32</v>
      </c>
      <c r="E56" s="248" t="s">
        <v>32</v>
      </c>
      <c r="F56" s="248" t="s">
        <v>32</v>
      </c>
      <c r="G56" s="248" t="s">
        <v>32</v>
      </c>
      <c r="H56" s="248" t="s">
        <v>32</v>
      </c>
      <c r="I56" s="248" t="s">
        <v>32</v>
      </c>
      <c r="J56" s="248" t="s">
        <v>32</v>
      </c>
      <c r="K56" s="248" t="s">
        <v>32</v>
      </c>
      <c r="L56" s="248" t="s">
        <v>32</v>
      </c>
      <c r="M56" s="248" t="s">
        <v>32</v>
      </c>
      <c r="N56" s="248" t="s">
        <v>32</v>
      </c>
      <c r="O56" s="248" t="s">
        <v>32</v>
      </c>
      <c r="P56" s="248" t="s">
        <v>32</v>
      </c>
      <c r="Q56" s="248" t="s">
        <v>32</v>
      </c>
      <c r="R56" s="198"/>
      <c r="S56" s="198"/>
      <c r="T56" s="198"/>
      <c r="U56" s="198"/>
    </row>
    <row r="57" spans="1:21" s="12" customFormat="1" x14ac:dyDescent="0.25">
      <c r="A57" s="247" t="s">
        <v>2788</v>
      </c>
      <c r="B57" s="248" t="s">
        <v>32</v>
      </c>
      <c r="C57" s="248" t="s">
        <v>32</v>
      </c>
      <c r="D57" s="248" t="s">
        <v>32</v>
      </c>
      <c r="E57" s="248" t="s">
        <v>32</v>
      </c>
      <c r="F57" s="248" t="s">
        <v>32</v>
      </c>
      <c r="G57" s="248" t="s">
        <v>32</v>
      </c>
      <c r="H57" s="248" t="s">
        <v>32</v>
      </c>
      <c r="I57" s="248" t="s">
        <v>32</v>
      </c>
      <c r="J57" s="248" t="s">
        <v>32</v>
      </c>
      <c r="K57" s="248" t="s">
        <v>32</v>
      </c>
      <c r="L57" s="248" t="s">
        <v>32</v>
      </c>
      <c r="M57" s="248" t="s">
        <v>32</v>
      </c>
      <c r="N57" s="248" t="s">
        <v>32</v>
      </c>
      <c r="O57" s="248" t="s">
        <v>32</v>
      </c>
      <c r="P57" s="248" t="s">
        <v>32</v>
      </c>
      <c r="Q57" s="248" t="s">
        <v>32</v>
      </c>
      <c r="R57" s="198"/>
      <c r="S57" s="198"/>
      <c r="T57" s="198"/>
      <c r="U57" s="198"/>
    </row>
    <row r="58" spans="1:21" s="12" customFormat="1" x14ac:dyDescent="0.25">
      <c r="A58" s="247" t="s">
        <v>2789</v>
      </c>
      <c r="B58" s="248" t="s">
        <v>32</v>
      </c>
      <c r="C58" s="248" t="s">
        <v>32</v>
      </c>
      <c r="D58" s="248" t="s">
        <v>32</v>
      </c>
      <c r="E58" s="248" t="s">
        <v>32</v>
      </c>
      <c r="F58" s="248" t="s">
        <v>32</v>
      </c>
      <c r="G58" s="248" t="s">
        <v>32</v>
      </c>
      <c r="H58" s="248" t="s">
        <v>32</v>
      </c>
      <c r="I58" s="248" t="s">
        <v>32</v>
      </c>
      <c r="J58" s="248" t="s">
        <v>32</v>
      </c>
      <c r="K58" s="248" t="s">
        <v>32</v>
      </c>
      <c r="L58" s="248" t="s">
        <v>32</v>
      </c>
      <c r="M58" s="248" t="s">
        <v>32</v>
      </c>
      <c r="N58" s="248" t="s">
        <v>32</v>
      </c>
      <c r="O58" s="248" t="s">
        <v>32</v>
      </c>
      <c r="P58" s="248" t="s">
        <v>32</v>
      </c>
      <c r="Q58" s="248" t="s">
        <v>32</v>
      </c>
      <c r="R58" s="198"/>
      <c r="S58" s="198"/>
      <c r="T58" s="198"/>
      <c r="U58" s="198"/>
    </row>
    <row r="59" spans="1:21" s="12" customFormat="1" x14ac:dyDescent="0.25">
      <c r="A59" s="247" t="s">
        <v>2790</v>
      </c>
      <c r="B59" s="248" t="s">
        <v>32</v>
      </c>
      <c r="C59" s="248" t="s">
        <v>32</v>
      </c>
      <c r="D59" s="248" t="s">
        <v>32</v>
      </c>
      <c r="E59" s="248" t="s">
        <v>32</v>
      </c>
      <c r="F59" s="248" t="s">
        <v>32</v>
      </c>
      <c r="G59" s="248" t="s">
        <v>32</v>
      </c>
      <c r="H59" s="248" t="s">
        <v>32</v>
      </c>
      <c r="I59" s="248" t="s">
        <v>32</v>
      </c>
      <c r="J59" s="248" t="s">
        <v>32</v>
      </c>
      <c r="K59" s="248" t="s">
        <v>32</v>
      </c>
      <c r="L59" s="248" t="s">
        <v>32</v>
      </c>
      <c r="M59" s="248" t="s">
        <v>32</v>
      </c>
      <c r="N59" s="248" t="s">
        <v>32</v>
      </c>
      <c r="O59" s="248" t="s">
        <v>32</v>
      </c>
      <c r="P59" s="248" t="s">
        <v>32</v>
      </c>
      <c r="Q59" s="248" t="s">
        <v>32</v>
      </c>
      <c r="R59" s="198"/>
      <c r="S59" s="198"/>
      <c r="T59" s="198"/>
      <c r="U59" s="198"/>
    </row>
    <row r="60" spans="1:21" s="12" customFormat="1" x14ac:dyDescent="0.25">
      <c r="A60" s="247" t="s">
        <v>2791</v>
      </c>
      <c r="B60" s="248" t="s">
        <v>32</v>
      </c>
      <c r="C60" s="248" t="s">
        <v>32</v>
      </c>
      <c r="D60" s="248" t="s">
        <v>32</v>
      </c>
      <c r="E60" s="248" t="s">
        <v>32</v>
      </c>
      <c r="F60" s="248" t="s">
        <v>32</v>
      </c>
      <c r="G60" s="248" t="s">
        <v>32</v>
      </c>
      <c r="H60" s="248" t="s">
        <v>32</v>
      </c>
      <c r="I60" s="248" t="s">
        <v>32</v>
      </c>
      <c r="J60" s="248" t="s">
        <v>32</v>
      </c>
      <c r="K60" s="248" t="s">
        <v>32</v>
      </c>
      <c r="L60" s="248" t="s">
        <v>32</v>
      </c>
      <c r="M60" s="248" t="s">
        <v>32</v>
      </c>
      <c r="N60" s="248" t="s">
        <v>32</v>
      </c>
      <c r="O60" s="248" t="s">
        <v>32</v>
      </c>
      <c r="P60" s="248" t="s">
        <v>32</v>
      </c>
      <c r="Q60" s="248" t="s">
        <v>32</v>
      </c>
      <c r="R60" s="198"/>
      <c r="S60" s="198"/>
      <c r="T60" s="198"/>
      <c r="U60" s="198"/>
    </row>
    <row r="61" spans="1:21" s="12" customFormat="1" x14ac:dyDescent="0.25">
      <c r="A61" s="247" t="s">
        <v>2792</v>
      </c>
      <c r="B61" s="248" t="s">
        <v>32</v>
      </c>
      <c r="C61" s="248" t="s">
        <v>32</v>
      </c>
      <c r="D61" s="248" t="s">
        <v>32</v>
      </c>
      <c r="E61" s="248" t="s">
        <v>32</v>
      </c>
      <c r="F61" s="248" t="s">
        <v>32</v>
      </c>
      <c r="G61" s="248" t="s">
        <v>32</v>
      </c>
      <c r="H61" s="248" t="s">
        <v>32</v>
      </c>
      <c r="I61" s="248" t="s">
        <v>32</v>
      </c>
      <c r="J61" s="248" t="s">
        <v>32</v>
      </c>
      <c r="K61" s="248" t="s">
        <v>32</v>
      </c>
      <c r="L61" s="248" t="s">
        <v>32</v>
      </c>
      <c r="M61" s="248" t="s">
        <v>32</v>
      </c>
      <c r="N61" s="248" t="s">
        <v>32</v>
      </c>
      <c r="O61" s="248" t="s">
        <v>32</v>
      </c>
      <c r="P61" s="248" t="s">
        <v>32</v>
      </c>
      <c r="Q61" s="248" t="s">
        <v>32</v>
      </c>
      <c r="R61" s="198"/>
      <c r="S61" s="198"/>
      <c r="T61" s="198"/>
      <c r="U61" s="198"/>
    </row>
    <row r="62" spans="1:21" s="12" customFormat="1" x14ac:dyDescent="0.25">
      <c r="A62" s="247" t="s">
        <v>2793</v>
      </c>
      <c r="B62" s="248" t="s">
        <v>32</v>
      </c>
      <c r="C62" s="248" t="s">
        <v>32</v>
      </c>
      <c r="D62" s="248" t="s">
        <v>32</v>
      </c>
      <c r="E62" s="248" t="s">
        <v>32</v>
      </c>
      <c r="F62" s="248" t="s">
        <v>32</v>
      </c>
      <c r="G62" s="248" t="s">
        <v>32</v>
      </c>
      <c r="H62" s="248" t="s">
        <v>32</v>
      </c>
      <c r="I62" s="248" t="s">
        <v>32</v>
      </c>
      <c r="J62" s="248" t="s">
        <v>32</v>
      </c>
      <c r="K62" s="248" t="s">
        <v>32</v>
      </c>
      <c r="L62" s="248" t="s">
        <v>32</v>
      </c>
      <c r="M62" s="248" t="s">
        <v>32</v>
      </c>
      <c r="N62" s="248" t="s">
        <v>32</v>
      </c>
      <c r="O62" s="248" t="s">
        <v>32</v>
      </c>
      <c r="P62" s="248" t="s">
        <v>32</v>
      </c>
      <c r="Q62" s="248" t="s">
        <v>32</v>
      </c>
      <c r="R62" s="198"/>
      <c r="S62" s="198"/>
      <c r="T62" s="198"/>
      <c r="U62" s="198"/>
    </row>
    <row r="63" spans="1:21" s="12" customFormat="1" x14ac:dyDescent="0.25">
      <c r="A63" s="247" t="s">
        <v>2794</v>
      </c>
      <c r="B63" s="209" t="s">
        <v>36</v>
      </c>
      <c r="C63" s="209" t="s">
        <v>36</v>
      </c>
      <c r="D63" s="209" t="s">
        <v>36</v>
      </c>
      <c r="E63" s="64">
        <v>7.27</v>
      </c>
      <c r="F63" s="64">
        <v>14.47</v>
      </c>
      <c r="G63" s="64">
        <v>4.95</v>
      </c>
      <c r="H63" s="64">
        <v>38.14</v>
      </c>
      <c r="I63" s="64">
        <v>3.97</v>
      </c>
      <c r="J63" s="64">
        <v>1.36</v>
      </c>
      <c r="K63" s="64">
        <v>302.48</v>
      </c>
      <c r="L63" s="64">
        <v>36.78</v>
      </c>
      <c r="M63" s="64">
        <v>12.94</v>
      </c>
      <c r="N63" s="64">
        <v>765.3</v>
      </c>
      <c r="O63" s="64">
        <v>0</v>
      </c>
      <c r="P63" s="64">
        <v>0.69</v>
      </c>
      <c r="Q63" s="249" t="s">
        <v>49</v>
      </c>
      <c r="R63" s="198"/>
      <c r="S63" s="198"/>
      <c r="T63" s="198"/>
      <c r="U63" s="198"/>
    </row>
    <row r="64" spans="1:21" s="12" customFormat="1" x14ac:dyDescent="0.25">
      <c r="A64" s="247" t="s">
        <v>2795</v>
      </c>
      <c r="B64" s="209" t="s">
        <v>36</v>
      </c>
      <c r="C64" s="209" t="s">
        <v>36</v>
      </c>
      <c r="D64" s="209" t="s">
        <v>36</v>
      </c>
      <c r="E64" s="64">
        <v>1.32</v>
      </c>
      <c r="F64" s="64">
        <v>28.59</v>
      </c>
      <c r="G64" s="64">
        <v>3.26</v>
      </c>
      <c r="H64" s="64">
        <v>29.16</v>
      </c>
      <c r="I64" s="64">
        <v>4.01</v>
      </c>
      <c r="J64" s="64">
        <v>1.07</v>
      </c>
      <c r="K64" s="64">
        <v>353.92</v>
      </c>
      <c r="L64" s="64">
        <v>36.76</v>
      </c>
      <c r="M64" s="64">
        <v>12.44</v>
      </c>
      <c r="N64" s="64">
        <v>729.7</v>
      </c>
      <c r="O64" s="64">
        <v>0</v>
      </c>
      <c r="P64" s="64">
        <v>0.61</v>
      </c>
      <c r="Q64" s="249" t="s">
        <v>49</v>
      </c>
      <c r="R64" s="198"/>
      <c r="S64" s="198"/>
      <c r="T64" s="198"/>
      <c r="U64" s="198"/>
    </row>
    <row r="65" spans="1:21" s="12" customFormat="1" x14ac:dyDescent="0.25">
      <c r="A65" s="247" t="s">
        <v>2796</v>
      </c>
      <c r="B65" s="209" t="s">
        <v>36</v>
      </c>
      <c r="C65" s="209" t="s">
        <v>36</v>
      </c>
      <c r="D65" s="209" t="s">
        <v>36</v>
      </c>
      <c r="E65" s="209" t="s">
        <v>36</v>
      </c>
      <c r="F65" s="64">
        <v>25.68</v>
      </c>
      <c r="G65" s="64">
        <v>12.71</v>
      </c>
      <c r="H65" s="64">
        <v>22.5</v>
      </c>
      <c r="I65" s="64">
        <v>4.08</v>
      </c>
      <c r="J65" s="64">
        <v>1.1399999999999999</v>
      </c>
      <c r="K65" s="64">
        <v>325.29000000000002</v>
      </c>
      <c r="L65" s="64">
        <v>36.049999999999997</v>
      </c>
      <c r="M65" s="64">
        <v>14.98</v>
      </c>
      <c r="N65" s="64">
        <v>574.1</v>
      </c>
      <c r="O65" s="64">
        <v>0</v>
      </c>
      <c r="P65" s="64">
        <v>0.46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47" t="s">
        <v>2797</v>
      </c>
      <c r="B66" s="209" t="s">
        <v>36</v>
      </c>
      <c r="C66" s="209" t="s">
        <v>36</v>
      </c>
      <c r="D66" s="209" t="s">
        <v>36</v>
      </c>
      <c r="E66" s="209" t="s">
        <v>36</v>
      </c>
      <c r="F66" s="64">
        <v>36.42</v>
      </c>
      <c r="G66" s="64">
        <v>12.71</v>
      </c>
      <c r="H66" s="64">
        <v>22.5</v>
      </c>
      <c r="I66" s="64">
        <v>4.29</v>
      </c>
      <c r="J66" s="64">
        <v>0.74</v>
      </c>
      <c r="K66" s="64">
        <v>334.85</v>
      </c>
      <c r="L66" s="64">
        <v>35.65</v>
      </c>
      <c r="M66" s="64">
        <v>14.84</v>
      </c>
      <c r="N66" s="64">
        <v>616</v>
      </c>
      <c r="O66" s="64">
        <v>0</v>
      </c>
      <c r="P66" s="64">
        <v>0.33</v>
      </c>
      <c r="Q66" s="64">
        <v>9.36</v>
      </c>
      <c r="R66" s="198"/>
      <c r="S66" s="198"/>
      <c r="T66" s="198"/>
      <c r="U66" s="198"/>
    </row>
    <row r="67" spans="1:21" s="12" customFormat="1" x14ac:dyDescent="0.25">
      <c r="A67" s="247" t="s">
        <v>2798</v>
      </c>
      <c r="B67" s="209" t="s">
        <v>36</v>
      </c>
      <c r="C67" s="209" t="s">
        <v>36</v>
      </c>
      <c r="D67" s="209" t="s">
        <v>36</v>
      </c>
      <c r="E67" s="209" t="s">
        <v>36</v>
      </c>
      <c r="F67" s="64">
        <v>21.28</v>
      </c>
      <c r="G67" s="64">
        <v>12.71</v>
      </c>
      <c r="H67" s="64">
        <v>22.5</v>
      </c>
      <c r="I67" s="64">
        <v>3.97</v>
      </c>
      <c r="J67" s="64">
        <v>1.6</v>
      </c>
      <c r="K67" s="64">
        <v>327.72</v>
      </c>
      <c r="L67" s="64">
        <v>36.69</v>
      </c>
      <c r="M67" s="64">
        <v>12.36</v>
      </c>
      <c r="N67" s="64">
        <v>517.6</v>
      </c>
      <c r="O67" s="64">
        <v>0</v>
      </c>
      <c r="P67" s="64">
        <v>0.46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47" t="s">
        <v>2799</v>
      </c>
      <c r="B68" s="209" t="s">
        <v>36</v>
      </c>
      <c r="C68" s="209" t="s">
        <v>36</v>
      </c>
      <c r="D68" s="209" t="s">
        <v>36</v>
      </c>
      <c r="E68" s="209" t="s">
        <v>36</v>
      </c>
      <c r="F68" s="64">
        <v>38.51</v>
      </c>
      <c r="G68" s="64">
        <v>27.5</v>
      </c>
      <c r="H68" s="64">
        <v>23.83</v>
      </c>
      <c r="I68" s="64">
        <v>4</v>
      </c>
      <c r="J68" s="64">
        <v>0.67</v>
      </c>
      <c r="K68" s="64">
        <v>284.60000000000002</v>
      </c>
      <c r="L68" s="64">
        <v>35.93</v>
      </c>
      <c r="M68" s="64">
        <v>11.91</v>
      </c>
      <c r="N68" s="64">
        <v>357.2</v>
      </c>
      <c r="O68" s="64">
        <v>0</v>
      </c>
      <c r="P68" s="64">
        <v>0.3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47" t="s">
        <v>2800</v>
      </c>
      <c r="B69" s="209" t="s">
        <v>36</v>
      </c>
      <c r="C69" s="209" t="s">
        <v>36</v>
      </c>
      <c r="D69" s="209" t="s">
        <v>36</v>
      </c>
      <c r="E69" s="209" t="s">
        <v>36</v>
      </c>
      <c r="F69" s="64">
        <v>29.94</v>
      </c>
      <c r="G69" s="64">
        <v>76.09</v>
      </c>
      <c r="H69" s="64">
        <v>28.22</v>
      </c>
      <c r="I69" s="64">
        <v>3.82</v>
      </c>
      <c r="J69" s="64">
        <v>1.66</v>
      </c>
      <c r="K69" s="64">
        <v>343.58</v>
      </c>
      <c r="L69" s="64">
        <v>35.86</v>
      </c>
      <c r="M69" s="64">
        <v>12.65</v>
      </c>
      <c r="N69" s="64">
        <v>339.3</v>
      </c>
      <c r="O69" s="64">
        <v>0</v>
      </c>
      <c r="P69" s="64">
        <v>0.39</v>
      </c>
      <c r="Q69" s="64">
        <v>9.24</v>
      </c>
      <c r="R69" s="198"/>
      <c r="S69" s="198"/>
      <c r="T69" s="198"/>
      <c r="U69" s="198"/>
    </row>
    <row r="70" spans="1:21" s="12" customFormat="1" x14ac:dyDescent="0.25">
      <c r="A70" s="247" t="s">
        <v>2801</v>
      </c>
      <c r="B70" s="209" t="s">
        <v>36</v>
      </c>
      <c r="C70" s="209" t="s">
        <v>36</v>
      </c>
      <c r="D70" s="209" t="s">
        <v>36</v>
      </c>
      <c r="E70" s="209" t="s">
        <v>36</v>
      </c>
      <c r="F70" s="64">
        <v>51.15</v>
      </c>
      <c r="G70" s="64">
        <v>76.09</v>
      </c>
      <c r="H70" s="64">
        <v>28.22</v>
      </c>
      <c r="I70" s="64">
        <v>4.32</v>
      </c>
      <c r="J70" s="64">
        <v>0.56999999999999995</v>
      </c>
      <c r="K70" s="64">
        <v>62.16</v>
      </c>
      <c r="L70" s="64">
        <v>34.92</v>
      </c>
      <c r="M70" s="64">
        <v>12.25</v>
      </c>
      <c r="N70" s="64">
        <v>209.3</v>
      </c>
      <c r="O70" s="64">
        <v>0</v>
      </c>
      <c r="P70" s="64">
        <v>0.26</v>
      </c>
      <c r="Q70" s="64">
        <v>9.2200000000000006</v>
      </c>
      <c r="R70" s="198"/>
      <c r="S70" s="198"/>
      <c r="T70" s="198"/>
      <c r="U70" s="198"/>
    </row>
    <row r="71" spans="1:21" s="12" customFormat="1" x14ac:dyDescent="0.25">
      <c r="A71" s="247" t="s">
        <v>2802</v>
      </c>
      <c r="B71" s="209" t="s">
        <v>36</v>
      </c>
      <c r="C71" s="209" t="s">
        <v>36</v>
      </c>
      <c r="D71" s="209" t="s">
        <v>36</v>
      </c>
      <c r="E71" s="209" t="s">
        <v>36</v>
      </c>
      <c r="F71" s="64">
        <v>40.49</v>
      </c>
      <c r="G71" s="64">
        <v>76.09</v>
      </c>
      <c r="H71" s="64">
        <v>28.22</v>
      </c>
      <c r="I71" s="64">
        <v>3.92</v>
      </c>
      <c r="J71" s="64">
        <v>0.91</v>
      </c>
      <c r="K71" s="64">
        <v>164.08</v>
      </c>
      <c r="L71" s="64">
        <v>33.71</v>
      </c>
      <c r="M71" s="64">
        <v>12.98</v>
      </c>
      <c r="N71" s="64">
        <v>197.9</v>
      </c>
      <c r="O71" s="64">
        <v>0</v>
      </c>
      <c r="P71" s="64">
        <v>0.21</v>
      </c>
      <c r="Q71" s="64">
        <v>9.19</v>
      </c>
      <c r="R71" s="198"/>
      <c r="S71" s="198"/>
      <c r="T71" s="198"/>
      <c r="U71" s="198"/>
    </row>
    <row r="72" spans="1:21" s="12" customFormat="1" x14ac:dyDescent="0.25">
      <c r="A72" s="247" t="s">
        <v>2803</v>
      </c>
      <c r="B72" s="209" t="s">
        <v>36</v>
      </c>
      <c r="C72" s="209" t="s">
        <v>36</v>
      </c>
      <c r="D72" s="209" t="s">
        <v>36</v>
      </c>
      <c r="E72" s="64">
        <v>8.01</v>
      </c>
      <c r="F72" s="64">
        <v>40.520000000000003</v>
      </c>
      <c r="G72" s="64">
        <v>67.17</v>
      </c>
      <c r="H72" s="64">
        <v>26.84</v>
      </c>
      <c r="I72" s="64">
        <v>4.01</v>
      </c>
      <c r="J72" s="64">
        <v>1.1200000000000001</v>
      </c>
      <c r="K72" s="64">
        <v>176.24</v>
      </c>
      <c r="L72" s="64">
        <v>33.5</v>
      </c>
      <c r="M72" s="64">
        <v>13.38</v>
      </c>
      <c r="N72" s="64">
        <v>197.6</v>
      </c>
      <c r="O72" s="64">
        <v>0</v>
      </c>
      <c r="P72" s="64">
        <v>0.19</v>
      </c>
      <c r="Q72" s="64">
        <v>9.16</v>
      </c>
      <c r="R72" s="198"/>
      <c r="S72" s="198"/>
      <c r="T72" s="198"/>
      <c r="U72" s="198"/>
    </row>
    <row r="73" spans="1:21" s="12" customFormat="1" x14ac:dyDescent="0.25">
      <c r="A73" s="247" t="s">
        <v>2804</v>
      </c>
      <c r="B73" s="209" t="s">
        <v>36</v>
      </c>
      <c r="C73" s="209" t="s">
        <v>36</v>
      </c>
      <c r="D73" s="209" t="s">
        <v>36</v>
      </c>
      <c r="E73" s="64">
        <v>10.33</v>
      </c>
      <c r="F73" s="64">
        <v>49.73</v>
      </c>
      <c r="G73" s="64">
        <v>37.869999999999997</v>
      </c>
      <c r="H73" s="64">
        <v>22.34</v>
      </c>
      <c r="I73" s="64">
        <v>3.77</v>
      </c>
      <c r="J73" s="64">
        <v>0.64</v>
      </c>
      <c r="K73" s="64">
        <v>208.2</v>
      </c>
      <c r="L73" s="64">
        <v>33.56</v>
      </c>
      <c r="M73" s="64">
        <v>13.52</v>
      </c>
      <c r="N73" s="64">
        <v>166.2</v>
      </c>
      <c r="O73" s="64">
        <v>0</v>
      </c>
      <c r="P73" s="64">
        <v>0.13</v>
      </c>
      <c r="Q73" s="64">
        <v>9.14</v>
      </c>
      <c r="R73" s="198"/>
      <c r="S73" s="198"/>
      <c r="T73" s="198"/>
      <c r="U73" s="198"/>
    </row>
    <row r="74" spans="1:21" s="12" customFormat="1" x14ac:dyDescent="0.25">
      <c r="A74" s="247" t="s">
        <v>2805</v>
      </c>
      <c r="B74" s="209" t="s">
        <v>36</v>
      </c>
      <c r="C74" s="209" t="s">
        <v>36</v>
      </c>
      <c r="D74" s="209" t="s">
        <v>36</v>
      </c>
      <c r="E74" s="64">
        <v>14.08</v>
      </c>
      <c r="F74" s="64">
        <v>47.24</v>
      </c>
      <c r="G74" s="64">
        <v>37.869999999999997</v>
      </c>
      <c r="H74" s="64">
        <v>22.34</v>
      </c>
      <c r="I74" s="64">
        <v>4.04</v>
      </c>
      <c r="J74" s="64">
        <v>1.1100000000000001</v>
      </c>
      <c r="K74" s="64">
        <v>205.82</v>
      </c>
      <c r="L74" s="64">
        <v>32.9</v>
      </c>
      <c r="M74" s="64">
        <v>16.41</v>
      </c>
      <c r="N74" s="64">
        <v>157.6</v>
      </c>
      <c r="O74" s="64">
        <v>0</v>
      </c>
      <c r="P74" s="64">
        <v>0.18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47" t="s">
        <v>2806</v>
      </c>
      <c r="B75" s="209" t="s">
        <v>36</v>
      </c>
      <c r="C75" s="209" t="s">
        <v>36</v>
      </c>
      <c r="D75" s="209" t="s">
        <v>36</v>
      </c>
      <c r="E75" s="64">
        <v>14.45</v>
      </c>
      <c r="F75" s="64">
        <v>42.6</v>
      </c>
      <c r="G75" s="64">
        <v>37.869999999999997</v>
      </c>
      <c r="H75" s="64">
        <v>22.34</v>
      </c>
      <c r="I75" s="64">
        <v>4.04</v>
      </c>
      <c r="J75" s="64">
        <v>1.07</v>
      </c>
      <c r="K75" s="64">
        <v>177.2</v>
      </c>
      <c r="L75" s="64">
        <v>32.159999999999997</v>
      </c>
      <c r="M75" s="64">
        <v>19.37</v>
      </c>
      <c r="N75" s="64">
        <v>134.19999999999999</v>
      </c>
      <c r="O75" s="64">
        <v>0</v>
      </c>
      <c r="P75" s="64">
        <v>0.24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47" t="s">
        <v>2807</v>
      </c>
      <c r="B76" s="209" t="s">
        <v>36</v>
      </c>
      <c r="C76" s="209" t="s">
        <v>36</v>
      </c>
      <c r="D76" s="209" t="s">
        <v>36</v>
      </c>
      <c r="E76" s="64">
        <v>14.48</v>
      </c>
      <c r="F76" s="64">
        <v>46.57</v>
      </c>
      <c r="G76" s="64">
        <v>44.24</v>
      </c>
      <c r="H76" s="64">
        <v>23.62</v>
      </c>
      <c r="I76" s="64">
        <v>3.94</v>
      </c>
      <c r="J76" s="64">
        <v>0.82</v>
      </c>
      <c r="K76" s="64">
        <v>179.33</v>
      </c>
      <c r="L76" s="64">
        <v>31.31</v>
      </c>
      <c r="M76" s="64">
        <v>23.38</v>
      </c>
      <c r="N76" s="64">
        <v>122.3</v>
      </c>
      <c r="O76" s="64">
        <v>0</v>
      </c>
      <c r="P76" s="64">
        <v>0.21</v>
      </c>
      <c r="Q76" s="64">
        <v>9.1300000000000008</v>
      </c>
      <c r="R76" s="198"/>
      <c r="S76" s="198"/>
      <c r="T76" s="198"/>
      <c r="U76" s="198"/>
    </row>
    <row r="77" spans="1:21" s="12" customFormat="1" x14ac:dyDescent="0.25">
      <c r="A77" s="247" t="s">
        <v>2808</v>
      </c>
      <c r="B77" s="209" t="s">
        <v>36</v>
      </c>
      <c r="C77" s="209" t="s">
        <v>36</v>
      </c>
      <c r="D77" s="209" t="s">
        <v>36</v>
      </c>
      <c r="E77" s="64">
        <v>14.99</v>
      </c>
      <c r="F77" s="64">
        <v>46.15</v>
      </c>
      <c r="G77" s="64">
        <v>65.16</v>
      </c>
      <c r="H77" s="64">
        <v>27.85</v>
      </c>
      <c r="I77" s="64">
        <v>4.05</v>
      </c>
      <c r="J77" s="64">
        <v>0.81</v>
      </c>
      <c r="K77" s="64">
        <v>198.75</v>
      </c>
      <c r="L77" s="64">
        <v>30.52</v>
      </c>
      <c r="M77" s="64">
        <v>24.97</v>
      </c>
      <c r="N77" s="64">
        <v>105.5</v>
      </c>
      <c r="O77" s="64">
        <v>0</v>
      </c>
      <c r="P77" s="64">
        <v>0.2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47" t="s">
        <v>2809</v>
      </c>
      <c r="B78" s="209" t="s">
        <v>36</v>
      </c>
      <c r="C78" s="209" t="s">
        <v>36</v>
      </c>
      <c r="D78" s="209" t="s">
        <v>36</v>
      </c>
      <c r="E78" s="64">
        <v>14.37</v>
      </c>
      <c r="F78" s="64">
        <v>39.68</v>
      </c>
      <c r="G78" s="64">
        <v>65.16</v>
      </c>
      <c r="H78" s="64">
        <v>27.85</v>
      </c>
      <c r="I78" s="64">
        <v>4.07</v>
      </c>
      <c r="J78" s="64">
        <v>1.19</v>
      </c>
      <c r="K78" s="64">
        <v>156.43</v>
      </c>
      <c r="L78" s="64">
        <v>29.77</v>
      </c>
      <c r="M78" s="64">
        <v>26.29</v>
      </c>
      <c r="N78" s="64">
        <v>92.3</v>
      </c>
      <c r="O78" s="64">
        <v>0</v>
      </c>
      <c r="P78" s="64">
        <v>0.23</v>
      </c>
      <c r="Q78" s="64">
        <v>9.15</v>
      </c>
      <c r="R78" s="198"/>
      <c r="S78" s="198"/>
      <c r="T78" s="198"/>
      <c r="U78" s="198"/>
    </row>
    <row r="79" spans="1:21" s="12" customFormat="1" x14ac:dyDescent="0.25">
      <c r="A79" s="247" t="s">
        <v>2810</v>
      </c>
      <c r="B79" s="209" t="s">
        <v>36</v>
      </c>
      <c r="C79" s="209" t="s">
        <v>36</v>
      </c>
      <c r="D79" s="209" t="s">
        <v>36</v>
      </c>
      <c r="E79" s="64">
        <v>16.96</v>
      </c>
      <c r="F79" s="64">
        <v>29.15</v>
      </c>
      <c r="G79" s="64">
        <v>65.16</v>
      </c>
      <c r="H79" s="64">
        <v>27.85</v>
      </c>
      <c r="I79" s="64">
        <v>4</v>
      </c>
      <c r="J79" s="64">
        <v>0.71</v>
      </c>
      <c r="K79" s="64">
        <v>163.5</v>
      </c>
      <c r="L79" s="64">
        <v>30.17</v>
      </c>
      <c r="M79" s="64">
        <v>24.78</v>
      </c>
      <c r="N79" s="64">
        <v>79.400000000000006</v>
      </c>
      <c r="O79" s="64">
        <v>0</v>
      </c>
      <c r="P79" s="64">
        <v>0.28000000000000003</v>
      </c>
      <c r="Q79" s="64">
        <v>9.17</v>
      </c>
      <c r="R79" s="198"/>
      <c r="S79" s="198"/>
      <c r="T79" s="198"/>
      <c r="U79" s="198"/>
    </row>
    <row r="80" spans="1:21" s="12" customFormat="1" x14ac:dyDescent="0.25">
      <c r="A80" s="247" t="s">
        <v>2811</v>
      </c>
      <c r="B80" s="209" t="s">
        <v>36</v>
      </c>
      <c r="C80" s="209" t="s">
        <v>36</v>
      </c>
      <c r="D80" s="209" t="s">
        <v>36</v>
      </c>
      <c r="E80" s="64">
        <v>15.82</v>
      </c>
      <c r="F80" s="64">
        <v>28.67</v>
      </c>
      <c r="G80" s="64">
        <v>70.27</v>
      </c>
      <c r="H80" s="64">
        <v>27.61</v>
      </c>
      <c r="I80" s="64">
        <v>3.98</v>
      </c>
      <c r="J80" s="64">
        <v>0.69</v>
      </c>
      <c r="K80" s="64">
        <v>169.79</v>
      </c>
      <c r="L80" s="64">
        <v>29.64</v>
      </c>
      <c r="M80" s="64">
        <v>25.99</v>
      </c>
      <c r="N80" s="64">
        <v>68.3</v>
      </c>
      <c r="O80" s="64">
        <v>0</v>
      </c>
      <c r="P80" s="64">
        <v>0.39</v>
      </c>
      <c r="Q80" s="64">
        <v>9.19</v>
      </c>
      <c r="R80" s="198"/>
      <c r="S80" s="198"/>
      <c r="T80" s="198"/>
      <c r="U80" s="198"/>
    </row>
    <row r="81" spans="1:26" s="12" customFormat="1" x14ac:dyDescent="0.25">
      <c r="A81" s="247" t="s">
        <v>2812</v>
      </c>
      <c r="B81" s="209" t="s">
        <v>36</v>
      </c>
      <c r="C81" s="209" t="s">
        <v>36</v>
      </c>
      <c r="D81" s="209" t="s">
        <v>36</v>
      </c>
      <c r="E81" s="64">
        <v>15.49</v>
      </c>
      <c r="F81" s="64">
        <v>23.16</v>
      </c>
      <c r="G81" s="64">
        <v>87.06</v>
      </c>
      <c r="H81" s="64">
        <v>26.83</v>
      </c>
      <c r="I81" s="64">
        <v>4.05</v>
      </c>
      <c r="J81" s="64">
        <v>0.47</v>
      </c>
      <c r="K81" s="64">
        <v>186.49</v>
      </c>
      <c r="L81" s="64">
        <v>29.16</v>
      </c>
      <c r="M81" s="64">
        <v>26.81</v>
      </c>
      <c r="N81" s="64">
        <v>61</v>
      </c>
      <c r="O81" s="64">
        <v>0</v>
      </c>
      <c r="P81" s="64">
        <v>0.51</v>
      </c>
      <c r="Q81" s="64">
        <v>9.17</v>
      </c>
      <c r="R81" s="198"/>
      <c r="S81" s="198"/>
      <c r="T81" s="198"/>
      <c r="U81" s="198"/>
    </row>
    <row r="82" spans="1:26" s="12" customFormat="1" x14ac:dyDescent="0.25">
      <c r="A82" s="247" t="s">
        <v>2813</v>
      </c>
      <c r="B82" s="209" t="s">
        <v>36</v>
      </c>
      <c r="C82" s="209" t="s">
        <v>36</v>
      </c>
      <c r="D82" s="209" t="s">
        <v>36</v>
      </c>
      <c r="E82" s="64">
        <v>14.54</v>
      </c>
      <c r="F82" s="64">
        <v>23.79</v>
      </c>
      <c r="G82" s="64">
        <v>87.06</v>
      </c>
      <c r="H82" s="64">
        <v>26.83</v>
      </c>
      <c r="I82" s="64">
        <v>4.0999999999999996</v>
      </c>
      <c r="J82" s="64">
        <v>0.91</v>
      </c>
      <c r="K82" s="64">
        <v>171.67</v>
      </c>
      <c r="L82" s="64">
        <v>28.74</v>
      </c>
      <c r="M82" s="64">
        <v>27.2</v>
      </c>
      <c r="N82" s="64">
        <v>57.6</v>
      </c>
      <c r="O82" s="64">
        <v>0</v>
      </c>
      <c r="P82" s="64">
        <v>0.45</v>
      </c>
      <c r="Q82" s="64">
        <v>9.1999999999999993</v>
      </c>
      <c r="R82" s="198"/>
      <c r="S82" s="198"/>
      <c r="T82" s="198"/>
      <c r="U82" s="198"/>
    </row>
    <row r="83" spans="1:26" s="12" customFormat="1" x14ac:dyDescent="0.25">
      <c r="A83" s="247" t="s">
        <v>2814</v>
      </c>
      <c r="B83" s="209" t="s">
        <v>36</v>
      </c>
      <c r="C83" s="209" t="s">
        <v>36</v>
      </c>
      <c r="D83" s="209" t="s">
        <v>36</v>
      </c>
      <c r="E83" s="64">
        <v>17.190000000000001</v>
      </c>
      <c r="F83" s="64">
        <v>24.42</v>
      </c>
      <c r="G83" s="64">
        <v>87.06</v>
      </c>
      <c r="H83" s="64">
        <v>26.83</v>
      </c>
      <c r="I83" s="64">
        <v>4.0199999999999996</v>
      </c>
      <c r="J83" s="64">
        <v>0.4</v>
      </c>
      <c r="K83" s="64">
        <v>290.3</v>
      </c>
      <c r="L83" s="64">
        <v>27.99</v>
      </c>
      <c r="M83" s="64">
        <v>30.49</v>
      </c>
      <c r="N83" s="64">
        <v>58.4</v>
      </c>
      <c r="O83" s="64">
        <v>0</v>
      </c>
      <c r="P83" s="64">
        <v>0.68</v>
      </c>
      <c r="Q83" s="64">
        <v>9.25</v>
      </c>
      <c r="R83" s="198"/>
      <c r="S83" s="198"/>
      <c r="T83" s="198"/>
      <c r="U83" s="198"/>
    </row>
    <row r="84" spans="1:26" s="12" customFormat="1" x14ac:dyDescent="0.25">
      <c r="A84" s="247" t="s">
        <v>2815</v>
      </c>
      <c r="B84" s="209" t="s">
        <v>36</v>
      </c>
      <c r="C84" s="209" t="s">
        <v>36</v>
      </c>
      <c r="D84" s="209" t="s">
        <v>36</v>
      </c>
      <c r="E84" s="64">
        <v>16.55</v>
      </c>
      <c r="F84" s="64">
        <v>22.57</v>
      </c>
      <c r="G84" s="64">
        <v>88.65</v>
      </c>
      <c r="H84" s="64">
        <v>28.4</v>
      </c>
      <c r="I84" s="64">
        <v>3.97</v>
      </c>
      <c r="J84" s="64">
        <v>0.27</v>
      </c>
      <c r="K84" s="64">
        <v>283.18</v>
      </c>
      <c r="L84" s="64">
        <v>26.97</v>
      </c>
      <c r="M84" s="64">
        <v>32.18</v>
      </c>
      <c r="N84" s="64">
        <v>58.1</v>
      </c>
      <c r="O84" s="64">
        <v>0</v>
      </c>
      <c r="P84" s="64">
        <v>0.8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47" t="s">
        <v>2816</v>
      </c>
      <c r="B85" s="209" t="s">
        <v>36</v>
      </c>
      <c r="C85" s="209" t="s">
        <v>36</v>
      </c>
      <c r="D85" s="209" t="s">
        <v>36</v>
      </c>
      <c r="E85" s="64">
        <v>15.78</v>
      </c>
      <c r="F85" s="64">
        <v>27.34</v>
      </c>
      <c r="G85" s="64">
        <v>93.88</v>
      </c>
      <c r="H85" s="64">
        <v>33.57</v>
      </c>
      <c r="I85" s="64">
        <v>3.76</v>
      </c>
      <c r="J85" s="64">
        <v>0.36</v>
      </c>
      <c r="K85" s="64">
        <v>174.39</v>
      </c>
      <c r="L85" s="64">
        <v>26.77</v>
      </c>
      <c r="M85" s="64">
        <v>30.97</v>
      </c>
      <c r="N85" s="64">
        <v>57.4</v>
      </c>
      <c r="O85" s="64">
        <v>0</v>
      </c>
      <c r="P85" s="64">
        <v>0.91</v>
      </c>
      <c r="Q85" s="64">
        <v>9.32</v>
      </c>
      <c r="R85" s="198"/>
      <c r="S85" s="198"/>
      <c r="T85" s="198"/>
      <c r="U85" s="198"/>
    </row>
    <row r="86" spans="1:26" s="12" customFormat="1" x14ac:dyDescent="0.25">
      <c r="A86" s="247" t="s">
        <v>2817</v>
      </c>
      <c r="B86" s="209" t="s">
        <v>36</v>
      </c>
      <c r="C86" s="209" t="s">
        <v>36</v>
      </c>
      <c r="D86" s="209" t="s">
        <v>36</v>
      </c>
      <c r="E86" s="64">
        <v>17.09</v>
      </c>
      <c r="F86" s="64">
        <v>14.93</v>
      </c>
      <c r="G86" s="64">
        <v>93.88</v>
      </c>
      <c r="H86" s="64">
        <v>33.57</v>
      </c>
      <c r="I86" s="64">
        <v>4</v>
      </c>
      <c r="J86" s="64">
        <v>0.61</v>
      </c>
      <c r="K86" s="64">
        <v>272.72000000000003</v>
      </c>
      <c r="L86" s="64">
        <v>26.79</v>
      </c>
      <c r="M86" s="64">
        <v>31.24</v>
      </c>
      <c r="N86" s="64">
        <v>57.8</v>
      </c>
      <c r="O86" s="64">
        <v>0</v>
      </c>
      <c r="P86" s="64">
        <v>1.39</v>
      </c>
      <c r="Q86" s="64">
        <v>9.35</v>
      </c>
      <c r="R86" s="198"/>
      <c r="S86" s="198"/>
      <c r="T86" s="198"/>
      <c r="U86" s="198"/>
    </row>
    <row r="87" spans="1:26" s="12" customFormat="1" x14ac:dyDescent="0.25">
      <c r="A87" s="247" t="s">
        <v>2818</v>
      </c>
      <c r="B87" s="209" t="s">
        <v>36</v>
      </c>
      <c r="C87" s="209" t="s">
        <v>36</v>
      </c>
      <c r="D87" s="209" t="s">
        <v>36</v>
      </c>
      <c r="E87" s="64">
        <v>15.63</v>
      </c>
      <c r="F87" s="64">
        <v>12.06</v>
      </c>
      <c r="G87" s="64">
        <v>93.88</v>
      </c>
      <c r="H87" s="64">
        <v>33.57</v>
      </c>
      <c r="I87" s="64">
        <v>3.95</v>
      </c>
      <c r="J87" s="64">
        <v>0.62</v>
      </c>
      <c r="K87" s="64">
        <v>289.92</v>
      </c>
      <c r="L87" s="64">
        <v>26.35</v>
      </c>
      <c r="M87" s="64">
        <v>32.24</v>
      </c>
      <c r="N87" s="64">
        <v>57.7</v>
      </c>
      <c r="O87" s="64">
        <v>0</v>
      </c>
      <c r="P87" s="64">
        <v>1.67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47" t="s">
        <v>2819</v>
      </c>
      <c r="B88" s="209" t="s">
        <v>36</v>
      </c>
      <c r="C88" s="209" t="s">
        <v>36</v>
      </c>
      <c r="D88" s="209" t="s">
        <v>36</v>
      </c>
      <c r="E88" s="64">
        <v>15.35</v>
      </c>
      <c r="F88" s="64">
        <v>14.37</v>
      </c>
      <c r="G88" s="64">
        <v>96.79</v>
      </c>
      <c r="H88" s="64">
        <v>33.92</v>
      </c>
      <c r="I88" s="64">
        <v>3.83</v>
      </c>
      <c r="J88" s="64">
        <v>0.36</v>
      </c>
      <c r="K88" s="64">
        <v>257.70999999999998</v>
      </c>
      <c r="L88" s="64">
        <v>26.21</v>
      </c>
      <c r="M88" s="64">
        <v>32.159999999999997</v>
      </c>
      <c r="N88" s="64">
        <v>57.3</v>
      </c>
      <c r="O88" s="64">
        <v>0</v>
      </c>
      <c r="P88" s="64">
        <v>1.58</v>
      </c>
      <c r="Q88" s="64">
        <v>9.48</v>
      </c>
      <c r="R88" s="198"/>
      <c r="S88" s="198"/>
      <c r="T88" s="198"/>
      <c r="U88" s="198"/>
    </row>
    <row r="89" spans="1:26" s="12" customFormat="1" x14ac:dyDescent="0.25">
      <c r="A89" s="247" t="s">
        <v>2820</v>
      </c>
      <c r="B89" s="209" t="s">
        <v>36</v>
      </c>
      <c r="C89" s="209" t="s">
        <v>36</v>
      </c>
      <c r="D89" s="209" t="s">
        <v>36</v>
      </c>
      <c r="E89" s="64">
        <v>15.07</v>
      </c>
      <c r="F89" s="64">
        <v>12.16</v>
      </c>
      <c r="G89" s="64">
        <v>106.34</v>
      </c>
      <c r="H89" s="64">
        <v>35.06</v>
      </c>
      <c r="I89" s="64">
        <v>3.97</v>
      </c>
      <c r="J89" s="64">
        <v>0.31</v>
      </c>
      <c r="K89" s="64">
        <v>299.33999999999997</v>
      </c>
      <c r="L89" s="64">
        <v>25.98</v>
      </c>
      <c r="M89" s="64">
        <v>33.409999999999997</v>
      </c>
      <c r="N89" s="64">
        <v>57.7</v>
      </c>
      <c r="O89" s="64">
        <v>0</v>
      </c>
      <c r="P89" s="64">
        <v>1.96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47" t="s">
        <v>2821</v>
      </c>
      <c r="B90" s="209" t="s">
        <v>36</v>
      </c>
      <c r="C90" s="209" t="s">
        <v>36</v>
      </c>
      <c r="D90" s="209" t="s">
        <v>36</v>
      </c>
      <c r="E90" s="64">
        <v>12.96</v>
      </c>
      <c r="F90" s="64">
        <v>10.01</v>
      </c>
      <c r="G90" s="64">
        <v>106.34</v>
      </c>
      <c r="H90" s="64">
        <v>35.06</v>
      </c>
      <c r="I90" s="64">
        <v>3.98</v>
      </c>
      <c r="J90" s="64">
        <v>0.57999999999999996</v>
      </c>
      <c r="K90" s="64">
        <v>341.85</v>
      </c>
      <c r="L90" s="64">
        <v>25.38</v>
      </c>
      <c r="M90" s="64">
        <v>36.43</v>
      </c>
      <c r="N90" s="64">
        <v>57.9</v>
      </c>
      <c r="O90" s="64">
        <v>0</v>
      </c>
      <c r="P90" s="64">
        <v>2.99</v>
      </c>
      <c r="Q90" s="64">
        <v>9.4700000000000006</v>
      </c>
      <c r="R90" s="198"/>
      <c r="S90" s="198"/>
      <c r="T90" s="198"/>
      <c r="U90" s="198"/>
    </row>
    <row r="91" spans="1:26" s="12" customFormat="1" x14ac:dyDescent="0.25">
      <c r="A91" s="247" t="s">
        <v>2822</v>
      </c>
      <c r="B91" s="209" t="s">
        <v>36</v>
      </c>
      <c r="C91" s="209" t="s">
        <v>36</v>
      </c>
      <c r="D91" s="209" t="s">
        <v>36</v>
      </c>
      <c r="E91" s="64">
        <v>13.31</v>
      </c>
      <c r="F91" s="64">
        <v>8.75</v>
      </c>
      <c r="G91" s="64">
        <v>106.34</v>
      </c>
      <c r="H91" s="64">
        <v>35.06</v>
      </c>
      <c r="I91" s="64">
        <v>4.04</v>
      </c>
      <c r="J91" s="64">
        <v>0.54</v>
      </c>
      <c r="K91" s="64">
        <v>304.73</v>
      </c>
      <c r="L91" s="64">
        <v>24.91</v>
      </c>
      <c r="M91" s="64">
        <v>36.380000000000003</v>
      </c>
      <c r="N91" s="64">
        <v>57.6</v>
      </c>
      <c r="O91" s="64">
        <v>0</v>
      </c>
      <c r="P91" s="64">
        <v>2.73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47" t="s">
        <v>2823</v>
      </c>
      <c r="B92" s="209" t="s">
        <v>36</v>
      </c>
      <c r="C92" s="209" t="s">
        <v>36</v>
      </c>
      <c r="D92" s="209" t="s">
        <v>36</v>
      </c>
      <c r="E92" s="64">
        <v>13.58</v>
      </c>
      <c r="F92" s="64">
        <v>8.67</v>
      </c>
      <c r="G92" s="64">
        <v>117.45</v>
      </c>
      <c r="H92" s="64">
        <v>36.340000000000003</v>
      </c>
      <c r="I92" s="64">
        <v>3.8</v>
      </c>
      <c r="J92" s="64">
        <v>0.7</v>
      </c>
      <c r="K92" s="64">
        <v>343.47</v>
      </c>
      <c r="L92" s="64">
        <v>24.8</v>
      </c>
      <c r="M92" s="64">
        <v>36.89</v>
      </c>
      <c r="N92" s="64">
        <v>57.7</v>
      </c>
      <c r="O92" s="64">
        <v>0</v>
      </c>
      <c r="P92" s="64">
        <v>3.36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47" t="s">
        <v>2824</v>
      </c>
      <c r="B93" s="209" t="s">
        <v>36</v>
      </c>
      <c r="C93" s="209" t="s">
        <v>36</v>
      </c>
      <c r="D93" s="209" t="s">
        <v>36</v>
      </c>
      <c r="E93" s="64">
        <v>14.15</v>
      </c>
      <c r="F93" s="64">
        <v>9.9600000000000009</v>
      </c>
      <c r="G93" s="64">
        <v>153.94999999999999</v>
      </c>
      <c r="H93" s="64">
        <v>40.53</v>
      </c>
      <c r="I93" s="64">
        <v>3.91</v>
      </c>
      <c r="J93" s="64">
        <v>0.52</v>
      </c>
      <c r="K93" s="64">
        <v>350.3</v>
      </c>
      <c r="L93" s="64">
        <v>24.46</v>
      </c>
      <c r="M93" s="64">
        <v>36.21</v>
      </c>
      <c r="N93" s="64">
        <v>57.7</v>
      </c>
      <c r="O93" s="64">
        <v>0</v>
      </c>
      <c r="P93" s="64">
        <v>2.9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47" t="s">
        <v>2825</v>
      </c>
      <c r="B94" s="209" t="s">
        <v>36</v>
      </c>
      <c r="C94" s="209" t="s">
        <v>36</v>
      </c>
      <c r="D94" s="209" t="s">
        <v>36</v>
      </c>
      <c r="E94" s="64">
        <v>12.8</v>
      </c>
      <c r="F94" s="64">
        <v>8.5500000000000007</v>
      </c>
      <c r="G94" s="64">
        <v>153.94999999999999</v>
      </c>
      <c r="H94" s="64">
        <v>40.53</v>
      </c>
      <c r="I94" s="64">
        <v>4.07</v>
      </c>
      <c r="J94" s="64">
        <v>0.3</v>
      </c>
      <c r="K94" s="64">
        <v>265.95</v>
      </c>
      <c r="L94" s="64">
        <v>24.06</v>
      </c>
      <c r="M94" s="64">
        <v>38.44</v>
      </c>
      <c r="N94" s="64">
        <v>57.7</v>
      </c>
      <c r="O94" s="64">
        <v>0</v>
      </c>
      <c r="P94" s="64">
        <v>2.4300000000000002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47" t="s">
        <v>2826</v>
      </c>
      <c r="B95" s="209" t="s">
        <v>36</v>
      </c>
      <c r="C95" s="209" t="s">
        <v>36</v>
      </c>
      <c r="D95" s="209" t="s">
        <v>36</v>
      </c>
      <c r="E95" s="64">
        <v>11.28</v>
      </c>
      <c r="F95" s="64">
        <v>8.9600000000000009</v>
      </c>
      <c r="G95" s="64">
        <v>153.94999999999999</v>
      </c>
      <c r="H95" s="64">
        <v>40.53</v>
      </c>
      <c r="I95" s="64">
        <v>4.0199999999999996</v>
      </c>
      <c r="J95" s="64">
        <v>0.26</v>
      </c>
      <c r="K95" s="64">
        <v>324.60000000000002</v>
      </c>
      <c r="L95" s="64">
        <v>23.58</v>
      </c>
      <c r="M95" s="64">
        <v>41.08</v>
      </c>
      <c r="N95" s="64">
        <v>57.6</v>
      </c>
      <c r="O95" s="64">
        <v>0</v>
      </c>
      <c r="P95" s="64">
        <v>2.56</v>
      </c>
      <c r="Q95" s="64">
        <v>9.56</v>
      </c>
      <c r="R95" s="198"/>
      <c r="S95" s="198"/>
      <c r="T95" s="198"/>
      <c r="U95" s="198"/>
    </row>
    <row r="96" spans="1:26" s="12" customFormat="1" x14ac:dyDescent="0.25">
      <c r="A96" s="247" t="s">
        <v>2827</v>
      </c>
      <c r="B96" s="209" t="s">
        <v>36</v>
      </c>
      <c r="C96" s="209" t="s">
        <v>36</v>
      </c>
      <c r="D96" s="209" t="s">
        <v>36</v>
      </c>
      <c r="E96" s="64">
        <v>11.25</v>
      </c>
      <c r="F96" s="64">
        <v>8.11</v>
      </c>
      <c r="G96" s="64">
        <v>147.68</v>
      </c>
      <c r="H96" s="64">
        <v>40.57</v>
      </c>
      <c r="I96" s="64">
        <v>4.03</v>
      </c>
      <c r="J96" s="64">
        <v>0.19</v>
      </c>
      <c r="K96" s="64">
        <v>258.27999999999997</v>
      </c>
      <c r="L96" s="64">
        <v>23.55</v>
      </c>
      <c r="M96" s="64">
        <v>39.75</v>
      </c>
      <c r="N96" s="64">
        <v>57.4</v>
      </c>
      <c r="O96" s="64">
        <v>0</v>
      </c>
      <c r="P96" s="64">
        <v>2.14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2828</v>
      </c>
      <c r="B97" s="209" t="s">
        <v>36</v>
      </c>
      <c r="C97" s="209" t="s">
        <v>36</v>
      </c>
      <c r="D97" s="209" t="s">
        <v>36</v>
      </c>
      <c r="E97" s="64">
        <v>9.9700000000000006</v>
      </c>
      <c r="F97" s="64">
        <v>8.68</v>
      </c>
      <c r="G97" s="64">
        <v>127.07</v>
      </c>
      <c r="H97" s="64">
        <v>40.700000000000003</v>
      </c>
      <c r="I97" s="64">
        <v>4.0599999999999996</v>
      </c>
      <c r="J97" s="64">
        <v>0.26</v>
      </c>
      <c r="K97" s="64">
        <v>332.95</v>
      </c>
      <c r="L97" s="64">
        <v>23.22</v>
      </c>
      <c r="M97" s="64">
        <v>43.87</v>
      </c>
      <c r="N97" s="64">
        <v>57.8</v>
      </c>
      <c r="O97" s="64">
        <v>0</v>
      </c>
      <c r="P97" s="64">
        <v>2.44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47" t="s">
        <v>2829</v>
      </c>
      <c r="B98" s="209" t="s">
        <v>36</v>
      </c>
      <c r="C98" s="209" t="s">
        <v>36</v>
      </c>
      <c r="D98" s="209" t="s">
        <v>36</v>
      </c>
      <c r="E98" s="64">
        <v>8.6300000000000008</v>
      </c>
      <c r="F98" s="64">
        <v>8.42</v>
      </c>
      <c r="G98" s="64">
        <v>127.07</v>
      </c>
      <c r="H98" s="64">
        <v>40.700000000000003</v>
      </c>
      <c r="I98" s="64">
        <v>3.89</v>
      </c>
      <c r="J98" s="64">
        <v>0.65</v>
      </c>
      <c r="K98" s="64">
        <v>313.95</v>
      </c>
      <c r="L98" s="64">
        <v>22.81</v>
      </c>
      <c r="M98" s="64">
        <v>43.42</v>
      </c>
      <c r="N98" s="64">
        <v>57.6</v>
      </c>
      <c r="O98" s="64">
        <v>0</v>
      </c>
      <c r="P98" s="64">
        <v>2.35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47" t="s">
        <v>2830</v>
      </c>
      <c r="B99" s="209" t="s">
        <v>36</v>
      </c>
      <c r="C99" s="209" t="s">
        <v>36</v>
      </c>
      <c r="D99" s="209" t="s">
        <v>36</v>
      </c>
      <c r="E99" s="64">
        <v>6.81</v>
      </c>
      <c r="F99" s="64">
        <v>8</v>
      </c>
      <c r="G99" s="64">
        <v>127.07</v>
      </c>
      <c r="H99" s="64">
        <v>40.700000000000003</v>
      </c>
      <c r="I99" s="64">
        <v>4.22</v>
      </c>
      <c r="J99" s="64">
        <v>0.64</v>
      </c>
      <c r="K99" s="64">
        <v>338.37</v>
      </c>
      <c r="L99" s="64">
        <v>22.5</v>
      </c>
      <c r="M99" s="64">
        <v>43.31</v>
      </c>
      <c r="N99" s="64">
        <v>57.8</v>
      </c>
      <c r="O99" s="64">
        <v>0</v>
      </c>
      <c r="P99" s="64">
        <v>2.21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47" t="s">
        <v>2831</v>
      </c>
      <c r="B100" s="209" t="s">
        <v>36</v>
      </c>
      <c r="C100" s="209" t="s">
        <v>36</v>
      </c>
      <c r="D100" s="209" t="s">
        <v>36</v>
      </c>
      <c r="E100" s="64">
        <v>7.04</v>
      </c>
      <c r="F100" s="64">
        <v>9.69</v>
      </c>
      <c r="G100" s="64">
        <v>126.86</v>
      </c>
      <c r="H100" s="64">
        <v>41.03</v>
      </c>
      <c r="I100" s="64">
        <v>4.0599999999999996</v>
      </c>
      <c r="J100" s="64">
        <v>0.45</v>
      </c>
      <c r="K100" s="64">
        <v>270.89</v>
      </c>
      <c r="L100" s="64">
        <v>22.74</v>
      </c>
      <c r="M100" s="64">
        <v>39.51</v>
      </c>
      <c r="N100" s="64">
        <v>57.3</v>
      </c>
      <c r="O100" s="64">
        <v>0</v>
      </c>
      <c r="P100" s="64">
        <v>1.65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2832</v>
      </c>
      <c r="B101" s="209" t="s">
        <v>36</v>
      </c>
      <c r="C101" s="209" t="s">
        <v>36</v>
      </c>
      <c r="D101" s="209" t="s">
        <v>36</v>
      </c>
      <c r="E101" s="64">
        <v>6.03</v>
      </c>
      <c r="F101" s="64">
        <v>9.9700000000000006</v>
      </c>
      <c r="G101" s="64">
        <v>126.16</v>
      </c>
      <c r="H101" s="64">
        <v>42.08</v>
      </c>
      <c r="I101" s="64">
        <v>3.88</v>
      </c>
      <c r="J101" s="64">
        <v>0.64</v>
      </c>
      <c r="K101" s="64">
        <v>260.64999999999998</v>
      </c>
      <c r="L101" s="64">
        <v>22.79</v>
      </c>
      <c r="M101" s="64">
        <v>39.4</v>
      </c>
      <c r="N101" s="64">
        <v>57.3</v>
      </c>
      <c r="O101" s="64">
        <v>0</v>
      </c>
      <c r="P101" s="64">
        <v>1.55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47" t="s">
        <v>2833</v>
      </c>
      <c r="B102" s="209" t="s">
        <v>36</v>
      </c>
      <c r="C102" s="209" t="s">
        <v>36</v>
      </c>
      <c r="D102" s="209" t="s">
        <v>36</v>
      </c>
      <c r="E102" s="64">
        <v>5.14</v>
      </c>
      <c r="F102" s="64">
        <v>9.93</v>
      </c>
      <c r="G102" s="64">
        <v>126.16</v>
      </c>
      <c r="H102" s="64">
        <v>42.08</v>
      </c>
      <c r="I102" s="64">
        <v>4.21</v>
      </c>
      <c r="J102" s="64">
        <v>0.49</v>
      </c>
      <c r="K102" s="64">
        <v>279.14</v>
      </c>
      <c r="L102" s="64">
        <v>22.42</v>
      </c>
      <c r="M102" s="64">
        <v>42.56</v>
      </c>
      <c r="N102" s="64">
        <v>57.6</v>
      </c>
      <c r="O102" s="64">
        <v>0</v>
      </c>
      <c r="P102" s="64">
        <v>1.61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47" t="s">
        <v>2834</v>
      </c>
      <c r="B103" s="209" t="s">
        <v>36</v>
      </c>
      <c r="C103" s="209" t="s">
        <v>36</v>
      </c>
      <c r="D103" s="209" t="s">
        <v>36</v>
      </c>
      <c r="E103" s="64">
        <v>5.39</v>
      </c>
      <c r="F103" s="64">
        <v>10.34</v>
      </c>
      <c r="G103" s="64">
        <v>126.16</v>
      </c>
      <c r="H103" s="64">
        <v>42.08</v>
      </c>
      <c r="I103" s="64">
        <v>4.12</v>
      </c>
      <c r="J103" s="64">
        <v>0.45</v>
      </c>
      <c r="K103" s="64">
        <v>293.60000000000002</v>
      </c>
      <c r="L103" s="64">
        <v>22.44</v>
      </c>
      <c r="M103" s="64">
        <v>41.99</v>
      </c>
      <c r="N103" s="64">
        <v>57.4</v>
      </c>
      <c r="O103" s="64">
        <v>0</v>
      </c>
      <c r="P103" s="64">
        <v>1.58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47" t="s">
        <v>2835</v>
      </c>
      <c r="B104" s="209" t="s">
        <v>36</v>
      </c>
      <c r="C104" s="209" t="s">
        <v>36</v>
      </c>
      <c r="D104" s="209" t="s">
        <v>36</v>
      </c>
      <c r="E104" s="64">
        <v>5.13</v>
      </c>
      <c r="F104" s="64">
        <v>9.67</v>
      </c>
      <c r="G104" s="64">
        <v>121.06</v>
      </c>
      <c r="H104" s="64">
        <v>41.99</v>
      </c>
      <c r="I104" s="64">
        <v>3.93</v>
      </c>
      <c r="J104" s="64">
        <v>0.33</v>
      </c>
      <c r="K104" s="64">
        <v>275.07</v>
      </c>
      <c r="L104" s="64">
        <v>21.83</v>
      </c>
      <c r="M104" s="64">
        <v>43.12</v>
      </c>
      <c r="N104" s="64">
        <v>57.8</v>
      </c>
      <c r="O104" s="64">
        <v>0</v>
      </c>
      <c r="P104" s="64">
        <v>1.64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3.39</v>
      </c>
      <c r="C106" s="67">
        <f>MIN(C9:C104)</f>
        <v>52.59</v>
      </c>
      <c r="D106" s="67">
        <f t="shared" ref="D106:Q106" si="0">MIN(D9:D104)</f>
        <v>44.59</v>
      </c>
      <c r="E106" s="67">
        <f t="shared" si="0"/>
        <v>1.32</v>
      </c>
      <c r="F106" s="67">
        <f t="shared" si="0"/>
        <v>6.69</v>
      </c>
      <c r="G106" s="67">
        <f t="shared" si="0"/>
        <v>0</v>
      </c>
      <c r="H106" s="67">
        <f t="shared" si="0"/>
        <v>21.89</v>
      </c>
      <c r="I106" s="67">
        <f t="shared" si="0"/>
        <v>3.76</v>
      </c>
      <c r="J106" s="67">
        <f t="shared" si="0"/>
        <v>7.0000000000000007E-2</v>
      </c>
      <c r="K106" s="67">
        <f t="shared" si="0"/>
        <v>19.21</v>
      </c>
      <c r="L106" s="67">
        <f t="shared" si="0"/>
        <v>0.57999999999999996</v>
      </c>
      <c r="M106" s="67">
        <f t="shared" si="0"/>
        <v>11.91</v>
      </c>
      <c r="N106" s="67">
        <f t="shared" si="0"/>
        <v>57.3</v>
      </c>
      <c r="O106" s="67">
        <f t="shared" si="0"/>
        <v>0</v>
      </c>
      <c r="P106" s="67">
        <f t="shared" si="0"/>
        <v>0.13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67.540000000000006</v>
      </c>
      <c r="C107" s="66">
        <f t="shared" ref="C107:Q107" si="1">MAX(C9:C104)</f>
        <v>102.58</v>
      </c>
      <c r="D107" s="66">
        <f t="shared" si="1"/>
        <v>107.76</v>
      </c>
      <c r="E107" s="66">
        <f t="shared" si="1"/>
        <v>19.600000000000001</v>
      </c>
      <c r="F107" s="66">
        <f t="shared" si="1"/>
        <v>51.15</v>
      </c>
      <c r="G107" s="66">
        <f t="shared" si="1"/>
        <v>232.76</v>
      </c>
      <c r="H107" s="66">
        <f t="shared" si="1"/>
        <v>70.81</v>
      </c>
      <c r="I107" s="66">
        <f t="shared" si="1"/>
        <v>4.32</v>
      </c>
      <c r="J107" s="66">
        <f t="shared" si="1"/>
        <v>1.66</v>
      </c>
      <c r="K107" s="66">
        <f t="shared" si="1"/>
        <v>358.68</v>
      </c>
      <c r="L107" s="66">
        <f t="shared" si="1"/>
        <v>36.78</v>
      </c>
      <c r="M107" s="66">
        <f t="shared" si="1"/>
        <v>58.1</v>
      </c>
      <c r="N107" s="66">
        <f t="shared" si="1"/>
        <v>810.2</v>
      </c>
      <c r="O107" s="66">
        <f t="shared" si="1"/>
        <v>0</v>
      </c>
      <c r="P107" s="66">
        <f t="shared" si="1"/>
        <v>3.36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34.118043478260859</v>
      </c>
      <c r="C108" s="67">
        <f t="shared" ref="C108:Q108" si="2">AVERAGE(C9:C104)</f>
        <v>75.382173913043474</v>
      </c>
      <c r="D108" s="67">
        <f t="shared" si="2"/>
        <v>66.744999999999976</v>
      </c>
      <c r="E108" s="67">
        <f t="shared" si="2"/>
        <v>8.8665432098765411</v>
      </c>
      <c r="F108" s="67">
        <f t="shared" si="2"/>
        <v>16.883181818181825</v>
      </c>
      <c r="G108" s="67">
        <f t="shared" si="2"/>
        <v>105.85715909090912</v>
      </c>
      <c r="H108" s="67">
        <f t="shared" si="2"/>
        <v>37.856477272727275</v>
      </c>
      <c r="I108" s="67">
        <f t="shared" si="2"/>
        <v>3.9982954545454543</v>
      </c>
      <c r="J108" s="67">
        <f t="shared" si="2"/>
        <v>0.63159090909090909</v>
      </c>
      <c r="K108" s="67">
        <f t="shared" si="2"/>
        <v>254.88943181818175</v>
      </c>
      <c r="L108" s="67">
        <f t="shared" si="2"/>
        <v>25.550681818181818</v>
      </c>
      <c r="M108" s="67">
        <f t="shared" si="2"/>
        <v>34.269999999999989</v>
      </c>
      <c r="N108" s="67">
        <f t="shared" si="2"/>
        <v>212.41477272727269</v>
      </c>
      <c r="O108" s="67">
        <f t="shared" si="2"/>
        <v>0</v>
      </c>
      <c r="P108" s="67">
        <f t="shared" si="2"/>
        <v>1.1843181818181816</v>
      </c>
      <c r="Q108" s="67">
        <f t="shared" si="2"/>
        <v>9.46511627906977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14.571201066878517</v>
      </c>
      <c r="C109" s="67">
        <f t="shared" ref="C109:Q109" si="3">STDEV(C9:C104)</f>
        <v>12.877399135788966</v>
      </c>
      <c r="D109" s="67">
        <f t="shared" si="3"/>
        <v>14.111978009242273</v>
      </c>
      <c r="E109" s="67">
        <f t="shared" si="3"/>
        <v>4.7221343586597175</v>
      </c>
      <c r="F109" s="67">
        <f t="shared" si="3"/>
        <v>11.896526832618228</v>
      </c>
      <c r="G109" s="67">
        <f t="shared" si="3"/>
        <v>53.442355343959427</v>
      </c>
      <c r="H109" s="67">
        <f t="shared" si="3"/>
        <v>14.285276725563081</v>
      </c>
      <c r="I109" s="67">
        <f t="shared" si="3"/>
        <v>0.10296993859842506</v>
      </c>
      <c r="J109" s="67">
        <f t="shared" si="3"/>
        <v>0.31290219677079895</v>
      </c>
      <c r="K109" s="67">
        <f t="shared" si="3"/>
        <v>80.113098967087126</v>
      </c>
      <c r="L109" s="67">
        <f t="shared" si="3"/>
        <v>6.3185304554134598</v>
      </c>
      <c r="M109" s="67">
        <f t="shared" si="3"/>
        <v>12.917450995838358</v>
      </c>
      <c r="N109" s="67">
        <f t="shared" si="3"/>
        <v>243.29181311951726</v>
      </c>
      <c r="O109" s="67">
        <f t="shared" si="3"/>
        <v>0</v>
      </c>
      <c r="P109" s="67">
        <f t="shared" si="3"/>
        <v>0.6854779278362505</v>
      </c>
      <c r="Q109" s="67">
        <f t="shared" si="3"/>
        <v>0.15960793276796217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COUNT(B9:B104)+50</f>
        <v>96</v>
      </c>
      <c r="C110" s="66">
        <f t="shared" ref="C110:D110" si="4">COUNT(C9:C104)+50</f>
        <v>96</v>
      </c>
      <c r="D110" s="66">
        <f t="shared" si="4"/>
        <v>96</v>
      </c>
      <c r="E110" s="66">
        <f>COUNT(E9:E104)+15</f>
        <v>96</v>
      </c>
      <c r="F110" s="66">
        <f>COUNT(F9:F104)+8</f>
        <v>96</v>
      </c>
      <c r="G110" s="66">
        <f t="shared" ref="G110:P110" si="5">COUNT(G9:G104)+8</f>
        <v>96</v>
      </c>
      <c r="H110" s="66">
        <f t="shared" si="5"/>
        <v>96</v>
      </c>
      <c r="I110" s="66">
        <f t="shared" si="5"/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>COUNT(Q9:Q104)+10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47" t="s">
        <v>2836</v>
      </c>
      <c r="B9" s="209" t="s">
        <v>36</v>
      </c>
      <c r="C9" s="209" t="s">
        <v>36</v>
      </c>
      <c r="D9" s="209" t="s">
        <v>36</v>
      </c>
      <c r="E9" s="64">
        <v>6.09</v>
      </c>
      <c r="F9" s="64">
        <v>9.16</v>
      </c>
      <c r="G9" s="64">
        <v>104.32</v>
      </c>
      <c r="H9" s="64">
        <v>41.69</v>
      </c>
      <c r="I9" s="64">
        <v>4.03</v>
      </c>
      <c r="J9" s="64">
        <v>0.66</v>
      </c>
      <c r="K9" s="64">
        <v>241.19</v>
      </c>
      <c r="L9" s="64">
        <v>21.92</v>
      </c>
      <c r="M9" s="64">
        <v>40.450000000000003</v>
      </c>
      <c r="N9" s="64">
        <v>57.3</v>
      </c>
      <c r="O9" s="64">
        <v>0</v>
      </c>
      <c r="P9" s="64">
        <v>1.44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47" t="s">
        <v>2837</v>
      </c>
      <c r="B10" s="209" t="s">
        <v>36</v>
      </c>
      <c r="C10" s="209" t="s">
        <v>36</v>
      </c>
      <c r="D10" s="209" t="s">
        <v>36</v>
      </c>
      <c r="E10" s="64">
        <v>5.72</v>
      </c>
      <c r="F10" s="64">
        <v>10.72</v>
      </c>
      <c r="G10" s="64">
        <v>104.32</v>
      </c>
      <c r="H10" s="64">
        <v>41.69</v>
      </c>
      <c r="I10" s="64">
        <v>4.16</v>
      </c>
      <c r="J10" s="64">
        <v>0.36</v>
      </c>
      <c r="K10" s="64">
        <v>279.26</v>
      </c>
      <c r="L10" s="64">
        <v>21.89</v>
      </c>
      <c r="M10" s="64">
        <v>41.82</v>
      </c>
      <c r="N10" s="64">
        <v>57.3</v>
      </c>
      <c r="O10" s="64">
        <v>0</v>
      </c>
      <c r="P10" s="64">
        <v>1.49</v>
      </c>
      <c r="Q10" s="64">
        <v>9.69</v>
      </c>
      <c r="R10" s="198"/>
      <c r="S10" s="198"/>
      <c r="T10" s="198"/>
      <c r="U10" s="198"/>
    </row>
    <row r="11" spans="1:21" s="12" customFormat="1" x14ac:dyDescent="0.25">
      <c r="A11" s="247" t="s">
        <v>2838</v>
      </c>
      <c r="B11" s="209" t="s">
        <v>36</v>
      </c>
      <c r="C11" s="209" t="s">
        <v>36</v>
      </c>
      <c r="D11" s="209" t="s">
        <v>36</v>
      </c>
      <c r="E11" s="64">
        <v>6.04</v>
      </c>
      <c r="F11" s="64">
        <v>12.56</v>
      </c>
      <c r="G11" s="64">
        <v>104.32</v>
      </c>
      <c r="H11" s="64">
        <v>41.69</v>
      </c>
      <c r="I11" s="64">
        <v>4</v>
      </c>
      <c r="J11" s="64">
        <v>0.27</v>
      </c>
      <c r="K11" s="64">
        <v>271.02</v>
      </c>
      <c r="L11" s="64">
        <v>21.41</v>
      </c>
      <c r="M11" s="64">
        <v>43.58</v>
      </c>
      <c r="N11" s="64">
        <v>57.7</v>
      </c>
      <c r="O11" s="64">
        <v>0</v>
      </c>
      <c r="P11" s="64">
        <v>1.39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47" t="s">
        <v>2839</v>
      </c>
      <c r="B12" s="209" t="s">
        <v>36</v>
      </c>
      <c r="C12" s="209" t="s">
        <v>36</v>
      </c>
      <c r="D12" s="209" t="s">
        <v>36</v>
      </c>
      <c r="E12" s="64">
        <v>6.93</v>
      </c>
      <c r="F12" s="64">
        <v>20.03</v>
      </c>
      <c r="G12" s="64">
        <v>100.19</v>
      </c>
      <c r="H12" s="64">
        <v>40.229999999999997</v>
      </c>
      <c r="I12" s="64">
        <v>4.13</v>
      </c>
      <c r="J12" s="64">
        <v>0.51</v>
      </c>
      <c r="K12" s="64">
        <v>278.91000000000003</v>
      </c>
      <c r="L12" s="64">
        <v>21.25</v>
      </c>
      <c r="M12" s="64">
        <v>43.82</v>
      </c>
      <c r="N12" s="64">
        <v>57.4</v>
      </c>
      <c r="O12" s="64">
        <v>0</v>
      </c>
      <c r="P12" s="64">
        <v>1.1200000000000001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47" t="s">
        <v>2840</v>
      </c>
      <c r="B13" s="209" t="s">
        <v>36</v>
      </c>
      <c r="C13" s="209" t="s">
        <v>36</v>
      </c>
      <c r="D13" s="209" t="s">
        <v>36</v>
      </c>
      <c r="E13" s="64">
        <v>8.4499999999999993</v>
      </c>
      <c r="F13" s="64">
        <v>22.19</v>
      </c>
      <c r="G13" s="64">
        <v>86.62</v>
      </c>
      <c r="H13" s="64">
        <v>35.43</v>
      </c>
      <c r="I13" s="64">
        <v>4.1399999999999997</v>
      </c>
      <c r="J13" s="64">
        <v>0.56999999999999995</v>
      </c>
      <c r="K13" s="64">
        <v>260.58999999999997</v>
      </c>
      <c r="L13" s="64">
        <v>21.44</v>
      </c>
      <c r="M13" s="64">
        <v>42.8</v>
      </c>
      <c r="N13" s="64">
        <v>57.4</v>
      </c>
      <c r="O13" s="64">
        <v>0</v>
      </c>
      <c r="P13" s="64">
        <v>0.96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47" t="s">
        <v>2841</v>
      </c>
      <c r="B14" s="209" t="s">
        <v>36</v>
      </c>
      <c r="C14" s="209" t="s">
        <v>36</v>
      </c>
      <c r="D14" s="209" t="s">
        <v>36</v>
      </c>
      <c r="E14" s="64">
        <v>8.0500000000000007</v>
      </c>
      <c r="F14" s="64">
        <v>19.79</v>
      </c>
      <c r="G14" s="64">
        <v>86.62</v>
      </c>
      <c r="H14" s="64">
        <v>35.43</v>
      </c>
      <c r="I14" s="64">
        <v>4.01</v>
      </c>
      <c r="J14" s="64">
        <v>0.53</v>
      </c>
      <c r="K14" s="64">
        <v>283.48</v>
      </c>
      <c r="L14" s="64">
        <v>20.8</v>
      </c>
      <c r="M14" s="64">
        <v>45.02</v>
      </c>
      <c r="N14" s="64">
        <v>57.7</v>
      </c>
      <c r="O14" s="64">
        <v>0</v>
      </c>
      <c r="P14" s="64">
        <v>0.98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47" t="s">
        <v>2842</v>
      </c>
      <c r="B15" s="209" t="s">
        <v>36</v>
      </c>
      <c r="C15" s="209" t="s">
        <v>36</v>
      </c>
      <c r="D15" s="209" t="s">
        <v>36</v>
      </c>
      <c r="E15" s="64">
        <v>7.64</v>
      </c>
      <c r="F15" s="64">
        <v>16.989999999999998</v>
      </c>
      <c r="G15" s="64">
        <v>86.62</v>
      </c>
      <c r="H15" s="64">
        <v>35.43</v>
      </c>
      <c r="I15" s="64">
        <v>3.97</v>
      </c>
      <c r="J15" s="64">
        <v>0.38</v>
      </c>
      <c r="K15" s="64">
        <v>239.92</v>
      </c>
      <c r="L15" s="64">
        <v>20.51</v>
      </c>
      <c r="M15" s="64">
        <v>47.07</v>
      </c>
      <c r="N15" s="64">
        <v>57.7</v>
      </c>
      <c r="O15" s="64">
        <v>0</v>
      </c>
      <c r="P15" s="64">
        <v>1.04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47" t="s">
        <v>2843</v>
      </c>
      <c r="B16" s="209" t="s">
        <v>36</v>
      </c>
      <c r="C16" s="209" t="s">
        <v>36</v>
      </c>
      <c r="D16" s="209" t="s">
        <v>36</v>
      </c>
      <c r="E16" s="64">
        <v>7.53</v>
      </c>
      <c r="F16" s="64">
        <v>15.88</v>
      </c>
      <c r="G16" s="64">
        <v>85.46</v>
      </c>
      <c r="H16" s="64">
        <v>35.65</v>
      </c>
      <c r="I16" s="64">
        <v>3.82</v>
      </c>
      <c r="J16" s="64">
        <v>0.59</v>
      </c>
      <c r="K16" s="64">
        <v>332.28</v>
      </c>
      <c r="L16" s="64">
        <v>19.98</v>
      </c>
      <c r="M16" s="64">
        <v>51.52</v>
      </c>
      <c r="N16" s="64">
        <v>58</v>
      </c>
      <c r="O16" s="64">
        <v>0</v>
      </c>
      <c r="P16" s="64">
        <v>1.03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47" t="s">
        <v>2844</v>
      </c>
      <c r="B17" s="209" t="s">
        <v>36</v>
      </c>
      <c r="C17" s="209" t="s">
        <v>36</v>
      </c>
      <c r="D17" s="209" t="s">
        <v>36</v>
      </c>
      <c r="E17" s="64">
        <v>7.04</v>
      </c>
      <c r="F17" s="64">
        <v>15.23</v>
      </c>
      <c r="G17" s="64">
        <v>81.64</v>
      </c>
      <c r="H17" s="64">
        <v>36.39</v>
      </c>
      <c r="I17" s="64">
        <v>4.09</v>
      </c>
      <c r="J17" s="64">
        <v>0.46</v>
      </c>
      <c r="K17" s="64">
        <v>278.33999999999997</v>
      </c>
      <c r="L17" s="64">
        <v>19.43</v>
      </c>
      <c r="M17" s="64">
        <v>53.33</v>
      </c>
      <c r="N17" s="64">
        <v>57.8</v>
      </c>
      <c r="O17" s="64">
        <v>0</v>
      </c>
      <c r="P17" s="64">
        <v>0.96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47" t="s">
        <v>2845</v>
      </c>
      <c r="B18" s="209" t="s">
        <v>36</v>
      </c>
      <c r="C18" s="209" t="s">
        <v>36</v>
      </c>
      <c r="D18" s="209" t="s">
        <v>36</v>
      </c>
      <c r="E18" s="64">
        <v>6.75</v>
      </c>
      <c r="F18" s="64">
        <v>12.95</v>
      </c>
      <c r="G18" s="64">
        <v>81.64</v>
      </c>
      <c r="H18" s="64">
        <v>36.39</v>
      </c>
      <c r="I18" s="64">
        <v>3.86</v>
      </c>
      <c r="J18" s="64">
        <v>0.75</v>
      </c>
      <c r="K18" s="64">
        <v>343.7</v>
      </c>
      <c r="L18" s="64">
        <v>19.260000000000002</v>
      </c>
      <c r="M18" s="64">
        <v>55.13</v>
      </c>
      <c r="N18" s="64">
        <v>57.6</v>
      </c>
      <c r="O18" s="64">
        <v>0</v>
      </c>
      <c r="P18" s="64">
        <v>1.05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47" t="s">
        <v>2846</v>
      </c>
      <c r="B19" s="209" t="s">
        <v>36</v>
      </c>
      <c r="C19" s="209" t="s">
        <v>36</v>
      </c>
      <c r="D19" s="209" t="s">
        <v>36</v>
      </c>
      <c r="E19" s="64">
        <v>6.01</v>
      </c>
      <c r="F19" s="64">
        <v>10.7</v>
      </c>
      <c r="G19" s="64">
        <v>81.64</v>
      </c>
      <c r="H19" s="64">
        <v>36.39</v>
      </c>
      <c r="I19" s="64">
        <v>3.99</v>
      </c>
      <c r="J19" s="64">
        <v>0.48</v>
      </c>
      <c r="K19" s="64">
        <v>212.04</v>
      </c>
      <c r="L19" s="64">
        <v>19.329999999999998</v>
      </c>
      <c r="M19" s="64">
        <v>51.76</v>
      </c>
      <c r="N19" s="64">
        <v>57.1</v>
      </c>
      <c r="O19" s="64">
        <v>0</v>
      </c>
      <c r="P19" s="64">
        <v>1.1100000000000001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47" t="s">
        <v>2847</v>
      </c>
      <c r="B20" s="209" t="s">
        <v>36</v>
      </c>
      <c r="C20" s="209" t="s">
        <v>36</v>
      </c>
      <c r="D20" s="209" t="s">
        <v>36</v>
      </c>
      <c r="E20" s="64">
        <v>4.32</v>
      </c>
      <c r="F20" s="64">
        <v>8.1199999999999992</v>
      </c>
      <c r="G20" s="64">
        <v>82.23</v>
      </c>
      <c r="H20" s="64">
        <v>35.950000000000003</v>
      </c>
      <c r="I20" s="64">
        <v>4.09</v>
      </c>
      <c r="J20" s="64">
        <v>0.51</v>
      </c>
      <c r="K20" s="64">
        <v>330.72</v>
      </c>
      <c r="L20" s="64">
        <v>19.73</v>
      </c>
      <c r="M20" s="64">
        <v>51.08</v>
      </c>
      <c r="N20" s="64">
        <v>57.5</v>
      </c>
      <c r="O20" s="64">
        <v>0</v>
      </c>
      <c r="P20" s="64">
        <v>1.27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47" t="s">
        <v>2848</v>
      </c>
      <c r="B21" s="209" t="s">
        <v>36</v>
      </c>
      <c r="C21" s="209" t="s">
        <v>36</v>
      </c>
      <c r="D21" s="209" t="s">
        <v>36</v>
      </c>
      <c r="E21" s="64">
        <v>4.2</v>
      </c>
      <c r="F21" s="64">
        <v>6.92</v>
      </c>
      <c r="G21" s="64">
        <v>84.18</v>
      </c>
      <c r="H21" s="64">
        <v>34.5</v>
      </c>
      <c r="I21" s="64">
        <v>4.05</v>
      </c>
      <c r="J21" s="64">
        <v>0.21</v>
      </c>
      <c r="K21" s="64">
        <v>309.93</v>
      </c>
      <c r="L21" s="64">
        <v>19.62</v>
      </c>
      <c r="M21" s="64">
        <v>51.72</v>
      </c>
      <c r="N21" s="64">
        <v>56.5</v>
      </c>
      <c r="O21" s="64">
        <v>0</v>
      </c>
      <c r="P21" s="64">
        <v>1.29</v>
      </c>
      <c r="Q21" s="64">
        <v>9.59</v>
      </c>
      <c r="R21" s="198"/>
      <c r="S21" s="198"/>
      <c r="T21" s="198"/>
      <c r="U21" s="198"/>
    </row>
    <row r="22" spans="1:21" s="12" customFormat="1" x14ac:dyDescent="0.25">
      <c r="A22" s="247" t="s">
        <v>2849</v>
      </c>
      <c r="B22" s="209" t="s">
        <v>36</v>
      </c>
      <c r="C22" s="209" t="s">
        <v>36</v>
      </c>
      <c r="D22" s="209" t="s">
        <v>36</v>
      </c>
      <c r="E22" s="64">
        <v>4.2300000000000004</v>
      </c>
      <c r="F22" s="64">
        <v>9.0299999999999994</v>
      </c>
      <c r="G22" s="64">
        <v>84.18</v>
      </c>
      <c r="H22" s="64">
        <v>34.5</v>
      </c>
      <c r="I22" s="64">
        <v>3.99</v>
      </c>
      <c r="J22" s="64">
        <v>0.36</v>
      </c>
      <c r="K22" s="64">
        <v>261.06</v>
      </c>
      <c r="L22" s="64">
        <v>19.45</v>
      </c>
      <c r="M22" s="64">
        <v>52.48</v>
      </c>
      <c r="N22" s="64">
        <v>57.6</v>
      </c>
      <c r="O22" s="64">
        <v>0</v>
      </c>
      <c r="P22" s="64">
        <v>1.2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47" t="s">
        <v>2850</v>
      </c>
      <c r="B23" s="209" t="s">
        <v>36</v>
      </c>
      <c r="C23" s="209" t="s">
        <v>36</v>
      </c>
      <c r="D23" s="209" t="s">
        <v>36</v>
      </c>
      <c r="E23" s="64">
        <v>4.0999999999999996</v>
      </c>
      <c r="F23" s="64">
        <v>8.56</v>
      </c>
      <c r="G23" s="64">
        <v>84.18</v>
      </c>
      <c r="H23" s="64">
        <v>34.5</v>
      </c>
      <c r="I23" s="64">
        <v>4.0199999999999996</v>
      </c>
      <c r="J23" s="64">
        <v>0.46</v>
      </c>
      <c r="K23" s="64">
        <v>212.58</v>
      </c>
      <c r="L23" s="64">
        <v>19.32</v>
      </c>
      <c r="M23" s="64">
        <v>53.18</v>
      </c>
      <c r="N23" s="64">
        <v>57.4</v>
      </c>
      <c r="O23" s="64">
        <v>0</v>
      </c>
      <c r="P23" s="64">
        <v>1.17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47" t="s">
        <v>2851</v>
      </c>
      <c r="B24" s="209" t="s">
        <v>36</v>
      </c>
      <c r="C24" s="209" t="s">
        <v>36</v>
      </c>
      <c r="D24" s="209" t="s">
        <v>36</v>
      </c>
      <c r="E24" s="64">
        <v>3.9</v>
      </c>
      <c r="F24" s="64">
        <v>8.7799999999999994</v>
      </c>
      <c r="G24" s="64">
        <v>83.43</v>
      </c>
      <c r="H24" s="64">
        <v>33.869999999999997</v>
      </c>
      <c r="I24" s="64">
        <v>4.05</v>
      </c>
      <c r="J24" s="64">
        <v>0.5</v>
      </c>
      <c r="K24" s="64">
        <v>258.94</v>
      </c>
      <c r="L24" s="64">
        <v>19.36</v>
      </c>
      <c r="M24" s="64">
        <v>55.48</v>
      </c>
      <c r="N24" s="64">
        <v>57.6</v>
      </c>
      <c r="O24" s="64">
        <v>0</v>
      </c>
      <c r="P24" s="64">
        <v>1.18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47" t="s">
        <v>2852</v>
      </c>
      <c r="B25" s="209" t="s">
        <v>36</v>
      </c>
      <c r="C25" s="209" t="s">
        <v>36</v>
      </c>
      <c r="D25" s="209" t="s">
        <v>36</v>
      </c>
      <c r="E25" s="64">
        <v>4.04</v>
      </c>
      <c r="F25" s="64">
        <v>7.65</v>
      </c>
      <c r="G25" s="64">
        <v>80.959999999999994</v>
      </c>
      <c r="H25" s="64">
        <v>31.81</v>
      </c>
      <c r="I25" s="64">
        <v>4.0999999999999996</v>
      </c>
      <c r="J25" s="64">
        <v>0.36</v>
      </c>
      <c r="K25" s="64">
        <v>269.02999999999997</v>
      </c>
      <c r="L25" s="64">
        <v>18.899999999999999</v>
      </c>
      <c r="M25" s="64">
        <v>58.12</v>
      </c>
      <c r="N25" s="64">
        <v>57.7</v>
      </c>
      <c r="O25" s="64">
        <v>0</v>
      </c>
      <c r="P25" s="64">
        <v>1.1499999999999999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47" t="s">
        <v>2853</v>
      </c>
      <c r="B26" s="209" t="s">
        <v>36</v>
      </c>
      <c r="C26" s="209" t="s">
        <v>36</v>
      </c>
      <c r="D26" s="209" t="s">
        <v>36</v>
      </c>
      <c r="E26" s="64">
        <v>3.71</v>
      </c>
      <c r="F26" s="64">
        <v>6.99</v>
      </c>
      <c r="G26" s="64">
        <v>80.959999999999994</v>
      </c>
      <c r="H26" s="64">
        <v>31.81</v>
      </c>
      <c r="I26" s="64">
        <v>3.88</v>
      </c>
      <c r="J26" s="64">
        <v>1.04</v>
      </c>
      <c r="K26" s="64">
        <v>206.63</v>
      </c>
      <c r="L26" s="64">
        <v>19.41</v>
      </c>
      <c r="M26" s="64">
        <v>52.88</v>
      </c>
      <c r="N26" s="64">
        <v>56</v>
      </c>
      <c r="O26" s="64">
        <v>0</v>
      </c>
      <c r="P26" s="64">
        <v>1.18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47" t="s">
        <v>2854</v>
      </c>
      <c r="B27" s="209" t="s">
        <v>36</v>
      </c>
      <c r="C27" s="209" t="s">
        <v>36</v>
      </c>
      <c r="D27" s="209" t="s">
        <v>36</v>
      </c>
      <c r="E27" s="64">
        <v>3.5</v>
      </c>
      <c r="F27" s="64">
        <v>7.27</v>
      </c>
      <c r="G27" s="64">
        <v>80.959999999999994</v>
      </c>
      <c r="H27" s="64">
        <v>31.81</v>
      </c>
      <c r="I27" s="64">
        <v>4.12</v>
      </c>
      <c r="J27" s="64">
        <v>0.34</v>
      </c>
      <c r="K27" s="64">
        <v>195.49</v>
      </c>
      <c r="L27" s="64">
        <v>19.38</v>
      </c>
      <c r="M27" s="64">
        <v>50.59</v>
      </c>
      <c r="N27" s="64">
        <v>57.5</v>
      </c>
      <c r="O27" s="64">
        <v>0</v>
      </c>
      <c r="P27" s="64">
        <v>1.1599999999999999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47" t="s">
        <v>2855</v>
      </c>
      <c r="B28" s="209" t="s">
        <v>36</v>
      </c>
      <c r="C28" s="209" t="s">
        <v>36</v>
      </c>
      <c r="D28" s="209" t="s">
        <v>36</v>
      </c>
      <c r="E28" s="64">
        <v>3.36</v>
      </c>
      <c r="F28" s="64">
        <v>7.96</v>
      </c>
      <c r="G28" s="64">
        <v>82.68</v>
      </c>
      <c r="H28" s="64">
        <v>32.03</v>
      </c>
      <c r="I28" s="64">
        <v>4.0999999999999996</v>
      </c>
      <c r="J28" s="64">
        <v>0.34</v>
      </c>
      <c r="K28" s="64">
        <v>290.8</v>
      </c>
      <c r="L28" s="64">
        <v>18.57</v>
      </c>
      <c r="M28" s="64">
        <v>56.35</v>
      </c>
      <c r="N28" s="64">
        <v>58.1</v>
      </c>
      <c r="O28" s="64">
        <v>0</v>
      </c>
      <c r="P28" s="64">
        <v>1.1499999999999999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47" t="s">
        <v>2856</v>
      </c>
      <c r="B29" s="209" t="s">
        <v>36</v>
      </c>
      <c r="C29" s="209" t="s">
        <v>36</v>
      </c>
      <c r="D29" s="209" t="s">
        <v>36</v>
      </c>
      <c r="E29" s="64">
        <v>3.35</v>
      </c>
      <c r="F29" s="64">
        <v>7.23</v>
      </c>
      <c r="G29" s="64">
        <v>88.34</v>
      </c>
      <c r="H29" s="64">
        <v>32.76</v>
      </c>
      <c r="I29" s="64">
        <v>3.94</v>
      </c>
      <c r="J29" s="64">
        <v>0.21</v>
      </c>
      <c r="K29" s="64">
        <v>279.61</v>
      </c>
      <c r="L29" s="64">
        <v>18.39</v>
      </c>
      <c r="M29" s="64">
        <v>54.94</v>
      </c>
      <c r="N29" s="64">
        <v>57.7</v>
      </c>
      <c r="O29" s="64">
        <v>0</v>
      </c>
      <c r="P29" s="64">
        <v>1.1299999999999999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47" t="s">
        <v>2857</v>
      </c>
      <c r="B30" s="209" t="s">
        <v>36</v>
      </c>
      <c r="C30" s="209" t="s">
        <v>36</v>
      </c>
      <c r="D30" s="209" t="s">
        <v>36</v>
      </c>
      <c r="E30" s="64">
        <v>4.07</v>
      </c>
      <c r="F30" s="64">
        <v>7.1</v>
      </c>
      <c r="G30" s="64">
        <v>88.34</v>
      </c>
      <c r="H30" s="64">
        <v>32.76</v>
      </c>
      <c r="I30" s="64">
        <v>3.99</v>
      </c>
      <c r="J30" s="64">
        <v>0.09</v>
      </c>
      <c r="K30" s="64">
        <v>256.55</v>
      </c>
      <c r="L30" s="64">
        <v>18.2</v>
      </c>
      <c r="M30" s="64">
        <v>58.78</v>
      </c>
      <c r="N30" s="64">
        <v>57.7</v>
      </c>
      <c r="O30" s="64">
        <v>0</v>
      </c>
      <c r="P30" s="64">
        <v>1.2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47" t="s">
        <v>2858</v>
      </c>
      <c r="B31" s="209" t="s">
        <v>36</v>
      </c>
      <c r="C31" s="209" t="s">
        <v>36</v>
      </c>
      <c r="D31" s="209" t="s">
        <v>36</v>
      </c>
      <c r="E31" s="64">
        <v>4.38</v>
      </c>
      <c r="F31" s="64">
        <v>6.7</v>
      </c>
      <c r="G31" s="64">
        <v>88.34</v>
      </c>
      <c r="H31" s="64">
        <v>32.76</v>
      </c>
      <c r="I31" s="64">
        <v>4.12</v>
      </c>
      <c r="J31" s="64">
        <v>0.45</v>
      </c>
      <c r="K31" s="64">
        <v>258.36</v>
      </c>
      <c r="L31" s="64">
        <v>18.16</v>
      </c>
      <c r="M31" s="64">
        <v>61.18</v>
      </c>
      <c r="N31" s="64">
        <v>57.6</v>
      </c>
      <c r="O31" s="64">
        <v>0</v>
      </c>
      <c r="P31" s="64">
        <v>1.21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47" t="s">
        <v>2859</v>
      </c>
      <c r="B32" s="209" t="s">
        <v>36</v>
      </c>
      <c r="C32" s="209" t="s">
        <v>36</v>
      </c>
      <c r="D32" s="209" t="s">
        <v>36</v>
      </c>
      <c r="E32" s="64">
        <v>4.42</v>
      </c>
      <c r="F32" s="64">
        <v>6.64</v>
      </c>
      <c r="G32" s="64">
        <v>95.45</v>
      </c>
      <c r="H32" s="64">
        <v>33.28</v>
      </c>
      <c r="I32" s="64">
        <v>4.08</v>
      </c>
      <c r="J32" s="64">
        <v>0.04</v>
      </c>
      <c r="K32" s="64">
        <v>23.54</v>
      </c>
      <c r="L32" s="64">
        <v>17.829999999999998</v>
      </c>
      <c r="M32" s="64">
        <v>64.41</v>
      </c>
      <c r="N32" s="64">
        <v>60.1</v>
      </c>
      <c r="O32" s="64">
        <v>0</v>
      </c>
      <c r="P32" s="64">
        <v>1.32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47" t="s">
        <v>2860</v>
      </c>
      <c r="B33" s="209" t="s">
        <v>36</v>
      </c>
      <c r="C33" s="209" t="s">
        <v>36</v>
      </c>
      <c r="D33" s="209" t="s">
        <v>36</v>
      </c>
      <c r="E33" s="64">
        <v>4.51</v>
      </c>
      <c r="F33" s="64">
        <v>7.12</v>
      </c>
      <c r="G33" s="64">
        <v>118.79</v>
      </c>
      <c r="H33" s="64">
        <v>34.979999999999997</v>
      </c>
      <c r="I33" s="64">
        <v>4.0599999999999996</v>
      </c>
      <c r="J33" s="64">
        <v>0.37</v>
      </c>
      <c r="K33" s="64">
        <v>322.52</v>
      </c>
      <c r="L33" s="64">
        <v>17.84</v>
      </c>
      <c r="M33" s="64">
        <v>65.88</v>
      </c>
      <c r="N33" s="64">
        <v>68.7</v>
      </c>
      <c r="O33" s="64">
        <v>0</v>
      </c>
      <c r="P33" s="64">
        <v>1.26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47" t="s">
        <v>2861</v>
      </c>
      <c r="B34" s="209" t="s">
        <v>36</v>
      </c>
      <c r="C34" s="209" t="s">
        <v>36</v>
      </c>
      <c r="D34" s="209" t="s">
        <v>36</v>
      </c>
      <c r="E34" s="64">
        <v>4.7699999999999996</v>
      </c>
      <c r="F34" s="64">
        <v>7.76</v>
      </c>
      <c r="G34" s="64">
        <v>118.79</v>
      </c>
      <c r="H34" s="64">
        <v>34.979999999999997</v>
      </c>
      <c r="I34" s="64">
        <v>4.05</v>
      </c>
      <c r="J34" s="64">
        <v>0.21</v>
      </c>
      <c r="K34" s="64">
        <v>17.22</v>
      </c>
      <c r="L34" s="64">
        <v>18.3</v>
      </c>
      <c r="M34" s="64">
        <v>61.49</v>
      </c>
      <c r="N34" s="64">
        <v>87.5</v>
      </c>
      <c r="O34" s="64">
        <v>0</v>
      </c>
      <c r="P34" s="64">
        <v>1.35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47" t="s">
        <v>2862</v>
      </c>
      <c r="B35" s="209" t="s">
        <v>36</v>
      </c>
      <c r="C35" s="209" t="s">
        <v>36</v>
      </c>
      <c r="D35" s="209" t="s">
        <v>36</v>
      </c>
      <c r="E35" s="64">
        <v>5.23</v>
      </c>
      <c r="F35" s="64">
        <v>7.41</v>
      </c>
      <c r="G35" s="64">
        <v>118.79</v>
      </c>
      <c r="H35" s="64">
        <v>34.979999999999997</v>
      </c>
      <c r="I35" s="64">
        <v>3.88</v>
      </c>
      <c r="J35" s="64">
        <v>0.17</v>
      </c>
      <c r="K35" s="64">
        <v>244.11</v>
      </c>
      <c r="L35" s="64">
        <v>19.079999999999998</v>
      </c>
      <c r="M35" s="64">
        <v>58.73</v>
      </c>
      <c r="N35" s="64">
        <v>117.5</v>
      </c>
      <c r="O35" s="64">
        <v>0</v>
      </c>
      <c r="P35" s="64">
        <v>1.52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47" t="s">
        <v>2863</v>
      </c>
      <c r="B36" s="209" t="s">
        <v>36</v>
      </c>
      <c r="C36" s="209" t="s">
        <v>36</v>
      </c>
      <c r="D36" s="209" t="s">
        <v>36</v>
      </c>
      <c r="E36" s="64">
        <v>6.43</v>
      </c>
      <c r="F36" s="64">
        <v>9.0399999999999991</v>
      </c>
      <c r="G36" s="64">
        <v>124.97</v>
      </c>
      <c r="H36" s="64">
        <v>36.44</v>
      </c>
      <c r="I36" s="64">
        <v>3.77</v>
      </c>
      <c r="J36" s="64">
        <v>0.03</v>
      </c>
      <c r="K36" s="64">
        <v>97.19</v>
      </c>
      <c r="L36" s="64">
        <v>20.37</v>
      </c>
      <c r="M36" s="64">
        <v>56.26</v>
      </c>
      <c r="N36" s="64">
        <v>155.30000000000001</v>
      </c>
      <c r="O36" s="64">
        <v>0</v>
      </c>
      <c r="P36" s="64">
        <v>1.58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47" t="s">
        <v>2864</v>
      </c>
      <c r="B37" s="209" t="s">
        <v>36</v>
      </c>
      <c r="C37" s="209" t="s">
        <v>36</v>
      </c>
      <c r="D37" s="209" t="s">
        <v>36</v>
      </c>
      <c r="E37" s="64">
        <v>6.29</v>
      </c>
      <c r="F37" s="64">
        <v>7.88</v>
      </c>
      <c r="G37" s="64">
        <v>145.26</v>
      </c>
      <c r="H37" s="64">
        <v>41.24</v>
      </c>
      <c r="I37" s="64">
        <v>4.0199999999999996</v>
      </c>
      <c r="J37" s="64">
        <v>0.3</v>
      </c>
      <c r="K37" s="64">
        <v>60.11</v>
      </c>
      <c r="L37" s="64">
        <v>22.21</v>
      </c>
      <c r="M37" s="64">
        <v>51.87</v>
      </c>
      <c r="N37" s="64">
        <v>200.3</v>
      </c>
      <c r="O37" s="64">
        <v>0</v>
      </c>
      <c r="P37" s="64">
        <v>1.37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47" t="s">
        <v>2865</v>
      </c>
      <c r="B38" s="209" t="s">
        <v>36</v>
      </c>
      <c r="C38" s="209" t="s">
        <v>36</v>
      </c>
      <c r="D38" s="209" t="s">
        <v>36</v>
      </c>
      <c r="E38" s="64">
        <v>4.8499999999999996</v>
      </c>
      <c r="F38" s="64">
        <v>6.86</v>
      </c>
      <c r="G38" s="64">
        <v>145.26</v>
      </c>
      <c r="H38" s="64">
        <v>41.24</v>
      </c>
      <c r="I38" s="64">
        <v>3.98</v>
      </c>
      <c r="J38" s="64">
        <v>0.43</v>
      </c>
      <c r="K38" s="64">
        <v>114.22</v>
      </c>
      <c r="L38" s="64">
        <v>23.98</v>
      </c>
      <c r="M38" s="64">
        <v>40.99</v>
      </c>
      <c r="N38" s="64">
        <v>247</v>
      </c>
      <c r="O38" s="64">
        <v>0</v>
      </c>
      <c r="P38" s="64">
        <v>1.34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47" t="s">
        <v>2866</v>
      </c>
      <c r="B39" s="209" t="s">
        <v>36</v>
      </c>
      <c r="C39" s="209" t="s">
        <v>36</v>
      </c>
      <c r="D39" s="209" t="s">
        <v>36</v>
      </c>
      <c r="E39" s="64">
        <v>4.53</v>
      </c>
      <c r="F39" s="64">
        <v>7.65</v>
      </c>
      <c r="G39" s="64">
        <v>145.26</v>
      </c>
      <c r="H39" s="64">
        <v>41.24</v>
      </c>
      <c r="I39" s="64">
        <v>4.01</v>
      </c>
      <c r="J39" s="64">
        <v>0.53</v>
      </c>
      <c r="K39" s="64">
        <v>357.7</v>
      </c>
      <c r="L39" s="64">
        <v>26.43</v>
      </c>
      <c r="M39" s="64">
        <v>37.18</v>
      </c>
      <c r="N39" s="64">
        <v>293.89999999999998</v>
      </c>
      <c r="O39" s="64">
        <v>0</v>
      </c>
      <c r="P39" s="64">
        <v>1.41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47" t="s">
        <v>2867</v>
      </c>
      <c r="B40" s="209" t="s">
        <v>36</v>
      </c>
      <c r="C40" s="209" t="s">
        <v>36</v>
      </c>
      <c r="D40" s="209" t="s">
        <v>36</v>
      </c>
      <c r="E40" s="64">
        <v>5.0999999999999996</v>
      </c>
      <c r="F40" s="64">
        <v>8.65</v>
      </c>
      <c r="G40" s="64">
        <v>147.15</v>
      </c>
      <c r="H40" s="64">
        <v>41.72</v>
      </c>
      <c r="I40" s="64">
        <v>4.04</v>
      </c>
      <c r="J40" s="64">
        <v>0.76</v>
      </c>
      <c r="K40" s="64">
        <v>329.09</v>
      </c>
      <c r="L40" s="64">
        <v>28.11</v>
      </c>
      <c r="M40" s="64">
        <v>34.99</v>
      </c>
      <c r="N40" s="64">
        <v>335.3</v>
      </c>
      <c r="O40" s="64">
        <v>0</v>
      </c>
      <c r="P40" s="64">
        <v>1.52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47" t="s">
        <v>2868</v>
      </c>
      <c r="B41" s="209" t="s">
        <v>36</v>
      </c>
      <c r="C41" s="209" t="s">
        <v>36</v>
      </c>
      <c r="D41" s="209" t="s">
        <v>36</v>
      </c>
      <c r="E41" s="64">
        <v>5.31</v>
      </c>
      <c r="F41" s="64">
        <v>9.5299999999999994</v>
      </c>
      <c r="G41" s="64">
        <v>153.36000000000001</v>
      </c>
      <c r="H41" s="64">
        <v>43.27</v>
      </c>
      <c r="I41" s="64">
        <v>3.95</v>
      </c>
      <c r="J41" s="64">
        <v>1.25</v>
      </c>
      <c r="K41" s="64">
        <v>336.47</v>
      </c>
      <c r="L41" s="64">
        <v>29.73</v>
      </c>
      <c r="M41" s="64">
        <v>30.4</v>
      </c>
      <c r="N41" s="64">
        <v>377.3</v>
      </c>
      <c r="O41" s="64">
        <v>0</v>
      </c>
      <c r="P41" s="64">
        <v>1.47</v>
      </c>
      <c r="Q41" s="64">
        <v>9.68</v>
      </c>
      <c r="R41" s="198"/>
      <c r="S41" s="198"/>
      <c r="T41" s="198"/>
      <c r="U41" s="198"/>
    </row>
    <row r="42" spans="1:21" s="12" customFormat="1" x14ac:dyDescent="0.25">
      <c r="A42" s="247" t="s">
        <v>2869</v>
      </c>
      <c r="B42" s="209" t="s">
        <v>36</v>
      </c>
      <c r="C42" s="209" t="s">
        <v>36</v>
      </c>
      <c r="D42" s="209" t="s">
        <v>36</v>
      </c>
      <c r="E42" s="64">
        <v>5.32</v>
      </c>
      <c r="F42" s="64">
        <v>9.16</v>
      </c>
      <c r="G42" s="64">
        <v>153.36000000000001</v>
      </c>
      <c r="H42" s="64">
        <v>43.27</v>
      </c>
      <c r="I42" s="64">
        <v>3.97</v>
      </c>
      <c r="J42" s="64">
        <v>1.3</v>
      </c>
      <c r="K42" s="64">
        <v>337.7</v>
      </c>
      <c r="L42" s="64">
        <v>31.44</v>
      </c>
      <c r="M42" s="64">
        <v>23.61</v>
      </c>
      <c r="N42" s="64">
        <v>419.3</v>
      </c>
      <c r="O42" s="64">
        <v>0</v>
      </c>
      <c r="P42" s="64">
        <v>1.47</v>
      </c>
      <c r="Q42" s="64">
        <v>9.67</v>
      </c>
      <c r="R42" s="198"/>
      <c r="S42" s="198"/>
      <c r="T42" s="198"/>
      <c r="U42" s="198"/>
    </row>
    <row r="43" spans="1:21" s="12" customFormat="1" x14ac:dyDescent="0.25">
      <c r="A43" s="247" t="s">
        <v>2870</v>
      </c>
      <c r="B43" s="209" t="s">
        <v>36</v>
      </c>
      <c r="C43" s="209" t="s">
        <v>36</v>
      </c>
      <c r="D43" s="209" t="s">
        <v>36</v>
      </c>
      <c r="E43" s="64">
        <v>5.81</v>
      </c>
      <c r="F43" s="64">
        <v>8.91</v>
      </c>
      <c r="G43" s="64">
        <v>153.36000000000001</v>
      </c>
      <c r="H43" s="64">
        <v>43.27</v>
      </c>
      <c r="I43" s="64">
        <v>3.95</v>
      </c>
      <c r="J43" s="64">
        <v>1.64</v>
      </c>
      <c r="K43" s="64">
        <v>350.54</v>
      </c>
      <c r="L43" s="64">
        <v>32.47</v>
      </c>
      <c r="M43" s="64">
        <v>21.2</v>
      </c>
      <c r="N43" s="64">
        <v>458.7</v>
      </c>
      <c r="O43" s="64">
        <v>0</v>
      </c>
      <c r="P43" s="64">
        <v>1.43</v>
      </c>
      <c r="Q43" s="64">
        <v>9.6999999999999993</v>
      </c>
      <c r="R43" s="198"/>
      <c r="S43" s="198"/>
      <c r="T43" s="198"/>
      <c r="U43" s="198"/>
    </row>
    <row r="44" spans="1:21" s="12" customFormat="1" x14ac:dyDescent="0.25">
      <c r="A44" s="247" t="s">
        <v>2871</v>
      </c>
      <c r="B44" s="209" t="s">
        <v>36</v>
      </c>
      <c r="C44" s="209" t="s">
        <v>36</v>
      </c>
      <c r="D44" s="209" t="s">
        <v>36</v>
      </c>
      <c r="E44" s="64">
        <v>6.79</v>
      </c>
      <c r="F44" s="64">
        <v>10.46</v>
      </c>
      <c r="G44" s="64">
        <v>148.68</v>
      </c>
      <c r="H44" s="64">
        <v>43.29</v>
      </c>
      <c r="I44" s="64">
        <v>4.04</v>
      </c>
      <c r="J44" s="64">
        <v>1.58</v>
      </c>
      <c r="K44" s="64">
        <v>341.59</v>
      </c>
      <c r="L44" s="64">
        <v>33.08</v>
      </c>
      <c r="M44" s="64">
        <v>19.2</v>
      </c>
      <c r="N44" s="64">
        <v>507.9</v>
      </c>
      <c r="O44" s="64">
        <v>0</v>
      </c>
      <c r="P44" s="64">
        <v>1.41</v>
      </c>
      <c r="Q44" s="64">
        <v>9.6999999999999993</v>
      </c>
      <c r="R44" s="198"/>
      <c r="S44" s="198"/>
      <c r="T44" s="198"/>
      <c r="U44" s="198"/>
    </row>
    <row r="45" spans="1:21" s="12" customFormat="1" x14ac:dyDescent="0.25">
      <c r="A45" s="247" t="s">
        <v>2872</v>
      </c>
      <c r="B45" s="209" t="s">
        <v>36</v>
      </c>
      <c r="C45" s="209" t="s">
        <v>36</v>
      </c>
      <c r="D45" s="209" t="s">
        <v>36</v>
      </c>
      <c r="E45" s="64">
        <v>6.37</v>
      </c>
      <c r="F45" s="64">
        <v>10.91</v>
      </c>
      <c r="G45" s="64">
        <v>133.31</v>
      </c>
      <c r="H45" s="64">
        <v>43.32</v>
      </c>
      <c r="I45" s="64">
        <v>3.97</v>
      </c>
      <c r="J45" s="64">
        <v>1.72</v>
      </c>
      <c r="K45" s="64">
        <v>354.17</v>
      </c>
      <c r="L45" s="64">
        <v>34.21</v>
      </c>
      <c r="M45" s="64">
        <v>17.8</v>
      </c>
      <c r="N45" s="64">
        <v>558.70000000000005</v>
      </c>
      <c r="O45" s="64">
        <v>0</v>
      </c>
      <c r="P45" s="64">
        <v>1.41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47" t="s">
        <v>2873</v>
      </c>
      <c r="B46" s="209" t="s">
        <v>36</v>
      </c>
      <c r="C46" s="209" t="s">
        <v>36</v>
      </c>
      <c r="D46" s="209" t="s">
        <v>36</v>
      </c>
      <c r="E46" s="64">
        <v>9.24</v>
      </c>
      <c r="F46" s="64">
        <v>11.81</v>
      </c>
      <c r="G46" s="64">
        <v>133.31</v>
      </c>
      <c r="H46" s="64">
        <v>43.32</v>
      </c>
      <c r="I46" s="64">
        <v>4.1100000000000003</v>
      </c>
      <c r="J46" s="64">
        <v>1.79</v>
      </c>
      <c r="K46" s="64">
        <v>348.82</v>
      </c>
      <c r="L46" s="64">
        <v>34.78</v>
      </c>
      <c r="M46" s="64">
        <v>17.260000000000002</v>
      </c>
      <c r="N46" s="64">
        <v>611.5</v>
      </c>
      <c r="O46" s="64">
        <v>0</v>
      </c>
      <c r="P46" s="64">
        <v>1.41</v>
      </c>
      <c r="Q46" s="64">
        <v>9.67</v>
      </c>
      <c r="R46" s="198"/>
      <c r="S46" s="198"/>
      <c r="T46" s="198"/>
      <c r="U46" s="198"/>
    </row>
    <row r="47" spans="1:21" s="12" customFormat="1" x14ac:dyDescent="0.25">
      <c r="A47" s="247" t="s">
        <v>2874</v>
      </c>
      <c r="B47" s="209" t="s">
        <v>36</v>
      </c>
      <c r="C47" s="209" t="s">
        <v>36</v>
      </c>
      <c r="D47" s="209" t="s">
        <v>36</v>
      </c>
      <c r="E47" s="64">
        <v>28.97</v>
      </c>
      <c r="F47" s="64">
        <v>18.010000000000002</v>
      </c>
      <c r="G47" s="64">
        <v>133.31</v>
      </c>
      <c r="H47" s="64">
        <v>43.32</v>
      </c>
      <c r="I47" s="64">
        <v>3.94</v>
      </c>
      <c r="J47" s="64">
        <v>1.6</v>
      </c>
      <c r="K47" s="64">
        <v>350.54</v>
      </c>
      <c r="L47" s="64">
        <v>35.72</v>
      </c>
      <c r="M47" s="64">
        <v>16.600000000000001</v>
      </c>
      <c r="N47" s="64">
        <v>644.9</v>
      </c>
      <c r="O47" s="64">
        <v>0</v>
      </c>
      <c r="P47" s="64">
        <v>1.4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47" t="s">
        <v>2875</v>
      </c>
      <c r="B48" s="209" t="s">
        <v>36</v>
      </c>
      <c r="C48" s="209" t="s">
        <v>36</v>
      </c>
      <c r="D48" s="209" t="s">
        <v>36</v>
      </c>
      <c r="E48" s="64">
        <v>45.52</v>
      </c>
      <c r="F48" s="64">
        <v>23.76</v>
      </c>
      <c r="G48" s="64">
        <v>132.5</v>
      </c>
      <c r="H48" s="64">
        <v>44.06</v>
      </c>
      <c r="I48" s="64">
        <v>4.13</v>
      </c>
      <c r="J48" s="64">
        <v>1.2</v>
      </c>
      <c r="K48" s="64">
        <v>337.28</v>
      </c>
      <c r="L48" s="64">
        <v>35.630000000000003</v>
      </c>
      <c r="M48" s="64">
        <v>17.920000000000002</v>
      </c>
      <c r="N48" s="64">
        <v>674.3</v>
      </c>
      <c r="O48" s="64">
        <v>0</v>
      </c>
      <c r="P48" s="64">
        <v>1.29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47" t="s">
        <v>2876</v>
      </c>
      <c r="B49" s="209" t="s">
        <v>36</v>
      </c>
      <c r="C49" s="209" t="s">
        <v>36</v>
      </c>
      <c r="D49" s="209" t="s">
        <v>36</v>
      </c>
      <c r="E49" s="64">
        <v>30.43</v>
      </c>
      <c r="F49" s="64">
        <v>24.94</v>
      </c>
      <c r="G49" s="64">
        <v>130.01</v>
      </c>
      <c r="H49" s="64">
        <v>46.48</v>
      </c>
      <c r="I49" s="64">
        <v>3.94</v>
      </c>
      <c r="J49" s="64">
        <v>0.34</v>
      </c>
      <c r="K49" s="64">
        <v>74.97</v>
      </c>
      <c r="L49" s="64">
        <v>33.81</v>
      </c>
      <c r="M49" s="64">
        <v>18.39</v>
      </c>
      <c r="N49" s="64">
        <v>718.1</v>
      </c>
      <c r="O49" s="64">
        <v>0</v>
      </c>
      <c r="P49" s="64">
        <v>1.2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47" t="s">
        <v>2877</v>
      </c>
      <c r="B50" s="209" t="s">
        <v>36</v>
      </c>
      <c r="C50" s="209" t="s">
        <v>36</v>
      </c>
      <c r="D50" s="209" t="s">
        <v>36</v>
      </c>
      <c r="E50" s="64">
        <v>32.58</v>
      </c>
      <c r="F50" s="64">
        <v>26.65</v>
      </c>
      <c r="G50" s="64">
        <v>130.01</v>
      </c>
      <c r="H50" s="64">
        <v>46.48</v>
      </c>
      <c r="I50" s="64">
        <v>4.0199999999999996</v>
      </c>
      <c r="J50" s="64">
        <v>0.17</v>
      </c>
      <c r="K50" s="64">
        <v>72.97</v>
      </c>
      <c r="L50" s="64">
        <v>34.130000000000003</v>
      </c>
      <c r="M50" s="64">
        <v>15.34</v>
      </c>
      <c r="N50" s="64">
        <v>721.1</v>
      </c>
      <c r="O50" s="64">
        <v>0</v>
      </c>
      <c r="P50" s="64">
        <v>1.22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47" t="s">
        <v>2878</v>
      </c>
      <c r="B51" s="209" t="s">
        <v>36</v>
      </c>
      <c r="C51" s="209" t="s">
        <v>36</v>
      </c>
      <c r="D51" s="209" t="s">
        <v>36</v>
      </c>
      <c r="E51" s="64">
        <v>35.75</v>
      </c>
      <c r="F51" s="64">
        <v>29.02</v>
      </c>
      <c r="G51" s="64">
        <v>130.01</v>
      </c>
      <c r="H51" s="64">
        <v>46.48</v>
      </c>
      <c r="I51" s="64">
        <v>3.87</v>
      </c>
      <c r="J51" s="64">
        <v>1.1100000000000001</v>
      </c>
      <c r="K51" s="64">
        <v>103.84</v>
      </c>
      <c r="L51" s="64">
        <v>33.799999999999997</v>
      </c>
      <c r="M51" s="64">
        <v>15.01</v>
      </c>
      <c r="N51" s="64">
        <v>738.7</v>
      </c>
      <c r="O51" s="64">
        <v>0</v>
      </c>
      <c r="P51" s="64">
        <v>1.06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47" t="s">
        <v>2879</v>
      </c>
      <c r="B52" s="209" t="s">
        <v>36</v>
      </c>
      <c r="C52" s="209" t="s">
        <v>36</v>
      </c>
      <c r="D52" s="209" t="s">
        <v>36</v>
      </c>
      <c r="E52" s="64">
        <v>26.38</v>
      </c>
      <c r="F52" s="64">
        <v>27.11</v>
      </c>
      <c r="G52" s="64">
        <v>124.76</v>
      </c>
      <c r="H52" s="64">
        <v>45.73</v>
      </c>
      <c r="I52" s="64">
        <v>4.08</v>
      </c>
      <c r="J52" s="64">
        <v>1.6</v>
      </c>
      <c r="K52" s="64">
        <v>106.84</v>
      </c>
      <c r="L52" s="64">
        <v>32.869999999999997</v>
      </c>
      <c r="M52" s="64">
        <v>14.9</v>
      </c>
      <c r="N52" s="64">
        <v>764.3</v>
      </c>
      <c r="O52" s="64">
        <v>0</v>
      </c>
      <c r="P52" s="64">
        <v>1.05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47" t="s">
        <v>2880</v>
      </c>
      <c r="B53" s="209" t="s">
        <v>36</v>
      </c>
      <c r="C53" s="209" t="s">
        <v>36</v>
      </c>
      <c r="D53" s="209" t="s">
        <v>36</v>
      </c>
      <c r="E53" s="64">
        <v>25.8</v>
      </c>
      <c r="F53" s="64">
        <v>28.54</v>
      </c>
      <c r="G53" s="64">
        <v>108.54</v>
      </c>
      <c r="H53" s="64">
        <v>43.24</v>
      </c>
      <c r="I53" s="64">
        <v>3.79</v>
      </c>
      <c r="J53" s="64">
        <v>1.37</v>
      </c>
      <c r="K53" s="64">
        <v>105.3</v>
      </c>
      <c r="L53" s="64">
        <v>33.32</v>
      </c>
      <c r="M53" s="64">
        <v>15.95</v>
      </c>
      <c r="N53" s="64">
        <v>768.2</v>
      </c>
      <c r="O53" s="64">
        <v>0</v>
      </c>
      <c r="P53" s="64">
        <v>1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47" t="s">
        <v>2881</v>
      </c>
      <c r="B54" s="209" t="s">
        <v>36</v>
      </c>
      <c r="C54" s="209" t="s">
        <v>36</v>
      </c>
      <c r="D54" s="209" t="s">
        <v>36</v>
      </c>
      <c r="E54" s="64">
        <v>24.65</v>
      </c>
      <c r="F54" s="64">
        <v>32.380000000000003</v>
      </c>
      <c r="G54" s="64">
        <v>108.54</v>
      </c>
      <c r="H54" s="64">
        <v>43.24</v>
      </c>
      <c r="I54" s="64">
        <v>4</v>
      </c>
      <c r="J54" s="64">
        <v>1.1599999999999999</v>
      </c>
      <c r="K54" s="64">
        <v>106.04</v>
      </c>
      <c r="L54" s="64">
        <v>33.46</v>
      </c>
      <c r="M54" s="64">
        <v>15.27</v>
      </c>
      <c r="N54" s="64">
        <v>775.7</v>
      </c>
      <c r="O54" s="64">
        <v>0</v>
      </c>
      <c r="P54" s="64">
        <v>0.91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47" t="s">
        <v>2882</v>
      </c>
      <c r="B55" s="209" t="s">
        <v>36</v>
      </c>
      <c r="C55" s="209" t="s">
        <v>36</v>
      </c>
      <c r="D55" s="209" t="s">
        <v>36</v>
      </c>
      <c r="E55" s="64">
        <v>23.04</v>
      </c>
      <c r="F55" s="64">
        <v>31.41</v>
      </c>
      <c r="G55" s="64">
        <v>108.54</v>
      </c>
      <c r="H55" s="64">
        <v>43.24</v>
      </c>
      <c r="I55" s="64">
        <v>4.13</v>
      </c>
      <c r="J55" s="64">
        <v>0.69</v>
      </c>
      <c r="K55" s="64">
        <v>65.91</v>
      </c>
      <c r="L55" s="64">
        <v>34.880000000000003</v>
      </c>
      <c r="M55" s="64">
        <v>14.31</v>
      </c>
      <c r="N55" s="64">
        <v>782.9</v>
      </c>
      <c r="O55" s="64">
        <v>0</v>
      </c>
      <c r="P55" s="64">
        <v>0.93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47" t="s">
        <v>2883</v>
      </c>
      <c r="B56" s="209" t="s">
        <v>36</v>
      </c>
      <c r="C56" s="209" t="s">
        <v>36</v>
      </c>
      <c r="D56" s="209" t="s">
        <v>36</v>
      </c>
      <c r="E56" s="64">
        <v>26.73</v>
      </c>
      <c r="F56" s="64">
        <v>30.97</v>
      </c>
      <c r="G56" s="64">
        <v>104.09</v>
      </c>
      <c r="H56" s="64">
        <v>41.87</v>
      </c>
      <c r="I56" s="64">
        <v>4.04</v>
      </c>
      <c r="J56" s="64">
        <v>1.28</v>
      </c>
      <c r="K56" s="64">
        <v>98.69</v>
      </c>
      <c r="L56" s="64">
        <v>34.85</v>
      </c>
      <c r="M56" s="64">
        <v>13.62</v>
      </c>
      <c r="N56" s="64">
        <v>791.9</v>
      </c>
      <c r="O56" s="64">
        <v>0</v>
      </c>
      <c r="P56" s="64">
        <v>0.85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47" t="s">
        <v>2884</v>
      </c>
      <c r="B57" s="209" t="s">
        <v>36</v>
      </c>
      <c r="C57" s="209" t="s">
        <v>36</v>
      </c>
      <c r="D57" s="209" t="s">
        <v>36</v>
      </c>
      <c r="E57" s="64">
        <v>33.1</v>
      </c>
      <c r="F57" s="64">
        <v>28.63</v>
      </c>
      <c r="G57" s="64">
        <v>89.45</v>
      </c>
      <c r="H57" s="64">
        <v>37.35</v>
      </c>
      <c r="I57" s="64">
        <v>3.95</v>
      </c>
      <c r="J57" s="64">
        <v>0.87</v>
      </c>
      <c r="K57" s="64">
        <v>1.04</v>
      </c>
      <c r="L57" s="64">
        <v>35.9</v>
      </c>
      <c r="M57" s="64">
        <v>12.49</v>
      </c>
      <c r="N57" s="64">
        <v>791.9</v>
      </c>
      <c r="O57" s="64">
        <v>0</v>
      </c>
      <c r="P57" s="64">
        <v>0.79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47" t="s">
        <v>2885</v>
      </c>
      <c r="B58" s="209" t="s">
        <v>36</v>
      </c>
      <c r="C58" s="209" t="s">
        <v>36</v>
      </c>
      <c r="D58" s="209" t="s">
        <v>36</v>
      </c>
      <c r="E58" s="64">
        <v>17.21</v>
      </c>
      <c r="F58" s="64">
        <v>31.81</v>
      </c>
      <c r="G58" s="64">
        <v>89.45</v>
      </c>
      <c r="H58" s="64">
        <v>37.35</v>
      </c>
      <c r="I58" s="64">
        <v>4.07</v>
      </c>
      <c r="J58" s="64">
        <v>0.89</v>
      </c>
      <c r="K58" s="64">
        <v>348.61</v>
      </c>
      <c r="L58" s="64">
        <v>38.020000000000003</v>
      </c>
      <c r="M58" s="64">
        <v>11.29</v>
      </c>
      <c r="N58" s="64">
        <v>820.3</v>
      </c>
      <c r="O58" s="64">
        <v>0</v>
      </c>
      <c r="P58" s="64">
        <v>0.81</v>
      </c>
      <c r="Q58" s="64">
        <v>9.49</v>
      </c>
      <c r="R58" s="198"/>
      <c r="S58" s="198"/>
      <c r="T58" s="198"/>
      <c r="U58" s="198"/>
    </row>
    <row r="59" spans="1:21" s="12" customFormat="1" x14ac:dyDescent="0.25">
      <c r="A59" s="247" t="s">
        <v>2886</v>
      </c>
      <c r="B59" s="209" t="s">
        <v>36</v>
      </c>
      <c r="C59" s="209" t="s">
        <v>36</v>
      </c>
      <c r="D59" s="209" t="s">
        <v>36</v>
      </c>
      <c r="E59" s="64">
        <v>21.47</v>
      </c>
      <c r="F59" s="64">
        <v>34.549999999999997</v>
      </c>
      <c r="G59" s="64">
        <v>89.45</v>
      </c>
      <c r="H59" s="64">
        <v>37.35</v>
      </c>
      <c r="I59" s="64">
        <v>3.81</v>
      </c>
      <c r="J59" s="64">
        <v>0.6</v>
      </c>
      <c r="K59" s="64">
        <v>77.680000000000007</v>
      </c>
      <c r="L59" s="64">
        <v>36.61</v>
      </c>
      <c r="M59" s="64">
        <v>13.56</v>
      </c>
      <c r="N59" s="64">
        <v>819.2</v>
      </c>
      <c r="O59" s="64">
        <v>0</v>
      </c>
      <c r="P59" s="64">
        <v>0.71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47" t="s">
        <v>2887</v>
      </c>
      <c r="B60" s="209" t="s">
        <v>36</v>
      </c>
      <c r="C60" s="209" t="s">
        <v>36</v>
      </c>
      <c r="D60" s="209" t="s">
        <v>36</v>
      </c>
      <c r="E60" s="64">
        <v>17.22</v>
      </c>
      <c r="F60" s="64">
        <v>32.11</v>
      </c>
      <c r="G60" s="64">
        <v>85.59</v>
      </c>
      <c r="H60" s="64">
        <v>36.24</v>
      </c>
      <c r="I60" s="64">
        <v>4.08</v>
      </c>
      <c r="J60" s="64">
        <v>1.5</v>
      </c>
      <c r="K60" s="64">
        <v>108.89</v>
      </c>
      <c r="L60" s="64">
        <v>35.1</v>
      </c>
      <c r="M60" s="64">
        <v>12.67</v>
      </c>
      <c r="N60" s="64">
        <v>790.9</v>
      </c>
      <c r="O60" s="64">
        <v>0</v>
      </c>
      <c r="P60" s="64">
        <v>0.61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47" t="s">
        <v>2888</v>
      </c>
      <c r="B61" s="209" t="s">
        <v>36</v>
      </c>
      <c r="C61" s="209" t="s">
        <v>36</v>
      </c>
      <c r="D61" s="209" t="s">
        <v>36</v>
      </c>
      <c r="E61" s="64">
        <v>22.6</v>
      </c>
      <c r="F61" s="64">
        <v>31.48</v>
      </c>
      <c r="G61" s="64">
        <v>72.92</v>
      </c>
      <c r="H61" s="64">
        <v>32.58</v>
      </c>
      <c r="I61" s="64">
        <v>4.0999999999999996</v>
      </c>
      <c r="J61" s="64">
        <v>0.84</v>
      </c>
      <c r="K61" s="64">
        <v>32.72</v>
      </c>
      <c r="L61" s="64">
        <v>35.56</v>
      </c>
      <c r="M61" s="64">
        <v>12.98</v>
      </c>
      <c r="N61" s="64">
        <v>747.8</v>
      </c>
      <c r="O61" s="64">
        <v>0</v>
      </c>
      <c r="P61" s="64">
        <v>0.65</v>
      </c>
      <c r="Q61" s="64">
        <v>9.39</v>
      </c>
      <c r="R61" s="198"/>
      <c r="S61" s="198"/>
      <c r="T61" s="198"/>
      <c r="U61" s="198"/>
    </row>
    <row r="62" spans="1:21" s="12" customFormat="1" x14ac:dyDescent="0.25">
      <c r="A62" s="247" t="s">
        <v>2889</v>
      </c>
      <c r="B62" s="209" t="s">
        <v>36</v>
      </c>
      <c r="C62" s="209" t="s">
        <v>36</v>
      </c>
      <c r="D62" s="209" t="s">
        <v>36</v>
      </c>
      <c r="E62" s="64">
        <v>30.51</v>
      </c>
      <c r="F62" s="64">
        <v>21.53</v>
      </c>
      <c r="G62" s="64">
        <v>72.92</v>
      </c>
      <c r="H62" s="64">
        <v>32.58</v>
      </c>
      <c r="I62" s="64">
        <v>3.93</v>
      </c>
      <c r="J62" s="64">
        <v>1.95</v>
      </c>
      <c r="K62" s="64">
        <v>346.31</v>
      </c>
      <c r="L62" s="64">
        <v>38.06</v>
      </c>
      <c r="M62" s="64">
        <v>11.89</v>
      </c>
      <c r="N62" s="64">
        <v>735.7</v>
      </c>
      <c r="O62" s="64">
        <v>0</v>
      </c>
      <c r="P62" s="64">
        <v>0.81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47" t="s">
        <v>2890</v>
      </c>
      <c r="B63" s="209" t="s">
        <v>36</v>
      </c>
      <c r="C63" s="209" t="s">
        <v>36</v>
      </c>
      <c r="D63" s="209" t="s">
        <v>36</v>
      </c>
      <c r="E63" s="64">
        <v>12.28</v>
      </c>
      <c r="F63" s="64">
        <v>24.96</v>
      </c>
      <c r="G63" s="64">
        <v>72.92</v>
      </c>
      <c r="H63" s="64">
        <v>32.58</v>
      </c>
      <c r="I63" s="64">
        <v>4.1399999999999997</v>
      </c>
      <c r="J63" s="64">
        <v>2.41</v>
      </c>
      <c r="K63" s="64">
        <v>1.65</v>
      </c>
      <c r="L63" s="64">
        <v>37.96</v>
      </c>
      <c r="M63" s="64">
        <v>11.07</v>
      </c>
      <c r="N63" s="64">
        <v>692.9</v>
      </c>
      <c r="O63" s="64">
        <v>0</v>
      </c>
      <c r="P63" s="64">
        <v>0.76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47" t="s">
        <v>2891</v>
      </c>
      <c r="B64" s="209" t="s">
        <v>36</v>
      </c>
      <c r="C64" s="209" t="s">
        <v>36</v>
      </c>
      <c r="D64" s="209" t="s">
        <v>36</v>
      </c>
      <c r="E64" s="64">
        <v>14.34</v>
      </c>
      <c r="F64" s="64">
        <v>21</v>
      </c>
      <c r="G64" s="64">
        <v>73.040000000000006</v>
      </c>
      <c r="H64" s="64">
        <v>31.81</v>
      </c>
      <c r="I64" s="64">
        <v>3.89</v>
      </c>
      <c r="J64" s="64">
        <v>2.2000000000000002</v>
      </c>
      <c r="K64" s="64">
        <v>342.15</v>
      </c>
      <c r="L64" s="64">
        <v>37.89</v>
      </c>
      <c r="M64" s="64">
        <v>11.97</v>
      </c>
      <c r="N64" s="64">
        <v>692.5</v>
      </c>
      <c r="O64" s="64">
        <v>0</v>
      </c>
      <c r="P64" s="64">
        <v>0.73</v>
      </c>
      <c r="Q64" s="64">
        <v>9.31</v>
      </c>
      <c r="R64" s="198"/>
      <c r="S64" s="198"/>
      <c r="T64" s="198"/>
      <c r="U64" s="198"/>
    </row>
    <row r="65" spans="1:21" s="12" customFormat="1" x14ac:dyDescent="0.25">
      <c r="A65" s="247" t="s">
        <v>2892</v>
      </c>
      <c r="B65" s="209" t="s">
        <v>36</v>
      </c>
      <c r="C65" s="209" t="s">
        <v>36</v>
      </c>
      <c r="D65" s="209" t="s">
        <v>36</v>
      </c>
      <c r="E65" s="64">
        <v>9.5399999999999991</v>
      </c>
      <c r="F65" s="64">
        <v>26.07</v>
      </c>
      <c r="G65" s="64">
        <v>73.41</v>
      </c>
      <c r="H65" s="64">
        <v>29.43</v>
      </c>
      <c r="I65" s="64">
        <v>4.08</v>
      </c>
      <c r="J65" s="64">
        <v>2</v>
      </c>
      <c r="K65" s="64">
        <v>353.17</v>
      </c>
      <c r="L65" s="64">
        <v>37.53</v>
      </c>
      <c r="M65" s="64">
        <v>11.7</v>
      </c>
      <c r="N65" s="64">
        <v>494.7</v>
      </c>
      <c r="O65" s="64">
        <v>0</v>
      </c>
      <c r="P65" s="64">
        <v>0.69</v>
      </c>
      <c r="Q65" s="64">
        <v>9.3000000000000007</v>
      </c>
      <c r="R65" s="198"/>
      <c r="S65" s="198"/>
      <c r="T65" s="198"/>
      <c r="U65" s="198"/>
    </row>
    <row r="66" spans="1:21" s="12" customFormat="1" x14ac:dyDescent="0.25">
      <c r="A66" s="247" t="s">
        <v>2893</v>
      </c>
      <c r="B66" s="209" t="s">
        <v>36</v>
      </c>
      <c r="C66" s="209" t="s">
        <v>36</v>
      </c>
      <c r="D66" s="209" t="s">
        <v>36</v>
      </c>
      <c r="E66" s="64">
        <v>18.649999999999999</v>
      </c>
      <c r="F66" s="64">
        <v>31.33</v>
      </c>
      <c r="G66" s="64">
        <v>73.41</v>
      </c>
      <c r="H66" s="64">
        <v>29.43</v>
      </c>
      <c r="I66" s="64">
        <v>4.0599999999999996</v>
      </c>
      <c r="J66" s="64">
        <v>1.63</v>
      </c>
      <c r="K66" s="64">
        <v>353.73</v>
      </c>
      <c r="L66" s="64">
        <v>37.26</v>
      </c>
      <c r="M66" s="64">
        <v>11.82</v>
      </c>
      <c r="N66" s="64">
        <v>512</v>
      </c>
      <c r="O66" s="64">
        <v>0</v>
      </c>
      <c r="P66" s="64">
        <v>0.62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47" t="s">
        <v>2894</v>
      </c>
      <c r="B67" s="209" t="s">
        <v>36</v>
      </c>
      <c r="C67" s="209" t="s">
        <v>36</v>
      </c>
      <c r="D67" s="209" t="s">
        <v>36</v>
      </c>
      <c r="E67" s="64">
        <v>17.260000000000002</v>
      </c>
      <c r="F67" s="64">
        <v>32.25</v>
      </c>
      <c r="G67" s="64">
        <v>73.41</v>
      </c>
      <c r="H67" s="64">
        <v>29.43</v>
      </c>
      <c r="I67" s="64">
        <v>3.95</v>
      </c>
      <c r="J67" s="64">
        <v>1.3</v>
      </c>
      <c r="K67" s="64">
        <v>358.44</v>
      </c>
      <c r="L67" s="64">
        <v>36.64</v>
      </c>
      <c r="M67" s="64">
        <v>11.5</v>
      </c>
      <c r="N67" s="64">
        <v>429.9</v>
      </c>
      <c r="O67" s="64">
        <v>0</v>
      </c>
      <c r="P67" s="64">
        <v>0.55000000000000004</v>
      </c>
      <c r="Q67" s="64">
        <v>9.33</v>
      </c>
      <c r="R67" s="198"/>
      <c r="S67" s="198"/>
      <c r="T67" s="198"/>
      <c r="U67" s="198"/>
    </row>
    <row r="68" spans="1:21" s="12" customFormat="1" x14ac:dyDescent="0.25">
      <c r="A68" s="247" t="s">
        <v>2895</v>
      </c>
      <c r="B68" s="209" t="s">
        <v>36</v>
      </c>
      <c r="C68" s="209" t="s">
        <v>36</v>
      </c>
      <c r="D68" s="209" t="s">
        <v>36</v>
      </c>
      <c r="E68" s="64">
        <v>19.420000000000002</v>
      </c>
      <c r="F68" s="64">
        <v>37.57</v>
      </c>
      <c r="G68" s="64">
        <v>71.17</v>
      </c>
      <c r="H68" s="64">
        <v>27.94</v>
      </c>
      <c r="I68" s="64">
        <v>4.0599999999999996</v>
      </c>
      <c r="J68" s="64">
        <v>1.29</v>
      </c>
      <c r="K68" s="64">
        <v>356.98</v>
      </c>
      <c r="L68" s="64">
        <v>36.479999999999997</v>
      </c>
      <c r="M68" s="64">
        <v>11.99</v>
      </c>
      <c r="N68" s="64">
        <v>308.3</v>
      </c>
      <c r="O68" s="64">
        <v>0</v>
      </c>
      <c r="P68" s="64">
        <v>0.61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47" t="s">
        <v>2896</v>
      </c>
      <c r="B69" s="209" t="s">
        <v>36</v>
      </c>
      <c r="C69" s="209" t="s">
        <v>36</v>
      </c>
      <c r="D69" s="209" t="s">
        <v>36</v>
      </c>
      <c r="E69" s="64">
        <v>20.28</v>
      </c>
      <c r="F69" s="64">
        <v>34.450000000000003</v>
      </c>
      <c r="G69" s="64">
        <v>64.22</v>
      </c>
      <c r="H69" s="64">
        <v>23.07</v>
      </c>
      <c r="I69" s="64">
        <v>4.05</v>
      </c>
      <c r="J69" s="64">
        <v>1.06</v>
      </c>
      <c r="K69" s="64">
        <v>347.52</v>
      </c>
      <c r="L69" s="64">
        <v>36.19</v>
      </c>
      <c r="M69" s="64">
        <v>12.34</v>
      </c>
      <c r="N69" s="64">
        <v>333.9</v>
      </c>
      <c r="O69" s="64">
        <v>0</v>
      </c>
      <c r="P69" s="64">
        <v>0.54</v>
      </c>
      <c r="Q69" s="64">
        <v>9.32</v>
      </c>
      <c r="R69" s="198"/>
      <c r="S69" s="198"/>
      <c r="T69" s="198"/>
      <c r="U69" s="198"/>
    </row>
    <row r="70" spans="1:21" s="12" customFormat="1" x14ac:dyDescent="0.25">
      <c r="A70" s="247" t="s">
        <v>2897</v>
      </c>
      <c r="B70" s="209" t="s">
        <v>36</v>
      </c>
      <c r="C70" s="209" t="s">
        <v>36</v>
      </c>
      <c r="D70" s="209" t="s">
        <v>36</v>
      </c>
      <c r="E70" s="64">
        <v>29.6</v>
      </c>
      <c r="F70" s="64">
        <v>40.98</v>
      </c>
      <c r="G70" s="64">
        <v>64.22</v>
      </c>
      <c r="H70" s="64">
        <v>23.07</v>
      </c>
      <c r="I70" s="64">
        <v>3.9</v>
      </c>
      <c r="J70" s="64">
        <v>0.73</v>
      </c>
      <c r="K70" s="64">
        <v>340.12</v>
      </c>
      <c r="L70" s="64">
        <v>35.56</v>
      </c>
      <c r="M70" s="64">
        <v>12.45</v>
      </c>
      <c r="N70" s="64">
        <v>214</v>
      </c>
      <c r="O70" s="64">
        <v>0</v>
      </c>
      <c r="P70" s="64">
        <v>0.57999999999999996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47" t="s">
        <v>2898</v>
      </c>
      <c r="B71" s="209" t="s">
        <v>36</v>
      </c>
      <c r="C71" s="209" t="s">
        <v>36</v>
      </c>
      <c r="D71" s="209" t="s">
        <v>36</v>
      </c>
      <c r="E71" s="64">
        <v>25.18</v>
      </c>
      <c r="F71" s="64">
        <v>40.549999999999997</v>
      </c>
      <c r="G71" s="64">
        <v>64.22</v>
      </c>
      <c r="H71" s="64">
        <v>23.07</v>
      </c>
      <c r="I71" s="64">
        <v>3.93</v>
      </c>
      <c r="J71" s="64">
        <v>0.31</v>
      </c>
      <c r="K71" s="64">
        <v>70.19</v>
      </c>
      <c r="L71" s="64">
        <v>34.520000000000003</v>
      </c>
      <c r="M71" s="64">
        <v>12.35</v>
      </c>
      <c r="N71" s="64">
        <v>210.9</v>
      </c>
      <c r="O71" s="64">
        <v>0</v>
      </c>
      <c r="P71" s="64">
        <v>0.44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47" t="s">
        <v>2899</v>
      </c>
      <c r="B72" s="209" t="s">
        <v>36</v>
      </c>
      <c r="C72" s="209" t="s">
        <v>36</v>
      </c>
      <c r="D72" s="209" t="s">
        <v>36</v>
      </c>
      <c r="E72" s="64">
        <v>24.01</v>
      </c>
      <c r="F72" s="64">
        <v>42.28</v>
      </c>
      <c r="G72" s="64">
        <v>62.38</v>
      </c>
      <c r="H72" s="64">
        <v>22.55</v>
      </c>
      <c r="I72" s="64">
        <v>3.95</v>
      </c>
      <c r="J72" s="64">
        <v>0.85</v>
      </c>
      <c r="K72" s="64">
        <v>35.11</v>
      </c>
      <c r="L72" s="64">
        <v>34.380000000000003</v>
      </c>
      <c r="M72" s="64">
        <v>12.23</v>
      </c>
      <c r="N72" s="64">
        <v>211.8</v>
      </c>
      <c r="O72" s="64">
        <v>0</v>
      </c>
      <c r="P72" s="64">
        <v>0.52</v>
      </c>
      <c r="Q72" s="64">
        <v>9.2899999999999991</v>
      </c>
      <c r="R72" s="198"/>
      <c r="S72" s="198"/>
      <c r="T72" s="198"/>
      <c r="U72" s="198"/>
    </row>
    <row r="73" spans="1:21" s="12" customFormat="1" x14ac:dyDescent="0.25">
      <c r="A73" s="247" t="s">
        <v>2900</v>
      </c>
      <c r="B73" s="209" t="s">
        <v>36</v>
      </c>
      <c r="C73" s="209" t="s">
        <v>36</v>
      </c>
      <c r="D73" s="209" t="s">
        <v>36</v>
      </c>
      <c r="E73" s="64">
        <v>17.7</v>
      </c>
      <c r="F73" s="64">
        <v>36.04</v>
      </c>
      <c r="G73" s="64">
        <v>56.69</v>
      </c>
      <c r="H73" s="64">
        <v>20.84</v>
      </c>
      <c r="I73" s="64">
        <v>4</v>
      </c>
      <c r="J73" s="64">
        <v>1.6</v>
      </c>
      <c r="K73" s="64">
        <v>358.36</v>
      </c>
      <c r="L73" s="64">
        <v>34.630000000000003</v>
      </c>
      <c r="M73" s="64">
        <v>12.61</v>
      </c>
      <c r="N73" s="64">
        <v>158.5</v>
      </c>
      <c r="O73" s="64">
        <v>0</v>
      </c>
      <c r="P73" s="64">
        <v>0.6</v>
      </c>
      <c r="Q73" s="64">
        <v>9.27</v>
      </c>
      <c r="R73" s="198"/>
      <c r="S73" s="198"/>
      <c r="T73" s="198"/>
      <c r="U73" s="198"/>
    </row>
    <row r="74" spans="1:21" s="12" customFormat="1" x14ac:dyDescent="0.25">
      <c r="A74" s="247" t="s">
        <v>2901</v>
      </c>
      <c r="B74" s="209" t="s">
        <v>36</v>
      </c>
      <c r="C74" s="209" t="s">
        <v>36</v>
      </c>
      <c r="D74" s="209" t="s">
        <v>36</v>
      </c>
      <c r="E74" s="64">
        <v>14.76</v>
      </c>
      <c r="F74" s="64">
        <v>38.299999999999997</v>
      </c>
      <c r="G74" s="64">
        <v>56.69</v>
      </c>
      <c r="H74" s="64">
        <v>20.84</v>
      </c>
      <c r="I74" s="64">
        <v>4.0199999999999996</v>
      </c>
      <c r="J74" s="64">
        <v>1.58</v>
      </c>
      <c r="K74" s="64">
        <v>354.31</v>
      </c>
      <c r="L74" s="64">
        <v>34.69</v>
      </c>
      <c r="M74" s="64">
        <v>12.37</v>
      </c>
      <c r="N74" s="64">
        <v>160.4</v>
      </c>
      <c r="O74" s="64">
        <v>0</v>
      </c>
      <c r="P74" s="64">
        <v>0.56999999999999995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47" t="s">
        <v>2902</v>
      </c>
      <c r="B75" s="209" t="s">
        <v>36</v>
      </c>
      <c r="C75" s="209" t="s">
        <v>36</v>
      </c>
      <c r="D75" s="209" t="s">
        <v>36</v>
      </c>
      <c r="E75" s="64">
        <v>16.37</v>
      </c>
      <c r="F75" s="64">
        <v>37.33</v>
      </c>
      <c r="G75" s="64">
        <v>56.69</v>
      </c>
      <c r="H75" s="64">
        <v>20.84</v>
      </c>
      <c r="I75" s="64">
        <v>3.87</v>
      </c>
      <c r="J75" s="64">
        <v>0.94</v>
      </c>
      <c r="K75" s="64">
        <v>348.67</v>
      </c>
      <c r="L75" s="64">
        <v>34.159999999999997</v>
      </c>
      <c r="M75" s="64">
        <v>13.49</v>
      </c>
      <c r="N75" s="64">
        <v>134.80000000000001</v>
      </c>
      <c r="O75" s="64">
        <v>0</v>
      </c>
      <c r="P75" s="64">
        <v>0.7</v>
      </c>
      <c r="Q75" s="64">
        <v>9.2799999999999994</v>
      </c>
      <c r="R75" s="198"/>
      <c r="S75" s="198"/>
      <c r="T75" s="198"/>
      <c r="U75" s="198"/>
    </row>
    <row r="76" spans="1:21" s="12" customFormat="1" x14ac:dyDescent="0.25">
      <c r="A76" s="247" t="s">
        <v>2903</v>
      </c>
      <c r="B76" s="209" t="s">
        <v>36</v>
      </c>
      <c r="C76" s="209" t="s">
        <v>36</v>
      </c>
      <c r="D76" s="209" t="s">
        <v>36</v>
      </c>
      <c r="E76" s="64">
        <v>19.579999999999998</v>
      </c>
      <c r="F76" s="64">
        <v>38.01</v>
      </c>
      <c r="G76" s="64">
        <v>57.41</v>
      </c>
      <c r="H76" s="64">
        <v>21.49</v>
      </c>
      <c r="I76" s="64">
        <v>4.09</v>
      </c>
      <c r="J76" s="64">
        <v>1.04</v>
      </c>
      <c r="K76" s="64">
        <v>349.52</v>
      </c>
      <c r="L76" s="64">
        <v>33.6</v>
      </c>
      <c r="M76" s="64">
        <v>14.73</v>
      </c>
      <c r="N76" s="64">
        <v>120.7</v>
      </c>
      <c r="O76" s="64">
        <v>0</v>
      </c>
      <c r="P76" s="64">
        <v>0.94</v>
      </c>
      <c r="Q76" s="64">
        <v>9.26</v>
      </c>
      <c r="R76" s="198"/>
      <c r="S76" s="198"/>
      <c r="T76" s="198"/>
      <c r="U76" s="198"/>
    </row>
    <row r="77" spans="1:21" s="12" customFormat="1" x14ac:dyDescent="0.25">
      <c r="A77" s="247" t="s">
        <v>2904</v>
      </c>
      <c r="B77" s="209" t="s">
        <v>36</v>
      </c>
      <c r="C77" s="209" t="s">
        <v>36</v>
      </c>
      <c r="D77" s="209" t="s">
        <v>36</v>
      </c>
      <c r="E77" s="64">
        <v>18.91</v>
      </c>
      <c r="F77" s="64">
        <v>30.35</v>
      </c>
      <c r="G77" s="64">
        <v>59.77</v>
      </c>
      <c r="H77" s="64">
        <v>23.64</v>
      </c>
      <c r="I77" s="64">
        <v>4.0999999999999996</v>
      </c>
      <c r="J77" s="64">
        <v>0.37</v>
      </c>
      <c r="K77" s="64">
        <v>331.87</v>
      </c>
      <c r="L77" s="64">
        <v>32.89</v>
      </c>
      <c r="M77" s="64">
        <v>14.31</v>
      </c>
      <c r="N77" s="64">
        <v>104.9</v>
      </c>
      <c r="O77" s="64">
        <v>0</v>
      </c>
      <c r="P77" s="64">
        <v>0.98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47" t="s">
        <v>2905</v>
      </c>
      <c r="B78" s="209" t="s">
        <v>36</v>
      </c>
      <c r="C78" s="209" t="s">
        <v>36</v>
      </c>
      <c r="D78" s="209" t="s">
        <v>36</v>
      </c>
      <c r="E78" s="64">
        <v>16.739999999999998</v>
      </c>
      <c r="F78" s="64">
        <v>23.61</v>
      </c>
      <c r="G78" s="64">
        <v>59.77</v>
      </c>
      <c r="H78" s="64">
        <v>23.64</v>
      </c>
      <c r="I78" s="64">
        <v>3.91</v>
      </c>
      <c r="J78" s="64">
        <v>0.51</v>
      </c>
      <c r="K78" s="64">
        <v>286.20999999999998</v>
      </c>
      <c r="L78" s="64">
        <v>32.020000000000003</v>
      </c>
      <c r="M78" s="64">
        <v>17.66</v>
      </c>
      <c r="N78" s="64">
        <v>93.7</v>
      </c>
      <c r="O78" s="64">
        <v>0</v>
      </c>
      <c r="P78" s="64">
        <v>1.35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47" t="s">
        <v>2906</v>
      </c>
      <c r="B79" s="209" t="s">
        <v>36</v>
      </c>
      <c r="C79" s="209" t="s">
        <v>36</v>
      </c>
      <c r="D79" s="209" t="s">
        <v>36</v>
      </c>
      <c r="E79" s="64">
        <v>15.21</v>
      </c>
      <c r="F79" s="64">
        <v>8.99</v>
      </c>
      <c r="G79" s="64">
        <v>59.77</v>
      </c>
      <c r="H79" s="64">
        <v>23.64</v>
      </c>
      <c r="I79" s="64">
        <v>4.16</v>
      </c>
      <c r="J79" s="64">
        <v>0.37</v>
      </c>
      <c r="K79" s="64">
        <v>300.5</v>
      </c>
      <c r="L79" s="64">
        <v>31.11</v>
      </c>
      <c r="M79" s="64">
        <v>22.13</v>
      </c>
      <c r="N79" s="64">
        <v>80.5</v>
      </c>
      <c r="O79" s="64">
        <v>0</v>
      </c>
      <c r="P79" s="64">
        <v>1.78</v>
      </c>
      <c r="Q79" s="64">
        <v>9.3699999999999992</v>
      </c>
      <c r="R79" s="198"/>
      <c r="S79" s="198"/>
      <c r="T79" s="198"/>
      <c r="U79" s="198"/>
    </row>
    <row r="80" spans="1:21" s="12" customFormat="1" x14ac:dyDescent="0.25">
      <c r="A80" s="247" t="s">
        <v>2907</v>
      </c>
      <c r="B80" s="209" t="s">
        <v>36</v>
      </c>
      <c r="C80" s="209" t="s">
        <v>36</v>
      </c>
      <c r="D80" s="209" t="s">
        <v>36</v>
      </c>
      <c r="E80" s="64">
        <v>15.09</v>
      </c>
      <c r="F80" s="64">
        <v>10.67</v>
      </c>
      <c r="G80" s="64">
        <v>63.8</v>
      </c>
      <c r="H80" s="64">
        <v>23.03</v>
      </c>
      <c r="I80" s="64">
        <v>4.0599999999999996</v>
      </c>
      <c r="J80" s="64">
        <v>0.67</v>
      </c>
      <c r="K80" s="64">
        <v>346.62</v>
      </c>
      <c r="L80" s="64">
        <v>30.19</v>
      </c>
      <c r="M80" s="64">
        <v>24.14</v>
      </c>
      <c r="N80" s="64">
        <v>69.5</v>
      </c>
      <c r="O80" s="64">
        <v>0</v>
      </c>
      <c r="P80" s="64">
        <v>2.74</v>
      </c>
      <c r="Q80" s="64">
        <v>9.4600000000000009</v>
      </c>
      <c r="R80" s="198"/>
      <c r="S80" s="198"/>
      <c r="T80" s="198"/>
      <c r="U80" s="198"/>
    </row>
    <row r="81" spans="1:26" s="12" customFormat="1" x14ac:dyDescent="0.25">
      <c r="A81" s="247" t="s">
        <v>2908</v>
      </c>
      <c r="B81" s="209" t="s">
        <v>36</v>
      </c>
      <c r="C81" s="209" t="s">
        <v>36</v>
      </c>
      <c r="D81" s="209" t="s">
        <v>36</v>
      </c>
      <c r="E81" s="64">
        <v>15.3</v>
      </c>
      <c r="F81" s="64">
        <v>9.33</v>
      </c>
      <c r="G81" s="64">
        <v>77.040000000000006</v>
      </c>
      <c r="H81" s="64">
        <v>21.16</v>
      </c>
      <c r="I81" s="64">
        <v>3.96</v>
      </c>
      <c r="J81" s="64">
        <v>0.44</v>
      </c>
      <c r="K81" s="64">
        <v>25.75</v>
      </c>
      <c r="L81" s="64">
        <v>29.24</v>
      </c>
      <c r="M81" s="64">
        <v>24.91</v>
      </c>
      <c r="N81" s="64">
        <v>61.4</v>
      </c>
      <c r="O81" s="64">
        <v>0</v>
      </c>
      <c r="P81" s="64">
        <v>2.68</v>
      </c>
      <c r="Q81" s="64">
        <v>9.4499999999999993</v>
      </c>
      <c r="R81" s="198"/>
      <c r="S81" s="198"/>
      <c r="T81" s="198"/>
      <c r="U81" s="198"/>
    </row>
    <row r="82" spans="1:26" s="12" customFormat="1" x14ac:dyDescent="0.25">
      <c r="A82" s="247" t="s">
        <v>2909</v>
      </c>
      <c r="B82" s="209" t="s">
        <v>36</v>
      </c>
      <c r="C82" s="209" t="s">
        <v>36</v>
      </c>
      <c r="D82" s="209" t="s">
        <v>36</v>
      </c>
      <c r="E82" s="64">
        <v>14.39</v>
      </c>
      <c r="F82" s="64">
        <v>9</v>
      </c>
      <c r="G82" s="64">
        <v>77.040000000000006</v>
      </c>
      <c r="H82" s="64">
        <v>21.16</v>
      </c>
      <c r="I82" s="64">
        <v>4.0199999999999996</v>
      </c>
      <c r="J82" s="64">
        <v>0.64</v>
      </c>
      <c r="K82" s="64">
        <v>350.85</v>
      </c>
      <c r="L82" s="64">
        <v>28.33</v>
      </c>
      <c r="M82" s="64">
        <v>32.24</v>
      </c>
      <c r="N82" s="64">
        <v>58.7</v>
      </c>
      <c r="O82" s="64">
        <v>0</v>
      </c>
      <c r="P82" s="64">
        <v>4.08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47" t="s">
        <v>2910</v>
      </c>
      <c r="B83" s="209" t="s">
        <v>36</v>
      </c>
      <c r="C83" s="209" t="s">
        <v>36</v>
      </c>
      <c r="D83" s="209" t="s">
        <v>36</v>
      </c>
      <c r="E83" s="64">
        <v>13.99</v>
      </c>
      <c r="F83" s="64">
        <v>7.83</v>
      </c>
      <c r="G83" s="64">
        <v>77.040000000000006</v>
      </c>
      <c r="H83" s="64">
        <v>21.16</v>
      </c>
      <c r="I83" s="64">
        <v>4.1100000000000003</v>
      </c>
      <c r="J83" s="64">
        <v>0.64</v>
      </c>
      <c r="K83" s="64">
        <v>295.95</v>
      </c>
      <c r="L83" s="64">
        <v>27.72</v>
      </c>
      <c r="M83" s="64">
        <v>30.32</v>
      </c>
      <c r="N83" s="64">
        <v>57.9</v>
      </c>
      <c r="O83" s="64">
        <v>0</v>
      </c>
      <c r="P83" s="64">
        <v>3.26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47" t="s">
        <v>2911</v>
      </c>
      <c r="B84" s="209" t="s">
        <v>36</v>
      </c>
      <c r="C84" s="209" t="s">
        <v>36</v>
      </c>
      <c r="D84" s="209" t="s">
        <v>36</v>
      </c>
      <c r="E84" s="64">
        <v>13.88</v>
      </c>
      <c r="F84" s="64">
        <v>8.7200000000000006</v>
      </c>
      <c r="G84" s="64">
        <v>85.04</v>
      </c>
      <c r="H84" s="64">
        <v>23.3</v>
      </c>
      <c r="I84" s="64">
        <v>4.0599999999999996</v>
      </c>
      <c r="J84" s="64">
        <v>0.48</v>
      </c>
      <c r="K84" s="64">
        <v>26.51</v>
      </c>
      <c r="L84" s="64">
        <v>27.1</v>
      </c>
      <c r="M84" s="64">
        <v>31.63</v>
      </c>
      <c r="N84" s="64">
        <v>58</v>
      </c>
      <c r="O84" s="64">
        <v>0</v>
      </c>
      <c r="P84" s="64">
        <v>2.96</v>
      </c>
      <c r="Q84" s="64">
        <v>9.51</v>
      </c>
      <c r="R84" s="198"/>
      <c r="S84" s="198"/>
      <c r="T84" s="198"/>
      <c r="U84" s="198"/>
    </row>
    <row r="85" spans="1:26" s="12" customFormat="1" x14ac:dyDescent="0.25">
      <c r="A85" s="247" t="s">
        <v>2912</v>
      </c>
      <c r="B85" s="209" t="s">
        <v>36</v>
      </c>
      <c r="C85" s="209" t="s">
        <v>36</v>
      </c>
      <c r="D85" s="209" t="s">
        <v>36</v>
      </c>
      <c r="E85" s="64">
        <v>14.67</v>
      </c>
      <c r="F85" s="64">
        <v>10.17</v>
      </c>
      <c r="G85" s="64">
        <v>109.78</v>
      </c>
      <c r="H85" s="64">
        <v>30.31</v>
      </c>
      <c r="I85" s="64">
        <v>4.0599999999999996</v>
      </c>
      <c r="J85" s="64">
        <v>0.28000000000000003</v>
      </c>
      <c r="K85" s="64">
        <v>53.66</v>
      </c>
      <c r="L85" s="64">
        <v>26.87</v>
      </c>
      <c r="M85" s="64">
        <v>31.81</v>
      </c>
      <c r="N85" s="64">
        <v>57.6</v>
      </c>
      <c r="O85" s="64">
        <v>0</v>
      </c>
      <c r="P85" s="64">
        <v>3.66</v>
      </c>
      <c r="Q85" s="64">
        <v>9.56</v>
      </c>
      <c r="R85" s="198"/>
      <c r="S85" s="198"/>
      <c r="T85" s="198"/>
      <c r="U85" s="198"/>
    </row>
    <row r="86" spans="1:26" s="12" customFormat="1" x14ac:dyDescent="0.25">
      <c r="A86" s="247" t="s">
        <v>2913</v>
      </c>
      <c r="B86" s="209" t="s">
        <v>36</v>
      </c>
      <c r="C86" s="209" t="s">
        <v>36</v>
      </c>
      <c r="D86" s="209" t="s">
        <v>36</v>
      </c>
      <c r="E86" s="64">
        <v>14.01</v>
      </c>
      <c r="F86" s="64">
        <v>8.91</v>
      </c>
      <c r="G86" s="64">
        <v>109.78</v>
      </c>
      <c r="H86" s="64">
        <v>30.31</v>
      </c>
      <c r="I86" s="64">
        <v>3.84</v>
      </c>
      <c r="J86" s="64">
        <v>0.28000000000000003</v>
      </c>
      <c r="K86" s="64">
        <v>221.88</v>
      </c>
      <c r="L86" s="64">
        <v>26.43</v>
      </c>
      <c r="M86" s="64">
        <v>33.31</v>
      </c>
      <c r="N86" s="64">
        <v>57.6</v>
      </c>
      <c r="O86" s="64">
        <v>0</v>
      </c>
      <c r="P86" s="64">
        <v>3.46</v>
      </c>
      <c r="Q86" s="64">
        <v>9.5500000000000007</v>
      </c>
      <c r="R86" s="198"/>
      <c r="S86" s="198"/>
      <c r="T86" s="198"/>
      <c r="U86" s="198"/>
    </row>
    <row r="87" spans="1:26" s="12" customFormat="1" x14ac:dyDescent="0.25">
      <c r="A87" s="247" t="s">
        <v>2914</v>
      </c>
      <c r="B87" s="209" t="s">
        <v>36</v>
      </c>
      <c r="C87" s="209" t="s">
        <v>36</v>
      </c>
      <c r="D87" s="209" t="s">
        <v>36</v>
      </c>
      <c r="E87" s="64">
        <v>13.69</v>
      </c>
      <c r="F87" s="64">
        <v>8.7899999999999991</v>
      </c>
      <c r="G87" s="64">
        <v>109.78</v>
      </c>
      <c r="H87" s="64">
        <v>30.31</v>
      </c>
      <c r="I87" s="64">
        <v>3.91</v>
      </c>
      <c r="J87" s="64">
        <v>0.64</v>
      </c>
      <c r="K87" s="64">
        <v>254.84</v>
      </c>
      <c r="L87" s="64">
        <v>26.1</v>
      </c>
      <c r="M87" s="64">
        <v>33.64</v>
      </c>
      <c r="N87" s="64">
        <v>57.8</v>
      </c>
      <c r="O87" s="64">
        <v>0</v>
      </c>
      <c r="P87" s="64">
        <v>3.66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47" t="s">
        <v>2915</v>
      </c>
      <c r="B88" s="209" t="s">
        <v>36</v>
      </c>
      <c r="C88" s="209" t="s">
        <v>36</v>
      </c>
      <c r="D88" s="209" t="s">
        <v>36</v>
      </c>
      <c r="E88" s="64">
        <v>13.92</v>
      </c>
      <c r="F88" s="64">
        <v>8.6999999999999993</v>
      </c>
      <c r="G88" s="64">
        <v>131.86000000000001</v>
      </c>
      <c r="H88" s="64">
        <v>32.24</v>
      </c>
      <c r="I88" s="64">
        <v>3.95</v>
      </c>
      <c r="J88" s="64">
        <v>0.55000000000000004</v>
      </c>
      <c r="K88" s="64">
        <v>247.32</v>
      </c>
      <c r="L88" s="64">
        <v>26.48</v>
      </c>
      <c r="M88" s="64">
        <v>31.86</v>
      </c>
      <c r="N88" s="64">
        <v>56.7</v>
      </c>
      <c r="O88" s="64">
        <v>0</v>
      </c>
      <c r="P88" s="64">
        <v>3.24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47" t="s">
        <v>2916</v>
      </c>
      <c r="B89" s="209" t="s">
        <v>36</v>
      </c>
      <c r="C89" s="209" t="s">
        <v>36</v>
      </c>
      <c r="D89" s="209" t="s">
        <v>36</v>
      </c>
      <c r="E89" s="64">
        <v>14.54</v>
      </c>
      <c r="F89" s="64">
        <v>9.3800000000000008</v>
      </c>
      <c r="G89" s="64">
        <v>204.41</v>
      </c>
      <c r="H89" s="64">
        <v>38.58</v>
      </c>
      <c r="I89" s="64">
        <v>3.96</v>
      </c>
      <c r="J89" s="64">
        <v>0.68</v>
      </c>
      <c r="K89" s="64">
        <v>329.81</v>
      </c>
      <c r="L89" s="64">
        <v>26.1</v>
      </c>
      <c r="M89" s="64">
        <v>34.32</v>
      </c>
      <c r="N89" s="64">
        <v>57.9</v>
      </c>
      <c r="O89" s="64">
        <v>0</v>
      </c>
      <c r="P89" s="64">
        <v>4.53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47" t="s">
        <v>2917</v>
      </c>
      <c r="B90" s="209" t="s">
        <v>36</v>
      </c>
      <c r="C90" s="209" t="s">
        <v>36</v>
      </c>
      <c r="D90" s="209" t="s">
        <v>36</v>
      </c>
      <c r="E90" s="64">
        <v>13.97</v>
      </c>
      <c r="F90" s="64">
        <v>9.85</v>
      </c>
      <c r="G90" s="64">
        <v>204.41</v>
      </c>
      <c r="H90" s="64">
        <v>38.58</v>
      </c>
      <c r="I90" s="64">
        <v>3.95</v>
      </c>
      <c r="J90" s="64">
        <v>0.64</v>
      </c>
      <c r="K90" s="64">
        <v>338.31</v>
      </c>
      <c r="L90" s="64">
        <v>25.48</v>
      </c>
      <c r="M90" s="64">
        <v>37.76</v>
      </c>
      <c r="N90" s="64">
        <v>57.8</v>
      </c>
      <c r="O90" s="64">
        <v>0</v>
      </c>
      <c r="P90" s="64">
        <v>5.65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47" t="s">
        <v>2918</v>
      </c>
      <c r="B91" s="209" t="s">
        <v>36</v>
      </c>
      <c r="C91" s="209" t="s">
        <v>36</v>
      </c>
      <c r="D91" s="209" t="s">
        <v>36</v>
      </c>
      <c r="E91" s="64">
        <v>13.63</v>
      </c>
      <c r="F91" s="64">
        <v>10.06</v>
      </c>
      <c r="G91" s="64">
        <v>204.41</v>
      </c>
      <c r="H91" s="64">
        <v>38.58</v>
      </c>
      <c r="I91" s="64">
        <v>4.1399999999999997</v>
      </c>
      <c r="J91" s="64">
        <v>0.67</v>
      </c>
      <c r="K91" s="64">
        <v>353.74</v>
      </c>
      <c r="L91" s="64">
        <v>24.97</v>
      </c>
      <c r="M91" s="64">
        <v>39.65</v>
      </c>
      <c r="N91" s="64">
        <v>57.9</v>
      </c>
      <c r="O91" s="64">
        <v>0</v>
      </c>
      <c r="P91" s="64">
        <v>6.26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47" t="s">
        <v>2919</v>
      </c>
      <c r="B92" s="209" t="s">
        <v>36</v>
      </c>
      <c r="C92" s="209" t="s">
        <v>36</v>
      </c>
      <c r="D92" s="209" t="s">
        <v>36</v>
      </c>
      <c r="E92" s="64">
        <v>13.76</v>
      </c>
      <c r="F92" s="64">
        <v>9.68</v>
      </c>
      <c r="G92" s="64">
        <v>210.33</v>
      </c>
      <c r="H92" s="64">
        <v>41.75</v>
      </c>
      <c r="I92" s="64">
        <v>3.91</v>
      </c>
      <c r="J92" s="64">
        <v>0.69</v>
      </c>
      <c r="K92" s="64">
        <v>351.26</v>
      </c>
      <c r="L92" s="64">
        <v>24.61</v>
      </c>
      <c r="M92" s="64">
        <v>40.549999999999997</v>
      </c>
      <c r="N92" s="64">
        <v>57.7</v>
      </c>
      <c r="O92" s="64">
        <v>0</v>
      </c>
      <c r="P92" s="64">
        <v>5.16</v>
      </c>
      <c r="Q92" s="64">
        <v>9.6999999999999993</v>
      </c>
      <c r="R92" s="198"/>
      <c r="S92" s="198"/>
      <c r="T92" s="198"/>
      <c r="U92" s="198"/>
    </row>
    <row r="93" spans="1:26" s="12" customFormat="1" x14ac:dyDescent="0.25">
      <c r="A93" s="247" t="s">
        <v>2920</v>
      </c>
      <c r="B93" s="209" t="s">
        <v>36</v>
      </c>
      <c r="C93" s="209" t="s">
        <v>36</v>
      </c>
      <c r="D93" s="209" t="s">
        <v>36</v>
      </c>
      <c r="E93" s="64">
        <v>12.81</v>
      </c>
      <c r="F93" s="64">
        <v>9.34</v>
      </c>
      <c r="G93" s="64">
        <v>229.77</v>
      </c>
      <c r="H93" s="64">
        <v>51.52</v>
      </c>
      <c r="I93" s="64">
        <v>3.98</v>
      </c>
      <c r="J93" s="64">
        <v>0.37</v>
      </c>
      <c r="K93" s="64">
        <v>72.459999999999994</v>
      </c>
      <c r="L93" s="64">
        <v>24.37</v>
      </c>
      <c r="M93" s="64">
        <v>41.08</v>
      </c>
      <c r="N93" s="64">
        <v>57.8</v>
      </c>
      <c r="O93" s="64">
        <v>0</v>
      </c>
      <c r="P93" s="64">
        <v>5.07</v>
      </c>
      <c r="Q93" s="64">
        <v>9.74</v>
      </c>
      <c r="R93" s="198"/>
      <c r="S93" s="198"/>
      <c r="T93" s="198"/>
      <c r="U93" s="198"/>
    </row>
    <row r="94" spans="1:26" s="12" customFormat="1" x14ac:dyDescent="0.25">
      <c r="A94" s="247" t="s">
        <v>2921</v>
      </c>
      <c r="B94" s="209" t="s">
        <v>36</v>
      </c>
      <c r="C94" s="209" t="s">
        <v>36</v>
      </c>
      <c r="D94" s="209" t="s">
        <v>36</v>
      </c>
      <c r="E94" s="64">
        <v>12.48</v>
      </c>
      <c r="F94" s="64">
        <v>10.210000000000001</v>
      </c>
      <c r="G94" s="64">
        <v>229.77</v>
      </c>
      <c r="H94" s="64">
        <v>51.52</v>
      </c>
      <c r="I94" s="64">
        <v>4.08</v>
      </c>
      <c r="J94" s="64">
        <v>0.62</v>
      </c>
      <c r="K94" s="64">
        <v>27.03</v>
      </c>
      <c r="L94" s="64">
        <v>24.26</v>
      </c>
      <c r="M94" s="64">
        <v>42</v>
      </c>
      <c r="N94" s="64">
        <v>57.5</v>
      </c>
      <c r="O94" s="64">
        <v>0</v>
      </c>
      <c r="P94" s="64">
        <v>4.8499999999999996</v>
      </c>
      <c r="Q94" s="64">
        <v>9.8000000000000007</v>
      </c>
      <c r="R94" s="198"/>
      <c r="S94" s="198"/>
      <c r="T94" s="198"/>
      <c r="U94" s="198"/>
    </row>
    <row r="95" spans="1:26" s="12" customFormat="1" x14ac:dyDescent="0.25">
      <c r="A95" s="247" t="s">
        <v>2922</v>
      </c>
      <c r="B95" s="209" t="s">
        <v>36</v>
      </c>
      <c r="C95" s="209" t="s">
        <v>36</v>
      </c>
      <c r="D95" s="209" t="s">
        <v>36</v>
      </c>
      <c r="E95" s="64">
        <v>13.11</v>
      </c>
      <c r="F95" s="64">
        <v>9.58</v>
      </c>
      <c r="G95" s="64">
        <v>229.77</v>
      </c>
      <c r="H95" s="64">
        <v>51.52</v>
      </c>
      <c r="I95" s="64">
        <v>4.05</v>
      </c>
      <c r="J95" s="64">
        <v>0.22</v>
      </c>
      <c r="K95" s="64">
        <v>25.09</v>
      </c>
      <c r="L95" s="64">
        <v>24.19</v>
      </c>
      <c r="M95" s="64">
        <v>40.869999999999997</v>
      </c>
      <c r="N95" s="64">
        <v>57.3</v>
      </c>
      <c r="O95" s="64">
        <v>0</v>
      </c>
      <c r="P95" s="64">
        <v>4.8</v>
      </c>
      <c r="Q95" s="64">
        <v>9.85</v>
      </c>
      <c r="R95" s="198"/>
      <c r="S95" s="198"/>
      <c r="T95" s="198"/>
      <c r="U95" s="198"/>
    </row>
    <row r="96" spans="1:26" s="12" customFormat="1" x14ac:dyDescent="0.25">
      <c r="A96" s="247" t="s">
        <v>2923</v>
      </c>
      <c r="B96" s="209" t="s">
        <v>36</v>
      </c>
      <c r="C96" s="209" t="s">
        <v>36</v>
      </c>
      <c r="D96" s="209" t="s">
        <v>36</v>
      </c>
      <c r="E96" s="64">
        <v>12.43</v>
      </c>
      <c r="F96" s="64">
        <v>8.66</v>
      </c>
      <c r="G96" s="64">
        <v>225.46</v>
      </c>
      <c r="H96" s="64">
        <v>51.79</v>
      </c>
      <c r="I96" s="64">
        <v>3.99</v>
      </c>
      <c r="J96" s="64">
        <v>0.31</v>
      </c>
      <c r="K96" s="64">
        <v>330.35</v>
      </c>
      <c r="L96" s="64">
        <v>23.73</v>
      </c>
      <c r="M96" s="64">
        <v>43.13</v>
      </c>
      <c r="N96" s="64">
        <v>57.6</v>
      </c>
      <c r="O96" s="64">
        <v>0</v>
      </c>
      <c r="P96" s="64">
        <v>4.47</v>
      </c>
      <c r="Q96" s="64">
        <v>9.8800000000000008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2924</v>
      </c>
      <c r="B97" s="209" t="s">
        <v>36</v>
      </c>
      <c r="C97" s="209" t="s">
        <v>36</v>
      </c>
      <c r="D97" s="209" t="s">
        <v>36</v>
      </c>
      <c r="E97" s="64">
        <v>11.43</v>
      </c>
      <c r="F97" s="64">
        <v>9.51</v>
      </c>
      <c r="G97" s="64">
        <v>212.13</v>
      </c>
      <c r="H97" s="64">
        <v>52.69</v>
      </c>
      <c r="I97" s="64">
        <v>3.98</v>
      </c>
      <c r="J97" s="64">
        <v>0.66</v>
      </c>
      <c r="K97" s="64">
        <v>353.21</v>
      </c>
      <c r="L97" s="64">
        <v>23.61</v>
      </c>
      <c r="M97" s="64">
        <v>45.15</v>
      </c>
      <c r="N97" s="64">
        <v>57.7</v>
      </c>
      <c r="O97" s="64">
        <v>0</v>
      </c>
      <c r="P97" s="64">
        <v>4.38</v>
      </c>
      <c r="Q97" s="64">
        <v>9.9499999999999993</v>
      </c>
      <c r="R97" s="198"/>
      <c r="S97" s="198"/>
      <c r="T97" s="198"/>
      <c r="U97" s="198"/>
    </row>
    <row r="98" spans="1:33" s="12" customFormat="1" x14ac:dyDescent="0.25">
      <c r="A98" s="247" t="s">
        <v>2925</v>
      </c>
      <c r="B98" s="209" t="s">
        <v>36</v>
      </c>
      <c r="C98" s="209" t="s">
        <v>36</v>
      </c>
      <c r="D98" s="209" t="s">
        <v>36</v>
      </c>
      <c r="E98" s="64">
        <v>11</v>
      </c>
      <c r="F98" s="64">
        <v>8.4499999999999993</v>
      </c>
      <c r="G98" s="64">
        <v>212.13</v>
      </c>
      <c r="H98" s="64">
        <v>52.69</v>
      </c>
      <c r="I98" s="64">
        <v>4.03</v>
      </c>
      <c r="J98" s="64">
        <v>0.06</v>
      </c>
      <c r="K98" s="64">
        <v>274.38</v>
      </c>
      <c r="L98" s="64">
        <v>23.45</v>
      </c>
      <c r="M98" s="64">
        <v>45.26</v>
      </c>
      <c r="N98" s="64">
        <v>57.4</v>
      </c>
      <c r="O98" s="64">
        <v>0</v>
      </c>
      <c r="P98" s="64">
        <v>4.03</v>
      </c>
      <c r="Q98" s="64">
        <v>9.99</v>
      </c>
      <c r="R98" s="198"/>
      <c r="S98" s="198"/>
      <c r="T98" s="198"/>
      <c r="U98" s="198"/>
    </row>
    <row r="99" spans="1:33" s="12" customFormat="1" x14ac:dyDescent="0.25">
      <c r="A99" s="247" t="s">
        <v>2926</v>
      </c>
      <c r="B99" s="209" t="s">
        <v>36</v>
      </c>
      <c r="C99" s="209" t="s">
        <v>36</v>
      </c>
      <c r="D99" s="209" t="s">
        <v>36</v>
      </c>
      <c r="E99" s="64">
        <v>9.56</v>
      </c>
      <c r="F99" s="64">
        <v>8.3800000000000008</v>
      </c>
      <c r="G99" s="64">
        <v>212.13</v>
      </c>
      <c r="H99" s="64">
        <v>52.69</v>
      </c>
      <c r="I99" s="64">
        <v>3.96</v>
      </c>
      <c r="J99" s="64">
        <v>0.28000000000000003</v>
      </c>
      <c r="K99" s="64">
        <v>21.86</v>
      </c>
      <c r="L99" s="64">
        <v>23.7</v>
      </c>
      <c r="M99" s="64">
        <v>46.99</v>
      </c>
      <c r="N99" s="64">
        <v>57.5</v>
      </c>
      <c r="O99" s="64">
        <v>0</v>
      </c>
      <c r="P99" s="64">
        <v>3.62</v>
      </c>
      <c r="Q99" s="64">
        <v>10</v>
      </c>
      <c r="R99" s="198"/>
      <c r="S99" s="198"/>
      <c r="T99" s="198"/>
      <c r="U99" s="198"/>
    </row>
    <row r="100" spans="1:33" s="12" customFormat="1" x14ac:dyDescent="0.25">
      <c r="A100" s="247" t="s">
        <v>2927</v>
      </c>
      <c r="B100" s="209" t="s">
        <v>36</v>
      </c>
      <c r="C100" s="209" t="s">
        <v>36</v>
      </c>
      <c r="D100" s="209" t="s">
        <v>36</v>
      </c>
      <c r="E100" s="64">
        <v>9.16</v>
      </c>
      <c r="F100" s="64">
        <v>9.98</v>
      </c>
      <c r="G100" s="64">
        <v>205.08</v>
      </c>
      <c r="H100" s="64">
        <v>52.69</v>
      </c>
      <c r="I100" s="64">
        <v>3.94</v>
      </c>
      <c r="J100" s="64">
        <v>0.32</v>
      </c>
      <c r="K100" s="64">
        <v>12</v>
      </c>
      <c r="L100" s="64">
        <v>23.45</v>
      </c>
      <c r="M100" s="64">
        <v>50.68</v>
      </c>
      <c r="N100" s="64">
        <v>56.9</v>
      </c>
      <c r="O100" s="64">
        <v>0</v>
      </c>
      <c r="P100" s="64">
        <v>4.0199999999999996</v>
      </c>
      <c r="Q100" s="64">
        <v>10.039999999999999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2928</v>
      </c>
      <c r="B101" s="209" t="s">
        <v>36</v>
      </c>
      <c r="C101" s="209" t="s">
        <v>36</v>
      </c>
      <c r="D101" s="209" t="s">
        <v>36</v>
      </c>
      <c r="E101" s="64">
        <v>8.9</v>
      </c>
      <c r="F101" s="64">
        <v>8.64</v>
      </c>
      <c r="G101" s="64">
        <v>183.27</v>
      </c>
      <c r="H101" s="64">
        <v>52.67</v>
      </c>
      <c r="I101" s="64">
        <v>3.84</v>
      </c>
      <c r="J101" s="64">
        <v>0.47</v>
      </c>
      <c r="K101" s="64">
        <v>331.19</v>
      </c>
      <c r="L101" s="64">
        <v>23.18</v>
      </c>
      <c r="M101" s="64">
        <v>52.1</v>
      </c>
      <c r="N101" s="64">
        <v>57.2</v>
      </c>
      <c r="O101" s="64">
        <v>0</v>
      </c>
      <c r="P101" s="64">
        <v>3.92</v>
      </c>
      <c r="Q101" s="64">
        <v>10.11</v>
      </c>
      <c r="R101" s="198"/>
      <c r="S101" s="198"/>
      <c r="T101" s="198"/>
      <c r="U101" s="198"/>
    </row>
    <row r="102" spans="1:33" s="12" customFormat="1" x14ac:dyDescent="0.25">
      <c r="A102" s="247" t="s">
        <v>2929</v>
      </c>
      <c r="B102" s="209" t="s">
        <v>36</v>
      </c>
      <c r="C102" s="209" t="s">
        <v>36</v>
      </c>
      <c r="D102" s="209" t="s">
        <v>36</v>
      </c>
      <c r="E102" s="64">
        <v>11.29</v>
      </c>
      <c r="F102" s="64">
        <v>8.3000000000000007</v>
      </c>
      <c r="G102" s="64">
        <v>183.27</v>
      </c>
      <c r="H102" s="64">
        <v>52.67</v>
      </c>
      <c r="I102" s="64">
        <v>3.95</v>
      </c>
      <c r="J102" s="64">
        <v>0.16</v>
      </c>
      <c r="K102" s="64">
        <v>92.1</v>
      </c>
      <c r="L102" s="64">
        <v>23.09</v>
      </c>
      <c r="M102" s="64">
        <v>45.97</v>
      </c>
      <c r="N102" s="64">
        <v>57.5</v>
      </c>
      <c r="O102" s="64">
        <v>0</v>
      </c>
      <c r="P102" s="64">
        <v>3.64</v>
      </c>
      <c r="Q102" s="64">
        <v>10.130000000000001</v>
      </c>
      <c r="R102" s="198"/>
      <c r="S102" s="198"/>
      <c r="T102" s="198"/>
      <c r="U102" s="198"/>
    </row>
    <row r="103" spans="1:33" s="12" customFormat="1" x14ac:dyDescent="0.25">
      <c r="A103" s="247" t="s">
        <v>2930</v>
      </c>
      <c r="B103" s="209" t="s">
        <v>36</v>
      </c>
      <c r="C103" s="209" t="s">
        <v>36</v>
      </c>
      <c r="D103" s="209" t="s">
        <v>36</v>
      </c>
      <c r="E103" s="64">
        <v>17.48</v>
      </c>
      <c r="F103" s="64">
        <v>8.75</v>
      </c>
      <c r="G103" s="64">
        <v>183.27</v>
      </c>
      <c r="H103" s="64">
        <v>52.67</v>
      </c>
      <c r="I103" s="64">
        <v>3.91</v>
      </c>
      <c r="J103" s="64">
        <v>0.12</v>
      </c>
      <c r="K103" s="64">
        <v>339.9</v>
      </c>
      <c r="L103" s="64">
        <v>23.51</v>
      </c>
      <c r="M103" s="64">
        <v>40.24</v>
      </c>
      <c r="N103" s="64">
        <v>57.3</v>
      </c>
      <c r="O103" s="64">
        <v>0</v>
      </c>
      <c r="P103" s="64">
        <v>3.66</v>
      </c>
      <c r="Q103" s="64">
        <v>10.130000000000001</v>
      </c>
      <c r="R103" s="198"/>
      <c r="S103" s="198"/>
      <c r="T103" s="198"/>
      <c r="U103" s="198"/>
    </row>
    <row r="104" spans="1:33" s="12" customFormat="1" x14ac:dyDescent="0.25">
      <c r="A104" s="247" t="s">
        <v>2931</v>
      </c>
      <c r="B104" s="209" t="s">
        <v>36</v>
      </c>
      <c r="C104" s="209" t="s">
        <v>36</v>
      </c>
      <c r="D104" s="209" t="s">
        <v>36</v>
      </c>
      <c r="E104" s="64">
        <v>19.72</v>
      </c>
      <c r="F104" s="64">
        <v>8.92</v>
      </c>
      <c r="G104" s="64">
        <v>177.19</v>
      </c>
      <c r="H104" s="64">
        <v>52.09</v>
      </c>
      <c r="I104" s="64">
        <v>4.01</v>
      </c>
      <c r="J104" s="64">
        <v>0.41</v>
      </c>
      <c r="K104" s="64">
        <v>30.72</v>
      </c>
      <c r="L104" s="64">
        <v>23.73</v>
      </c>
      <c r="M104" s="64">
        <v>38.07</v>
      </c>
      <c r="N104" s="64">
        <v>57.4</v>
      </c>
      <c r="O104" s="64">
        <v>0</v>
      </c>
      <c r="P104" s="64">
        <v>3.33</v>
      </c>
      <c r="Q104" s="64">
        <v>10.1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3.35</v>
      </c>
      <c r="F106" s="67">
        <f t="shared" si="0"/>
        <v>6.64</v>
      </c>
      <c r="G106" s="67">
        <f t="shared" si="0"/>
        <v>56.69</v>
      </c>
      <c r="H106" s="67">
        <f t="shared" si="0"/>
        <v>20.84</v>
      </c>
      <c r="I106" s="67">
        <f t="shared" si="0"/>
        <v>3.77</v>
      </c>
      <c r="J106" s="67">
        <f t="shared" si="0"/>
        <v>0.03</v>
      </c>
      <c r="K106" s="67">
        <f t="shared" si="0"/>
        <v>1.04</v>
      </c>
      <c r="L106" s="67">
        <f t="shared" si="0"/>
        <v>17.829999999999998</v>
      </c>
      <c r="M106" s="67">
        <f t="shared" si="0"/>
        <v>11.07</v>
      </c>
      <c r="N106" s="67">
        <f t="shared" si="0"/>
        <v>56</v>
      </c>
      <c r="O106" s="67">
        <f t="shared" si="0"/>
        <v>0</v>
      </c>
      <c r="P106" s="67">
        <f t="shared" si="0"/>
        <v>0.44</v>
      </c>
      <c r="Q106" s="67">
        <f t="shared" si="0"/>
        <v>9.26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45.52</v>
      </c>
      <c r="F107" s="66">
        <f t="shared" si="1"/>
        <v>42.28</v>
      </c>
      <c r="G107" s="66">
        <f t="shared" si="1"/>
        <v>229.77</v>
      </c>
      <c r="H107" s="66">
        <f t="shared" si="1"/>
        <v>52.69</v>
      </c>
      <c r="I107" s="66">
        <f t="shared" si="1"/>
        <v>4.16</v>
      </c>
      <c r="J107" s="66">
        <f t="shared" si="1"/>
        <v>2.41</v>
      </c>
      <c r="K107" s="66">
        <f t="shared" si="1"/>
        <v>358.44</v>
      </c>
      <c r="L107" s="66">
        <f t="shared" si="1"/>
        <v>38.06</v>
      </c>
      <c r="M107" s="66">
        <f t="shared" si="1"/>
        <v>65.88</v>
      </c>
      <c r="N107" s="66">
        <f t="shared" si="1"/>
        <v>820.3</v>
      </c>
      <c r="O107" s="66">
        <f t="shared" si="1"/>
        <v>0</v>
      </c>
      <c r="P107" s="66">
        <f t="shared" si="1"/>
        <v>6.26</v>
      </c>
      <c r="Q107" s="66">
        <f t="shared" si="1"/>
        <v>10.130000000000001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13.483125000000006</v>
      </c>
      <c r="F108" s="67">
        <f t="shared" si="2"/>
        <v>16.82375</v>
      </c>
      <c r="G108" s="67">
        <f t="shared" si="2"/>
        <v>114.6303125</v>
      </c>
      <c r="H108" s="67">
        <f t="shared" si="2"/>
        <v>36.644687499999989</v>
      </c>
      <c r="I108" s="67">
        <f t="shared" si="2"/>
        <v>4.0022916666666655</v>
      </c>
      <c r="J108" s="67">
        <f t="shared" si="2"/>
        <v>0.74177083333333338</v>
      </c>
      <c r="K108" s="67">
        <f t="shared" si="2"/>
        <v>230.39937499999996</v>
      </c>
      <c r="L108" s="67">
        <f t="shared" si="2"/>
        <v>27.486354166666658</v>
      </c>
      <c r="M108" s="67">
        <f t="shared" si="2"/>
        <v>33.238958333333329</v>
      </c>
      <c r="N108" s="67">
        <f t="shared" si="2"/>
        <v>253.30000000000018</v>
      </c>
      <c r="O108" s="67">
        <f t="shared" si="2"/>
        <v>0</v>
      </c>
      <c r="P108" s="67">
        <f t="shared" si="2"/>
        <v>1.8490624999999996</v>
      </c>
      <c r="Q108" s="67">
        <f t="shared" si="2"/>
        <v>9.5931250000000006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8.8154487974237465</v>
      </c>
      <c r="F109" s="67">
        <f t="shared" si="3"/>
        <v>10.896039671656663</v>
      </c>
      <c r="G109" s="67">
        <f t="shared" si="3"/>
        <v>49.029825282880019</v>
      </c>
      <c r="H109" s="67">
        <f t="shared" si="3"/>
        <v>9.1729519960789681</v>
      </c>
      <c r="I109" s="67">
        <f t="shared" si="3"/>
        <v>8.9683410032668345E-2</v>
      </c>
      <c r="J109" s="67">
        <f t="shared" si="3"/>
        <v>0.53726401388333711</v>
      </c>
      <c r="K109" s="67">
        <f t="shared" si="3"/>
        <v>124.3358712335051</v>
      </c>
      <c r="L109" s="67">
        <f t="shared" si="3"/>
        <v>6.675347910474617</v>
      </c>
      <c r="M109" s="67">
        <f t="shared" si="3"/>
        <v>17.121434425837286</v>
      </c>
      <c r="N109" s="67">
        <f t="shared" si="3"/>
        <v>273.29917172058498</v>
      </c>
      <c r="O109" s="67">
        <f t="shared" si="3"/>
        <v>0</v>
      </c>
      <c r="P109" s="67">
        <f t="shared" si="3"/>
        <v>1.4115889353379132</v>
      </c>
      <c r="Q109" s="67">
        <f t="shared" si="3"/>
        <v>0.19994374208761825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COUNT(B9:B104)+96</f>
        <v>96</v>
      </c>
      <c r="C110" s="66">
        <f t="shared" ref="C110:D110" si="4">COUNT(C9:C104)+96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 t="shared" si="5"/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47" t="s">
        <v>2932</v>
      </c>
      <c r="B9" s="209" t="s">
        <v>36</v>
      </c>
      <c r="C9" s="209" t="s">
        <v>36</v>
      </c>
      <c r="D9" s="209" t="s">
        <v>36</v>
      </c>
      <c r="E9" s="64">
        <v>26.87</v>
      </c>
      <c r="F9" s="64">
        <v>9.1999999999999993</v>
      </c>
      <c r="G9" s="64">
        <v>157.22</v>
      </c>
      <c r="H9" s="64">
        <v>50.29</v>
      </c>
      <c r="I9" s="64">
        <v>4.21</v>
      </c>
      <c r="J9" s="64">
        <v>0.3</v>
      </c>
      <c r="K9" s="64">
        <v>230</v>
      </c>
      <c r="L9" s="64">
        <v>23.55</v>
      </c>
      <c r="M9" s="64">
        <v>39.08</v>
      </c>
      <c r="N9" s="64">
        <v>57.4</v>
      </c>
      <c r="O9" s="64">
        <v>0</v>
      </c>
      <c r="P9" s="64">
        <v>3.04</v>
      </c>
      <c r="Q9" s="64">
        <v>10.07</v>
      </c>
      <c r="R9" s="198"/>
      <c r="S9" s="198"/>
      <c r="T9" s="198"/>
      <c r="U9" s="198"/>
    </row>
    <row r="10" spans="1:21" s="12" customFormat="1" x14ac:dyDescent="0.25">
      <c r="A10" s="247" t="s">
        <v>2933</v>
      </c>
      <c r="B10" s="209" t="s">
        <v>36</v>
      </c>
      <c r="C10" s="209" t="s">
        <v>36</v>
      </c>
      <c r="D10" s="209" t="s">
        <v>36</v>
      </c>
      <c r="E10" s="64">
        <v>26.39</v>
      </c>
      <c r="F10" s="64">
        <v>10.07</v>
      </c>
      <c r="G10" s="64">
        <v>157.22</v>
      </c>
      <c r="H10" s="64">
        <v>50.29</v>
      </c>
      <c r="I10" s="64">
        <v>3.85</v>
      </c>
      <c r="J10" s="64">
        <v>0.4</v>
      </c>
      <c r="K10" s="64">
        <v>328.88</v>
      </c>
      <c r="L10" s="64">
        <v>23.37</v>
      </c>
      <c r="M10" s="64">
        <v>39.04</v>
      </c>
      <c r="N10" s="64">
        <v>57.7</v>
      </c>
      <c r="O10" s="64">
        <v>0</v>
      </c>
      <c r="P10" s="64">
        <v>2.71</v>
      </c>
      <c r="Q10" s="64">
        <v>10.07</v>
      </c>
      <c r="R10" s="198"/>
      <c r="S10" s="198"/>
      <c r="T10" s="198"/>
      <c r="U10" s="198"/>
    </row>
    <row r="11" spans="1:21" s="12" customFormat="1" x14ac:dyDescent="0.25">
      <c r="A11" s="247" t="s">
        <v>2934</v>
      </c>
      <c r="B11" s="209" t="s">
        <v>36</v>
      </c>
      <c r="C11" s="209" t="s">
        <v>36</v>
      </c>
      <c r="D11" s="209" t="s">
        <v>36</v>
      </c>
      <c r="E11" s="64">
        <v>30.97</v>
      </c>
      <c r="F11" s="64">
        <v>11.01</v>
      </c>
      <c r="G11" s="64">
        <v>157.22</v>
      </c>
      <c r="H11" s="64">
        <v>50.29</v>
      </c>
      <c r="I11" s="64">
        <v>3.95</v>
      </c>
      <c r="J11" s="64">
        <v>0.45</v>
      </c>
      <c r="K11" s="64">
        <v>185.79</v>
      </c>
      <c r="L11" s="64">
        <v>23.3</v>
      </c>
      <c r="M11" s="64">
        <v>39.200000000000003</v>
      </c>
      <c r="N11" s="64">
        <v>57.2</v>
      </c>
      <c r="O11" s="64">
        <v>0</v>
      </c>
      <c r="P11" s="64">
        <v>2.4</v>
      </c>
      <c r="Q11" s="64">
        <v>10.07</v>
      </c>
      <c r="R11" s="198"/>
      <c r="S11" s="198"/>
      <c r="T11" s="198"/>
      <c r="U11" s="198"/>
    </row>
    <row r="12" spans="1:21" s="12" customFormat="1" x14ac:dyDescent="0.25">
      <c r="A12" s="247" t="s">
        <v>2935</v>
      </c>
      <c r="B12" s="209" t="s">
        <v>36</v>
      </c>
      <c r="C12" s="209" t="s">
        <v>36</v>
      </c>
      <c r="D12" s="209" t="s">
        <v>36</v>
      </c>
      <c r="E12" s="64">
        <v>17.16</v>
      </c>
      <c r="F12" s="64">
        <v>7.79</v>
      </c>
      <c r="G12" s="64">
        <v>160.47</v>
      </c>
      <c r="H12" s="64">
        <v>52.56</v>
      </c>
      <c r="I12" s="64">
        <v>4.09</v>
      </c>
      <c r="J12" s="64">
        <v>0.22</v>
      </c>
      <c r="K12" s="64">
        <v>35.53</v>
      </c>
      <c r="L12" s="64">
        <v>23.28</v>
      </c>
      <c r="M12" s="64">
        <v>38.5</v>
      </c>
      <c r="N12" s="64">
        <v>57.7</v>
      </c>
      <c r="O12" s="64">
        <v>0</v>
      </c>
      <c r="P12" s="64">
        <v>2.96</v>
      </c>
      <c r="Q12" s="64">
        <v>10.029999999999999</v>
      </c>
      <c r="R12" s="198"/>
      <c r="S12" s="198"/>
      <c r="T12" s="198"/>
      <c r="U12" s="198"/>
    </row>
    <row r="13" spans="1:21" s="12" customFormat="1" x14ac:dyDescent="0.25">
      <c r="A13" s="247" t="s">
        <v>2936</v>
      </c>
      <c r="B13" s="209" t="s">
        <v>36</v>
      </c>
      <c r="C13" s="209" t="s">
        <v>36</v>
      </c>
      <c r="D13" s="209" t="s">
        <v>36</v>
      </c>
      <c r="E13" s="64">
        <v>20.58</v>
      </c>
      <c r="F13" s="64">
        <v>8.5399999999999991</v>
      </c>
      <c r="G13" s="64">
        <v>170.51</v>
      </c>
      <c r="H13" s="64">
        <v>59.57</v>
      </c>
      <c r="I13" s="64">
        <v>3.99</v>
      </c>
      <c r="J13" s="64">
        <v>1</v>
      </c>
      <c r="K13" s="64">
        <v>19.93</v>
      </c>
      <c r="L13" s="64">
        <v>23.54</v>
      </c>
      <c r="M13" s="64">
        <v>35.71</v>
      </c>
      <c r="N13" s="64">
        <v>56.2</v>
      </c>
      <c r="O13" s="64">
        <v>0</v>
      </c>
      <c r="P13" s="64">
        <v>2.44</v>
      </c>
      <c r="Q13" s="64">
        <v>9.99</v>
      </c>
      <c r="R13" s="198"/>
      <c r="S13" s="198"/>
      <c r="T13" s="198"/>
      <c r="U13" s="198"/>
    </row>
    <row r="14" spans="1:21" s="12" customFormat="1" x14ac:dyDescent="0.25">
      <c r="A14" s="247" t="s">
        <v>2937</v>
      </c>
      <c r="B14" s="209" t="s">
        <v>36</v>
      </c>
      <c r="C14" s="209" t="s">
        <v>36</v>
      </c>
      <c r="D14" s="209" t="s">
        <v>36</v>
      </c>
      <c r="E14" s="64">
        <v>24.4</v>
      </c>
      <c r="F14" s="64">
        <v>11.32</v>
      </c>
      <c r="G14" s="64">
        <v>170.51</v>
      </c>
      <c r="H14" s="64">
        <v>59.57</v>
      </c>
      <c r="I14" s="64">
        <v>4.0999999999999996</v>
      </c>
      <c r="J14" s="64">
        <v>1.04</v>
      </c>
      <c r="K14" s="64">
        <v>7.78</v>
      </c>
      <c r="L14" s="64">
        <v>24.04</v>
      </c>
      <c r="M14" s="64">
        <v>33.29</v>
      </c>
      <c r="N14" s="64">
        <v>56.9</v>
      </c>
      <c r="O14" s="64">
        <v>0</v>
      </c>
      <c r="P14" s="64">
        <v>2.25</v>
      </c>
      <c r="Q14" s="64">
        <v>9.98</v>
      </c>
      <c r="R14" s="198"/>
      <c r="S14" s="198"/>
      <c r="T14" s="198"/>
      <c r="U14" s="198"/>
    </row>
    <row r="15" spans="1:21" s="12" customFormat="1" x14ac:dyDescent="0.25">
      <c r="A15" s="247" t="s">
        <v>2938</v>
      </c>
      <c r="B15" s="209" t="s">
        <v>36</v>
      </c>
      <c r="C15" s="209" t="s">
        <v>36</v>
      </c>
      <c r="D15" s="209" t="s">
        <v>36</v>
      </c>
      <c r="E15" s="64">
        <v>20.58</v>
      </c>
      <c r="F15" s="64">
        <v>13.23</v>
      </c>
      <c r="G15" s="64">
        <v>170.51</v>
      </c>
      <c r="H15" s="64">
        <v>59.57</v>
      </c>
      <c r="I15" s="64">
        <v>3.99</v>
      </c>
      <c r="J15" s="64">
        <v>0.92</v>
      </c>
      <c r="K15" s="64">
        <v>7.83</v>
      </c>
      <c r="L15" s="64">
        <v>23.66</v>
      </c>
      <c r="M15" s="64">
        <v>34.18</v>
      </c>
      <c r="N15" s="64">
        <v>57.7</v>
      </c>
      <c r="O15" s="64">
        <v>0</v>
      </c>
      <c r="P15" s="64">
        <v>1.88</v>
      </c>
      <c r="Q15" s="64">
        <v>10</v>
      </c>
      <c r="R15" s="198"/>
      <c r="S15" s="198"/>
      <c r="T15" s="198"/>
      <c r="U15" s="198"/>
    </row>
    <row r="16" spans="1:21" s="12" customFormat="1" x14ac:dyDescent="0.25">
      <c r="A16" s="247" t="s">
        <v>2939</v>
      </c>
      <c r="B16" s="209" t="s">
        <v>36</v>
      </c>
      <c r="C16" s="209" t="s">
        <v>36</v>
      </c>
      <c r="D16" s="209" t="s">
        <v>36</v>
      </c>
      <c r="E16" s="64">
        <v>15.17</v>
      </c>
      <c r="F16" s="64">
        <v>15.63</v>
      </c>
      <c r="G16" s="64">
        <v>173.31</v>
      </c>
      <c r="H16" s="64">
        <v>58.82</v>
      </c>
      <c r="I16" s="64">
        <v>4.05</v>
      </c>
      <c r="J16" s="64">
        <v>1.08</v>
      </c>
      <c r="K16" s="64">
        <v>7.46</v>
      </c>
      <c r="L16" s="64">
        <v>23.65</v>
      </c>
      <c r="M16" s="64">
        <v>33.58</v>
      </c>
      <c r="N16" s="64">
        <v>57</v>
      </c>
      <c r="O16" s="64">
        <v>0</v>
      </c>
      <c r="P16" s="64">
        <v>1.84</v>
      </c>
      <c r="Q16" s="64">
        <v>9.98</v>
      </c>
      <c r="R16" s="198"/>
      <c r="S16" s="198"/>
      <c r="T16" s="198"/>
      <c r="U16" s="198"/>
    </row>
    <row r="17" spans="1:21" s="12" customFormat="1" x14ac:dyDescent="0.25">
      <c r="A17" s="247" t="s">
        <v>2940</v>
      </c>
      <c r="B17" s="209" t="s">
        <v>36</v>
      </c>
      <c r="C17" s="209" t="s">
        <v>36</v>
      </c>
      <c r="D17" s="209" t="s">
        <v>36</v>
      </c>
      <c r="E17" s="64">
        <v>11.23</v>
      </c>
      <c r="F17" s="64">
        <v>14.55</v>
      </c>
      <c r="G17" s="64">
        <v>182.53</v>
      </c>
      <c r="H17" s="64">
        <v>56.35</v>
      </c>
      <c r="I17" s="64">
        <v>4.0999999999999996</v>
      </c>
      <c r="J17" s="64">
        <v>1.38</v>
      </c>
      <c r="K17" s="64">
        <v>359.53</v>
      </c>
      <c r="L17" s="64">
        <v>24.14</v>
      </c>
      <c r="M17" s="64">
        <v>32.270000000000003</v>
      </c>
      <c r="N17" s="64">
        <v>56.7</v>
      </c>
      <c r="O17" s="64">
        <v>0</v>
      </c>
      <c r="P17" s="64">
        <v>1.94</v>
      </c>
      <c r="Q17" s="64">
        <v>9.9600000000000009</v>
      </c>
      <c r="R17" s="198"/>
      <c r="S17" s="198"/>
      <c r="T17" s="198"/>
      <c r="U17" s="198"/>
    </row>
    <row r="18" spans="1:21" s="12" customFormat="1" x14ac:dyDescent="0.25">
      <c r="A18" s="247" t="s">
        <v>2941</v>
      </c>
      <c r="B18" s="209" t="s">
        <v>36</v>
      </c>
      <c r="C18" s="209" t="s">
        <v>36</v>
      </c>
      <c r="D18" s="209" t="s">
        <v>36</v>
      </c>
      <c r="E18" s="64">
        <v>7.68</v>
      </c>
      <c r="F18" s="64">
        <v>13.86</v>
      </c>
      <c r="G18" s="64">
        <v>182.53</v>
      </c>
      <c r="H18" s="64">
        <v>56.35</v>
      </c>
      <c r="I18" s="64">
        <v>3.93</v>
      </c>
      <c r="J18" s="64">
        <v>1.37</v>
      </c>
      <c r="K18" s="64">
        <v>359.52</v>
      </c>
      <c r="L18" s="64">
        <v>24.1</v>
      </c>
      <c r="M18" s="64">
        <v>32.479999999999997</v>
      </c>
      <c r="N18" s="64">
        <v>57.5</v>
      </c>
      <c r="O18" s="64">
        <v>0</v>
      </c>
      <c r="P18" s="64">
        <v>1.75</v>
      </c>
      <c r="Q18" s="64">
        <v>9.94</v>
      </c>
      <c r="R18" s="198"/>
      <c r="S18" s="198"/>
      <c r="T18" s="198"/>
      <c r="U18" s="198"/>
    </row>
    <row r="19" spans="1:21" s="12" customFormat="1" x14ac:dyDescent="0.25">
      <c r="A19" s="247" t="s">
        <v>2942</v>
      </c>
      <c r="B19" s="209" t="s">
        <v>36</v>
      </c>
      <c r="C19" s="209" t="s">
        <v>36</v>
      </c>
      <c r="D19" s="209" t="s">
        <v>36</v>
      </c>
      <c r="E19" s="64">
        <v>6.82</v>
      </c>
      <c r="F19" s="64">
        <v>10.45</v>
      </c>
      <c r="G19" s="64">
        <v>182.53</v>
      </c>
      <c r="H19" s="64">
        <v>56.35</v>
      </c>
      <c r="I19" s="64">
        <v>4.03</v>
      </c>
      <c r="J19" s="64">
        <v>1.45</v>
      </c>
      <c r="K19" s="64">
        <v>352.47</v>
      </c>
      <c r="L19" s="64">
        <v>23.65</v>
      </c>
      <c r="M19" s="64">
        <v>34.700000000000003</v>
      </c>
      <c r="N19" s="64">
        <v>57.7</v>
      </c>
      <c r="O19" s="64">
        <v>0</v>
      </c>
      <c r="P19" s="64">
        <v>1.98</v>
      </c>
      <c r="Q19" s="64">
        <v>9.9</v>
      </c>
      <c r="R19" s="198"/>
      <c r="S19" s="198"/>
      <c r="T19" s="198"/>
      <c r="U19" s="198"/>
    </row>
    <row r="20" spans="1:21" s="12" customFormat="1" x14ac:dyDescent="0.25">
      <c r="A20" s="247" t="s">
        <v>2943</v>
      </c>
      <c r="B20" s="209" t="s">
        <v>36</v>
      </c>
      <c r="C20" s="209" t="s">
        <v>36</v>
      </c>
      <c r="D20" s="209" t="s">
        <v>36</v>
      </c>
      <c r="E20" s="64">
        <v>10</v>
      </c>
      <c r="F20" s="64">
        <v>10.72</v>
      </c>
      <c r="G20" s="64">
        <v>157.05000000000001</v>
      </c>
      <c r="H20" s="64">
        <v>53.92</v>
      </c>
      <c r="I20" s="64">
        <v>4.07</v>
      </c>
      <c r="J20" s="64">
        <v>1.24</v>
      </c>
      <c r="K20" s="64">
        <v>2.72</v>
      </c>
      <c r="L20" s="64">
        <v>23.27</v>
      </c>
      <c r="M20" s="64">
        <v>35.29</v>
      </c>
      <c r="N20" s="64">
        <v>57.7</v>
      </c>
      <c r="O20" s="64">
        <v>0</v>
      </c>
      <c r="P20" s="64">
        <v>1.83</v>
      </c>
      <c r="Q20" s="64">
        <v>9.89</v>
      </c>
      <c r="R20" s="198"/>
      <c r="S20" s="198"/>
      <c r="T20" s="198"/>
      <c r="U20" s="198"/>
    </row>
    <row r="21" spans="1:21" s="12" customFormat="1" x14ac:dyDescent="0.25">
      <c r="A21" s="247" t="s">
        <v>2944</v>
      </c>
      <c r="B21" s="209" t="s">
        <v>36</v>
      </c>
      <c r="C21" s="209" t="s">
        <v>36</v>
      </c>
      <c r="D21" s="209" t="s">
        <v>36</v>
      </c>
      <c r="E21" s="64">
        <v>12.43</v>
      </c>
      <c r="F21" s="64">
        <v>13.96</v>
      </c>
      <c r="G21" s="64">
        <v>73.33</v>
      </c>
      <c r="H21" s="64">
        <v>45.95</v>
      </c>
      <c r="I21" s="64">
        <v>4.12</v>
      </c>
      <c r="J21" s="64">
        <v>0.64</v>
      </c>
      <c r="K21" s="64">
        <v>17.61</v>
      </c>
      <c r="L21" s="64">
        <v>23.04</v>
      </c>
      <c r="M21" s="64">
        <v>35.590000000000003</v>
      </c>
      <c r="N21" s="64">
        <v>58.1</v>
      </c>
      <c r="O21" s="64">
        <v>0</v>
      </c>
      <c r="P21" s="64">
        <v>1.3</v>
      </c>
      <c r="Q21" s="64">
        <v>9.8699999999999992</v>
      </c>
      <c r="R21" s="198"/>
      <c r="S21" s="198"/>
      <c r="T21" s="198"/>
      <c r="U21" s="198"/>
    </row>
    <row r="22" spans="1:21" s="12" customFormat="1" x14ac:dyDescent="0.25">
      <c r="A22" s="247" t="s">
        <v>2945</v>
      </c>
      <c r="B22" s="209" t="s">
        <v>36</v>
      </c>
      <c r="C22" s="209" t="s">
        <v>36</v>
      </c>
      <c r="D22" s="209" t="s">
        <v>36</v>
      </c>
      <c r="E22" s="64">
        <v>16.829999999999998</v>
      </c>
      <c r="F22" s="64">
        <v>22.37</v>
      </c>
      <c r="G22" s="64">
        <v>73.33</v>
      </c>
      <c r="H22" s="64">
        <v>45.95</v>
      </c>
      <c r="I22" s="64">
        <v>4.05</v>
      </c>
      <c r="J22" s="64">
        <v>0.86</v>
      </c>
      <c r="K22" s="64">
        <v>2.88</v>
      </c>
      <c r="L22" s="64">
        <v>22.88</v>
      </c>
      <c r="M22" s="64">
        <v>36.090000000000003</v>
      </c>
      <c r="N22" s="64">
        <v>57.4</v>
      </c>
      <c r="O22" s="64">
        <v>0</v>
      </c>
      <c r="P22" s="64">
        <v>0.72</v>
      </c>
      <c r="Q22" s="64">
        <v>9.82</v>
      </c>
      <c r="R22" s="198"/>
      <c r="S22" s="198"/>
      <c r="T22" s="198"/>
      <c r="U22" s="198"/>
    </row>
    <row r="23" spans="1:21" s="12" customFormat="1" x14ac:dyDescent="0.25">
      <c r="A23" s="247" t="s">
        <v>2946</v>
      </c>
      <c r="B23" s="209" t="s">
        <v>36</v>
      </c>
      <c r="C23" s="209" t="s">
        <v>36</v>
      </c>
      <c r="D23" s="209" t="s">
        <v>36</v>
      </c>
      <c r="E23" s="64">
        <v>21.24</v>
      </c>
      <c r="F23" s="64">
        <v>19.96</v>
      </c>
      <c r="G23" s="64">
        <v>73.33</v>
      </c>
      <c r="H23" s="64">
        <v>45.95</v>
      </c>
      <c r="I23" s="64">
        <v>4.0199999999999996</v>
      </c>
      <c r="J23" s="64">
        <v>1.1399999999999999</v>
      </c>
      <c r="K23" s="64">
        <v>5.2</v>
      </c>
      <c r="L23" s="64">
        <v>22.95</v>
      </c>
      <c r="M23" s="64">
        <v>35.700000000000003</v>
      </c>
      <c r="N23" s="64">
        <v>57.2</v>
      </c>
      <c r="O23" s="64">
        <v>0</v>
      </c>
      <c r="P23" s="64">
        <v>0.79</v>
      </c>
      <c r="Q23" s="64">
        <v>9.7899999999999991</v>
      </c>
      <c r="R23" s="198"/>
      <c r="S23" s="198"/>
      <c r="T23" s="198"/>
      <c r="U23" s="198"/>
    </row>
    <row r="24" spans="1:21" s="12" customFormat="1" x14ac:dyDescent="0.25">
      <c r="A24" s="247" t="s">
        <v>2947</v>
      </c>
      <c r="B24" s="209" t="s">
        <v>36</v>
      </c>
      <c r="C24" s="209" t="s">
        <v>36</v>
      </c>
      <c r="D24" s="209" t="s">
        <v>36</v>
      </c>
      <c r="E24" s="64">
        <v>25.07</v>
      </c>
      <c r="F24" s="64">
        <v>16.09</v>
      </c>
      <c r="G24" s="64">
        <v>73.87</v>
      </c>
      <c r="H24" s="64">
        <v>43.73</v>
      </c>
      <c r="I24" s="64">
        <v>3.85</v>
      </c>
      <c r="J24" s="64">
        <v>1.38</v>
      </c>
      <c r="K24" s="64">
        <v>5.68</v>
      </c>
      <c r="L24" s="64">
        <v>23.09</v>
      </c>
      <c r="M24" s="64">
        <v>35.130000000000003</v>
      </c>
      <c r="N24" s="64">
        <v>57.1</v>
      </c>
      <c r="O24" s="64">
        <v>0</v>
      </c>
      <c r="P24" s="64">
        <v>0.94</v>
      </c>
      <c r="Q24" s="64">
        <v>9.7799999999999994</v>
      </c>
      <c r="R24" s="198"/>
      <c r="S24" s="198"/>
      <c r="T24" s="198"/>
      <c r="U24" s="198"/>
    </row>
    <row r="25" spans="1:21" s="12" customFormat="1" x14ac:dyDescent="0.25">
      <c r="A25" s="247" t="s">
        <v>2948</v>
      </c>
      <c r="B25" s="209" t="s">
        <v>36</v>
      </c>
      <c r="C25" s="209" t="s">
        <v>36</v>
      </c>
      <c r="D25" s="209" t="s">
        <v>36</v>
      </c>
      <c r="E25" s="64">
        <v>26.7</v>
      </c>
      <c r="F25" s="64">
        <v>17.899999999999999</v>
      </c>
      <c r="G25" s="64">
        <v>75.62</v>
      </c>
      <c r="H25" s="64">
        <v>36.44</v>
      </c>
      <c r="I25" s="64">
        <v>4.08</v>
      </c>
      <c r="J25" s="64">
        <v>1.46</v>
      </c>
      <c r="K25" s="64">
        <v>6.82</v>
      </c>
      <c r="L25" s="64">
        <v>23.02</v>
      </c>
      <c r="M25" s="64">
        <v>35.21</v>
      </c>
      <c r="N25" s="64">
        <v>57.3</v>
      </c>
      <c r="O25" s="64">
        <v>0</v>
      </c>
      <c r="P25" s="64">
        <v>0.93</v>
      </c>
      <c r="Q25" s="64">
        <v>9.77</v>
      </c>
      <c r="R25" s="198"/>
      <c r="S25" s="198"/>
      <c r="T25" s="198"/>
      <c r="U25" s="198"/>
    </row>
    <row r="26" spans="1:21" s="12" customFormat="1" x14ac:dyDescent="0.25">
      <c r="A26" s="247" t="s">
        <v>2949</v>
      </c>
      <c r="B26" s="209" t="s">
        <v>36</v>
      </c>
      <c r="C26" s="209" t="s">
        <v>36</v>
      </c>
      <c r="D26" s="209" t="s">
        <v>36</v>
      </c>
      <c r="E26" s="64">
        <v>16.059999999999999</v>
      </c>
      <c r="F26" s="64">
        <v>14.09</v>
      </c>
      <c r="G26" s="64">
        <v>75.62</v>
      </c>
      <c r="H26" s="64">
        <v>36.44</v>
      </c>
      <c r="I26" s="64">
        <v>3.9</v>
      </c>
      <c r="J26" s="64">
        <v>1.71</v>
      </c>
      <c r="K26" s="64">
        <v>5.58</v>
      </c>
      <c r="L26" s="64">
        <v>22.97</v>
      </c>
      <c r="M26" s="64">
        <v>35.47</v>
      </c>
      <c r="N26" s="64">
        <v>57.2</v>
      </c>
      <c r="O26" s="64">
        <v>0</v>
      </c>
      <c r="P26" s="64">
        <v>1.1000000000000001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47" t="s">
        <v>2950</v>
      </c>
      <c r="B27" s="209" t="s">
        <v>36</v>
      </c>
      <c r="C27" s="209" t="s">
        <v>36</v>
      </c>
      <c r="D27" s="209" t="s">
        <v>36</v>
      </c>
      <c r="E27" s="64">
        <v>16.41</v>
      </c>
      <c r="F27" s="64">
        <v>13.62</v>
      </c>
      <c r="G27" s="64">
        <v>75.62</v>
      </c>
      <c r="H27" s="64">
        <v>36.44</v>
      </c>
      <c r="I27" s="64">
        <v>4.0999999999999996</v>
      </c>
      <c r="J27" s="64">
        <v>1.5</v>
      </c>
      <c r="K27" s="64">
        <v>5.58</v>
      </c>
      <c r="L27" s="64">
        <v>23</v>
      </c>
      <c r="M27" s="64">
        <v>34.82</v>
      </c>
      <c r="N27" s="64">
        <v>57.3</v>
      </c>
      <c r="O27" s="64">
        <v>0</v>
      </c>
      <c r="P27" s="64">
        <v>1.02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47" t="s">
        <v>2951</v>
      </c>
      <c r="B28" s="209" t="s">
        <v>36</v>
      </c>
      <c r="C28" s="209" t="s">
        <v>36</v>
      </c>
      <c r="D28" s="209" t="s">
        <v>36</v>
      </c>
      <c r="E28" s="64">
        <v>31.76</v>
      </c>
      <c r="F28" s="64">
        <v>14.23</v>
      </c>
      <c r="G28" s="64">
        <v>78.86</v>
      </c>
      <c r="H28" s="64">
        <v>36.5</v>
      </c>
      <c r="I28" s="64">
        <v>4.1500000000000004</v>
      </c>
      <c r="J28" s="64">
        <v>1.65</v>
      </c>
      <c r="K28" s="64">
        <v>5.7</v>
      </c>
      <c r="L28" s="64">
        <v>22.93</v>
      </c>
      <c r="M28" s="64">
        <v>34.340000000000003</v>
      </c>
      <c r="N28" s="64">
        <v>57.4</v>
      </c>
      <c r="O28" s="64">
        <v>0</v>
      </c>
      <c r="P28" s="64">
        <v>0.87</v>
      </c>
      <c r="Q28" s="64">
        <v>9.7100000000000009</v>
      </c>
      <c r="R28" s="198"/>
      <c r="S28" s="198"/>
      <c r="T28" s="198"/>
      <c r="U28" s="198"/>
    </row>
    <row r="29" spans="1:21" s="12" customFormat="1" x14ac:dyDescent="0.25">
      <c r="A29" s="247" t="s">
        <v>2952</v>
      </c>
      <c r="B29" s="209" t="s">
        <v>36</v>
      </c>
      <c r="C29" s="209" t="s">
        <v>36</v>
      </c>
      <c r="D29" s="209" t="s">
        <v>36</v>
      </c>
      <c r="E29" s="64">
        <v>25.23</v>
      </c>
      <c r="F29" s="64">
        <v>11.28</v>
      </c>
      <c r="G29" s="64">
        <v>89.53</v>
      </c>
      <c r="H29" s="64">
        <v>36.69</v>
      </c>
      <c r="I29" s="64">
        <v>3.89</v>
      </c>
      <c r="J29" s="64">
        <v>1.5</v>
      </c>
      <c r="K29" s="64">
        <v>5.09</v>
      </c>
      <c r="L29" s="64">
        <v>22.81</v>
      </c>
      <c r="M29" s="64">
        <v>34.92</v>
      </c>
      <c r="N29" s="64">
        <v>57.4</v>
      </c>
      <c r="O29" s="64">
        <v>0</v>
      </c>
      <c r="P29" s="64">
        <v>1.03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47" t="s">
        <v>2953</v>
      </c>
      <c r="B30" s="209" t="s">
        <v>36</v>
      </c>
      <c r="C30" s="209" t="s">
        <v>36</v>
      </c>
      <c r="D30" s="209" t="s">
        <v>36</v>
      </c>
      <c r="E30" s="64">
        <v>9.35</v>
      </c>
      <c r="F30" s="64">
        <v>7.87</v>
      </c>
      <c r="G30" s="64">
        <v>89.53</v>
      </c>
      <c r="H30" s="64">
        <v>36.69</v>
      </c>
      <c r="I30" s="64">
        <v>4.03</v>
      </c>
      <c r="J30" s="64">
        <v>1.34</v>
      </c>
      <c r="K30" s="64">
        <v>8.57</v>
      </c>
      <c r="L30" s="64">
        <v>22.7</v>
      </c>
      <c r="M30" s="64">
        <v>35.22</v>
      </c>
      <c r="N30" s="64">
        <v>57.6</v>
      </c>
      <c r="O30" s="64">
        <v>0</v>
      </c>
      <c r="P30" s="64">
        <v>1.1499999999999999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47" t="s">
        <v>2954</v>
      </c>
      <c r="B31" s="209" t="s">
        <v>36</v>
      </c>
      <c r="C31" s="209" t="s">
        <v>36</v>
      </c>
      <c r="D31" s="209" t="s">
        <v>36</v>
      </c>
      <c r="E31" s="64">
        <v>11.78</v>
      </c>
      <c r="F31" s="64">
        <v>7.72</v>
      </c>
      <c r="G31" s="64">
        <v>89.53</v>
      </c>
      <c r="H31" s="64">
        <v>36.69</v>
      </c>
      <c r="I31" s="64">
        <v>4.01</v>
      </c>
      <c r="J31" s="64">
        <v>1.06</v>
      </c>
      <c r="K31" s="64">
        <v>7.76</v>
      </c>
      <c r="L31" s="64">
        <v>22.44</v>
      </c>
      <c r="M31" s="64">
        <v>35.89</v>
      </c>
      <c r="N31" s="64">
        <v>57.9</v>
      </c>
      <c r="O31" s="64">
        <v>0</v>
      </c>
      <c r="P31" s="64">
        <v>1.0900000000000001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47" t="s">
        <v>2955</v>
      </c>
      <c r="B32" s="209" t="s">
        <v>36</v>
      </c>
      <c r="C32" s="209" t="s">
        <v>36</v>
      </c>
      <c r="D32" s="209" t="s">
        <v>36</v>
      </c>
      <c r="E32" s="64">
        <v>15.74</v>
      </c>
      <c r="F32" s="64">
        <v>8.42</v>
      </c>
      <c r="G32" s="64">
        <v>96.54</v>
      </c>
      <c r="H32" s="64">
        <v>36.700000000000003</v>
      </c>
      <c r="I32" s="64">
        <v>4.12</v>
      </c>
      <c r="J32" s="64">
        <v>1.42</v>
      </c>
      <c r="K32" s="64">
        <v>2.3199999999999998</v>
      </c>
      <c r="L32" s="64">
        <v>22.21</v>
      </c>
      <c r="M32" s="64">
        <v>36.76</v>
      </c>
      <c r="N32" s="64">
        <v>59.9</v>
      </c>
      <c r="O32" s="64">
        <v>0</v>
      </c>
      <c r="P32" s="64">
        <v>1.08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47" t="s">
        <v>2956</v>
      </c>
      <c r="B33" s="209" t="s">
        <v>36</v>
      </c>
      <c r="C33" s="209" t="s">
        <v>36</v>
      </c>
      <c r="D33" s="209" t="s">
        <v>36</v>
      </c>
      <c r="E33" s="64">
        <v>12.19</v>
      </c>
      <c r="F33" s="64">
        <v>7.45</v>
      </c>
      <c r="G33" s="64">
        <v>119.56</v>
      </c>
      <c r="H33" s="64">
        <v>36.75</v>
      </c>
      <c r="I33" s="64">
        <v>4.16</v>
      </c>
      <c r="J33" s="64">
        <v>1.22</v>
      </c>
      <c r="K33" s="64">
        <v>6.56</v>
      </c>
      <c r="L33" s="64">
        <v>21.92</v>
      </c>
      <c r="M33" s="64">
        <v>38.729999999999997</v>
      </c>
      <c r="N33" s="64">
        <v>69.099999999999994</v>
      </c>
      <c r="O33" s="64">
        <v>0</v>
      </c>
      <c r="P33" s="64">
        <v>1.08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47" t="s">
        <v>2957</v>
      </c>
      <c r="B34" s="209" t="s">
        <v>36</v>
      </c>
      <c r="C34" s="209" t="s">
        <v>36</v>
      </c>
      <c r="D34" s="209" t="s">
        <v>36</v>
      </c>
      <c r="E34" s="64">
        <v>13.84</v>
      </c>
      <c r="F34" s="64">
        <v>7.87</v>
      </c>
      <c r="G34" s="64">
        <v>119.56</v>
      </c>
      <c r="H34" s="64">
        <v>36.75</v>
      </c>
      <c r="I34" s="64">
        <v>4.01</v>
      </c>
      <c r="J34" s="64">
        <v>1.45</v>
      </c>
      <c r="K34" s="64">
        <v>1.0900000000000001</v>
      </c>
      <c r="L34" s="64">
        <v>22.04</v>
      </c>
      <c r="M34" s="64">
        <v>38.520000000000003</v>
      </c>
      <c r="N34" s="64">
        <v>86.3</v>
      </c>
      <c r="O34" s="64">
        <v>0</v>
      </c>
      <c r="P34" s="64">
        <v>1.1000000000000001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47" t="s">
        <v>2958</v>
      </c>
      <c r="B35" s="209" t="s">
        <v>36</v>
      </c>
      <c r="C35" s="209" t="s">
        <v>36</v>
      </c>
      <c r="D35" s="209" t="s">
        <v>36</v>
      </c>
      <c r="E35" s="64">
        <v>16.100000000000001</v>
      </c>
      <c r="F35" s="64">
        <v>7.73</v>
      </c>
      <c r="G35" s="64">
        <v>119.56</v>
      </c>
      <c r="H35" s="64">
        <v>36.75</v>
      </c>
      <c r="I35" s="64">
        <v>4.03</v>
      </c>
      <c r="J35" s="64">
        <v>1.48</v>
      </c>
      <c r="K35" s="64">
        <v>0.27</v>
      </c>
      <c r="L35" s="64">
        <v>22.48</v>
      </c>
      <c r="M35" s="64">
        <v>37.51</v>
      </c>
      <c r="N35" s="64">
        <v>111.2</v>
      </c>
      <c r="O35" s="64">
        <v>0</v>
      </c>
      <c r="P35" s="64">
        <v>1.0900000000000001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47" t="s">
        <v>2959</v>
      </c>
      <c r="B36" s="209" t="s">
        <v>36</v>
      </c>
      <c r="C36" s="209" t="s">
        <v>36</v>
      </c>
      <c r="D36" s="209" t="s">
        <v>36</v>
      </c>
      <c r="E36" s="64">
        <v>13.57</v>
      </c>
      <c r="F36" s="64">
        <v>7.99</v>
      </c>
      <c r="G36" s="64">
        <v>124.55</v>
      </c>
      <c r="H36" s="64">
        <v>37.1</v>
      </c>
      <c r="I36" s="64">
        <v>3.94</v>
      </c>
      <c r="J36" s="64">
        <v>1.68</v>
      </c>
      <c r="K36" s="64">
        <v>3.32</v>
      </c>
      <c r="L36" s="64">
        <v>23.11</v>
      </c>
      <c r="M36" s="64">
        <v>36.020000000000003</v>
      </c>
      <c r="N36" s="64">
        <v>143.30000000000001</v>
      </c>
      <c r="O36" s="64">
        <v>0</v>
      </c>
      <c r="P36" s="64">
        <v>1.0900000000000001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47" t="s">
        <v>2960</v>
      </c>
      <c r="B37" s="209" t="s">
        <v>36</v>
      </c>
      <c r="C37" s="209" t="s">
        <v>36</v>
      </c>
      <c r="D37" s="209" t="s">
        <v>36</v>
      </c>
      <c r="E37" s="64">
        <v>12.82</v>
      </c>
      <c r="F37" s="64">
        <v>8.31</v>
      </c>
      <c r="G37" s="64">
        <v>140.93</v>
      </c>
      <c r="H37" s="64">
        <v>38.270000000000003</v>
      </c>
      <c r="I37" s="64">
        <v>4.07</v>
      </c>
      <c r="J37" s="64">
        <v>1.26</v>
      </c>
      <c r="K37" s="64">
        <v>0.26</v>
      </c>
      <c r="L37" s="64">
        <v>24.13</v>
      </c>
      <c r="M37" s="64">
        <v>34.31</v>
      </c>
      <c r="N37" s="64">
        <v>179.5</v>
      </c>
      <c r="O37" s="64">
        <v>0</v>
      </c>
      <c r="P37" s="64">
        <v>1.31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47" t="s">
        <v>2961</v>
      </c>
      <c r="B38" s="209" t="s">
        <v>36</v>
      </c>
      <c r="C38" s="209" t="s">
        <v>36</v>
      </c>
      <c r="D38" s="209" t="s">
        <v>36</v>
      </c>
      <c r="E38" s="64">
        <v>15.6</v>
      </c>
      <c r="F38" s="64">
        <v>9.73</v>
      </c>
      <c r="G38" s="64">
        <v>140.93</v>
      </c>
      <c r="H38" s="64">
        <v>38.270000000000003</v>
      </c>
      <c r="I38" s="64">
        <v>3.85</v>
      </c>
      <c r="J38" s="64">
        <v>1.47</v>
      </c>
      <c r="K38" s="64">
        <v>1.1100000000000001</v>
      </c>
      <c r="L38" s="64">
        <v>25</v>
      </c>
      <c r="M38" s="64">
        <v>31.91</v>
      </c>
      <c r="N38" s="64">
        <v>218.6</v>
      </c>
      <c r="O38" s="64">
        <v>0</v>
      </c>
      <c r="P38" s="64">
        <v>1.35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47" t="s">
        <v>2962</v>
      </c>
      <c r="B39" s="209" t="s">
        <v>36</v>
      </c>
      <c r="C39" s="209" t="s">
        <v>36</v>
      </c>
      <c r="D39" s="209" t="s">
        <v>36</v>
      </c>
      <c r="E39" s="64">
        <v>13.31</v>
      </c>
      <c r="F39" s="64">
        <v>10.28</v>
      </c>
      <c r="G39" s="64">
        <v>140.93</v>
      </c>
      <c r="H39" s="64">
        <v>38.270000000000003</v>
      </c>
      <c r="I39" s="64">
        <v>3.97</v>
      </c>
      <c r="J39" s="64">
        <v>0.66</v>
      </c>
      <c r="K39" s="64">
        <v>31.18</v>
      </c>
      <c r="L39" s="64">
        <v>25.65</v>
      </c>
      <c r="M39" s="64">
        <v>30.02</v>
      </c>
      <c r="N39" s="64">
        <v>258.7</v>
      </c>
      <c r="O39" s="64">
        <v>0</v>
      </c>
      <c r="P39" s="64">
        <v>1.24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47" t="s">
        <v>2963</v>
      </c>
      <c r="B40" s="209" t="s">
        <v>36</v>
      </c>
      <c r="C40" s="209" t="s">
        <v>36</v>
      </c>
      <c r="D40" s="209" t="s">
        <v>36</v>
      </c>
      <c r="E40" s="64">
        <v>16.72</v>
      </c>
      <c r="F40" s="64">
        <v>14.07</v>
      </c>
      <c r="G40" s="64">
        <v>138.79</v>
      </c>
      <c r="H40" s="64">
        <v>37.659999999999997</v>
      </c>
      <c r="I40" s="64">
        <v>4</v>
      </c>
      <c r="J40" s="64">
        <v>0.74</v>
      </c>
      <c r="K40" s="64">
        <v>10.24</v>
      </c>
      <c r="L40" s="64">
        <v>26.42</v>
      </c>
      <c r="M40" s="64">
        <v>28.33</v>
      </c>
      <c r="N40" s="64">
        <v>298.10000000000002</v>
      </c>
      <c r="O40" s="64">
        <v>0</v>
      </c>
      <c r="P40" s="64">
        <v>1.1000000000000001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47" t="s">
        <v>2964</v>
      </c>
      <c r="B41" s="209" t="s">
        <v>36</v>
      </c>
      <c r="C41" s="209" t="s">
        <v>36</v>
      </c>
      <c r="D41" s="209" t="s">
        <v>36</v>
      </c>
      <c r="E41" s="64">
        <v>14.94</v>
      </c>
      <c r="F41" s="64">
        <v>14.04</v>
      </c>
      <c r="G41" s="64">
        <v>131.76</v>
      </c>
      <c r="H41" s="64">
        <v>35.659999999999997</v>
      </c>
      <c r="I41" s="64">
        <v>3.92</v>
      </c>
      <c r="J41" s="64">
        <v>1.65</v>
      </c>
      <c r="K41" s="64">
        <v>2.5499999999999998</v>
      </c>
      <c r="L41" s="64">
        <v>27.51</v>
      </c>
      <c r="M41" s="64">
        <v>25.09</v>
      </c>
      <c r="N41" s="64">
        <v>340.8</v>
      </c>
      <c r="O41" s="64">
        <v>0</v>
      </c>
      <c r="P41" s="64">
        <v>1.1200000000000001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47" t="s">
        <v>2965</v>
      </c>
      <c r="B42" s="209" t="s">
        <v>36</v>
      </c>
      <c r="C42" s="209" t="s">
        <v>36</v>
      </c>
      <c r="D42" s="209" t="s">
        <v>36</v>
      </c>
      <c r="E42" s="64">
        <v>13.04</v>
      </c>
      <c r="F42" s="64">
        <v>15.62</v>
      </c>
      <c r="G42" s="64">
        <v>131.76</v>
      </c>
      <c r="H42" s="64">
        <v>35.659999999999997</v>
      </c>
      <c r="I42" s="64">
        <v>4.09</v>
      </c>
      <c r="J42" s="64">
        <v>1.51</v>
      </c>
      <c r="K42" s="64">
        <v>6.04</v>
      </c>
      <c r="L42" s="64">
        <v>28.25</v>
      </c>
      <c r="M42" s="64">
        <v>24.11</v>
      </c>
      <c r="N42" s="64">
        <v>382.4</v>
      </c>
      <c r="O42" s="64">
        <v>0</v>
      </c>
      <c r="P42" s="64">
        <v>0.96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47" t="s">
        <v>2966</v>
      </c>
      <c r="B43" s="209" t="s">
        <v>36</v>
      </c>
      <c r="C43" s="209" t="s">
        <v>36</v>
      </c>
      <c r="D43" s="209" t="s">
        <v>36</v>
      </c>
      <c r="E43" s="64">
        <v>24.03</v>
      </c>
      <c r="F43" s="64">
        <v>18.53</v>
      </c>
      <c r="G43" s="64">
        <v>131.76</v>
      </c>
      <c r="H43" s="64">
        <v>35.659999999999997</v>
      </c>
      <c r="I43" s="64">
        <v>4.03</v>
      </c>
      <c r="J43" s="64">
        <v>1.31</v>
      </c>
      <c r="K43" s="64">
        <v>6.57</v>
      </c>
      <c r="L43" s="64">
        <v>28.87</v>
      </c>
      <c r="M43" s="64">
        <v>22.72</v>
      </c>
      <c r="N43" s="64">
        <v>423.9</v>
      </c>
      <c r="O43" s="64">
        <v>0</v>
      </c>
      <c r="P43" s="64">
        <v>0.93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47" t="s">
        <v>2967</v>
      </c>
      <c r="B44" s="209" t="s">
        <v>36</v>
      </c>
      <c r="C44" s="209" t="s">
        <v>36</v>
      </c>
      <c r="D44" s="209" t="s">
        <v>36</v>
      </c>
      <c r="E44" s="64">
        <v>24.6</v>
      </c>
      <c r="F44" s="64">
        <v>16.309999999999999</v>
      </c>
      <c r="G44" s="64">
        <v>123.75</v>
      </c>
      <c r="H44" s="64">
        <v>35.590000000000003</v>
      </c>
      <c r="I44" s="64">
        <v>4.04</v>
      </c>
      <c r="J44" s="64">
        <v>1.51</v>
      </c>
      <c r="K44" s="64">
        <v>8.9499999999999993</v>
      </c>
      <c r="L44" s="64">
        <v>30.04</v>
      </c>
      <c r="M44" s="64">
        <v>21.57</v>
      </c>
      <c r="N44" s="64">
        <v>469.8</v>
      </c>
      <c r="O44" s="64">
        <v>0</v>
      </c>
      <c r="P44" s="64">
        <v>0.91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47" t="s">
        <v>2968</v>
      </c>
      <c r="B45" s="209" t="s">
        <v>36</v>
      </c>
      <c r="C45" s="209" t="s">
        <v>36</v>
      </c>
      <c r="D45" s="209" t="s">
        <v>36</v>
      </c>
      <c r="E45" s="64">
        <v>13.73</v>
      </c>
      <c r="F45" s="64">
        <v>16.84</v>
      </c>
      <c r="G45" s="64">
        <v>97.42</v>
      </c>
      <c r="H45" s="64">
        <v>35.340000000000003</v>
      </c>
      <c r="I45" s="64">
        <v>4.1399999999999997</v>
      </c>
      <c r="J45" s="64">
        <v>1.29</v>
      </c>
      <c r="K45" s="64">
        <v>10.32</v>
      </c>
      <c r="L45" s="64">
        <v>30.69</v>
      </c>
      <c r="M45" s="64">
        <v>20.23</v>
      </c>
      <c r="N45" s="64">
        <v>513.6</v>
      </c>
      <c r="O45" s="64">
        <v>0</v>
      </c>
      <c r="P45" s="64">
        <v>0.87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47" t="s">
        <v>2969</v>
      </c>
      <c r="B46" s="209" t="s">
        <v>36</v>
      </c>
      <c r="C46" s="209" t="s">
        <v>36</v>
      </c>
      <c r="D46" s="209" t="s">
        <v>36</v>
      </c>
      <c r="E46" s="64">
        <v>10.29</v>
      </c>
      <c r="F46" s="64">
        <v>17.940000000000001</v>
      </c>
      <c r="G46" s="64">
        <v>97.42</v>
      </c>
      <c r="H46" s="64">
        <v>35.340000000000003</v>
      </c>
      <c r="I46" s="64">
        <v>4.1500000000000004</v>
      </c>
      <c r="J46" s="64">
        <v>1.41</v>
      </c>
      <c r="K46" s="64">
        <v>7.88</v>
      </c>
      <c r="L46" s="64">
        <v>30.8</v>
      </c>
      <c r="M46" s="64">
        <v>20.12</v>
      </c>
      <c r="N46" s="64">
        <v>556.1</v>
      </c>
      <c r="O46" s="64">
        <v>0</v>
      </c>
      <c r="P46" s="64">
        <v>0.83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47" t="s">
        <v>2970</v>
      </c>
      <c r="B47" s="209" t="s">
        <v>36</v>
      </c>
      <c r="C47" s="209" t="s">
        <v>36</v>
      </c>
      <c r="D47" s="209" t="s">
        <v>36</v>
      </c>
      <c r="E47" s="64">
        <v>8.15</v>
      </c>
      <c r="F47" s="64">
        <v>14.49</v>
      </c>
      <c r="G47" s="64">
        <v>97.42</v>
      </c>
      <c r="H47" s="64">
        <v>35.340000000000003</v>
      </c>
      <c r="I47" s="64">
        <v>4</v>
      </c>
      <c r="J47" s="64">
        <v>1.52</v>
      </c>
      <c r="K47" s="64">
        <v>13.69</v>
      </c>
      <c r="L47" s="64">
        <v>31.34</v>
      </c>
      <c r="M47" s="64">
        <v>19.78</v>
      </c>
      <c r="N47" s="64">
        <v>597.20000000000005</v>
      </c>
      <c r="O47" s="64">
        <v>0</v>
      </c>
      <c r="P47" s="64">
        <v>0.91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47" t="s">
        <v>2971</v>
      </c>
      <c r="B48" s="209" t="s">
        <v>36</v>
      </c>
      <c r="C48" s="209" t="s">
        <v>36</v>
      </c>
      <c r="D48" s="209" t="s">
        <v>36</v>
      </c>
      <c r="E48" s="64">
        <v>6.5</v>
      </c>
      <c r="F48" s="64">
        <v>12.2</v>
      </c>
      <c r="G48" s="64">
        <v>95.39</v>
      </c>
      <c r="H48" s="64">
        <v>32.479999999999997</v>
      </c>
      <c r="I48" s="64">
        <v>3.93</v>
      </c>
      <c r="J48" s="64">
        <v>1.54</v>
      </c>
      <c r="K48" s="64">
        <v>7.33</v>
      </c>
      <c r="L48" s="64">
        <v>31.8</v>
      </c>
      <c r="M48" s="64">
        <v>19.72</v>
      </c>
      <c r="N48" s="64">
        <v>627.9</v>
      </c>
      <c r="O48" s="64">
        <v>0</v>
      </c>
      <c r="P48" s="64">
        <v>0.9</v>
      </c>
      <c r="Q48" s="64">
        <v>9.52</v>
      </c>
      <c r="R48" s="198"/>
      <c r="S48" s="198"/>
      <c r="T48" s="198"/>
      <c r="U48" s="198"/>
    </row>
    <row r="49" spans="1:21" s="12" customFormat="1" x14ac:dyDescent="0.25">
      <c r="A49" s="247" t="s">
        <v>2972</v>
      </c>
      <c r="B49" s="209" t="s">
        <v>36</v>
      </c>
      <c r="C49" s="209" t="s">
        <v>36</v>
      </c>
      <c r="D49" s="209" t="s">
        <v>36</v>
      </c>
      <c r="E49" s="64">
        <v>10.98</v>
      </c>
      <c r="F49" s="64">
        <v>12.67</v>
      </c>
      <c r="G49" s="64">
        <v>89.13</v>
      </c>
      <c r="H49" s="64">
        <v>23.07</v>
      </c>
      <c r="I49" s="64">
        <v>4.04</v>
      </c>
      <c r="J49" s="64">
        <v>1.62</v>
      </c>
      <c r="K49" s="64">
        <v>358.54</v>
      </c>
      <c r="L49" s="64">
        <v>33.049999999999997</v>
      </c>
      <c r="M49" s="64">
        <v>18.46</v>
      </c>
      <c r="N49" s="64">
        <v>653.6</v>
      </c>
      <c r="O49" s="64">
        <v>0</v>
      </c>
      <c r="P49" s="64">
        <v>0.83</v>
      </c>
      <c r="Q49" s="64">
        <v>9.52</v>
      </c>
      <c r="R49" s="198"/>
      <c r="S49" s="198"/>
      <c r="T49" s="198"/>
      <c r="U49" s="198"/>
    </row>
    <row r="50" spans="1:21" s="12" customFormat="1" x14ac:dyDescent="0.25">
      <c r="A50" s="247" t="s">
        <v>2973</v>
      </c>
      <c r="B50" s="209" t="s">
        <v>36</v>
      </c>
      <c r="C50" s="209" t="s">
        <v>36</v>
      </c>
      <c r="D50" s="209" t="s">
        <v>36</v>
      </c>
      <c r="E50" s="64">
        <v>16.010000000000002</v>
      </c>
      <c r="F50" s="64">
        <v>11.41</v>
      </c>
      <c r="G50" s="64">
        <v>89.13</v>
      </c>
      <c r="H50" s="64">
        <v>23.07</v>
      </c>
      <c r="I50" s="64">
        <v>4.0999999999999996</v>
      </c>
      <c r="J50" s="64">
        <v>1.04</v>
      </c>
      <c r="K50" s="64">
        <v>42.6</v>
      </c>
      <c r="L50" s="64">
        <v>32.520000000000003</v>
      </c>
      <c r="M50" s="64">
        <v>18.28</v>
      </c>
      <c r="N50" s="64">
        <v>676.2</v>
      </c>
      <c r="O50" s="64">
        <v>0</v>
      </c>
      <c r="P50" s="64">
        <v>0.81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47" t="s">
        <v>2974</v>
      </c>
      <c r="B51" s="209" t="s">
        <v>36</v>
      </c>
      <c r="C51" s="209" t="s">
        <v>36</v>
      </c>
      <c r="D51" s="209" t="s">
        <v>36</v>
      </c>
      <c r="E51" s="64">
        <v>12.53</v>
      </c>
      <c r="F51" s="64">
        <v>10.42</v>
      </c>
      <c r="G51" s="64">
        <v>89.13</v>
      </c>
      <c r="H51" s="64">
        <v>23.07</v>
      </c>
      <c r="I51" s="64">
        <v>3.94</v>
      </c>
      <c r="J51" s="64">
        <v>1.33</v>
      </c>
      <c r="K51" s="64">
        <v>53.95</v>
      </c>
      <c r="L51" s="64">
        <v>31.43</v>
      </c>
      <c r="M51" s="64">
        <v>18.96</v>
      </c>
      <c r="N51" s="64">
        <v>693.7</v>
      </c>
      <c r="O51" s="64">
        <v>0</v>
      </c>
      <c r="P51" s="64">
        <v>0.79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47" t="s">
        <v>2975</v>
      </c>
      <c r="B52" s="209" t="s">
        <v>36</v>
      </c>
      <c r="C52" s="209" t="s">
        <v>36</v>
      </c>
      <c r="D52" s="209" t="s">
        <v>36</v>
      </c>
      <c r="E52" s="64">
        <v>11.21</v>
      </c>
      <c r="F52" s="64">
        <v>14.46</v>
      </c>
      <c r="G52" s="64">
        <v>88.11</v>
      </c>
      <c r="H52" s="64">
        <v>23.4</v>
      </c>
      <c r="I52" s="64">
        <v>3.91</v>
      </c>
      <c r="J52" s="64">
        <v>1.4</v>
      </c>
      <c r="K52" s="64">
        <v>4.99</v>
      </c>
      <c r="L52" s="64">
        <v>33.75</v>
      </c>
      <c r="M52" s="64">
        <v>17.73</v>
      </c>
      <c r="N52" s="64">
        <v>694.9</v>
      </c>
      <c r="O52" s="64">
        <v>0</v>
      </c>
      <c r="P52" s="64">
        <v>0.7</v>
      </c>
      <c r="Q52" s="64">
        <v>9.5500000000000007</v>
      </c>
      <c r="R52" s="198"/>
      <c r="S52" s="198"/>
      <c r="T52" s="198"/>
      <c r="U52" s="198"/>
    </row>
    <row r="53" spans="1:21" s="12" customFormat="1" x14ac:dyDescent="0.25">
      <c r="A53" s="247" t="s">
        <v>2976</v>
      </c>
      <c r="B53" s="209" t="s">
        <v>36</v>
      </c>
      <c r="C53" s="209" t="s">
        <v>36</v>
      </c>
      <c r="D53" s="209" t="s">
        <v>36</v>
      </c>
      <c r="E53" s="64">
        <v>10.79</v>
      </c>
      <c r="F53" s="64">
        <v>13.19</v>
      </c>
      <c r="G53" s="64">
        <v>84.74</v>
      </c>
      <c r="H53" s="64">
        <v>24.5</v>
      </c>
      <c r="I53" s="64">
        <v>3.95</v>
      </c>
      <c r="J53" s="64">
        <v>1.03</v>
      </c>
      <c r="K53" s="64">
        <v>37.47</v>
      </c>
      <c r="L53" s="64">
        <v>32.97</v>
      </c>
      <c r="M53" s="64">
        <v>18.25</v>
      </c>
      <c r="N53" s="64">
        <v>716.7</v>
      </c>
      <c r="O53" s="64">
        <v>0</v>
      </c>
      <c r="P53" s="64">
        <v>0.64</v>
      </c>
      <c r="Q53" s="64">
        <v>9.51</v>
      </c>
      <c r="R53" s="198"/>
      <c r="S53" s="198"/>
      <c r="T53" s="198"/>
      <c r="U53" s="198"/>
    </row>
    <row r="54" spans="1:21" s="12" customFormat="1" x14ac:dyDescent="0.25">
      <c r="A54" s="247" t="s">
        <v>2977</v>
      </c>
      <c r="B54" s="209" t="s">
        <v>36</v>
      </c>
      <c r="C54" s="209" t="s">
        <v>36</v>
      </c>
      <c r="D54" s="209" t="s">
        <v>36</v>
      </c>
      <c r="E54" s="64">
        <v>11.8</v>
      </c>
      <c r="F54" s="64">
        <v>11.76</v>
      </c>
      <c r="G54" s="64">
        <v>84.74</v>
      </c>
      <c r="H54" s="64">
        <v>24.5</v>
      </c>
      <c r="I54" s="64">
        <v>4.09</v>
      </c>
      <c r="J54" s="64">
        <v>1.84</v>
      </c>
      <c r="K54" s="64">
        <v>99.41</v>
      </c>
      <c r="L54" s="64">
        <v>31.78</v>
      </c>
      <c r="M54" s="64">
        <v>19.239999999999998</v>
      </c>
      <c r="N54" s="64">
        <v>739.8</v>
      </c>
      <c r="O54" s="64">
        <v>0</v>
      </c>
      <c r="P54" s="64">
        <v>0.68</v>
      </c>
      <c r="Q54" s="64">
        <v>9.51</v>
      </c>
      <c r="R54" s="198"/>
      <c r="S54" s="198"/>
      <c r="T54" s="198"/>
      <c r="U54" s="198"/>
    </row>
    <row r="55" spans="1:21" s="12" customFormat="1" x14ac:dyDescent="0.25">
      <c r="A55" s="247" t="s">
        <v>2978</v>
      </c>
      <c r="B55" s="209" t="s">
        <v>36</v>
      </c>
      <c r="C55" s="209" t="s">
        <v>36</v>
      </c>
      <c r="D55" s="209" t="s">
        <v>36</v>
      </c>
      <c r="E55" s="64">
        <v>16.760000000000002</v>
      </c>
      <c r="F55" s="64">
        <v>15.76</v>
      </c>
      <c r="G55" s="64">
        <v>84.74</v>
      </c>
      <c r="H55" s="64">
        <v>24.5</v>
      </c>
      <c r="I55" s="64">
        <v>4.05</v>
      </c>
      <c r="J55" s="64">
        <v>1.38</v>
      </c>
      <c r="K55" s="64">
        <v>89.37</v>
      </c>
      <c r="L55" s="64">
        <v>31.92</v>
      </c>
      <c r="M55" s="64">
        <v>18.809999999999999</v>
      </c>
      <c r="N55" s="64">
        <v>749.5</v>
      </c>
      <c r="O55" s="64">
        <v>0</v>
      </c>
      <c r="P55" s="64">
        <v>0.51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47" t="s">
        <v>2979</v>
      </c>
      <c r="B56" s="209" t="s">
        <v>36</v>
      </c>
      <c r="C56" s="209" t="s">
        <v>36</v>
      </c>
      <c r="D56" s="209" t="s">
        <v>36</v>
      </c>
      <c r="E56" s="64">
        <v>16.86</v>
      </c>
      <c r="F56" s="64">
        <v>14.83</v>
      </c>
      <c r="G56" s="64">
        <v>80.849999999999994</v>
      </c>
      <c r="H56" s="64">
        <v>24.19</v>
      </c>
      <c r="I56" s="64">
        <v>3.94</v>
      </c>
      <c r="J56" s="64">
        <v>0.99</v>
      </c>
      <c r="K56" s="64">
        <v>46.26</v>
      </c>
      <c r="L56" s="64">
        <v>33.090000000000003</v>
      </c>
      <c r="M56" s="64">
        <v>17.11</v>
      </c>
      <c r="N56" s="64">
        <v>756.8</v>
      </c>
      <c r="O56" s="64">
        <v>0</v>
      </c>
      <c r="P56" s="64">
        <v>0.54</v>
      </c>
      <c r="Q56" s="64">
        <v>9.4600000000000009</v>
      </c>
      <c r="R56" s="198"/>
      <c r="S56" s="198"/>
      <c r="T56" s="198"/>
      <c r="U56" s="198"/>
    </row>
    <row r="57" spans="1:21" s="12" customFormat="1" x14ac:dyDescent="0.25">
      <c r="A57" s="247" t="s">
        <v>2980</v>
      </c>
      <c r="B57" s="209" t="s">
        <v>36</v>
      </c>
      <c r="C57" s="209" t="s">
        <v>36</v>
      </c>
      <c r="D57" s="209" t="s">
        <v>36</v>
      </c>
      <c r="E57" s="64">
        <v>29.5</v>
      </c>
      <c r="F57" s="64">
        <v>19.149999999999999</v>
      </c>
      <c r="G57" s="64">
        <v>68.03</v>
      </c>
      <c r="H57" s="64">
        <v>23.18</v>
      </c>
      <c r="I57" s="64">
        <v>3.86</v>
      </c>
      <c r="J57" s="64">
        <v>1.6</v>
      </c>
      <c r="K57" s="64">
        <v>0.19</v>
      </c>
      <c r="L57" s="64">
        <v>34.51</v>
      </c>
      <c r="M57" s="64">
        <v>16.87</v>
      </c>
      <c r="N57" s="64">
        <v>766.9</v>
      </c>
      <c r="O57" s="64">
        <v>0</v>
      </c>
      <c r="P57" s="64">
        <v>0.52</v>
      </c>
      <c r="Q57" s="64">
        <v>9.44</v>
      </c>
      <c r="R57" s="198"/>
      <c r="S57" s="198"/>
      <c r="T57" s="198"/>
      <c r="U57" s="198"/>
    </row>
    <row r="58" spans="1:21" s="12" customFormat="1" x14ac:dyDescent="0.25">
      <c r="A58" s="247" t="s">
        <v>2981</v>
      </c>
      <c r="B58" s="209" t="s">
        <v>36</v>
      </c>
      <c r="C58" s="209" t="s">
        <v>36</v>
      </c>
      <c r="D58" s="209" t="s">
        <v>36</v>
      </c>
      <c r="E58" s="64">
        <v>17.600000000000001</v>
      </c>
      <c r="F58" s="64">
        <v>20.76</v>
      </c>
      <c r="G58" s="64">
        <v>68.03</v>
      </c>
      <c r="H58" s="64">
        <v>23.18</v>
      </c>
      <c r="I58" s="64">
        <v>4.04</v>
      </c>
      <c r="J58" s="64">
        <v>0.96</v>
      </c>
      <c r="K58" s="64">
        <v>18.55</v>
      </c>
      <c r="L58" s="64">
        <v>35.25</v>
      </c>
      <c r="M58" s="64">
        <v>16.489999999999998</v>
      </c>
      <c r="N58" s="64">
        <v>776.1</v>
      </c>
      <c r="O58" s="64">
        <v>0</v>
      </c>
      <c r="P58" s="64">
        <v>0.48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47" t="s">
        <v>2982</v>
      </c>
      <c r="B59" s="209" t="s">
        <v>36</v>
      </c>
      <c r="C59" s="209" t="s">
        <v>36</v>
      </c>
      <c r="D59" s="209" t="s">
        <v>36</v>
      </c>
      <c r="E59" s="64">
        <v>17.739999999999998</v>
      </c>
      <c r="F59" s="64">
        <v>23.27</v>
      </c>
      <c r="G59" s="64">
        <v>68.03</v>
      </c>
      <c r="H59" s="64">
        <v>23.18</v>
      </c>
      <c r="I59" s="64">
        <v>4.1399999999999997</v>
      </c>
      <c r="J59" s="64">
        <v>1.51</v>
      </c>
      <c r="K59" s="64">
        <v>354.1</v>
      </c>
      <c r="L59" s="64">
        <v>36.020000000000003</v>
      </c>
      <c r="M59" s="64">
        <v>15.73</v>
      </c>
      <c r="N59" s="64">
        <v>782.7</v>
      </c>
      <c r="O59" s="64">
        <v>0</v>
      </c>
      <c r="P59" s="64">
        <v>0.51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47" t="s">
        <v>2983</v>
      </c>
      <c r="B60" s="209" t="s">
        <v>36</v>
      </c>
      <c r="C60" s="209" t="s">
        <v>36</v>
      </c>
      <c r="D60" s="209" t="s">
        <v>36</v>
      </c>
      <c r="E60" s="64">
        <v>6.55</v>
      </c>
      <c r="F60" s="64">
        <v>10.3</v>
      </c>
      <c r="G60" s="64">
        <v>0</v>
      </c>
      <c r="H60" s="64">
        <v>23.18</v>
      </c>
      <c r="I60" s="64">
        <v>4.0199999999999996</v>
      </c>
      <c r="J60" s="64">
        <v>1.59</v>
      </c>
      <c r="K60" s="64">
        <v>324.94</v>
      </c>
      <c r="L60" s="64">
        <v>14.74</v>
      </c>
      <c r="M60" s="64">
        <v>16.2</v>
      </c>
      <c r="N60" s="64">
        <v>783.3</v>
      </c>
      <c r="O60" s="64">
        <v>0</v>
      </c>
      <c r="P60" s="64">
        <v>0.59</v>
      </c>
      <c r="Q60" s="64">
        <v>0</v>
      </c>
      <c r="R60" s="198"/>
      <c r="S60" s="198"/>
      <c r="T60" s="198"/>
      <c r="U60" s="198"/>
    </row>
    <row r="61" spans="1:21" s="12" customFormat="1" x14ac:dyDescent="0.25">
      <c r="A61" s="247" t="s">
        <v>2984</v>
      </c>
      <c r="B61" s="209" t="s">
        <v>36</v>
      </c>
      <c r="C61" s="209" t="s">
        <v>36</v>
      </c>
      <c r="D61" s="209" t="s">
        <v>36</v>
      </c>
      <c r="E61" s="64">
        <v>17.97</v>
      </c>
      <c r="F61" s="64">
        <v>21.8</v>
      </c>
      <c r="G61" s="64">
        <v>78.63</v>
      </c>
      <c r="H61" s="64">
        <v>14.83</v>
      </c>
      <c r="I61" s="64">
        <v>4.03</v>
      </c>
      <c r="J61" s="64">
        <v>1.72</v>
      </c>
      <c r="K61" s="64">
        <v>345.06</v>
      </c>
      <c r="L61" s="64">
        <v>36.67</v>
      </c>
      <c r="M61" s="64">
        <v>16.61</v>
      </c>
      <c r="N61" s="64">
        <v>771.9</v>
      </c>
      <c r="O61" s="64">
        <v>0</v>
      </c>
      <c r="P61" s="64">
        <v>0.6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47" t="s">
        <v>2985</v>
      </c>
      <c r="B62" s="209" t="s">
        <v>36</v>
      </c>
      <c r="C62" s="209" t="s">
        <v>36</v>
      </c>
      <c r="D62" s="209" t="s">
        <v>36</v>
      </c>
      <c r="E62" s="64">
        <v>10.56</v>
      </c>
      <c r="F62" s="64">
        <v>29.85</v>
      </c>
      <c r="G62" s="64">
        <v>78.63</v>
      </c>
      <c r="H62" s="64">
        <v>14.83</v>
      </c>
      <c r="I62" s="64">
        <v>3.88</v>
      </c>
      <c r="J62" s="64">
        <v>1.39</v>
      </c>
      <c r="K62" s="64">
        <v>102.92</v>
      </c>
      <c r="L62" s="64">
        <v>34.17</v>
      </c>
      <c r="M62" s="64">
        <v>17.78</v>
      </c>
      <c r="N62" s="64">
        <v>759.9</v>
      </c>
      <c r="O62" s="64">
        <v>0</v>
      </c>
      <c r="P62" s="64">
        <v>0.55000000000000004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47" t="s">
        <v>2986</v>
      </c>
      <c r="B63" s="209" t="s">
        <v>36</v>
      </c>
      <c r="C63" s="209" t="s">
        <v>36</v>
      </c>
      <c r="D63" s="209" t="s">
        <v>36</v>
      </c>
      <c r="E63" s="64">
        <v>6.33</v>
      </c>
      <c r="F63" s="64">
        <v>31.69</v>
      </c>
      <c r="G63" s="64">
        <v>78.63</v>
      </c>
      <c r="H63" s="64">
        <v>14.83</v>
      </c>
      <c r="I63" s="64">
        <v>3.92</v>
      </c>
      <c r="J63" s="64">
        <v>1.1200000000000001</v>
      </c>
      <c r="K63" s="64">
        <v>106.07</v>
      </c>
      <c r="L63" s="64">
        <v>33.49</v>
      </c>
      <c r="M63" s="64">
        <v>17.03</v>
      </c>
      <c r="N63" s="64">
        <v>715.6</v>
      </c>
      <c r="O63" s="64">
        <v>0</v>
      </c>
      <c r="P63" s="64">
        <v>0.53</v>
      </c>
      <c r="Q63" s="64">
        <v>9.48</v>
      </c>
      <c r="R63" s="198"/>
      <c r="S63" s="198"/>
      <c r="T63" s="198"/>
      <c r="U63" s="198"/>
    </row>
    <row r="64" spans="1:21" s="12" customFormat="1" x14ac:dyDescent="0.25">
      <c r="A64" s="247" t="s">
        <v>2987</v>
      </c>
      <c r="B64" s="209" t="s">
        <v>36</v>
      </c>
      <c r="C64" s="209" t="s">
        <v>36</v>
      </c>
      <c r="D64" s="209" t="s">
        <v>36</v>
      </c>
      <c r="E64" s="64">
        <v>17.95</v>
      </c>
      <c r="F64" s="64">
        <v>34.07</v>
      </c>
      <c r="G64" s="64">
        <v>77.58</v>
      </c>
      <c r="H64" s="64">
        <v>13.62</v>
      </c>
      <c r="I64" s="64">
        <v>3.94</v>
      </c>
      <c r="J64" s="64">
        <v>1.05</v>
      </c>
      <c r="K64" s="64">
        <v>93.95</v>
      </c>
      <c r="L64" s="64">
        <v>33.729999999999997</v>
      </c>
      <c r="M64" s="64">
        <v>16.84</v>
      </c>
      <c r="N64" s="64">
        <v>688.8</v>
      </c>
      <c r="O64" s="64">
        <v>0</v>
      </c>
      <c r="P64" s="64">
        <v>0.46</v>
      </c>
      <c r="Q64" s="64">
        <v>9.4499999999999993</v>
      </c>
      <c r="R64" s="198"/>
      <c r="S64" s="198"/>
      <c r="T64" s="198"/>
      <c r="U64" s="198"/>
    </row>
    <row r="65" spans="1:21" s="12" customFormat="1" x14ac:dyDescent="0.25">
      <c r="A65" s="247" t="s">
        <v>2988</v>
      </c>
      <c r="B65" s="209" t="s">
        <v>36</v>
      </c>
      <c r="C65" s="209" t="s">
        <v>36</v>
      </c>
      <c r="D65" s="209" t="s">
        <v>36</v>
      </c>
      <c r="E65" s="64">
        <v>13.13</v>
      </c>
      <c r="F65" s="64">
        <v>35.24</v>
      </c>
      <c r="G65" s="64">
        <v>74.13</v>
      </c>
      <c r="H65" s="64">
        <v>9.64</v>
      </c>
      <c r="I65" s="64">
        <v>4</v>
      </c>
      <c r="J65" s="64">
        <v>0.65</v>
      </c>
      <c r="K65" s="64">
        <v>33</v>
      </c>
      <c r="L65" s="64">
        <v>34.5</v>
      </c>
      <c r="M65" s="64">
        <v>17.559999999999999</v>
      </c>
      <c r="N65" s="64">
        <v>442.7</v>
      </c>
      <c r="O65" s="64">
        <v>0</v>
      </c>
      <c r="P65" s="64">
        <v>0.55000000000000004</v>
      </c>
      <c r="Q65" s="64">
        <v>9.41</v>
      </c>
      <c r="R65" s="198"/>
      <c r="S65" s="198"/>
      <c r="T65" s="198"/>
      <c r="U65" s="198"/>
    </row>
    <row r="66" spans="1:21" s="12" customFormat="1" x14ac:dyDescent="0.25">
      <c r="A66" s="247" t="s">
        <v>2989</v>
      </c>
      <c r="B66" s="209" t="s">
        <v>36</v>
      </c>
      <c r="C66" s="209" t="s">
        <v>36</v>
      </c>
      <c r="D66" s="209" t="s">
        <v>36</v>
      </c>
      <c r="E66" s="64">
        <v>16.260000000000002</v>
      </c>
      <c r="F66" s="64">
        <v>40.159999999999997</v>
      </c>
      <c r="G66" s="64">
        <v>74.13</v>
      </c>
      <c r="H66" s="64">
        <v>9.64</v>
      </c>
      <c r="I66" s="64">
        <v>4.0599999999999996</v>
      </c>
      <c r="J66" s="64">
        <v>0.04</v>
      </c>
      <c r="K66" s="64">
        <v>51.44</v>
      </c>
      <c r="L66" s="64">
        <v>35.049999999999997</v>
      </c>
      <c r="M66" s="64">
        <v>16.899999999999999</v>
      </c>
      <c r="N66" s="64">
        <v>475.1</v>
      </c>
      <c r="O66" s="64">
        <v>0</v>
      </c>
      <c r="P66" s="64">
        <v>0.47</v>
      </c>
      <c r="Q66" s="64">
        <v>9.3699999999999992</v>
      </c>
      <c r="R66" s="198"/>
      <c r="S66" s="198"/>
      <c r="T66" s="198"/>
      <c r="U66" s="198"/>
    </row>
    <row r="67" spans="1:21" s="12" customFormat="1" x14ac:dyDescent="0.25">
      <c r="A67" s="247" t="s">
        <v>2990</v>
      </c>
      <c r="B67" s="209" t="s">
        <v>36</v>
      </c>
      <c r="C67" s="209" t="s">
        <v>36</v>
      </c>
      <c r="D67" s="209" t="s">
        <v>36</v>
      </c>
      <c r="E67" s="64">
        <v>17.3</v>
      </c>
      <c r="F67" s="64">
        <v>35.07</v>
      </c>
      <c r="G67" s="64">
        <v>74.13</v>
      </c>
      <c r="H67" s="64">
        <v>9.64</v>
      </c>
      <c r="I67" s="64">
        <v>4.0599999999999996</v>
      </c>
      <c r="J67" s="64">
        <v>0.6</v>
      </c>
      <c r="K67" s="64">
        <v>172.41</v>
      </c>
      <c r="L67" s="64">
        <v>33.869999999999997</v>
      </c>
      <c r="M67" s="64">
        <v>17.96</v>
      </c>
      <c r="N67" s="64">
        <v>411.8</v>
      </c>
      <c r="O67" s="64">
        <v>0</v>
      </c>
      <c r="P67" s="64">
        <v>0.44</v>
      </c>
      <c r="Q67" s="64">
        <v>9.35</v>
      </c>
      <c r="R67" s="198"/>
      <c r="S67" s="198"/>
      <c r="T67" s="198"/>
      <c r="U67" s="198"/>
    </row>
    <row r="68" spans="1:21" s="12" customFormat="1" x14ac:dyDescent="0.25">
      <c r="A68" s="247" t="s">
        <v>2991</v>
      </c>
      <c r="B68" s="209" t="s">
        <v>36</v>
      </c>
      <c r="C68" s="209" t="s">
        <v>36</v>
      </c>
      <c r="D68" s="209" t="s">
        <v>36</v>
      </c>
      <c r="E68" s="64">
        <v>9.1300000000000008</v>
      </c>
      <c r="F68" s="64">
        <v>21.23</v>
      </c>
      <c r="G68" s="64">
        <v>71.86</v>
      </c>
      <c r="H68" s="64">
        <v>12.14</v>
      </c>
      <c r="I68" s="64">
        <v>3.97</v>
      </c>
      <c r="J68" s="64">
        <v>1.57</v>
      </c>
      <c r="K68" s="64">
        <v>166.85</v>
      </c>
      <c r="L68" s="64">
        <v>33.01</v>
      </c>
      <c r="M68" s="64">
        <v>18.07</v>
      </c>
      <c r="N68" s="64">
        <v>299.10000000000002</v>
      </c>
      <c r="O68" s="64">
        <v>0</v>
      </c>
      <c r="P68" s="64">
        <v>0.52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47" t="s">
        <v>2992</v>
      </c>
      <c r="B69" s="209" t="s">
        <v>36</v>
      </c>
      <c r="C69" s="209" t="s">
        <v>36</v>
      </c>
      <c r="D69" s="209" t="s">
        <v>36</v>
      </c>
      <c r="E69" s="64">
        <v>10.7</v>
      </c>
      <c r="F69" s="64">
        <v>34.26</v>
      </c>
      <c r="G69" s="64">
        <v>64.41</v>
      </c>
      <c r="H69" s="64">
        <v>20.329999999999998</v>
      </c>
      <c r="I69" s="64">
        <v>3.94</v>
      </c>
      <c r="J69" s="64">
        <v>0.65</v>
      </c>
      <c r="K69" s="64">
        <v>222.15</v>
      </c>
      <c r="L69" s="64">
        <v>32.94</v>
      </c>
      <c r="M69" s="64">
        <v>17.46</v>
      </c>
      <c r="N69" s="64">
        <v>332.8</v>
      </c>
      <c r="O69" s="64">
        <v>0</v>
      </c>
      <c r="P69" s="64">
        <v>0.46</v>
      </c>
      <c r="Q69" s="64">
        <v>9.3000000000000007</v>
      </c>
      <c r="R69" s="198"/>
      <c r="S69" s="198"/>
      <c r="T69" s="198"/>
      <c r="U69" s="198"/>
    </row>
    <row r="70" spans="1:21" s="12" customFormat="1" x14ac:dyDescent="0.25">
      <c r="A70" s="247" t="s">
        <v>2993</v>
      </c>
      <c r="B70" s="209" t="s">
        <v>36</v>
      </c>
      <c r="C70" s="209" t="s">
        <v>36</v>
      </c>
      <c r="D70" s="209" t="s">
        <v>36</v>
      </c>
      <c r="E70" s="64">
        <v>16.510000000000002</v>
      </c>
      <c r="F70" s="64">
        <v>41.7</v>
      </c>
      <c r="G70" s="64">
        <v>64.41</v>
      </c>
      <c r="H70" s="64">
        <v>20.329999999999998</v>
      </c>
      <c r="I70" s="64">
        <v>3.9</v>
      </c>
      <c r="J70" s="64">
        <v>0.65</v>
      </c>
      <c r="K70" s="64">
        <v>131.12</v>
      </c>
      <c r="L70" s="64">
        <v>33.39</v>
      </c>
      <c r="M70" s="64">
        <v>16.899999999999999</v>
      </c>
      <c r="N70" s="64">
        <v>240.3</v>
      </c>
      <c r="O70" s="64">
        <v>0</v>
      </c>
      <c r="P70" s="64">
        <v>0.44</v>
      </c>
      <c r="Q70" s="64">
        <v>9.27</v>
      </c>
      <c r="R70" s="198"/>
      <c r="S70" s="198"/>
      <c r="T70" s="198"/>
      <c r="U70" s="198"/>
    </row>
    <row r="71" spans="1:21" s="12" customFormat="1" x14ac:dyDescent="0.25">
      <c r="A71" s="247" t="s">
        <v>2994</v>
      </c>
      <c r="B71" s="209" t="s">
        <v>36</v>
      </c>
      <c r="C71" s="209" t="s">
        <v>36</v>
      </c>
      <c r="D71" s="209" t="s">
        <v>36</v>
      </c>
      <c r="E71" s="64">
        <v>16.98</v>
      </c>
      <c r="F71" s="64">
        <v>34.47</v>
      </c>
      <c r="G71" s="64">
        <v>64.41</v>
      </c>
      <c r="H71" s="64">
        <v>20.329999999999998</v>
      </c>
      <c r="I71" s="64">
        <v>4.13</v>
      </c>
      <c r="J71" s="64">
        <v>0.97</v>
      </c>
      <c r="K71" s="64">
        <v>322.52</v>
      </c>
      <c r="L71" s="64">
        <v>33.659999999999997</v>
      </c>
      <c r="M71" s="64">
        <v>17.850000000000001</v>
      </c>
      <c r="N71" s="64">
        <v>233.4</v>
      </c>
      <c r="O71" s="64">
        <v>0</v>
      </c>
      <c r="P71" s="64">
        <v>0.56000000000000005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47" t="s">
        <v>2995</v>
      </c>
      <c r="B72" s="209" t="s">
        <v>36</v>
      </c>
      <c r="C72" s="209" t="s">
        <v>36</v>
      </c>
      <c r="D72" s="209" t="s">
        <v>36</v>
      </c>
      <c r="E72" s="64">
        <v>23.41</v>
      </c>
      <c r="F72" s="64">
        <v>49.41</v>
      </c>
      <c r="G72" s="64">
        <v>66.38</v>
      </c>
      <c r="H72" s="64">
        <v>20.73</v>
      </c>
      <c r="I72" s="64">
        <v>4.09</v>
      </c>
      <c r="J72" s="64">
        <v>0.92</v>
      </c>
      <c r="K72" s="64">
        <v>351.22</v>
      </c>
      <c r="L72" s="64">
        <v>34.32</v>
      </c>
      <c r="M72" s="64">
        <v>17.170000000000002</v>
      </c>
      <c r="N72" s="64">
        <v>197.8</v>
      </c>
      <c r="O72" s="64">
        <v>0</v>
      </c>
      <c r="P72" s="64">
        <v>0.59</v>
      </c>
      <c r="Q72" s="64">
        <v>9.24</v>
      </c>
      <c r="R72" s="198"/>
      <c r="S72" s="198"/>
      <c r="T72" s="198"/>
      <c r="U72" s="198"/>
    </row>
    <row r="73" spans="1:21" s="12" customFormat="1" x14ac:dyDescent="0.25">
      <c r="A73" s="247" t="s">
        <v>2996</v>
      </c>
      <c r="B73" s="209" t="s">
        <v>36</v>
      </c>
      <c r="C73" s="209" t="s">
        <v>36</v>
      </c>
      <c r="D73" s="209" t="s">
        <v>36</v>
      </c>
      <c r="E73" s="64">
        <v>35.409999999999997</v>
      </c>
      <c r="F73" s="64">
        <v>47.71</v>
      </c>
      <c r="G73" s="64">
        <v>72.84</v>
      </c>
      <c r="H73" s="64">
        <v>22.03</v>
      </c>
      <c r="I73" s="64">
        <v>3.87</v>
      </c>
      <c r="J73" s="64">
        <v>0.28999999999999998</v>
      </c>
      <c r="K73" s="64">
        <v>338.78</v>
      </c>
      <c r="L73" s="64">
        <v>34.31</v>
      </c>
      <c r="M73" s="64">
        <v>16.29</v>
      </c>
      <c r="N73" s="64">
        <v>164.4</v>
      </c>
      <c r="O73" s="64">
        <v>0</v>
      </c>
      <c r="P73" s="64">
        <v>0.51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47" t="s">
        <v>2997</v>
      </c>
      <c r="B74" s="209" t="s">
        <v>36</v>
      </c>
      <c r="C74" s="209" t="s">
        <v>36</v>
      </c>
      <c r="D74" s="209" t="s">
        <v>36</v>
      </c>
      <c r="E74" s="64">
        <v>37.520000000000003</v>
      </c>
      <c r="F74" s="64">
        <v>44.96</v>
      </c>
      <c r="G74" s="64">
        <v>72.84</v>
      </c>
      <c r="H74" s="64">
        <v>22.03</v>
      </c>
      <c r="I74" s="64">
        <v>3.93</v>
      </c>
      <c r="J74" s="64">
        <v>0.75</v>
      </c>
      <c r="K74" s="64">
        <v>82.66</v>
      </c>
      <c r="L74" s="64">
        <v>33.1</v>
      </c>
      <c r="M74" s="64">
        <v>17.18</v>
      </c>
      <c r="N74" s="64">
        <v>151.6</v>
      </c>
      <c r="O74" s="64">
        <v>0</v>
      </c>
      <c r="P74" s="64">
        <v>0.47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47" t="s">
        <v>2998</v>
      </c>
      <c r="B75" s="209" t="s">
        <v>36</v>
      </c>
      <c r="C75" s="209" t="s">
        <v>36</v>
      </c>
      <c r="D75" s="209" t="s">
        <v>36</v>
      </c>
      <c r="E75" s="64">
        <v>46.05</v>
      </c>
      <c r="F75" s="64">
        <v>39.26</v>
      </c>
      <c r="G75" s="64">
        <v>72.84</v>
      </c>
      <c r="H75" s="64">
        <v>22.03</v>
      </c>
      <c r="I75" s="64">
        <v>3.93</v>
      </c>
      <c r="J75" s="64">
        <v>0.53</v>
      </c>
      <c r="K75" s="64">
        <v>1.55</v>
      </c>
      <c r="L75" s="64">
        <v>32.880000000000003</v>
      </c>
      <c r="M75" s="64">
        <v>17.66</v>
      </c>
      <c r="N75" s="64">
        <v>134.5</v>
      </c>
      <c r="O75" s="64">
        <v>0</v>
      </c>
      <c r="P75" s="64">
        <v>0.7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47" t="s">
        <v>2999</v>
      </c>
      <c r="B76" s="209" t="s">
        <v>36</v>
      </c>
      <c r="C76" s="209" t="s">
        <v>36</v>
      </c>
      <c r="D76" s="209" t="s">
        <v>36</v>
      </c>
      <c r="E76" s="64">
        <v>52.4</v>
      </c>
      <c r="F76" s="64">
        <v>36.729999999999997</v>
      </c>
      <c r="G76" s="64">
        <v>72.91</v>
      </c>
      <c r="H76" s="64">
        <v>22.33</v>
      </c>
      <c r="I76" s="64">
        <v>3.95</v>
      </c>
      <c r="J76" s="64">
        <v>1.03</v>
      </c>
      <c r="K76" s="64">
        <v>358.28</v>
      </c>
      <c r="L76" s="64">
        <v>32.93</v>
      </c>
      <c r="M76" s="64">
        <v>18.170000000000002</v>
      </c>
      <c r="N76" s="64">
        <v>120.1</v>
      </c>
      <c r="O76" s="64">
        <v>0</v>
      </c>
      <c r="P76" s="64">
        <v>0.95</v>
      </c>
      <c r="Q76" s="64">
        <v>9.2100000000000009</v>
      </c>
      <c r="R76" s="198"/>
      <c r="S76" s="198"/>
      <c r="T76" s="198"/>
      <c r="U76" s="198"/>
    </row>
    <row r="77" spans="1:21" s="12" customFormat="1" x14ac:dyDescent="0.25">
      <c r="A77" s="247" t="s">
        <v>3000</v>
      </c>
      <c r="B77" s="209" t="s">
        <v>36</v>
      </c>
      <c r="C77" s="209" t="s">
        <v>36</v>
      </c>
      <c r="D77" s="209" t="s">
        <v>36</v>
      </c>
      <c r="E77" s="64">
        <v>57.89</v>
      </c>
      <c r="F77" s="64">
        <v>32.31</v>
      </c>
      <c r="G77" s="64">
        <v>73.11</v>
      </c>
      <c r="H77" s="64">
        <v>23.32</v>
      </c>
      <c r="I77" s="64">
        <v>3.98</v>
      </c>
      <c r="J77" s="64">
        <v>0.94</v>
      </c>
      <c r="K77" s="64">
        <v>346.83</v>
      </c>
      <c r="L77" s="64">
        <v>32.520000000000003</v>
      </c>
      <c r="M77" s="64">
        <v>20.22</v>
      </c>
      <c r="N77" s="64">
        <v>105.9</v>
      </c>
      <c r="O77" s="64">
        <v>0</v>
      </c>
      <c r="P77" s="64">
        <v>1.21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47" t="s">
        <v>3001</v>
      </c>
      <c r="B78" s="209" t="s">
        <v>36</v>
      </c>
      <c r="C78" s="209" t="s">
        <v>36</v>
      </c>
      <c r="D78" s="209" t="s">
        <v>36</v>
      </c>
      <c r="E78" s="64">
        <v>57.45</v>
      </c>
      <c r="F78" s="64">
        <v>31.81</v>
      </c>
      <c r="G78" s="64">
        <v>73.11</v>
      </c>
      <c r="H78" s="64">
        <v>23.32</v>
      </c>
      <c r="I78" s="64">
        <v>3.91</v>
      </c>
      <c r="J78" s="64">
        <v>0.33</v>
      </c>
      <c r="K78" s="64">
        <v>48.05</v>
      </c>
      <c r="L78" s="64">
        <v>32.020000000000003</v>
      </c>
      <c r="M78" s="64">
        <v>19.510000000000002</v>
      </c>
      <c r="N78" s="64">
        <v>91.5</v>
      </c>
      <c r="O78" s="64">
        <v>0</v>
      </c>
      <c r="P78" s="64">
        <v>1.0900000000000001</v>
      </c>
      <c r="Q78" s="64">
        <v>9.2899999999999991</v>
      </c>
      <c r="R78" s="198"/>
      <c r="S78" s="198"/>
      <c r="T78" s="198"/>
      <c r="U78" s="198"/>
    </row>
    <row r="79" spans="1:21" s="12" customFormat="1" x14ac:dyDescent="0.25">
      <c r="A79" s="247" t="s">
        <v>3002</v>
      </c>
      <c r="B79" s="209" t="s">
        <v>36</v>
      </c>
      <c r="C79" s="209" t="s">
        <v>36</v>
      </c>
      <c r="D79" s="209" t="s">
        <v>36</v>
      </c>
      <c r="E79" s="64">
        <v>42.86</v>
      </c>
      <c r="F79" s="64">
        <v>36.06</v>
      </c>
      <c r="G79" s="64">
        <v>73.11</v>
      </c>
      <c r="H79" s="64">
        <v>23.32</v>
      </c>
      <c r="I79" s="64">
        <v>4.12</v>
      </c>
      <c r="J79" s="64">
        <v>0.68</v>
      </c>
      <c r="K79" s="64">
        <v>175.49</v>
      </c>
      <c r="L79" s="64">
        <v>31.45</v>
      </c>
      <c r="M79" s="64">
        <v>20.61</v>
      </c>
      <c r="N79" s="64">
        <v>79.3</v>
      </c>
      <c r="O79" s="64">
        <v>0</v>
      </c>
      <c r="P79" s="64">
        <v>0.71</v>
      </c>
      <c r="Q79" s="64">
        <v>9.31</v>
      </c>
      <c r="R79" s="198"/>
      <c r="S79" s="198"/>
      <c r="T79" s="198"/>
      <c r="U79" s="198"/>
    </row>
    <row r="80" spans="1:21" s="12" customFormat="1" x14ac:dyDescent="0.25">
      <c r="A80" s="247" t="s">
        <v>3003</v>
      </c>
      <c r="B80" s="209" t="s">
        <v>36</v>
      </c>
      <c r="C80" s="209" t="s">
        <v>36</v>
      </c>
      <c r="D80" s="209" t="s">
        <v>36</v>
      </c>
      <c r="E80" s="64">
        <v>27.5</v>
      </c>
      <c r="F80" s="64">
        <v>30.34</v>
      </c>
      <c r="G80" s="64">
        <v>77.91</v>
      </c>
      <c r="H80" s="64">
        <v>23.71</v>
      </c>
      <c r="I80" s="64">
        <v>4.04</v>
      </c>
      <c r="J80" s="64">
        <v>0.63</v>
      </c>
      <c r="K80" s="64">
        <v>220.63</v>
      </c>
      <c r="L80" s="64">
        <v>30.79</v>
      </c>
      <c r="M80" s="64">
        <v>23.45</v>
      </c>
      <c r="N80" s="64">
        <v>68.3</v>
      </c>
      <c r="O80" s="64">
        <v>0</v>
      </c>
      <c r="P80" s="64">
        <v>1.1100000000000001</v>
      </c>
      <c r="Q80" s="64">
        <v>9.32</v>
      </c>
      <c r="R80" s="198"/>
      <c r="S80" s="198"/>
      <c r="T80" s="198"/>
      <c r="U80" s="198"/>
    </row>
    <row r="81" spans="1:26" s="12" customFormat="1" x14ac:dyDescent="0.25">
      <c r="A81" s="247" t="s">
        <v>3004</v>
      </c>
      <c r="B81" s="209" t="s">
        <v>36</v>
      </c>
      <c r="C81" s="209" t="s">
        <v>36</v>
      </c>
      <c r="D81" s="209" t="s">
        <v>36</v>
      </c>
      <c r="E81" s="64">
        <v>27.55</v>
      </c>
      <c r="F81" s="64">
        <v>8.51</v>
      </c>
      <c r="G81" s="64">
        <v>93.68</v>
      </c>
      <c r="H81" s="64">
        <v>24.98</v>
      </c>
      <c r="I81" s="64">
        <v>3.96</v>
      </c>
      <c r="J81" s="64">
        <v>0.34</v>
      </c>
      <c r="K81" s="64">
        <v>48.57</v>
      </c>
      <c r="L81" s="64">
        <v>29.78</v>
      </c>
      <c r="M81" s="64">
        <v>26.87</v>
      </c>
      <c r="N81" s="64">
        <v>60.4</v>
      </c>
      <c r="O81" s="64">
        <v>0</v>
      </c>
      <c r="P81" s="64">
        <v>2.1800000000000002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47" t="s">
        <v>3005</v>
      </c>
      <c r="B82" s="209" t="s">
        <v>36</v>
      </c>
      <c r="C82" s="209" t="s">
        <v>36</v>
      </c>
      <c r="D82" s="209" t="s">
        <v>36</v>
      </c>
      <c r="E82" s="64">
        <v>26.64</v>
      </c>
      <c r="F82" s="64">
        <v>9.08</v>
      </c>
      <c r="G82" s="64">
        <v>93.68</v>
      </c>
      <c r="H82" s="64">
        <v>24.98</v>
      </c>
      <c r="I82" s="64">
        <v>4.09</v>
      </c>
      <c r="J82" s="64">
        <v>0.27</v>
      </c>
      <c r="K82" s="64">
        <v>67.95</v>
      </c>
      <c r="L82" s="64">
        <v>28.69</v>
      </c>
      <c r="M82" s="64">
        <v>30.93</v>
      </c>
      <c r="N82" s="64">
        <v>57.7</v>
      </c>
      <c r="O82" s="64">
        <v>0</v>
      </c>
      <c r="P82" s="64">
        <v>2.08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47" t="s">
        <v>3006</v>
      </c>
      <c r="B83" s="209" t="s">
        <v>36</v>
      </c>
      <c r="C83" s="209" t="s">
        <v>36</v>
      </c>
      <c r="D83" s="209" t="s">
        <v>36</v>
      </c>
      <c r="E83" s="64">
        <v>26.15</v>
      </c>
      <c r="F83" s="64">
        <v>9.3000000000000007</v>
      </c>
      <c r="G83" s="64">
        <v>93.68</v>
      </c>
      <c r="H83" s="64">
        <v>24.98</v>
      </c>
      <c r="I83" s="64">
        <v>3.98</v>
      </c>
      <c r="J83" s="64">
        <v>0.71</v>
      </c>
      <c r="K83" s="64">
        <v>357.43</v>
      </c>
      <c r="L83" s="64">
        <v>27.87</v>
      </c>
      <c r="M83" s="64">
        <v>34.57</v>
      </c>
      <c r="N83" s="64">
        <v>57.2</v>
      </c>
      <c r="O83" s="64">
        <v>0</v>
      </c>
      <c r="P83" s="64">
        <v>3.12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47" t="s">
        <v>3007</v>
      </c>
      <c r="B84" s="209" t="s">
        <v>36</v>
      </c>
      <c r="C84" s="209" t="s">
        <v>36</v>
      </c>
      <c r="D84" s="209" t="s">
        <v>36</v>
      </c>
      <c r="E84" s="64">
        <v>25.44</v>
      </c>
      <c r="F84" s="64">
        <v>9.76</v>
      </c>
      <c r="G84" s="64">
        <v>115.44</v>
      </c>
      <c r="H84" s="64">
        <v>25.78</v>
      </c>
      <c r="I84" s="64">
        <v>3.94</v>
      </c>
      <c r="J84" s="64">
        <v>0.56000000000000005</v>
      </c>
      <c r="K84" s="64">
        <v>350.1</v>
      </c>
      <c r="L84" s="64">
        <v>27.18</v>
      </c>
      <c r="M84" s="64">
        <v>35.96</v>
      </c>
      <c r="N84" s="64">
        <v>56.9</v>
      </c>
      <c r="O84" s="64">
        <v>0</v>
      </c>
      <c r="P84" s="64">
        <v>3.5</v>
      </c>
      <c r="Q84" s="64">
        <v>9.48</v>
      </c>
      <c r="R84" s="198"/>
      <c r="S84" s="198"/>
      <c r="T84" s="198"/>
      <c r="U84" s="198"/>
    </row>
    <row r="85" spans="1:26" s="12" customFormat="1" x14ac:dyDescent="0.25">
      <c r="A85" s="247" t="s">
        <v>3008</v>
      </c>
      <c r="B85" s="209" t="s">
        <v>36</v>
      </c>
      <c r="C85" s="209" t="s">
        <v>36</v>
      </c>
      <c r="D85" s="209" t="s">
        <v>36</v>
      </c>
      <c r="E85" s="64">
        <v>24.58</v>
      </c>
      <c r="F85" s="64">
        <v>9.91</v>
      </c>
      <c r="G85" s="64">
        <v>186.93</v>
      </c>
      <c r="H85" s="64">
        <v>28.39</v>
      </c>
      <c r="I85" s="64">
        <v>3.92</v>
      </c>
      <c r="J85" s="64">
        <v>0.39</v>
      </c>
      <c r="K85" s="64">
        <v>348.18</v>
      </c>
      <c r="L85" s="64">
        <v>26.79</v>
      </c>
      <c r="M85" s="64">
        <v>37.159999999999997</v>
      </c>
      <c r="N85" s="64">
        <v>56.7</v>
      </c>
      <c r="O85" s="64">
        <v>0</v>
      </c>
      <c r="P85" s="64">
        <v>3.68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47" t="s">
        <v>3009</v>
      </c>
      <c r="B86" s="209" t="s">
        <v>36</v>
      </c>
      <c r="C86" s="209" t="s">
        <v>36</v>
      </c>
      <c r="D86" s="209" t="s">
        <v>36</v>
      </c>
      <c r="E86" s="64">
        <v>23.59</v>
      </c>
      <c r="F86" s="64">
        <v>9.02</v>
      </c>
      <c r="G86" s="64">
        <v>186.93</v>
      </c>
      <c r="H86" s="64">
        <v>28.39</v>
      </c>
      <c r="I86" s="64">
        <v>3.87</v>
      </c>
      <c r="J86" s="64">
        <v>0.24</v>
      </c>
      <c r="K86" s="64">
        <v>46.35</v>
      </c>
      <c r="L86" s="64">
        <v>26.51</v>
      </c>
      <c r="M86" s="64">
        <v>36.35</v>
      </c>
      <c r="N86" s="64">
        <v>56.7</v>
      </c>
      <c r="O86" s="64">
        <v>0</v>
      </c>
      <c r="P86" s="64">
        <v>3.23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47" t="s">
        <v>3010</v>
      </c>
      <c r="B87" s="209" t="s">
        <v>36</v>
      </c>
      <c r="C87" s="209" t="s">
        <v>36</v>
      </c>
      <c r="D87" s="209" t="s">
        <v>36</v>
      </c>
      <c r="E87" s="64">
        <v>23.94</v>
      </c>
      <c r="F87" s="64">
        <v>9.59</v>
      </c>
      <c r="G87" s="64">
        <v>186.93</v>
      </c>
      <c r="H87" s="64">
        <v>28.39</v>
      </c>
      <c r="I87" s="64">
        <v>3.9</v>
      </c>
      <c r="J87" s="64">
        <v>0.22</v>
      </c>
      <c r="K87" s="64">
        <v>88.81</v>
      </c>
      <c r="L87" s="64">
        <v>26.33</v>
      </c>
      <c r="M87" s="64">
        <v>35.299999999999997</v>
      </c>
      <c r="N87" s="64">
        <v>56.6</v>
      </c>
      <c r="O87" s="64">
        <v>0</v>
      </c>
      <c r="P87" s="64">
        <v>3.57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47" t="s">
        <v>3011</v>
      </c>
      <c r="B88" s="209" t="s">
        <v>36</v>
      </c>
      <c r="C88" s="209" t="s">
        <v>36</v>
      </c>
      <c r="D88" s="209" t="s">
        <v>36</v>
      </c>
      <c r="E88" s="64">
        <v>22.72</v>
      </c>
      <c r="F88" s="64">
        <v>9.08</v>
      </c>
      <c r="G88" s="64">
        <v>192.14</v>
      </c>
      <c r="H88" s="64">
        <v>25.94</v>
      </c>
      <c r="I88" s="64">
        <v>3.94</v>
      </c>
      <c r="J88" s="64">
        <v>0.32</v>
      </c>
      <c r="K88" s="64">
        <v>353.9</v>
      </c>
      <c r="L88" s="64">
        <v>26.07</v>
      </c>
      <c r="M88" s="64">
        <v>37.03</v>
      </c>
      <c r="N88" s="64">
        <v>56.7</v>
      </c>
      <c r="O88" s="64">
        <v>0</v>
      </c>
      <c r="P88" s="64">
        <v>3.69</v>
      </c>
      <c r="Q88" s="64">
        <v>9.52</v>
      </c>
      <c r="R88" s="198"/>
      <c r="S88" s="198"/>
      <c r="T88" s="198"/>
      <c r="U88" s="198"/>
    </row>
    <row r="89" spans="1:26" s="12" customFormat="1" x14ac:dyDescent="0.25">
      <c r="A89" s="247" t="s">
        <v>3012</v>
      </c>
      <c r="B89" s="209" t="s">
        <v>36</v>
      </c>
      <c r="C89" s="209" t="s">
        <v>36</v>
      </c>
      <c r="D89" s="209" t="s">
        <v>36</v>
      </c>
      <c r="E89" s="64">
        <v>20.73</v>
      </c>
      <c r="F89" s="64">
        <v>8.4</v>
      </c>
      <c r="G89" s="64">
        <v>209.28</v>
      </c>
      <c r="H89" s="64">
        <v>17.89</v>
      </c>
      <c r="I89" s="64">
        <v>4.05</v>
      </c>
      <c r="J89" s="64">
        <v>0.44</v>
      </c>
      <c r="K89" s="64">
        <v>275.13</v>
      </c>
      <c r="L89" s="64">
        <v>25.72</v>
      </c>
      <c r="M89" s="64">
        <v>38.270000000000003</v>
      </c>
      <c r="N89" s="64">
        <v>56.4</v>
      </c>
      <c r="O89" s="64">
        <v>0</v>
      </c>
      <c r="P89" s="64">
        <v>3.6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47" t="s">
        <v>3013</v>
      </c>
      <c r="B90" s="209" t="s">
        <v>36</v>
      </c>
      <c r="C90" s="209" t="s">
        <v>36</v>
      </c>
      <c r="D90" s="209" t="s">
        <v>36</v>
      </c>
      <c r="E90" s="64">
        <v>20.36</v>
      </c>
      <c r="F90" s="64">
        <v>8.35</v>
      </c>
      <c r="G90" s="64">
        <v>209.28</v>
      </c>
      <c r="H90" s="64">
        <v>17.89</v>
      </c>
      <c r="I90" s="64">
        <v>4</v>
      </c>
      <c r="J90" s="64">
        <v>0.47</v>
      </c>
      <c r="K90" s="64">
        <v>279.27999999999997</v>
      </c>
      <c r="L90" s="64">
        <v>24.98</v>
      </c>
      <c r="M90" s="64">
        <v>47.61</v>
      </c>
      <c r="N90" s="64">
        <v>56.7</v>
      </c>
      <c r="O90" s="64">
        <v>0</v>
      </c>
      <c r="P90" s="64">
        <v>3.96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47" t="s">
        <v>3014</v>
      </c>
      <c r="B91" s="209" t="s">
        <v>36</v>
      </c>
      <c r="C91" s="209" t="s">
        <v>36</v>
      </c>
      <c r="D91" s="209" t="s">
        <v>36</v>
      </c>
      <c r="E91" s="64">
        <v>19.579999999999998</v>
      </c>
      <c r="F91" s="64">
        <v>8.64</v>
      </c>
      <c r="G91" s="64">
        <v>209.28</v>
      </c>
      <c r="H91" s="64">
        <v>17.89</v>
      </c>
      <c r="I91" s="64">
        <v>4.0999999999999996</v>
      </c>
      <c r="J91" s="64">
        <v>0.25</v>
      </c>
      <c r="K91" s="64">
        <v>304.88</v>
      </c>
      <c r="L91" s="64">
        <v>24.75</v>
      </c>
      <c r="M91" s="64">
        <v>44.33</v>
      </c>
      <c r="N91" s="64">
        <v>56.7</v>
      </c>
      <c r="O91" s="64">
        <v>0</v>
      </c>
      <c r="P91" s="64">
        <v>4.01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47" t="s">
        <v>3015</v>
      </c>
      <c r="B92" s="209" t="s">
        <v>36</v>
      </c>
      <c r="C92" s="209" t="s">
        <v>36</v>
      </c>
      <c r="D92" s="209" t="s">
        <v>36</v>
      </c>
      <c r="E92" s="64">
        <v>19.41</v>
      </c>
      <c r="F92" s="64">
        <v>8.61</v>
      </c>
      <c r="G92" s="64">
        <v>208.89</v>
      </c>
      <c r="H92" s="64">
        <v>23.46</v>
      </c>
      <c r="I92" s="64">
        <v>4.12</v>
      </c>
      <c r="J92" s="64">
        <v>0.32</v>
      </c>
      <c r="K92" s="64">
        <v>316.57</v>
      </c>
      <c r="L92" s="64">
        <v>24.79</v>
      </c>
      <c r="M92" s="64">
        <v>44.35</v>
      </c>
      <c r="N92" s="64">
        <v>56.5</v>
      </c>
      <c r="O92" s="64">
        <v>0</v>
      </c>
      <c r="P92" s="64">
        <v>4.8099999999999996</v>
      </c>
      <c r="Q92" s="64">
        <v>9.73</v>
      </c>
      <c r="R92" s="198"/>
      <c r="S92" s="198"/>
      <c r="T92" s="198"/>
      <c r="U92" s="198"/>
    </row>
    <row r="93" spans="1:26" s="12" customFormat="1" x14ac:dyDescent="0.25">
      <c r="A93" s="247" t="s">
        <v>3016</v>
      </c>
      <c r="B93" s="209" t="s">
        <v>36</v>
      </c>
      <c r="C93" s="209" t="s">
        <v>36</v>
      </c>
      <c r="D93" s="209" t="s">
        <v>36</v>
      </c>
      <c r="E93" s="64">
        <v>19.489999999999998</v>
      </c>
      <c r="F93" s="64">
        <v>8.76</v>
      </c>
      <c r="G93" s="64">
        <v>207.68</v>
      </c>
      <c r="H93" s="64">
        <v>40.68</v>
      </c>
      <c r="I93" s="64">
        <v>4.01</v>
      </c>
      <c r="J93" s="64">
        <v>0.6</v>
      </c>
      <c r="K93" s="64">
        <v>344.52</v>
      </c>
      <c r="L93" s="64">
        <v>24.83</v>
      </c>
      <c r="M93" s="64">
        <v>44.35</v>
      </c>
      <c r="N93" s="64">
        <v>56.4</v>
      </c>
      <c r="O93" s="64">
        <v>0</v>
      </c>
      <c r="P93" s="64">
        <v>5.51</v>
      </c>
      <c r="Q93" s="64">
        <v>9.7899999999999991</v>
      </c>
      <c r="R93" s="198"/>
      <c r="S93" s="198"/>
      <c r="T93" s="198"/>
      <c r="U93" s="198"/>
    </row>
    <row r="94" spans="1:26" s="12" customFormat="1" x14ac:dyDescent="0.25">
      <c r="A94" s="247" t="s">
        <v>3017</v>
      </c>
      <c r="B94" s="209" t="s">
        <v>36</v>
      </c>
      <c r="C94" s="209" t="s">
        <v>36</v>
      </c>
      <c r="D94" s="209" t="s">
        <v>36</v>
      </c>
      <c r="E94" s="64">
        <v>19.399999999999999</v>
      </c>
      <c r="F94" s="64">
        <v>9.11</v>
      </c>
      <c r="G94" s="64">
        <v>207.68</v>
      </c>
      <c r="H94" s="64">
        <v>40.68</v>
      </c>
      <c r="I94" s="64">
        <v>3.97</v>
      </c>
      <c r="J94" s="64">
        <v>0.56999999999999995</v>
      </c>
      <c r="K94" s="64">
        <v>4.75</v>
      </c>
      <c r="L94" s="64">
        <v>24.71</v>
      </c>
      <c r="M94" s="64">
        <v>43.85</v>
      </c>
      <c r="N94" s="64">
        <v>56.1</v>
      </c>
      <c r="O94" s="64">
        <v>0</v>
      </c>
      <c r="P94" s="64">
        <v>4.97</v>
      </c>
      <c r="Q94" s="64">
        <v>9.84</v>
      </c>
      <c r="R94" s="198"/>
      <c r="S94" s="198"/>
      <c r="T94" s="198"/>
      <c r="U94" s="198"/>
    </row>
    <row r="95" spans="1:26" s="12" customFormat="1" x14ac:dyDescent="0.25">
      <c r="A95" s="247" t="s">
        <v>3018</v>
      </c>
      <c r="B95" s="209" t="s">
        <v>36</v>
      </c>
      <c r="C95" s="209" t="s">
        <v>36</v>
      </c>
      <c r="D95" s="209" t="s">
        <v>36</v>
      </c>
      <c r="E95" s="64">
        <v>20.43</v>
      </c>
      <c r="F95" s="64">
        <v>8.06</v>
      </c>
      <c r="G95" s="64">
        <v>207.68</v>
      </c>
      <c r="H95" s="64">
        <v>40.68</v>
      </c>
      <c r="I95" s="64">
        <v>3.93</v>
      </c>
      <c r="J95" s="64">
        <v>0.84</v>
      </c>
      <c r="K95" s="64">
        <v>344.52</v>
      </c>
      <c r="L95" s="64">
        <v>25.24</v>
      </c>
      <c r="M95" s="64">
        <v>39.4</v>
      </c>
      <c r="N95" s="64">
        <v>55.7</v>
      </c>
      <c r="O95" s="64">
        <v>0</v>
      </c>
      <c r="P95" s="64">
        <v>4.1399999999999997</v>
      </c>
      <c r="Q95" s="64">
        <v>9.8699999999999992</v>
      </c>
      <c r="R95" s="198"/>
      <c r="S95" s="198"/>
      <c r="T95" s="198"/>
      <c r="U95" s="198"/>
    </row>
    <row r="96" spans="1:26" s="12" customFormat="1" x14ac:dyDescent="0.25">
      <c r="A96" s="247" t="s">
        <v>3019</v>
      </c>
      <c r="B96" s="209" t="s">
        <v>36</v>
      </c>
      <c r="C96" s="209" t="s">
        <v>36</v>
      </c>
      <c r="D96" s="209" t="s">
        <v>36</v>
      </c>
      <c r="E96" s="64">
        <v>23.33</v>
      </c>
      <c r="F96" s="64">
        <v>13.51</v>
      </c>
      <c r="G96" s="64">
        <v>202.94</v>
      </c>
      <c r="H96" s="64">
        <v>36.799999999999997</v>
      </c>
      <c r="I96" s="64">
        <v>3.99</v>
      </c>
      <c r="J96" s="64">
        <v>1.71</v>
      </c>
      <c r="K96" s="64">
        <v>3.58</v>
      </c>
      <c r="L96" s="64">
        <v>25.67</v>
      </c>
      <c r="M96" s="64">
        <v>31.37</v>
      </c>
      <c r="N96" s="64">
        <v>54.6</v>
      </c>
      <c r="O96" s="64">
        <v>0</v>
      </c>
      <c r="P96" s="64">
        <v>2.57</v>
      </c>
      <c r="Q96" s="64">
        <v>9.93</v>
      </c>
      <c r="R96" s="198"/>
      <c r="S96" s="198"/>
      <c r="T96" s="198"/>
      <c r="U96" s="198"/>
      <c r="Z96" s="109"/>
    </row>
    <row r="97" spans="1:33" s="12" customFormat="1" x14ac:dyDescent="0.25">
      <c r="A97" s="247" t="s">
        <v>3020</v>
      </c>
      <c r="B97" s="209" t="s">
        <v>36</v>
      </c>
      <c r="C97" s="209" t="s">
        <v>36</v>
      </c>
      <c r="D97" s="209" t="s">
        <v>36</v>
      </c>
      <c r="E97" s="64">
        <v>38.880000000000003</v>
      </c>
      <c r="F97" s="64">
        <v>15.79</v>
      </c>
      <c r="G97" s="64">
        <v>188.28</v>
      </c>
      <c r="H97" s="64">
        <v>24.07</v>
      </c>
      <c r="I97" s="64">
        <v>4.1500000000000004</v>
      </c>
      <c r="J97" s="64">
        <v>1.51</v>
      </c>
      <c r="K97" s="64">
        <v>3.57</v>
      </c>
      <c r="L97" s="64">
        <v>25.98</v>
      </c>
      <c r="M97" s="64">
        <v>28.72</v>
      </c>
      <c r="N97" s="64">
        <v>56</v>
      </c>
      <c r="O97" s="64">
        <v>0</v>
      </c>
      <c r="P97" s="64">
        <v>1.91</v>
      </c>
      <c r="Q97" s="64">
        <v>9.9600000000000009</v>
      </c>
      <c r="R97" s="198"/>
      <c r="S97" s="198"/>
      <c r="T97" s="198"/>
      <c r="U97" s="198"/>
    </row>
    <row r="98" spans="1:33" s="12" customFormat="1" x14ac:dyDescent="0.25">
      <c r="A98" s="247" t="s">
        <v>3021</v>
      </c>
      <c r="B98" s="209" t="s">
        <v>36</v>
      </c>
      <c r="C98" s="209" t="s">
        <v>36</v>
      </c>
      <c r="D98" s="209" t="s">
        <v>36</v>
      </c>
      <c r="E98" s="64">
        <v>38.520000000000003</v>
      </c>
      <c r="F98" s="64">
        <v>15.87</v>
      </c>
      <c r="G98" s="64">
        <v>188.28</v>
      </c>
      <c r="H98" s="64">
        <v>24.07</v>
      </c>
      <c r="I98" s="64">
        <v>4.0599999999999996</v>
      </c>
      <c r="J98" s="64">
        <v>1.05</v>
      </c>
      <c r="K98" s="64">
        <v>3.64</v>
      </c>
      <c r="L98" s="64">
        <v>25.85</v>
      </c>
      <c r="M98" s="64">
        <v>28.13</v>
      </c>
      <c r="N98" s="64">
        <v>56.2</v>
      </c>
      <c r="O98" s="64">
        <v>0</v>
      </c>
      <c r="P98" s="64">
        <v>1.6</v>
      </c>
      <c r="Q98" s="64">
        <v>9.98</v>
      </c>
      <c r="R98" s="198"/>
      <c r="S98" s="198"/>
      <c r="T98" s="198"/>
      <c r="U98" s="198"/>
    </row>
    <row r="99" spans="1:33" s="12" customFormat="1" x14ac:dyDescent="0.25">
      <c r="A99" s="247" t="s">
        <v>3022</v>
      </c>
      <c r="B99" s="209" t="s">
        <v>36</v>
      </c>
      <c r="C99" s="209" t="s">
        <v>36</v>
      </c>
      <c r="D99" s="209" t="s">
        <v>36</v>
      </c>
      <c r="E99" s="64">
        <v>46.05</v>
      </c>
      <c r="F99" s="64">
        <v>13.35</v>
      </c>
      <c r="G99" s="64">
        <v>188.28</v>
      </c>
      <c r="H99" s="64">
        <v>24.07</v>
      </c>
      <c r="I99" s="64">
        <v>4.0599999999999996</v>
      </c>
      <c r="J99" s="64">
        <v>1.07</v>
      </c>
      <c r="K99" s="64">
        <v>5.0599999999999996</v>
      </c>
      <c r="L99" s="64">
        <v>25.71</v>
      </c>
      <c r="M99" s="64">
        <v>27.31</v>
      </c>
      <c r="N99" s="64">
        <v>56.2</v>
      </c>
      <c r="O99" s="64">
        <v>0</v>
      </c>
      <c r="P99" s="64">
        <v>1.7</v>
      </c>
      <c r="Q99" s="64">
        <v>9.9499999999999993</v>
      </c>
      <c r="R99" s="198"/>
      <c r="S99" s="198"/>
      <c r="T99" s="198"/>
      <c r="U99" s="198"/>
    </row>
    <row r="100" spans="1:33" s="12" customFormat="1" x14ac:dyDescent="0.25">
      <c r="A100" s="247" t="s">
        <v>3023</v>
      </c>
      <c r="B100" s="209" t="s">
        <v>36</v>
      </c>
      <c r="C100" s="209" t="s">
        <v>36</v>
      </c>
      <c r="D100" s="209" t="s">
        <v>36</v>
      </c>
      <c r="E100" s="64">
        <v>28.74</v>
      </c>
      <c r="F100" s="64">
        <v>12.75</v>
      </c>
      <c r="G100" s="64">
        <v>167.8</v>
      </c>
      <c r="H100" s="64">
        <v>39.549999999999997</v>
      </c>
      <c r="I100" s="64">
        <v>4.08</v>
      </c>
      <c r="J100" s="64">
        <v>0.98</v>
      </c>
      <c r="K100" s="64">
        <v>9.18</v>
      </c>
      <c r="L100" s="64">
        <v>25.65</v>
      </c>
      <c r="M100" s="64">
        <v>25.8</v>
      </c>
      <c r="N100" s="64">
        <v>56.2</v>
      </c>
      <c r="O100" s="64">
        <v>0</v>
      </c>
      <c r="P100" s="64">
        <v>2.02</v>
      </c>
      <c r="Q100" s="64">
        <v>9.9499999999999993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3024</v>
      </c>
      <c r="B101" s="209" t="s">
        <v>36</v>
      </c>
      <c r="C101" s="209" t="s">
        <v>36</v>
      </c>
      <c r="D101" s="209" t="s">
        <v>36</v>
      </c>
      <c r="E101" s="64">
        <v>22.28</v>
      </c>
      <c r="F101" s="64">
        <v>11.94</v>
      </c>
      <c r="G101" s="64">
        <v>100.51</v>
      </c>
      <c r="H101" s="64">
        <v>90.4</v>
      </c>
      <c r="I101" s="64">
        <v>4</v>
      </c>
      <c r="J101" s="64">
        <v>1.0900000000000001</v>
      </c>
      <c r="K101" s="64">
        <v>8.5500000000000007</v>
      </c>
      <c r="L101" s="64">
        <v>25.4</v>
      </c>
      <c r="M101" s="64">
        <v>25.32</v>
      </c>
      <c r="N101" s="64">
        <v>56.2</v>
      </c>
      <c r="O101" s="64">
        <v>0</v>
      </c>
      <c r="P101" s="64">
        <v>1.98</v>
      </c>
      <c r="Q101" s="64">
        <v>9.92</v>
      </c>
      <c r="R101" s="198"/>
      <c r="S101" s="198"/>
      <c r="T101" s="198"/>
      <c r="U101" s="198"/>
    </row>
    <row r="102" spans="1:33" s="12" customFormat="1" x14ac:dyDescent="0.25">
      <c r="A102" s="247" t="s">
        <v>3025</v>
      </c>
      <c r="B102" s="209" t="s">
        <v>36</v>
      </c>
      <c r="C102" s="209" t="s">
        <v>36</v>
      </c>
      <c r="D102" s="209" t="s">
        <v>36</v>
      </c>
      <c r="E102" s="64">
        <v>22.61</v>
      </c>
      <c r="F102" s="64">
        <v>15.95</v>
      </c>
      <c r="G102" s="64">
        <v>100.51</v>
      </c>
      <c r="H102" s="64">
        <v>90.4</v>
      </c>
      <c r="I102" s="64">
        <v>3.94</v>
      </c>
      <c r="J102" s="64">
        <v>0.98</v>
      </c>
      <c r="K102" s="64">
        <v>15.86</v>
      </c>
      <c r="L102" s="64">
        <v>25.23</v>
      </c>
      <c r="M102" s="64">
        <v>24.67</v>
      </c>
      <c r="N102" s="64">
        <v>56.1</v>
      </c>
      <c r="O102" s="64">
        <v>0</v>
      </c>
      <c r="P102" s="64">
        <v>1.88</v>
      </c>
      <c r="Q102" s="64">
        <v>9.89</v>
      </c>
      <c r="R102" s="198"/>
      <c r="S102" s="198"/>
      <c r="T102" s="198"/>
      <c r="U102" s="198"/>
    </row>
    <row r="103" spans="1:33" s="12" customFormat="1" x14ac:dyDescent="0.25">
      <c r="A103" s="247" t="s">
        <v>3026</v>
      </c>
      <c r="B103" s="209" t="s">
        <v>36</v>
      </c>
      <c r="C103" s="209" t="s">
        <v>36</v>
      </c>
      <c r="D103" s="209" t="s">
        <v>36</v>
      </c>
      <c r="E103" s="64">
        <v>18.579999999999998</v>
      </c>
      <c r="F103" s="64">
        <v>11.69</v>
      </c>
      <c r="G103" s="64">
        <v>100.51</v>
      </c>
      <c r="H103" s="64">
        <v>90.4</v>
      </c>
      <c r="I103" s="64">
        <v>4.0199999999999996</v>
      </c>
      <c r="J103" s="64">
        <v>1.3</v>
      </c>
      <c r="K103" s="64">
        <v>6.18</v>
      </c>
      <c r="L103" s="64">
        <v>25.22</v>
      </c>
      <c r="M103" s="64">
        <v>23.44</v>
      </c>
      <c r="N103" s="64">
        <v>55.9</v>
      </c>
      <c r="O103" s="64">
        <v>0</v>
      </c>
      <c r="P103" s="64">
        <v>2.0299999999999998</v>
      </c>
      <c r="Q103" s="64">
        <v>9.91</v>
      </c>
      <c r="R103" s="198"/>
      <c r="S103" s="198"/>
      <c r="T103" s="198"/>
      <c r="U103" s="198"/>
    </row>
    <row r="104" spans="1:33" s="12" customFormat="1" x14ac:dyDescent="0.25">
      <c r="A104" s="247" t="s">
        <v>3027</v>
      </c>
      <c r="B104" s="209" t="s">
        <v>36</v>
      </c>
      <c r="C104" s="209" t="s">
        <v>36</v>
      </c>
      <c r="D104" s="209" t="s">
        <v>36</v>
      </c>
      <c r="E104" s="64">
        <v>8.1300000000000008</v>
      </c>
      <c r="F104" s="64">
        <v>12.62</v>
      </c>
      <c r="G104" s="64">
        <v>91.48</v>
      </c>
      <c r="H104" s="64">
        <v>69.5</v>
      </c>
      <c r="I104" s="64">
        <v>4.01</v>
      </c>
      <c r="J104" s="64">
        <v>1.66</v>
      </c>
      <c r="K104" s="64">
        <v>4.18</v>
      </c>
      <c r="L104" s="64">
        <v>25.18</v>
      </c>
      <c r="M104" s="64">
        <v>22.92</v>
      </c>
      <c r="N104" s="64">
        <v>56</v>
      </c>
      <c r="O104" s="64">
        <v>0</v>
      </c>
      <c r="P104" s="64">
        <v>1.9</v>
      </c>
      <c r="Q104" s="64">
        <v>9.8800000000000008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6.33</v>
      </c>
      <c r="F106" s="67">
        <f t="shared" si="0"/>
        <v>7.45</v>
      </c>
      <c r="G106" s="67">
        <f t="shared" si="0"/>
        <v>0</v>
      </c>
      <c r="H106" s="67">
        <f t="shared" si="0"/>
        <v>9.64</v>
      </c>
      <c r="I106" s="67">
        <f t="shared" si="0"/>
        <v>3.85</v>
      </c>
      <c r="J106" s="67">
        <f t="shared" si="0"/>
        <v>0.04</v>
      </c>
      <c r="K106" s="67">
        <f t="shared" si="0"/>
        <v>0.19</v>
      </c>
      <c r="L106" s="67">
        <f t="shared" si="0"/>
        <v>14.74</v>
      </c>
      <c r="M106" s="67">
        <f t="shared" si="0"/>
        <v>15.73</v>
      </c>
      <c r="N106" s="67">
        <f t="shared" si="0"/>
        <v>54.6</v>
      </c>
      <c r="O106" s="67">
        <f t="shared" si="0"/>
        <v>0</v>
      </c>
      <c r="P106" s="67">
        <f t="shared" si="0"/>
        <v>0.44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57.89</v>
      </c>
      <c r="F107" s="66">
        <f t="shared" si="1"/>
        <v>49.41</v>
      </c>
      <c r="G107" s="66">
        <f t="shared" si="1"/>
        <v>209.28</v>
      </c>
      <c r="H107" s="66">
        <f t="shared" si="1"/>
        <v>90.4</v>
      </c>
      <c r="I107" s="66">
        <f t="shared" si="1"/>
        <v>4.21</v>
      </c>
      <c r="J107" s="66">
        <f t="shared" si="1"/>
        <v>1.84</v>
      </c>
      <c r="K107" s="66">
        <f t="shared" si="1"/>
        <v>359.53</v>
      </c>
      <c r="L107" s="66">
        <f t="shared" si="1"/>
        <v>36.67</v>
      </c>
      <c r="M107" s="66">
        <f t="shared" si="1"/>
        <v>47.61</v>
      </c>
      <c r="N107" s="66">
        <f t="shared" si="1"/>
        <v>783.3</v>
      </c>
      <c r="O107" s="66">
        <f t="shared" si="1"/>
        <v>0</v>
      </c>
      <c r="P107" s="66">
        <f t="shared" si="1"/>
        <v>5.51</v>
      </c>
      <c r="Q107" s="66">
        <f t="shared" si="1"/>
        <v>10.07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20.569270833333338</v>
      </c>
      <c r="F108" s="67">
        <f t="shared" si="2"/>
        <v>17.156666666666663</v>
      </c>
      <c r="G108" s="67">
        <f t="shared" si="2"/>
        <v>116.94000000000004</v>
      </c>
      <c r="H108" s="67">
        <f t="shared" si="2"/>
        <v>34.013020833333343</v>
      </c>
      <c r="I108" s="67">
        <f t="shared" si="2"/>
        <v>4.0086458333333335</v>
      </c>
      <c r="J108" s="67">
        <f t="shared" si="2"/>
        <v>1.0302083333333329</v>
      </c>
      <c r="K108" s="67">
        <f t="shared" si="2"/>
        <v>112.3508333333333</v>
      </c>
      <c r="L108" s="67">
        <f t="shared" si="2"/>
        <v>27.724999999999994</v>
      </c>
      <c r="M108" s="67">
        <f t="shared" si="2"/>
        <v>28.005312500000002</v>
      </c>
      <c r="N108" s="67">
        <f t="shared" si="2"/>
        <v>242.57812500000003</v>
      </c>
      <c r="O108" s="67">
        <f t="shared" si="2"/>
        <v>0</v>
      </c>
      <c r="P108" s="67">
        <f t="shared" si="2"/>
        <v>1.5623958333333328</v>
      </c>
      <c r="Q108" s="67">
        <f t="shared" si="2"/>
        <v>9.5286458333333339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10.724326821694149</v>
      </c>
      <c r="F109" s="67">
        <f t="shared" si="3"/>
        <v>10.508309761093262</v>
      </c>
      <c r="G109" s="67">
        <f t="shared" si="3"/>
        <v>49.169498118886203</v>
      </c>
      <c r="H109" s="67">
        <f t="shared" si="3"/>
        <v>16.471157638016919</v>
      </c>
      <c r="I109" s="67">
        <f t="shared" si="3"/>
        <v>8.4150489152240784E-2</v>
      </c>
      <c r="J109" s="67">
        <f t="shared" si="3"/>
        <v>0.467150328935518</v>
      </c>
      <c r="K109" s="67">
        <f t="shared" si="3"/>
        <v>138.124059809454</v>
      </c>
      <c r="L109" s="67">
        <f t="shared" si="3"/>
        <v>4.6012025887976824</v>
      </c>
      <c r="M109" s="67">
        <f t="shared" si="3"/>
        <v>9.0119630378765265</v>
      </c>
      <c r="N109" s="67">
        <f t="shared" si="3"/>
        <v>260.58549994120028</v>
      </c>
      <c r="O109" s="67">
        <f t="shared" si="3"/>
        <v>0</v>
      </c>
      <c r="P109" s="67">
        <f t="shared" si="3"/>
        <v>1.1698085716467657</v>
      </c>
      <c r="Q109" s="67">
        <f t="shared" si="3"/>
        <v>1.0102460563140918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COUNT(B9:B104)+96</f>
        <v>96</v>
      </c>
      <c r="C110" s="66">
        <f t="shared" ref="C110:D110" si="4">COUNT(C9:C104)+96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250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47" t="s">
        <v>3028</v>
      </c>
      <c r="B9" s="251" t="s">
        <v>36</v>
      </c>
      <c r="C9" s="251" t="s">
        <v>36</v>
      </c>
      <c r="D9" s="251" t="s">
        <v>36</v>
      </c>
      <c r="E9" s="64">
        <v>15.32</v>
      </c>
      <c r="F9" s="64">
        <v>11.01</v>
      </c>
      <c r="G9" s="64">
        <v>61.8</v>
      </c>
      <c r="H9" s="64">
        <v>0.83</v>
      </c>
      <c r="I9" s="64">
        <v>4</v>
      </c>
      <c r="J9" s="64">
        <v>1.53</v>
      </c>
      <c r="K9" s="64">
        <v>4.47</v>
      </c>
      <c r="L9" s="64">
        <v>24.9</v>
      </c>
      <c r="M9" s="64">
        <v>23.83</v>
      </c>
      <c r="N9" s="64">
        <v>56.3</v>
      </c>
      <c r="O9" s="64">
        <v>0</v>
      </c>
      <c r="P9" s="64">
        <v>1.84</v>
      </c>
      <c r="Q9" s="64">
        <v>9.8699999999999992</v>
      </c>
      <c r="R9" s="198"/>
      <c r="S9" s="198"/>
      <c r="T9" s="198"/>
      <c r="U9" s="198"/>
    </row>
    <row r="10" spans="1:21" s="12" customFormat="1" x14ac:dyDescent="0.25">
      <c r="A10" s="247" t="s">
        <v>3029</v>
      </c>
      <c r="B10" s="251" t="s">
        <v>36</v>
      </c>
      <c r="C10" s="251" t="s">
        <v>36</v>
      </c>
      <c r="D10" s="251" t="s">
        <v>36</v>
      </c>
      <c r="E10" s="64">
        <v>10.52</v>
      </c>
      <c r="F10" s="64">
        <v>12.53</v>
      </c>
      <c r="G10" s="64">
        <v>61.8</v>
      </c>
      <c r="H10" s="64">
        <v>0.83</v>
      </c>
      <c r="I10" s="64">
        <v>4.0199999999999996</v>
      </c>
      <c r="J10" s="64">
        <v>1.44</v>
      </c>
      <c r="K10" s="64">
        <v>7.29</v>
      </c>
      <c r="L10" s="64">
        <v>24.69</v>
      </c>
      <c r="M10" s="64">
        <v>23.37</v>
      </c>
      <c r="N10" s="64">
        <v>56.2</v>
      </c>
      <c r="O10" s="64">
        <v>0</v>
      </c>
      <c r="P10" s="64">
        <v>1.74</v>
      </c>
      <c r="Q10" s="64">
        <v>9.83</v>
      </c>
      <c r="R10" s="198"/>
      <c r="S10" s="198"/>
      <c r="T10" s="198"/>
      <c r="U10" s="198"/>
    </row>
    <row r="11" spans="1:21" s="12" customFormat="1" x14ac:dyDescent="0.25">
      <c r="A11" s="247" t="s">
        <v>3030</v>
      </c>
      <c r="B11" s="251" t="s">
        <v>36</v>
      </c>
      <c r="C11" s="251" t="s">
        <v>36</v>
      </c>
      <c r="D11" s="251" t="s">
        <v>36</v>
      </c>
      <c r="E11" s="64">
        <v>26.2</v>
      </c>
      <c r="F11" s="64">
        <v>12.4</v>
      </c>
      <c r="G11" s="64">
        <v>61.8</v>
      </c>
      <c r="H11" s="64">
        <v>0.83</v>
      </c>
      <c r="I11" s="64">
        <v>4.13</v>
      </c>
      <c r="J11" s="64">
        <v>1.1499999999999999</v>
      </c>
      <c r="K11" s="64">
        <v>8.7899999999999991</v>
      </c>
      <c r="L11" s="64">
        <v>24.5</v>
      </c>
      <c r="M11" s="64">
        <v>22.95</v>
      </c>
      <c r="N11" s="64">
        <v>56.4</v>
      </c>
      <c r="O11" s="64">
        <v>0</v>
      </c>
      <c r="P11" s="64">
        <v>1.63</v>
      </c>
      <c r="Q11" s="64">
        <v>9.7799999999999994</v>
      </c>
      <c r="R11" s="198"/>
      <c r="S11" s="198"/>
      <c r="T11" s="198"/>
      <c r="U11" s="198"/>
    </row>
    <row r="12" spans="1:21" s="12" customFormat="1" x14ac:dyDescent="0.25">
      <c r="A12" s="247" t="s">
        <v>3031</v>
      </c>
      <c r="B12" s="251" t="s">
        <v>36</v>
      </c>
      <c r="C12" s="251" t="s">
        <v>36</v>
      </c>
      <c r="D12" s="251" t="s">
        <v>36</v>
      </c>
      <c r="E12" s="64">
        <v>33.93</v>
      </c>
      <c r="F12" s="64">
        <v>13.24</v>
      </c>
      <c r="G12" s="64">
        <v>69.7</v>
      </c>
      <c r="H12" s="64">
        <v>0.64</v>
      </c>
      <c r="I12" s="64">
        <v>3.91</v>
      </c>
      <c r="J12" s="64">
        <v>0.96</v>
      </c>
      <c r="K12" s="64">
        <v>11.32</v>
      </c>
      <c r="L12" s="64">
        <v>24.23</v>
      </c>
      <c r="M12" s="64">
        <v>23.2</v>
      </c>
      <c r="N12" s="64">
        <v>56.7</v>
      </c>
      <c r="O12" s="64">
        <v>0</v>
      </c>
      <c r="P12" s="64">
        <v>1.57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47" t="s">
        <v>3032</v>
      </c>
      <c r="B13" s="251" t="s">
        <v>36</v>
      </c>
      <c r="C13" s="251" t="s">
        <v>36</v>
      </c>
      <c r="D13" s="251" t="s">
        <v>36</v>
      </c>
      <c r="E13" s="64">
        <v>24.19</v>
      </c>
      <c r="F13" s="64">
        <v>10.07</v>
      </c>
      <c r="G13" s="64">
        <v>94.12</v>
      </c>
      <c r="H13" s="64">
        <v>0.02</v>
      </c>
      <c r="I13" s="64">
        <v>3.94</v>
      </c>
      <c r="J13" s="64">
        <v>1.25</v>
      </c>
      <c r="K13" s="64">
        <v>7.82</v>
      </c>
      <c r="L13" s="64">
        <v>23.88</v>
      </c>
      <c r="M13" s="64">
        <v>24.09</v>
      </c>
      <c r="N13" s="64">
        <v>56.4</v>
      </c>
      <c r="O13" s="64">
        <v>0</v>
      </c>
      <c r="P13" s="64">
        <v>1.49</v>
      </c>
      <c r="Q13" s="64">
        <v>9.76</v>
      </c>
      <c r="R13" s="198"/>
      <c r="S13" s="198"/>
      <c r="T13" s="198"/>
      <c r="U13" s="198"/>
    </row>
    <row r="14" spans="1:21" s="12" customFormat="1" x14ac:dyDescent="0.25">
      <c r="A14" s="247" t="s">
        <v>3033</v>
      </c>
      <c r="B14" s="251" t="s">
        <v>36</v>
      </c>
      <c r="C14" s="251" t="s">
        <v>36</v>
      </c>
      <c r="D14" s="251" t="s">
        <v>36</v>
      </c>
      <c r="E14" s="64">
        <v>56.18</v>
      </c>
      <c r="F14" s="64">
        <v>15.85</v>
      </c>
      <c r="G14" s="64">
        <v>94.12</v>
      </c>
      <c r="H14" s="64">
        <v>0.02</v>
      </c>
      <c r="I14" s="64">
        <v>4.1500000000000004</v>
      </c>
      <c r="J14" s="64">
        <v>0.92</v>
      </c>
      <c r="K14" s="64">
        <v>9.23</v>
      </c>
      <c r="L14" s="64">
        <v>23.34</v>
      </c>
      <c r="M14" s="64">
        <v>25.99</v>
      </c>
      <c r="N14" s="64">
        <v>56.8</v>
      </c>
      <c r="O14" s="64">
        <v>0</v>
      </c>
      <c r="P14" s="64">
        <v>1.24</v>
      </c>
      <c r="Q14" s="64">
        <v>9.75</v>
      </c>
      <c r="R14" s="198"/>
      <c r="S14" s="198"/>
      <c r="T14" s="198"/>
      <c r="U14" s="198"/>
    </row>
    <row r="15" spans="1:21" s="12" customFormat="1" x14ac:dyDescent="0.25">
      <c r="A15" s="247" t="s">
        <v>3034</v>
      </c>
      <c r="B15" s="251" t="s">
        <v>36</v>
      </c>
      <c r="C15" s="251" t="s">
        <v>36</v>
      </c>
      <c r="D15" s="251" t="s">
        <v>36</v>
      </c>
      <c r="E15" s="64">
        <v>49.91</v>
      </c>
      <c r="F15" s="64">
        <v>16.32</v>
      </c>
      <c r="G15" s="64">
        <v>94.12</v>
      </c>
      <c r="H15" s="64">
        <v>0.02</v>
      </c>
      <c r="I15" s="64">
        <v>4.0199999999999996</v>
      </c>
      <c r="J15" s="64">
        <v>0.86</v>
      </c>
      <c r="K15" s="64">
        <v>12.17</v>
      </c>
      <c r="L15" s="64">
        <v>22.99</v>
      </c>
      <c r="M15" s="64">
        <v>26.78</v>
      </c>
      <c r="N15" s="64">
        <v>56.4</v>
      </c>
      <c r="O15" s="64">
        <v>0</v>
      </c>
      <c r="P15" s="64">
        <v>1.2</v>
      </c>
      <c r="Q15" s="64">
        <v>9.7200000000000006</v>
      </c>
      <c r="R15" s="198"/>
      <c r="S15" s="198"/>
      <c r="T15" s="198"/>
      <c r="U15" s="198"/>
    </row>
    <row r="16" spans="1:21" s="12" customFormat="1" x14ac:dyDescent="0.25">
      <c r="A16" s="247" t="s">
        <v>3035</v>
      </c>
      <c r="B16" s="251" t="s">
        <v>36</v>
      </c>
      <c r="C16" s="251" t="s">
        <v>36</v>
      </c>
      <c r="D16" s="251" t="s">
        <v>36</v>
      </c>
      <c r="E16" s="64">
        <v>38.89</v>
      </c>
      <c r="F16" s="64">
        <v>17.86</v>
      </c>
      <c r="G16" s="64">
        <v>103.72</v>
      </c>
      <c r="H16" s="64">
        <v>9.19</v>
      </c>
      <c r="I16" s="64">
        <v>3.86</v>
      </c>
      <c r="J16" s="64">
        <v>1.08</v>
      </c>
      <c r="K16" s="64">
        <v>5.55</v>
      </c>
      <c r="L16" s="64">
        <v>22.79</v>
      </c>
      <c r="M16" s="64">
        <v>27.08</v>
      </c>
      <c r="N16" s="64">
        <v>56.1</v>
      </c>
      <c r="O16" s="64">
        <v>0</v>
      </c>
      <c r="P16" s="64">
        <v>1.1100000000000001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47" t="s">
        <v>3036</v>
      </c>
      <c r="B17" s="251" t="s">
        <v>36</v>
      </c>
      <c r="C17" s="251" t="s">
        <v>36</v>
      </c>
      <c r="D17" s="251" t="s">
        <v>36</v>
      </c>
      <c r="E17" s="64">
        <v>27.25</v>
      </c>
      <c r="F17" s="64">
        <v>19.04</v>
      </c>
      <c r="G17" s="64">
        <v>135.24</v>
      </c>
      <c r="H17" s="64">
        <v>39.31</v>
      </c>
      <c r="I17" s="64">
        <v>4.07</v>
      </c>
      <c r="J17" s="64">
        <v>0.94</v>
      </c>
      <c r="K17" s="64">
        <v>4.2300000000000004</v>
      </c>
      <c r="L17" s="64">
        <v>22.76</v>
      </c>
      <c r="M17" s="64">
        <v>26.55</v>
      </c>
      <c r="N17" s="64">
        <v>56.1</v>
      </c>
      <c r="O17" s="64">
        <v>0</v>
      </c>
      <c r="P17" s="64">
        <v>1.07</v>
      </c>
      <c r="Q17" s="64">
        <v>9.7100000000000009</v>
      </c>
      <c r="R17" s="198"/>
      <c r="S17" s="198"/>
      <c r="T17" s="198"/>
      <c r="U17" s="198"/>
    </row>
    <row r="18" spans="1:21" s="12" customFormat="1" x14ac:dyDescent="0.25">
      <c r="A18" s="247" t="s">
        <v>3037</v>
      </c>
      <c r="B18" s="251" t="s">
        <v>36</v>
      </c>
      <c r="C18" s="251" t="s">
        <v>36</v>
      </c>
      <c r="D18" s="251" t="s">
        <v>36</v>
      </c>
      <c r="E18" s="64">
        <v>25.8</v>
      </c>
      <c r="F18" s="64">
        <v>21.51</v>
      </c>
      <c r="G18" s="64">
        <v>135.24</v>
      </c>
      <c r="H18" s="64">
        <v>39.31</v>
      </c>
      <c r="I18" s="64">
        <v>4.01</v>
      </c>
      <c r="J18" s="64">
        <v>0.83</v>
      </c>
      <c r="K18" s="64">
        <v>1.8</v>
      </c>
      <c r="L18" s="64">
        <v>22.73</v>
      </c>
      <c r="M18" s="64">
        <v>25.58</v>
      </c>
      <c r="N18" s="64">
        <v>56.4</v>
      </c>
      <c r="O18" s="64">
        <v>0</v>
      </c>
      <c r="P18" s="64">
        <v>0.83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47" t="s">
        <v>3038</v>
      </c>
      <c r="B19" s="251" t="s">
        <v>36</v>
      </c>
      <c r="C19" s="251" t="s">
        <v>36</v>
      </c>
      <c r="D19" s="251" t="s">
        <v>36</v>
      </c>
      <c r="E19" s="64">
        <v>22.06</v>
      </c>
      <c r="F19" s="64">
        <v>21.15</v>
      </c>
      <c r="G19" s="64">
        <v>135.24</v>
      </c>
      <c r="H19" s="64">
        <v>39.31</v>
      </c>
      <c r="I19" s="64">
        <v>4.09</v>
      </c>
      <c r="J19" s="64">
        <v>0.8</v>
      </c>
      <c r="K19" s="64">
        <v>359.63</v>
      </c>
      <c r="L19" s="64">
        <v>22.19</v>
      </c>
      <c r="M19" s="64">
        <v>26.17</v>
      </c>
      <c r="N19" s="64">
        <v>56.5</v>
      </c>
      <c r="O19" s="64">
        <v>0</v>
      </c>
      <c r="P19" s="64">
        <v>0.78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47" t="s">
        <v>3039</v>
      </c>
      <c r="B20" s="251" t="s">
        <v>36</v>
      </c>
      <c r="C20" s="251" t="s">
        <v>36</v>
      </c>
      <c r="D20" s="251" t="s">
        <v>36</v>
      </c>
      <c r="E20" s="64">
        <v>17.14</v>
      </c>
      <c r="F20" s="64">
        <v>20.39</v>
      </c>
      <c r="G20" s="64">
        <v>131.02000000000001</v>
      </c>
      <c r="H20" s="64">
        <v>30.69</v>
      </c>
      <c r="I20" s="64">
        <v>4.01</v>
      </c>
      <c r="J20" s="64">
        <v>0.81</v>
      </c>
      <c r="K20" s="64">
        <v>359.66</v>
      </c>
      <c r="L20" s="64">
        <v>22.16</v>
      </c>
      <c r="M20" s="64">
        <v>26.86</v>
      </c>
      <c r="N20" s="64">
        <v>56.3</v>
      </c>
      <c r="O20" s="64">
        <v>0</v>
      </c>
      <c r="P20" s="64">
        <v>0.79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47" t="s">
        <v>3040</v>
      </c>
      <c r="B21" s="251" t="s">
        <v>36</v>
      </c>
      <c r="C21" s="251" t="s">
        <v>36</v>
      </c>
      <c r="D21" s="251" t="s">
        <v>36</v>
      </c>
      <c r="E21" s="64">
        <v>19.93</v>
      </c>
      <c r="F21" s="64">
        <v>19.14</v>
      </c>
      <c r="G21" s="64">
        <v>117.15</v>
      </c>
      <c r="H21" s="64">
        <v>2.36</v>
      </c>
      <c r="I21" s="64">
        <v>4.2</v>
      </c>
      <c r="J21" s="64">
        <v>0.37</v>
      </c>
      <c r="K21" s="64">
        <v>43.78</v>
      </c>
      <c r="L21" s="64">
        <v>21.93</v>
      </c>
      <c r="M21" s="64">
        <v>27.59</v>
      </c>
      <c r="N21" s="64">
        <v>56.6</v>
      </c>
      <c r="O21" s="64">
        <v>0</v>
      </c>
      <c r="P21" s="64">
        <v>0.76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47" t="s">
        <v>3041</v>
      </c>
      <c r="B22" s="251" t="s">
        <v>36</v>
      </c>
      <c r="C22" s="251" t="s">
        <v>36</v>
      </c>
      <c r="D22" s="251" t="s">
        <v>36</v>
      </c>
      <c r="E22" s="64">
        <v>16.100000000000001</v>
      </c>
      <c r="F22" s="64">
        <v>12.49</v>
      </c>
      <c r="G22" s="64">
        <v>117.15</v>
      </c>
      <c r="H22" s="64">
        <v>2.36</v>
      </c>
      <c r="I22" s="64">
        <v>3.87</v>
      </c>
      <c r="J22" s="64">
        <v>0.52</v>
      </c>
      <c r="K22" s="64">
        <v>28.68</v>
      </c>
      <c r="L22" s="64">
        <v>21.58</v>
      </c>
      <c r="M22" s="64">
        <v>29.4</v>
      </c>
      <c r="N22" s="64">
        <v>56.7</v>
      </c>
      <c r="O22" s="64">
        <v>0</v>
      </c>
      <c r="P22" s="64">
        <v>1.08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47" t="s">
        <v>3042</v>
      </c>
      <c r="B23" s="251" t="s">
        <v>36</v>
      </c>
      <c r="C23" s="251" t="s">
        <v>36</v>
      </c>
      <c r="D23" s="251" t="s">
        <v>36</v>
      </c>
      <c r="E23" s="64">
        <v>5.08</v>
      </c>
      <c r="F23" s="64">
        <v>7.39</v>
      </c>
      <c r="G23" s="64">
        <v>117.15</v>
      </c>
      <c r="H23" s="64">
        <v>2.36</v>
      </c>
      <c r="I23" s="64">
        <v>4.16</v>
      </c>
      <c r="J23" s="64">
        <v>0.25</v>
      </c>
      <c r="K23" s="64">
        <v>226.04</v>
      </c>
      <c r="L23" s="64">
        <v>20.84</v>
      </c>
      <c r="M23" s="64">
        <v>35.01</v>
      </c>
      <c r="N23" s="64">
        <v>57.1</v>
      </c>
      <c r="O23" s="64">
        <v>0</v>
      </c>
      <c r="P23" s="64">
        <v>1.29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47" t="s">
        <v>3043</v>
      </c>
      <c r="B24" s="251" t="s">
        <v>36</v>
      </c>
      <c r="C24" s="251" t="s">
        <v>36</v>
      </c>
      <c r="D24" s="251" t="s">
        <v>36</v>
      </c>
      <c r="E24" s="64">
        <v>7.73</v>
      </c>
      <c r="F24" s="64">
        <v>8.24</v>
      </c>
      <c r="G24" s="64">
        <v>119.45</v>
      </c>
      <c r="H24" s="64">
        <v>8.8800000000000008</v>
      </c>
      <c r="I24" s="64">
        <v>4.12</v>
      </c>
      <c r="J24" s="64">
        <v>0.31</v>
      </c>
      <c r="K24" s="64">
        <v>320.49</v>
      </c>
      <c r="L24" s="64">
        <v>20.2</v>
      </c>
      <c r="M24" s="64">
        <v>36.89</v>
      </c>
      <c r="N24" s="64">
        <v>56.9</v>
      </c>
      <c r="O24" s="64">
        <v>0</v>
      </c>
      <c r="P24" s="64">
        <v>1.17</v>
      </c>
      <c r="Q24" s="64">
        <v>9.58</v>
      </c>
      <c r="R24" s="198"/>
      <c r="S24" s="198"/>
      <c r="T24" s="198"/>
      <c r="U24" s="198"/>
    </row>
    <row r="25" spans="1:21" s="12" customFormat="1" x14ac:dyDescent="0.25">
      <c r="A25" s="247" t="s">
        <v>3044</v>
      </c>
      <c r="B25" s="251" t="s">
        <v>36</v>
      </c>
      <c r="C25" s="251" t="s">
        <v>36</v>
      </c>
      <c r="D25" s="251" t="s">
        <v>36</v>
      </c>
      <c r="E25" s="64">
        <v>5.38</v>
      </c>
      <c r="F25" s="64">
        <v>7.36</v>
      </c>
      <c r="G25" s="64">
        <v>127.01</v>
      </c>
      <c r="H25" s="64">
        <v>30.32</v>
      </c>
      <c r="I25" s="64">
        <v>3.91</v>
      </c>
      <c r="J25" s="64">
        <v>0.53</v>
      </c>
      <c r="K25" s="64">
        <v>312.76</v>
      </c>
      <c r="L25" s="64">
        <v>19.91</v>
      </c>
      <c r="M25" s="64">
        <v>40.299999999999997</v>
      </c>
      <c r="N25" s="64">
        <v>56.7</v>
      </c>
      <c r="O25" s="64">
        <v>0</v>
      </c>
      <c r="P25" s="64">
        <v>1.2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47" t="s">
        <v>3045</v>
      </c>
      <c r="B26" s="251" t="s">
        <v>36</v>
      </c>
      <c r="C26" s="251" t="s">
        <v>36</v>
      </c>
      <c r="D26" s="251" t="s">
        <v>36</v>
      </c>
      <c r="E26" s="64">
        <v>8.7200000000000006</v>
      </c>
      <c r="F26" s="64">
        <v>7.22</v>
      </c>
      <c r="G26" s="64">
        <v>127.01</v>
      </c>
      <c r="H26" s="64">
        <v>30.32</v>
      </c>
      <c r="I26" s="64">
        <v>3.83</v>
      </c>
      <c r="J26" s="64">
        <v>0.38</v>
      </c>
      <c r="K26" s="64">
        <v>303.04000000000002</v>
      </c>
      <c r="L26" s="64">
        <v>19.52</v>
      </c>
      <c r="M26" s="64">
        <v>39.46</v>
      </c>
      <c r="N26" s="64">
        <v>56.8</v>
      </c>
      <c r="O26" s="64">
        <v>0</v>
      </c>
      <c r="P26" s="64">
        <v>1.27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47" t="s">
        <v>3046</v>
      </c>
      <c r="B27" s="251" t="s">
        <v>36</v>
      </c>
      <c r="C27" s="251" t="s">
        <v>36</v>
      </c>
      <c r="D27" s="251" t="s">
        <v>36</v>
      </c>
      <c r="E27" s="64">
        <v>9.2899999999999991</v>
      </c>
      <c r="F27" s="64">
        <v>6.79</v>
      </c>
      <c r="G27" s="64">
        <v>127.01</v>
      </c>
      <c r="H27" s="64">
        <v>30.32</v>
      </c>
      <c r="I27" s="64">
        <v>3.98</v>
      </c>
      <c r="J27" s="64">
        <v>0.73</v>
      </c>
      <c r="K27" s="64">
        <v>2.16</v>
      </c>
      <c r="L27" s="64">
        <v>19.47</v>
      </c>
      <c r="M27" s="64">
        <v>40.39</v>
      </c>
      <c r="N27" s="64">
        <v>56.2</v>
      </c>
      <c r="O27" s="64">
        <v>0</v>
      </c>
      <c r="P27" s="64">
        <v>1.24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47" t="s">
        <v>3047</v>
      </c>
      <c r="B28" s="251" t="s">
        <v>36</v>
      </c>
      <c r="C28" s="251" t="s">
        <v>36</v>
      </c>
      <c r="D28" s="251" t="s">
        <v>36</v>
      </c>
      <c r="E28" s="64">
        <v>17.16</v>
      </c>
      <c r="F28" s="64">
        <v>8.7200000000000006</v>
      </c>
      <c r="G28" s="64">
        <v>136.62</v>
      </c>
      <c r="H28" s="64">
        <v>28.34</v>
      </c>
      <c r="I28" s="64">
        <v>3.97</v>
      </c>
      <c r="J28" s="64">
        <v>0.77</v>
      </c>
      <c r="K28" s="64">
        <v>12.13</v>
      </c>
      <c r="L28" s="64">
        <v>19.89</v>
      </c>
      <c r="M28" s="64">
        <v>36.69</v>
      </c>
      <c r="N28" s="64">
        <v>55.8</v>
      </c>
      <c r="O28" s="64">
        <v>0</v>
      </c>
      <c r="P28" s="64">
        <v>1.33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47" t="s">
        <v>3048</v>
      </c>
      <c r="B29" s="251" t="s">
        <v>36</v>
      </c>
      <c r="C29" s="251" t="s">
        <v>36</v>
      </c>
      <c r="D29" s="251" t="s">
        <v>36</v>
      </c>
      <c r="E29" s="64">
        <v>8.31</v>
      </c>
      <c r="F29" s="64">
        <v>7.37</v>
      </c>
      <c r="G29" s="64">
        <v>168.2</v>
      </c>
      <c r="H29" s="64">
        <v>21.8</v>
      </c>
      <c r="I29" s="64">
        <v>3.92</v>
      </c>
      <c r="J29" s="64">
        <v>0.78</v>
      </c>
      <c r="K29" s="64">
        <v>4.41</v>
      </c>
      <c r="L29" s="64">
        <v>20.010000000000002</v>
      </c>
      <c r="M29" s="64">
        <v>39.72</v>
      </c>
      <c r="N29" s="64">
        <v>56.2</v>
      </c>
      <c r="O29" s="64">
        <v>0</v>
      </c>
      <c r="P29" s="64">
        <v>1.28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47" t="s">
        <v>3049</v>
      </c>
      <c r="B30" s="251" t="s">
        <v>36</v>
      </c>
      <c r="C30" s="251" t="s">
        <v>36</v>
      </c>
      <c r="D30" s="251" t="s">
        <v>36</v>
      </c>
      <c r="E30" s="64">
        <v>13.94</v>
      </c>
      <c r="F30" s="64">
        <v>8.35</v>
      </c>
      <c r="G30" s="64">
        <v>168.2</v>
      </c>
      <c r="H30" s="64">
        <v>21.8</v>
      </c>
      <c r="I30" s="64">
        <v>3.87</v>
      </c>
      <c r="J30" s="64">
        <v>1.07</v>
      </c>
      <c r="K30" s="64">
        <v>353.06</v>
      </c>
      <c r="L30" s="64">
        <v>19.98</v>
      </c>
      <c r="M30" s="64">
        <v>39.6</v>
      </c>
      <c r="N30" s="64">
        <v>55.7</v>
      </c>
      <c r="O30" s="64">
        <v>0</v>
      </c>
      <c r="P30" s="64">
        <v>1.31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47" t="s">
        <v>3050</v>
      </c>
      <c r="B31" s="251" t="s">
        <v>36</v>
      </c>
      <c r="C31" s="251" t="s">
        <v>36</v>
      </c>
      <c r="D31" s="251" t="s">
        <v>36</v>
      </c>
      <c r="E31" s="64">
        <v>16.25</v>
      </c>
      <c r="F31" s="64">
        <v>7.46</v>
      </c>
      <c r="G31" s="64">
        <v>168.2</v>
      </c>
      <c r="H31" s="64">
        <v>21.8</v>
      </c>
      <c r="I31" s="64">
        <v>4.0999999999999996</v>
      </c>
      <c r="J31" s="64">
        <v>0.76</v>
      </c>
      <c r="K31" s="64">
        <v>3.36</v>
      </c>
      <c r="L31" s="64">
        <v>20.05</v>
      </c>
      <c r="M31" s="64">
        <v>36.97</v>
      </c>
      <c r="N31" s="64">
        <v>56.7</v>
      </c>
      <c r="O31" s="64">
        <v>0</v>
      </c>
      <c r="P31" s="64">
        <v>1.34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47" t="s">
        <v>3051</v>
      </c>
      <c r="B32" s="251" t="s">
        <v>36</v>
      </c>
      <c r="C32" s="251" t="s">
        <v>36</v>
      </c>
      <c r="D32" s="251" t="s">
        <v>36</v>
      </c>
      <c r="E32" s="64">
        <v>48.98</v>
      </c>
      <c r="F32" s="64">
        <v>9.1300000000000008</v>
      </c>
      <c r="G32" s="64">
        <v>170.25</v>
      </c>
      <c r="H32" s="64">
        <v>17.48</v>
      </c>
      <c r="I32" s="64">
        <v>4.16</v>
      </c>
      <c r="J32" s="64">
        <v>0.24</v>
      </c>
      <c r="K32" s="64">
        <v>17.190000000000001</v>
      </c>
      <c r="L32" s="64">
        <v>19.89</v>
      </c>
      <c r="M32" s="64">
        <v>36.159999999999997</v>
      </c>
      <c r="N32" s="64">
        <v>59.3</v>
      </c>
      <c r="O32" s="64">
        <v>0</v>
      </c>
      <c r="P32" s="64">
        <v>1.4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47" t="s">
        <v>3052</v>
      </c>
      <c r="B33" s="251" t="s">
        <v>36</v>
      </c>
      <c r="C33" s="251" t="s">
        <v>36</v>
      </c>
      <c r="D33" s="251" t="s">
        <v>36</v>
      </c>
      <c r="E33" s="64">
        <v>53.83</v>
      </c>
      <c r="F33" s="64">
        <v>10.039999999999999</v>
      </c>
      <c r="G33" s="64">
        <v>176.97</v>
      </c>
      <c r="H33" s="64">
        <v>3.29</v>
      </c>
      <c r="I33" s="64">
        <v>3.92</v>
      </c>
      <c r="J33" s="64">
        <v>0.55000000000000004</v>
      </c>
      <c r="K33" s="64">
        <v>80.959999999999994</v>
      </c>
      <c r="L33" s="64">
        <v>20.28</v>
      </c>
      <c r="M33" s="64">
        <v>34.799999999999997</v>
      </c>
      <c r="N33" s="64">
        <v>68.5</v>
      </c>
      <c r="O33" s="64">
        <v>0</v>
      </c>
      <c r="P33" s="64">
        <v>1.36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47" t="s">
        <v>3053</v>
      </c>
      <c r="B34" s="251" t="s">
        <v>36</v>
      </c>
      <c r="C34" s="251" t="s">
        <v>36</v>
      </c>
      <c r="D34" s="251" t="s">
        <v>36</v>
      </c>
      <c r="E34" s="64">
        <v>56.75</v>
      </c>
      <c r="F34" s="64">
        <v>10.82</v>
      </c>
      <c r="G34" s="64">
        <v>176.97</v>
      </c>
      <c r="H34" s="64">
        <v>3.29</v>
      </c>
      <c r="I34" s="64">
        <v>3.96</v>
      </c>
      <c r="J34" s="64">
        <v>0.59</v>
      </c>
      <c r="K34" s="64">
        <v>26.78</v>
      </c>
      <c r="L34" s="64">
        <v>20.61</v>
      </c>
      <c r="M34" s="64">
        <v>33.729999999999997</v>
      </c>
      <c r="N34" s="64">
        <v>87.4</v>
      </c>
      <c r="O34" s="64">
        <v>0</v>
      </c>
      <c r="P34" s="64">
        <v>1.44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47" t="s">
        <v>3054</v>
      </c>
      <c r="B35" s="251" t="s">
        <v>36</v>
      </c>
      <c r="C35" s="251" t="s">
        <v>36</v>
      </c>
      <c r="D35" s="251" t="s">
        <v>36</v>
      </c>
      <c r="E35" s="64">
        <v>35.5</v>
      </c>
      <c r="F35" s="64">
        <v>12.11</v>
      </c>
      <c r="G35" s="64">
        <v>176.97</v>
      </c>
      <c r="H35" s="64">
        <v>3.29</v>
      </c>
      <c r="I35" s="64">
        <v>3.85</v>
      </c>
      <c r="J35" s="64">
        <v>0.63</v>
      </c>
      <c r="K35" s="64">
        <v>66.290000000000006</v>
      </c>
      <c r="L35" s="64">
        <v>21.25</v>
      </c>
      <c r="M35" s="64">
        <v>31.48</v>
      </c>
      <c r="N35" s="64">
        <v>116</v>
      </c>
      <c r="O35" s="64">
        <v>0</v>
      </c>
      <c r="P35" s="64">
        <v>1.31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47" t="s">
        <v>3055</v>
      </c>
      <c r="B36" s="251" t="s">
        <v>36</v>
      </c>
      <c r="C36" s="251" t="s">
        <v>36</v>
      </c>
      <c r="D36" s="251" t="s">
        <v>36</v>
      </c>
      <c r="E36" s="64">
        <v>24.58</v>
      </c>
      <c r="F36" s="64">
        <v>14.64</v>
      </c>
      <c r="G36" s="64">
        <v>176.31</v>
      </c>
      <c r="H36" s="64">
        <v>7.79</v>
      </c>
      <c r="I36" s="64">
        <v>3.85</v>
      </c>
      <c r="J36" s="64">
        <v>0.74</v>
      </c>
      <c r="K36" s="64">
        <v>45.3</v>
      </c>
      <c r="L36" s="64">
        <v>22.22</v>
      </c>
      <c r="M36" s="64">
        <v>28.14</v>
      </c>
      <c r="N36" s="64">
        <v>154</v>
      </c>
      <c r="O36" s="64">
        <v>0</v>
      </c>
      <c r="P36" s="64">
        <v>1.2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47" t="s">
        <v>3056</v>
      </c>
      <c r="B37" s="251" t="s">
        <v>36</v>
      </c>
      <c r="C37" s="251" t="s">
        <v>36</v>
      </c>
      <c r="D37" s="251" t="s">
        <v>36</v>
      </c>
      <c r="E37" s="64">
        <v>9.84</v>
      </c>
      <c r="F37" s="64">
        <v>11.81</v>
      </c>
      <c r="G37" s="64">
        <v>174.17</v>
      </c>
      <c r="H37" s="64">
        <v>22.6</v>
      </c>
      <c r="I37" s="64">
        <v>3.95</v>
      </c>
      <c r="J37" s="64">
        <v>0.8</v>
      </c>
      <c r="K37" s="64">
        <v>77.650000000000006</v>
      </c>
      <c r="L37" s="64">
        <v>23.13</v>
      </c>
      <c r="M37" s="64">
        <v>24.5</v>
      </c>
      <c r="N37" s="64">
        <v>196.8</v>
      </c>
      <c r="O37" s="64">
        <v>0</v>
      </c>
      <c r="P37" s="64">
        <v>1.07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47" t="s">
        <v>3057</v>
      </c>
      <c r="B38" s="251" t="s">
        <v>36</v>
      </c>
      <c r="C38" s="251" t="s">
        <v>36</v>
      </c>
      <c r="D38" s="251" t="s">
        <v>36</v>
      </c>
      <c r="E38" s="64">
        <v>8.07</v>
      </c>
      <c r="F38" s="64">
        <v>9.86</v>
      </c>
      <c r="G38" s="64">
        <v>174.17</v>
      </c>
      <c r="H38" s="64">
        <v>22.6</v>
      </c>
      <c r="I38" s="64">
        <v>4.04</v>
      </c>
      <c r="J38" s="64">
        <v>1.01</v>
      </c>
      <c r="K38" s="64">
        <v>70.819999999999993</v>
      </c>
      <c r="L38" s="64">
        <v>23.86</v>
      </c>
      <c r="M38" s="64">
        <v>22.7</v>
      </c>
      <c r="N38" s="64">
        <v>241.9</v>
      </c>
      <c r="O38" s="64">
        <v>0</v>
      </c>
      <c r="P38" s="64">
        <v>1.1200000000000001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47" t="s">
        <v>3058</v>
      </c>
      <c r="B39" s="251" t="s">
        <v>36</v>
      </c>
      <c r="C39" s="251" t="s">
        <v>36</v>
      </c>
      <c r="D39" s="251" t="s">
        <v>36</v>
      </c>
      <c r="E39" s="64">
        <v>7.27</v>
      </c>
      <c r="F39" s="64">
        <v>9.7200000000000006</v>
      </c>
      <c r="G39" s="64">
        <v>174.17</v>
      </c>
      <c r="H39" s="64">
        <v>22.6</v>
      </c>
      <c r="I39" s="64">
        <v>3.86</v>
      </c>
      <c r="J39" s="64">
        <v>0.77</v>
      </c>
      <c r="K39" s="64">
        <v>84.14</v>
      </c>
      <c r="L39" s="64">
        <v>24.84</v>
      </c>
      <c r="M39" s="64">
        <v>21.92</v>
      </c>
      <c r="N39" s="64">
        <v>285.5</v>
      </c>
      <c r="O39" s="64">
        <v>0</v>
      </c>
      <c r="P39" s="64">
        <v>1.1299999999999999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47" t="s">
        <v>3059</v>
      </c>
      <c r="B40" s="251" t="s">
        <v>36</v>
      </c>
      <c r="C40" s="251" t="s">
        <v>36</v>
      </c>
      <c r="D40" s="251" t="s">
        <v>36</v>
      </c>
      <c r="E40" s="64">
        <v>4.8600000000000003</v>
      </c>
      <c r="F40" s="64">
        <v>7.58</v>
      </c>
      <c r="G40" s="64">
        <v>153.87</v>
      </c>
      <c r="H40" s="64">
        <v>26.67</v>
      </c>
      <c r="I40" s="64">
        <v>3.8</v>
      </c>
      <c r="J40" s="64">
        <v>0.6</v>
      </c>
      <c r="K40" s="64">
        <v>47.78</v>
      </c>
      <c r="L40" s="64">
        <v>25.5</v>
      </c>
      <c r="M40" s="64">
        <v>20.96</v>
      </c>
      <c r="N40" s="64">
        <v>331.2</v>
      </c>
      <c r="O40" s="64">
        <v>0</v>
      </c>
      <c r="P40" s="64">
        <v>1.19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47" t="s">
        <v>3060</v>
      </c>
      <c r="B41" s="251" t="s">
        <v>36</v>
      </c>
      <c r="C41" s="251" t="s">
        <v>36</v>
      </c>
      <c r="D41" s="251" t="s">
        <v>36</v>
      </c>
      <c r="E41" s="64">
        <v>5.68</v>
      </c>
      <c r="F41" s="64">
        <v>9.52</v>
      </c>
      <c r="G41" s="64">
        <v>87.18</v>
      </c>
      <c r="H41" s="64">
        <v>40.049999999999997</v>
      </c>
      <c r="I41" s="64">
        <v>3.91</v>
      </c>
      <c r="J41" s="64">
        <v>0.74</v>
      </c>
      <c r="K41" s="64">
        <v>31.73</v>
      </c>
      <c r="L41" s="64">
        <v>26.51</v>
      </c>
      <c r="M41" s="64">
        <v>20.58</v>
      </c>
      <c r="N41" s="64">
        <v>372.3</v>
      </c>
      <c r="O41" s="64">
        <v>0</v>
      </c>
      <c r="P41" s="64">
        <v>1.1200000000000001</v>
      </c>
      <c r="Q41" s="64">
        <v>9.58</v>
      </c>
      <c r="R41" s="198"/>
      <c r="S41" s="198"/>
      <c r="T41" s="198"/>
      <c r="U41" s="198"/>
    </row>
    <row r="42" spans="1:21" s="12" customFormat="1" x14ac:dyDescent="0.25">
      <c r="A42" s="247" t="s">
        <v>3061</v>
      </c>
      <c r="B42" s="251" t="s">
        <v>36</v>
      </c>
      <c r="C42" s="251" t="s">
        <v>36</v>
      </c>
      <c r="D42" s="251" t="s">
        <v>36</v>
      </c>
      <c r="E42" s="64">
        <v>6.17</v>
      </c>
      <c r="F42" s="64">
        <v>9.07</v>
      </c>
      <c r="G42" s="64">
        <v>87.18</v>
      </c>
      <c r="H42" s="64">
        <v>40.049999999999997</v>
      </c>
      <c r="I42" s="64">
        <v>3.9</v>
      </c>
      <c r="J42" s="64">
        <v>0.72</v>
      </c>
      <c r="K42" s="64">
        <v>67.319999999999993</v>
      </c>
      <c r="L42" s="64">
        <v>26.92</v>
      </c>
      <c r="M42" s="64">
        <v>20.170000000000002</v>
      </c>
      <c r="N42" s="64">
        <v>415.2</v>
      </c>
      <c r="O42" s="64">
        <v>0</v>
      </c>
      <c r="P42" s="64">
        <v>1.1000000000000001</v>
      </c>
      <c r="Q42" s="64">
        <v>9.58</v>
      </c>
      <c r="R42" s="198"/>
      <c r="S42" s="198"/>
      <c r="T42" s="198"/>
      <c r="U42" s="198"/>
    </row>
    <row r="43" spans="1:21" s="12" customFormat="1" x14ac:dyDescent="0.25">
      <c r="A43" s="247" t="s">
        <v>3062</v>
      </c>
      <c r="B43" s="251" t="s">
        <v>36</v>
      </c>
      <c r="C43" s="251" t="s">
        <v>36</v>
      </c>
      <c r="D43" s="251" t="s">
        <v>36</v>
      </c>
      <c r="E43" s="64">
        <v>5.2</v>
      </c>
      <c r="F43" s="64">
        <v>9.82</v>
      </c>
      <c r="G43" s="64">
        <v>87.18</v>
      </c>
      <c r="H43" s="64">
        <v>40.049999999999997</v>
      </c>
      <c r="I43" s="64">
        <v>3.79</v>
      </c>
      <c r="J43" s="64">
        <v>0.7</v>
      </c>
      <c r="K43" s="64">
        <v>29.72</v>
      </c>
      <c r="L43" s="64">
        <v>27.89</v>
      </c>
      <c r="M43" s="64">
        <v>19.36</v>
      </c>
      <c r="N43" s="64">
        <v>454</v>
      </c>
      <c r="O43" s="64">
        <v>0</v>
      </c>
      <c r="P43" s="64">
        <v>1.0900000000000001</v>
      </c>
      <c r="Q43" s="64">
        <v>9.57</v>
      </c>
      <c r="R43" s="198"/>
      <c r="S43" s="198"/>
      <c r="T43" s="198"/>
      <c r="U43" s="198"/>
    </row>
    <row r="44" spans="1:21" s="12" customFormat="1" x14ac:dyDescent="0.25">
      <c r="A44" s="247" t="s">
        <v>3063</v>
      </c>
      <c r="B44" s="251" t="s">
        <v>36</v>
      </c>
      <c r="C44" s="251" t="s">
        <v>36</v>
      </c>
      <c r="D44" s="251" t="s">
        <v>36</v>
      </c>
      <c r="E44" s="64">
        <v>6.92</v>
      </c>
      <c r="F44" s="64">
        <v>12.13</v>
      </c>
      <c r="G44" s="64">
        <v>94.43</v>
      </c>
      <c r="H44" s="64">
        <v>37.83</v>
      </c>
      <c r="I44" s="64">
        <v>4</v>
      </c>
      <c r="J44" s="64">
        <v>0.86</v>
      </c>
      <c r="K44" s="64">
        <v>60.01</v>
      </c>
      <c r="L44" s="64">
        <v>28.09</v>
      </c>
      <c r="M44" s="64">
        <v>19.329999999999998</v>
      </c>
      <c r="N44" s="64">
        <v>496.5</v>
      </c>
      <c r="O44" s="64">
        <v>0</v>
      </c>
      <c r="P44" s="64">
        <v>1.03</v>
      </c>
      <c r="Q44" s="64">
        <v>9.56</v>
      </c>
      <c r="R44" s="198"/>
      <c r="S44" s="198"/>
      <c r="T44" s="198"/>
      <c r="U44" s="198"/>
    </row>
    <row r="45" spans="1:21" s="12" customFormat="1" x14ac:dyDescent="0.25">
      <c r="A45" s="247" t="s">
        <v>3064</v>
      </c>
      <c r="B45" s="251" t="s">
        <v>36</v>
      </c>
      <c r="C45" s="251" t="s">
        <v>36</v>
      </c>
      <c r="D45" s="251" t="s">
        <v>36</v>
      </c>
      <c r="E45" s="64">
        <v>14.36</v>
      </c>
      <c r="F45" s="64">
        <v>15.72</v>
      </c>
      <c r="G45" s="64">
        <v>118</v>
      </c>
      <c r="H45" s="64">
        <v>30.56</v>
      </c>
      <c r="I45" s="64">
        <v>4.1900000000000004</v>
      </c>
      <c r="J45" s="64">
        <v>0.74</v>
      </c>
      <c r="K45" s="64">
        <v>66.709999999999994</v>
      </c>
      <c r="L45" s="64">
        <v>29.44</v>
      </c>
      <c r="M45" s="64">
        <v>17.89</v>
      </c>
      <c r="N45" s="64">
        <v>539.79999999999995</v>
      </c>
      <c r="O45" s="64">
        <v>0</v>
      </c>
      <c r="P45" s="64">
        <v>0.96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47" t="s">
        <v>3065</v>
      </c>
      <c r="B46" s="251" t="s">
        <v>36</v>
      </c>
      <c r="C46" s="251" t="s">
        <v>36</v>
      </c>
      <c r="D46" s="251" t="s">
        <v>36</v>
      </c>
      <c r="E46" s="64">
        <v>17.45</v>
      </c>
      <c r="F46" s="64">
        <v>18.29</v>
      </c>
      <c r="G46" s="64">
        <v>118</v>
      </c>
      <c r="H46" s="64">
        <v>30.56</v>
      </c>
      <c r="I46" s="64">
        <v>3.94</v>
      </c>
      <c r="J46" s="64">
        <v>0.87</v>
      </c>
      <c r="K46" s="64">
        <v>13.9</v>
      </c>
      <c r="L46" s="64">
        <v>29.88</v>
      </c>
      <c r="M46" s="64">
        <v>17.03</v>
      </c>
      <c r="N46" s="64">
        <v>581.5</v>
      </c>
      <c r="O46" s="64">
        <v>0</v>
      </c>
      <c r="P46" s="64">
        <v>0.93</v>
      </c>
      <c r="Q46" s="64">
        <v>9.5500000000000007</v>
      </c>
      <c r="R46" s="198"/>
      <c r="S46" s="198"/>
      <c r="T46" s="198"/>
      <c r="U46" s="198"/>
    </row>
    <row r="47" spans="1:21" s="12" customFormat="1" x14ac:dyDescent="0.25">
      <c r="A47" s="247" t="s">
        <v>3066</v>
      </c>
      <c r="B47" s="251" t="s">
        <v>36</v>
      </c>
      <c r="C47" s="251" t="s">
        <v>36</v>
      </c>
      <c r="D47" s="251" t="s">
        <v>36</v>
      </c>
      <c r="E47" s="64">
        <v>14.18</v>
      </c>
      <c r="F47" s="64">
        <v>18.850000000000001</v>
      </c>
      <c r="G47" s="64">
        <v>118</v>
      </c>
      <c r="H47" s="64">
        <v>30.56</v>
      </c>
      <c r="I47" s="64">
        <v>3.96</v>
      </c>
      <c r="J47" s="64">
        <v>1.92</v>
      </c>
      <c r="K47" s="64">
        <v>1.02</v>
      </c>
      <c r="L47" s="64">
        <v>31.82</v>
      </c>
      <c r="M47" s="64">
        <v>14.99</v>
      </c>
      <c r="N47" s="64">
        <v>625.5</v>
      </c>
      <c r="O47" s="64">
        <v>0</v>
      </c>
      <c r="P47" s="64">
        <v>0.91</v>
      </c>
      <c r="Q47" s="64">
        <v>9.51</v>
      </c>
      <c r="R47" s="198"/>
      <c r="S47" s="198"/>
      <c r="T47" s="198"/>
      <c r="U47" s="198"/>
    </row>
    <row r="48" spans="1:21" s="12" customFormat="1" x14ac:dyDescent="0.25">
      <c r="A48" s="247" t="s">
        <v>3067</v>
      </c>
      <c r="B48" s="64">
        <v>1.17</v>
      </c>
      <c r="C48" s="64">
        <v>215.77</v>
      </c>
      <c r="D48" s="64">
        <v>113.67</v>
      </c>
      <c r="E48" s="64">
        <v>19.21</v>
      </c>
      <c r="F48" s="64">
        <v>27.76</v>
      </c>
      <c r="G48" s="64">
        <v>105.03</v>
      </c>
      <c r="H48" s="64">
        <v>32.47</v>
      </c>
      <c r="I48" s="64">
        <v>3.98</v>
      </c>
      <c r="J48" s="64">
        <v>2.19</v>
      </c>
      <c r="K48" s="64">
        <v>0.77</v>
      </c>
      <c r="L48" s="64">
        <v>32.93</v>
      </c>
      <c r="M48" s="64">
        <v>13.9</v>
      </c>
      <c r="N48" s="64">
        <v>664.1</v>
      </c>
      <c r="O48" s="64">
        <v>0</v>
      </c>
      <c r="P48" s="64">
        <v>0.82</v>
      </c>
      <c r="Q48" s="64">
        <v>9.5</v>
      </c>
      <c r="R48" s="198"/>
      <c r="S48" s="198"/>
      <c r="T48" s="198"/>
      <c r="U48" s="198"/>
    </row>
    <row r="49" spans="1:21" s="12" customFormat="1" x14ac:dyDescent="0.25">
      <c r="A49" s="247" t="s">
        <v>3068</v>
      </c>
      <c r="B49" s="64">
        <v>4.6399999999999997</v>
      </c>
      <c r="C49" s="64">
        <v>323.05</v>
      </c>
      <c r="D49" s="64">
        <v>172.5</v>
      </c>
      <c r="E49" s="64">
        <v>15.3</v>
      </c>
      <c r="F49" s="64">
        <v>27.6</v>
      </c>
      <c r="G49" s="64">
        <v>69.22</v>
      </c>
      <c r="H49" s="64">
        <v>38.76</v>
      </c>
      <c r="I49" s="64">
        <v>4.17</v>
      </c>
      <c r="J49" s="64">
        <v>1.51</v>
      </c>
      <c r="K49" s="64">
        <v>16.190000000000001</v>
      </c>
      <c r="L49" s="64">
        <v>32.130000000000003</v>
      </c>
      <c r="M49" s="64">
        <v>14.08</v>
      </c>
      <c r="N49" s="64">
        <v>690.5</v>
      </c>
      <c r="O49" s="64">
        <v>0</v>
      </c>
      <c r="P49" s="64">
        <v>0.77</v>
      </c>
      <c r="Q49" s="64">
        <v>9.44</v>
      </c>
      <c r="R49" s="198"/>
      <c r="S49" s="198"/>
      <c r="T49" s="198"/>
      <c r="U49" s="198"/>
    </row>
    <row r="50" spans="1:21" s="12" customFormat="1" x14ac:dyDescent="0.25">
      <c r="A50" s="247" t="s">
        <v>3069</v>
      </c>
      <c r="B50" s="64">
        <v>3.77</v>
      </c>
      <c r="C50" s="64">
        <v>224</v>
      </c>
      <c r="D50" s="64">
        <v>120.06</v>
      </c>
      <c r="E50" s="64">
        <v>12.73</v>
      </c>
      <c r="F50" s="64">
        <v>28.58</v>
      </c>
      <c r="G50" s="64">
        <v>69.22</v>
      </c>
      <c r="H50" s="64">
        <v>38.76</v>
      </c>
      <c r="I50" s="64">
        <v>3.97</v>
      </c>
      <c r="J50" s="64">
        <v>1.32</v>
      </c>
      <c r="K50" s="64">
        <v>13.23</v>
      </c>
      <c r="L50" s="64">
        <v>32.49</v>
      </c>
      <c r="M50" s="64">
        <v>13.53</v>
      </c>
      <c r="N50" s="64">
        <v>713.7</v>
      </c>
      <c r="O50" s="64">
        <v>0</v>
      </c>
      <c r="P50" s="64">
        <v>0.76</v>
      </c>
      <c r="Q50" s="64">
        <v>9.44</v>
      </c>
      <c r="R50" s="198"/>
      <c r="S50" s="198"/>
      <c r="T50" s="198"/>
      <c r="U50" s="198"/>
    </row>
    <row r="51" spans="1:21" s="12" customFormat="1" x14ac:dyDescent="0.25">
      <c r="A51" s="247" t="s">
        <v>3070</v>
      </c>
      <c r="B51" s="64">
        <v>4.76</v>
      </c>
      <c r="C51" s="64">
        <v>208.49</v>
      </c>
      <c r="D51" s="64">
        <v>112.74</v>
      </c>
      <c r="E51" s="64">
        <v>13.63</v>
      </c>
      <c r="F51" s="64">
        <v>27.05</v>
      </c>
      <c r="G51" s="64">
        <v>69.22</v>
      </c>
      <c r="H51" s="64">
        <v>38.76</v>
      </c>
      <c r="I51" s="64">
        <v>3.92</v>
      </c>
      <c r="J51" s="64">
        <v>1.43</v>
      </c>
      <c r="K51" s="64">
        <v>16.98</v>
      </c>
      <c r="L51" s="64">
        <v>32.6</v>
      </c>
      <c r="M51" s="64">
        <v>12.87</v>
      </c>
      <c r="N51" s="64">
        <v>730.6</v>
      </c>
      <c r="O51" s="64">
        <v>0</v>
      </c>
      <c r="P51" s="64">
        <v>0.74</v>
      </c>
      <c r="Q51" s="64">
        <v>9.44</v>
      </c>
      <c r="R51" s="198"/>
      <c r="S51" s="198"/>
      <c r="T51" s="198"/>
      <c r="U51" s="198"/>
    </row>
    <row r="52" spans="1:21" s="12" customFormat="1" x14ac:dyDescent="0.25">
      <c r="A52" s="247" t="s">
        <v>3071</v>
      </c>
      <c r="B52" s="64">
        <v>3.27</v>
      </c>
      <c r="C52" s="64">
        <v>193.74</v>
      </c>
      <c r="D52" s="64">
        <v>103.84</v>
      </c>
      <c r="E52" s="64">
        <v>11.43</v>
      </c>
      <c r="F52" s="64">
        <v>25.12</v>
      </c>
      <c r="G52" s="64">
        <v>75.8</v>
      </c>
      <c r="H52" s="64">
        <v>38.19</v>
      </c>
      <c r="I52" s="64">
        <v>4.03</v>
      </c>
      <c r="J52" s="64">
        <v>1.26</v>
      </c>
      <c r="K52" s="64">
        <v>19.66</v>
      </c>
      <c r="L52" s="64">
        <v>33.729999999999997</v>
      </c>
      <c r="M52" s="64">
        <v>12.02</v>
      </c>
      <c r="N52" s="64">
        <v>738.9</v>
      </c>
      <c r="O52" s="64">
        <v>0</v>
      </c>
      <c r="P52" s="64">
        <v>0.72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47" t="s">
        <v>3072</v>
      </c>
      <c r="B53" s="64">
        <v>5.67</v>
      </c>
      <c r="C53" s="64">
        <v>187.63</v>
      </c>
      <c r="D53" s="64">
        <v>102.58</v>
      </c>
      <c r="E53" s="64">
        <v>17.22</v>
      </c>
      <c r="F53" s="64">
        <v>22.08</v>
      </c>
      <c r="G53" s="64">
        <v>103.92</v>
      </c>
      <c r="H53" s="64">
        <v>36.31</v>
      </c>
      <c r="I53" s="64">
        <v>3.93</v>
      </c>
      <c r="J53" s="64">
        <v>1.1499999999999999</v>
      </c>
      <c r="K53" s="64">
        <v>38.26</v>
      </c>
      <c r="L53" s="64">
        <v>34.29</v>
      </c>
      <c r="M53" s="64">
        <v>11.12</v>
      </c>
      <c r="N53" s="64">
        <v>756.5</v>
      </c>
      <c r="O53" s="64">
        <v>0</v>
      </c>
      <c r="P53" s="64">
        <v>0.71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47" t="s">
        <v>3073</v>
      </c>
      <c r="B54" s="64">
        <v>7.31</v>
      </c>
      <c r="C54" s="64">
        <v>173.74</v>
      </c>
      <c r="D54" s="64">
        <v>96.64</v>
      </c>
      <c r="E54" s="64">
        <v>19.940000000000001</v>
      </c>
      <c r="F54" s="64">
        <v>22.84</v>
      </c>
      <c r="G54" s="64">
        <v>103.92</v>
      </c>
      <c r="H54" s="64">
        <v>36.31</v>
      </c>
      <c r="I54" s="64">
        <v>3.98</v>
      </c>
      <c r="J54" s="64">
        <v>1.49</v>
      </c>
      <c r="K54" s="64">
        <v>5.36</v>
      </c>
      <c r="L54" s="64">
        <v>34.74</v>
      </c>
      <c r="M54" s="64">
        <v>10.64</v>
      </c>
      <c r="N54" s="64">
        <v>769.6</v>
      </c>
      <c r="O54" s="64">
        <v>0</v>
      </c>
      <c r="P54" s="64">
        <v>0.62</v>
      </c>
      <c r="Q54" s="64">
        <v>9.4700000000000006</v>
      </c>
      <c r="R54" s="198"/>
      <c r="S54" s="198"/>
      <c r="T54" s="198"/>
      <c r="U54" s="198"/>
    </row>
    <row r="55" spans="1:21" s="12" customFormat="1" x14ac:dyDescent="0.25">
      <c r="A55" s="247" t="s">
        <v>3074</v>
      </c>
      <c r="B55" s="64">
        <v>2.65</v>
      </c>
      <c r="C55" s="64">
        <v>160.79</v>
      </c>
      <c r="D55" s="64">
        <v>86.13</v>
      </c>
      <c r="E55" s="64">
        <v>13.02</v>
      </c>
      <c r="F55" s="64">
        <v>15.71</v>
      </c>
      <c r="G55" s="64">
        <v>103.92</v>
      </c>
      <c r="H55" s="64">
        <v>36.31</v>
      </c>
      <c r="I55" s="64">
        <v>3.96</v>
      </c>
      <c r="J55" s="64">
        <v>1.75</v>
      </c>
      <c r="K55" s="64">
        <v>103.55</v>
      </c>
      <c r="L55" s="64">
        <v>32.57</v>
      </c>
      <c r="M55" s="64">
        <v>13.32</v>
      </c>
      <c r="N55" s="64">
        <v>790.6</v>
      </c>
      <c r="O55" s="64">
        <v>0</v>
      </c>
      <c r="P55" s="64">
        <v>0.69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47" t="s">
        <v>3075</v>
      </c>
      <c r="B56" s="64">
        <v>2.62</v>
      </c>
      <c r="C56" s="64">
        <v>147.33000000000001</v>
      </c>
      <c r="D56" s="64">
        <v>79.08</v>
      </c>
      <c r="E56" s="64">
        <v>24.67</v>
      </c>
      <c r="F56" s="64">
        <v>22.65</v>
      </c>
      <c r="G56" s="64">
        <v>102.61</v>
      </c>
      <c r="H56" s="64">
        <v>33.18</v>
      </c>
      <c r="I56" s="64">
        <v>4.0199999999999996</v>
      </c>
      <c r="J56" s="64">
        <v>0.96</v>
      </c>
      <c r="K56" s="64">
        <v>89.94</v>
      </c>
      <c r="L56" s="64">
        <v>32.65</v>
      </c>
      <c r="M56" s="64">
        <v>12.55</v>
      </c>
      <c r="N56" s="64">
        <v>795.1</v>
      </c>
      <c r="O56" s="64">
        <v>0</v>
      </c>
      <c r="P56" s="64">
        <v>0.59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47" t="s">
        <v>3076</v>
      </c>
      <c r="B57" s="64">
        <v>2.57</v>
      </c>
      <c r="C57" s="64">
        <v>149.94999999999999</v>
      </c>
      <c r="D57" s="64">
        <v>80.400000000000006</v>
      </c>
      <c r="E57" s="64">
        <v>23.67</v>
      </c>
      <c r="F57" s="64">
        <v>18.25</v>
      </c>
      <c r="G57" s="64">
        <v>98.56</v>
      </c>
      <c r="H57" s="64">
        <v>22.89</v>
      </c>
      <c r="I57" s="64">
        <v>4.12</v>
      </c>
      <c r="J57" s="64">
        <v>0.75</v>
      </c>
      <c r="K57" s="64">
        <v>66.89</v>
      </c>
      <c r="L57" s="64">
        <v>33.42</v>
      </c>
      <c r="M57" s="64">
        <v>12.22</v>
      </c>
      <c r="N57" s="64">
        <v>804.2</v>
      </c>
      <c r="O57" s="64">
        <v>0</v>
      </c>
      <c r="P57" s="64">
        <v>0.63</v>
      </c>
      <c r="Q57" s="64">
        <v>9.51</v>
      </c>
      <c r="R57" s="198"/>
      <c r="S57" s="198"/>
      <c r="T57" s="198"/>
      <c r="U57" s="198"/>
    </row>
    <row r="58" spans="1:21" s="12" customFormat="1" x14ac:dyDescent="0.25">
      <c r="A58" s="247" t="s">
        <v>3077</v>
      </c>
      <c r="B58" s="64">
        <v>2.19</v>
      </c>
      <c r="C58" s="64">
        <v>140.97999999999999</v>
      </c>
      <c r="D58" s="64">
        <v>75.42</v>
      </c>
      <c r="E58" s="64">
        <v>16.36</v>
      </c>
      <c r="F58" s="64">
        <v>16.170000000000002</v>
      </c>
      <c r="G58" s="64">
        <v>98.56</v>
      </c>
      <c r="H58" s="64">
        <v>22.89</v>
      </c>
      <c r="I58" s="64">
        <v>3.85</v>
      </c>
      <c r="J58" s="64">
        <v>1.24</v>
      </c>
      <c r="K58" s="64">
        <v>89.57</v>
      </c>
      <c r="L58" s="64">
        <v>33.700000000000003</v>
      </c>
      <c r="M58" s="64">
        <v>12.04</v>
      </c>
      <c r="N58" s="64">
        <v>820.1</v>
      </c>
      <c r="O58" s="64">
        <v>0</v>
      </c>
      <c r="P58" s="64">
        <v>0.64</v>
      </c>
      <c r="Q58" s="64">
        <v>9.52</v>
      </c>
      <c r="R58" s="198"/>
      <c r="S58" s="198"/>
      <c r="T58" s="198"/>
      <c r="U58" s="198"/>
    </row>
    <row r="59" spans="1:21" s="12" customFormat="1" x14ac:dyDescent="0.25">
      <c r="A59" s="247" t="s">
        <v>3078</v>
      </c>
      <c r="B59" s="64">
        <v>1.52</v>
      </c>
      <c r="C59" s="64">
        <v>133.77000000000001</v>
      </c>
      <c r="D59" s="64">
        <v>71.11</v>
      </c>
      <c r="E59" s="64">
        <v>18.43</v>
      </c>
      <c r="F59" s="64">
        <v>15.78</v>
      </c>
      <c r="G59" s="64">
        <v>98.56</v>
      </c>
      <c r="H59" s="64">
        <v>22.89</v>
      </c>
      <c r="I59" s="64">
        <v>3.92</v>
      </c>
      <c r="J59" s="64">
        <v>1.61</v>
      </c>
      <c r="K59" s="64">
        <v>104.25</v>
      </c>
      <c r="L59" s="64">
        <v>33.01</v>
      </c>
      <c r="M59" s="64">
        <v>12.46</v>
      </c>
      <c r="N59" s="64">
        <v>820.1</v>
      </c>
      <c r="O59" s="64">
        <v>0</v>
      </c>
      <c r="P59" s="64">
        <v>0.61</v>
      </c>
      <c r="Q59" s="64">
        <v>9.51</v>
      </c>
      <c r="R59" s="198"/>
      <c r="S59" s="198"/>
      <c r="T59" s="198"/>
      <c r="U59" s="198"/>
    </row>
    <row r="60" spans="1:21" s="12" customFormat="1" x14ac:dyDescent="0.25">
      <c r="A60" s="247" t="s">
        <v>3079</v>
      </c>
      <c r="B60" s="64">
        <v>2.57</v>
      </c>
      <c r="C60" s="64">
        <v>123.92</v>
      </c>
      <c r="D60" s="64">
        <v>66.81</v>
      </c>
      <c r="E60" s="64">
        <v>34.76</v>
      </c>
      <c r="F60" s="64">
        <v>21.91</v>
      </c>
      <c r="G60" s="64">
        <v>90.98</v>
      </c>
      <c r="H60" s="64">
        <v>25.44</v>
      </c>
      <c r="I60" s="64">
        <v>4</v>
      </c>
      <c r="J60" s="64">
        <v>0.74</v>
      </c>
      <c r="K60" s="64">
        <v>84.7</v>
      </c>
      <c r="L60" s="64">
        <v>33.07</v>
      </c>
      <c r="M60" s="64">
        <v>12.59</v>
      </c>
      <c r="N60" s="64">
        <v>808.5</v>
      </c>
      <c r="O60" s="64">
        <v>0</v>
      </c>
      <c r="P60" s="64">
        <v>0.52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47" t="s">
        <v>3080</v>
      </c>
      <c r="B61" s="64">
        <v>2.14</v>
      </c>
      <c r="C61" s="64">
        <v>115.8</v>
      </c>
      <c r="D61" s="64">
        <v>62.22</v>
      </c>
      <c r="E61" s="64">
        <v>21</v>
      </c>
      <c r="F61" s="64">
        <v>19.38</v>
      </c>
      <c r="G61" s="64">
        <v>66.09</v>
      </c>
      <c r="H61" s="64">
        <v>33.82</v>
      </c>
      <c r="I61" s="64">
        <v>4.03</v>
      </c>
      <c r="J61" s="64">
        <v>1.32</v>
      </c>
      <c r="K61" s="64">
        <v>351.18</v>
      </c>
      <c r="L61" s="64">
        <v>36.29</v>
      </c>
      <c r="M61" s="64">
        <v>11.55</v>
      </c>
      <c r="N61" s="64">
        <v>781.8</v>
      </c>
      <c r="O61" s="64">
        <v>0</v>
      </c>
      <c r="P61" s="64">
        <v>0.64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47" t="s">
        <v>3081</v>
      </c>
      <c r="B62" s="64">
        <v>1.93</v>
      </c>
      <c r="C62" s="64">
        <v>111.47</v>
      </c>
      <c r="D62" s="64">
        <v>59.79</v>
      </c>
      <c r="E62" s="64">
        <v>20.73</v>
      </c>
      <c r="F62" s="64">
        <v>15.32</v>
      </c>
      <c r="G62" s="64">
        <v>66.09</v>
      </c>
      <c r="H62" s="64">
        <v>33.82</v>
      </c>
      <c r="I62" s="64">
        <v>4.1900000000000004</v>
      </c>
      <c r="J62" s="64">
        <v>2.06</v>
      </c>
      <c r="K62" s="64">
        <v>345.36</v>
      </c>
      <c r="L62" s="64">
        <v>37.46</v>
      </c>
      <c r="M62" s="64">
        <v>11.37</v>
      </c>
      <c r="N62" s="64">
        <v>749.7</v>
      </c>
      <c r="O62" s="64">
        <v>0</v>
      </c>
      <c r="P62" s="64">
        <v>0.72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47" t="s">
        <v>3082</v>
      </c>
      <c r="B63" s="64">
        <v>1.38</v>
      </c>
      <c r="C63" s="64">
        <v>104.8</v>
      </c>
      <c r="D63" s="64">
        <v>55.86</v>
      </c>
      <c r="E63" s="64">
        <v>11.88</v>
      </c>
      <c r="F63" s="64">
        <v>24.39</v>
      </c>
      <c r="G63" s="64">
        <v>66.09</v>
      </c>
      <c r="H63" s="64">
        <v>33.82</v>
      </c>
      <c r="I63" s="64">
        <v>4.03</v>
      </c>
      <c r="J63" s="64">
        <v>1.59</v>
      </c>
      <c r="K63" s="64">
        <v>336.82</v>
      </c>
      <c r="L63" s="64">
        <v>37.57</v>
      </c>
      <c r="M63" s="64">
        <v>11.16</v>
      </c>
      <c r="N63" s="64">
        <v>696.4</v>
      </c>
      <c r="O63" s="64">
        <v>0</v>
      </c>
      <c r="P63" s="64">
        <v>0.72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47" t="s">
        <v>3083</v>
      </c>
      <c r="B64" s="64">
        <v>1.54</v>
      </c>
      <c r="C64" s="64">
        <v>96.28</v>
      </c>
      <c r="D64" s="64">
        <v>51.54</v>
      </c>
      <c r="E64" s="64">
        <v>18.22</v>
      </c>
      <c r="F64" s="64">
        <v>22.19</v>
      </c>
      <c r="G64" s="64">
        <v>73.23</v>
      </c>
      <c r="H64" s="64">
        <v>34.46</v>
      </c>
      <c r="I64" s="64">
        <v>3.96</v>
      </c>
      <c r="J64" s="64">
        <v>1.47</v>
      </c>
      <c r="K64" s="64">
        <v>340.85</v>
      </c>
      <c r="L64" s="64">
        <v>37.54</v>
      </c>
      <c r="M64" s="64">
        <v>11.67</v>
      </c>
      <c r="N64" s="64">
        <v>676.7</v>
      </c>
      <c r="O64" s="64">
        <v>0</v>
      </c>
      <c r="P64" s="64">
        <v>0.72</v>
      </c>
      <c r="Q64" s="64">
        <v>9.65</v>
      </c>
      <c r="R64" s="198"/>
      <c r="S64" s="198"/>
      <c r="T64" s="198"/>
      <c r="U64" s="198"/>
    </row>
    <row r="65" spans="1:21" s="12" customFormat="1" x14ac:dyDescent="0.25">
      <c r="A65" s="247" t="s">
        <v>3084</v>
      </c>
      <c r="B65" s="64">
        <v>1.49</v>
      </c>
      <c r="C65" s="64">
        <v>90.73</v>
      </c>
      <c r="D65" s="64">
        <v>48.6</v>
      </c>
      <c r="E65" s="64">
        <v>26.13</v>
      </c>
      <c r="F65" s="64">
        <v>24.62</v>
      </c>
      <c r="G65" s="64">
        <v>96.66</v>
      </c>
      <c r="H65" s="64">
        <v>36.54</v>
      </c>
      <c r="I65" s="64">
        <v>4.05</v>
      </c>
      <c r="J65" s="64">
        <v>1.6</v>
      </c>
      <c r="K65" s="64">
        <v>349.78</v>
      </c>
      <c r="L65" s="64">
        <v>37.229999999999997</v>
      </c>
      <c r="M65" s="64">
        <v>12.08</v>
      </c>
      <c r="N65" s="64">
        <v>503.5</v>
      </c>
      <c r="O65" s="64">
        <v>0</v>
      </c>
      <c r="P65" s="64">
        <v>0.71</v>
      </c>
      <c r="Q65" s="64">
        <v>9.69</v>
      </c>
      <c r="R65" s="198"/>
      <c r="S65" s="198"/>
      <c r="T65" s="198"/>
      <c r="U65" s="198"/>
    </row>
    <row r="66" spans="1:21" s="12" customFormat="1" x14ac:dyDescent="0.25">
      <c r="A66" s="247" t="s">
        <v>3085</v>
      </c>
      <c r="B66" s="64">
        <v>2.34</v>
      </c>
      <c r="C66" s="64">
        <v>89.17</v>
      </c>
      <c r="D66" s="64">
        <v>48.46</v>
      </c>
      <c r="E66" s="64">
        <v>16.829999999999998</v>
      </c>
      <c r="F66" s="64">
        <v>23.34</v>
      </c>
      <c r="G66" s="64">
        <v>96.66</v>
      </c>
      <c r="H66" s="64">
        <v>36.54</v>
      </c>
      <c r="I66" s="64">
        <v>3.93</v>
      </c>
      <c r="J66" s="64">
        <v>2.0099999999999998</v>
      </c>
      <c r="K66" s="64">
        <v>352.17</v>
      </c>
      <c r="L66" s="64">
        <v>37.07</v>
      </c>
      <c r="M66" s="64">
        <v>12.04</v>
      </c>
      <c r="N66" s="64">
        <v>472.1</v>
      </c>
      <c r="O66" s="64">
        <v>0</v>
      </c>
      <c r="P66" s="64">
        <v>0.71</v>
      </c>
      <c r="Q66" s="64">
        <v>9.7200000000000006</v>
      </c>
      <c r="R66" s="198"/>
      <c r="S66" s="198"/>
      <c r="T66" s="198"/>
      <c r="U66" s="198"/>
    </row>
    <row r="67" spans="1:21" s="12" customFormat="1" x14ac:dyDescent="0.25">
      <c r="A67" s="247" t="s">
        <v>3086</v>
      </c>
      <c r="B67" s="64">
        <v>2.06</v>
      </c>
      <c r="C67" s="64">
        <v>84.47</v>
      </c>
      <c r="D67" s="64">
        <v>45.78</v>
      </c>
      <c r="E67" s="64">
        <v>30.44</v>
      </c>
      <c r="F67" s="64">
        <v>36.229999999999997</v>
      </c>
      <c r="G67" s="64">
        <v>96.66</v>
      </c>
      <c r="H67" s="64">
        <v>36.54</v>
      </c>
      <c r="I67" s="64">
        <v>3.98</v>
      </c>
      <c r="J67" s="64">
        <v>2</v>
      </c>
      <c r="K67" s="64">
        <v>358.04</v>
      </c>
      <c r="L67" s="64">
        <v>35.99</v>
      </c>
      <c r="M67" s="64">
        <v>12.03</v>
      </c>
      <c r="N67" s="64">
        <v>450</v>
      </c>
      <c r="O67" s="64">
        <v>0</v>
      </c>
      <c r="P67" s="64">
        <v>0.69</v>
      </c>
      <c r="Q67" s="64">
        <v>9.76</v>
      </c>
      <c r="R67" s="198"/>
      <c r="S67" s="198"/>
      <c r="T67" s="198"/>
      <c r="U67" s="198"/>
    </row>
    <row r="68" spans="1:21" s="12" customFormat="1" x14ac:dyDescent="0.25">
      <c r="A68" s="247" t="s">
        <v>3087</v>
      </c>
      <c r="B68" s="64">
        <v>3.44</v>
      </c>
      <c r="C68" s="64">
        <v>86.79</v>
      </c>
      <c r="D68" s="64">
        <v>48.11</v>
      </c>
      <c r="E68" s="64">
        <v>22.72</v>
      </c>
      <c r="F68" s="64">
        <v>26.26</v>
      </c>
      <c r="G68" s="64">
        <v>97.61</v>
      </c>
      <c r="H68" s="64">
        <v>35.08</v>
      </c>
      <c r="I68" s="64">
        <v>3.9</v>
      </c>
      <c r="J68" s="64">
        <v>2.0499999999999998</v>
      </c>
      <c r="K68" s="64">
        <v>350.76</v>
      </c>
      <c r="L68" s="64">
        <v>35.729999999999997</v>
      </c>
      <c r="M68" s="64">
        <v>13</v>
      </c>
      <c r="N68" s="64">
        <v>324.89999999999998</v>
      </c>
      <c r="O68" s="64">
        <v>0</v>
      </c>
      <c r="P68" s="64">
        <v>0.69</v>
      </c>
      <c r="Q68" s="64">
        <v>9.81</v>
      </c>
      <c r="R68" s="198"/>
      <c r="S68" s="198"/>
      <c r="T68" s="198"/>
      <c r="U68" s="198"/>
    </row>
    <row r="69" spans="1:21" s="12" customFormat="1" x14ac:dyDescent="0.25">
      <c r="A69" s="247" t="s">
        <v>3088</v>
      </c>
      <c r="B69" s="64">
        <v>2.94</v>
      </c>
      <c r="C69" s="64">
        <v>77.38</v>
      </c>
      <c r="D69" s="64">
        <v>42.78</v>
      </c>
      <c r="E69" s="64">
        <v>21.78</v>
      </c>
      <c r="F69" s="64">
        <v>29.02</v>
      </c>
      <c r="G69" s="64">
        <v>100.75</v>
      </c>
      <c r="H69" s="64">
        <v>30.28</v>
      </c>
      <c r="I69" s="64">
        <v>4.0599999999999996</v>
      </c>
      <c r="J69" s="64">
        <v>2.04</v>
      </c>
      <c r="K69" s="64">
        <v>353.04</v>
      </c>
      <c r="L69" s="64">
        <v>35.36</v>
      </c>
      <c r="M69" s="64">
        <v>13.28</v>
      </c>
      <c r="N69" s="64">
        <v>371.2</v>
      </c>
      <c r="O69" s="64">
        <v>0</v>
      </c>
      <c r="P69" s="64">
        <v>0.67</v>
      </c>
      <c r="Q69" s="64">
        <v>9.85</v>
      </c>
      <c r="R69" s="198"/>
      <c r="S69" s="198"/>
      <c r="T69" s="198"/>
      <c r="U69" s="198"/>
    </row>
    <row r="70" spans="1:21" s="12" customFormat="1" x14ac:dyDescent="0.25">
      <c r="A70" s="247" t="s">
        <v>3089</v>
      </c>
      <c r="B70" s="64">
        <v>2</v>
      </c>
      <c r="C70" s="64">
        <v>69.59</v>
      </c>
      <c r="D70" s="64">
        <v>37.96</v>
      </c>
      <c r="E70" s="64">
        <v>31.94</v>
      </c>
      <c r="F70" s="64">
        <v>37.700000000000003</v>
      </c>
      <c r="G70" s="64">
        <v>100.75</v>
      </c>
      <c r="H70" s="64">
        <v>30.28</v>
      </c>
      <c r="I70" s="64">
        <v>3.84</v>
      </c>
      <c r="J70" s="64">
        <v>1.47</v>
      </c>
      <c r="K70" s="64">
        <v>349.96</v>
      </c>
      <c r="L70" s="64">
        <v>35</v>
      </c>
      <c r="M70" s="64">
        <v>13.75</v>
      </c>
      <c r="N70" s="64">
        <v>233.3</v>
      </c>
      <c r="O70" s="64">
        <v>0</v>
      </c>
      <c r="P70" s="64">
        <v>0.63</v>
      </c>
      <c r="Q70" s="64">
        <v>9.9</v>
      </c>
      <c r="R70" s="198"/>
      <c r="S70" s="198"/>
      <c r="T70" s="198"/>
      <c r="U70" s="198"/>
    </row>
    <row r="71" spans="1:21" s="12" customFormat="1" x14ac:dyDescent="0.25">
      <c r="A71" s="247" t="s">
        <v>3090</v>
      </c>
      <c r="B71" s="64">
        <v>1.79</v>
      </c>
      <c r="C71" s="64">
        <v>69.959999999999994</v>
      </c>
      <c r="D71" s="64">
        <v>37.99</v>
      </c>
      <c r="E71" s="64">
        <v>41.68</v>
      </c>
      <c r="F71" s="64">
        <v>41.06</v>
      </c>
      <c r="G71" s="64">
        <v>100.75</v>
      </c>
      <c r="H71" s="64">
        <v>30.28</v>
      </c>
      <c r="I71" s="64">
        <v>4.09</v>
      </c>
      <c r="J71" s="64">
        <v>1.0900000000000001</v>
      </c>
      <c r="K71" s="64">
        <v>355.71</v>
      </c>
      <c r="L71" s="64">
        <v>34.520000000000003</v>
      </c>
      <c r="M71" s="64">
        <v>13.83</v>
      </c>
      <c r="N71" s="64">
        <v>241.5</v>
      </c>
      <c r="O71" s="64">
        <v>0</v>
      </c>
      <c r="P71" s="64">
        <v>0.6</v>
      </c>
      <c r="Q71" s="64">
        <v>9.94</v>
      </c>
      <c r="R71" s="198"/>
      <c r="S71" s="198"/>
      <c r="T71" s="198"/>
      <c r="U71" s="198"/>
    </row>
    <row r="72" spans="1:21" s="12" customFormat="1" x14ac:dyDescent="0.25">
      <c r="A72" s="247" t="s">
        <v>3091</v>
      </c>
      <c r="B72" s="64">
        <v>4.12</v>
      </c>
      <c r="C72" s="64">
        <v>72.540000000000006</v>
      </c>
      <c r="D72" s="64">
        <v>41.2</v>
      </c>
      <c r="E72" s="64">
        <v>37.869999999999997</v>
      </c>
      <c r="F72" s="64">
        <v>41.18</v>
      </c>
      <c r="G72" s="64">
        <v>96.31</v>
      </c>
      <c r="H72" s="64">
        <v>28.1</v>
      </c>
      <c r="I72" s="64">
        <v>4.05</v>
      </c>
      <c r="J72" s="64">
        <v>1.1599999999999999</v>
      </c>
      <c r="K72" s="64">
        <v>355.94</v>
      </c>
      <c r="L72" s="64">
        <v>34.35</v>
      </c>
      <c r="M72" s="64">
        <v>13.87</v>
      </c>
      <c r="N72" s="64">
        <v>180.9</v>
      </c>
      <c r="O72" s="64">
        <v>0</v>
      </c>
      <c r="P72" s="64">
        <v>0.6</v>
      </c>
      <c r="Q72" s="64">
        <v>10</v>
      </c>
      <c r="R72" s="198"/>
      <c r="S72" s="198"/>
      <c r="T72" s="198"/>
      <c r="U72" s="198"/>
    </row>
    <row r="73" spans="1:21" s="12" customFormat="1" x14ac:dyDescent="0.25">
      <c r="A73" s="247" t="s">
        <v>3092</v>
      </c>
      <c r="B73" s="64">
        <v>4.58</v>
      </c>
      <c r="C73" s="64">
        <v>76.52</v>
      </c>
      <c r="D73" s="64">
        <v>43.65</v>
      </c>
      <c r="E73" s="64">
        <v>51.19</v>
      </c>
      <c r="F73" s="64">
        <v>38.159999999999997</v>
      </c>
      <c r="G73" s="64">
        <v>81.73</v>
      </c>
      <c r="H73" s="64">
        <v>21.37</v>
      </c>
      <c r="I73" s="64">
        <v>3.89</v>
      </c>
      <c r="J73" s="64">
        <v>1.29</v>
      </c>
      <c r="K73" s="64">
        <v>1.51</v>
      </c>
      <c r="L73" s="64">
        <v>33.950000000000003</v>
      </c>
      <c r="M73" s="64">
        <v>13.68</v>
      </c>
      <c r="N73" s="64">
        <v>161.19999999999999</v>
      </c>
      <c r="O73" s="64">
        <v>0</v>
      </c>
      <c r="P73" s="64">
        <v>0.64</v>
      </c>
      <c r="Q73" s="64">
        <v>10.029999999999999</v>
      </c>
      <c r="R73" s="198"/>
      <c r="S73" s="198"/>
      <c r="T73" s="198"/>
      <c r="U73" s="198"/>
    </row>
    <row r="74" spans="1:21" s="12" customFormat="1" x14ac:dyDescent="0.25">
      <c r="A74" s="247" t="s">
        <v>3093</v>
      </c>
      <c r="B74" s="64">
        <v>4.38</v>
      </c>
      <c r="C74" s="64">
        <v>80.37</v>
      </c>
      <c r="D74" s="64">
        <v>45.5</v>
      </c>
      <c r="E74" s="64">
        <v>49.62</v>
      </c>
      <c r="F74" s="64">
        <v>39.18</v>
      </c>
      <c r="G74" s="64">
        <v>81.73</v>
      </c>
      <c r="H74" s="64">
        <v>21.37</v>
      </c>
      <c r="I74" s="64">
        <v>4.03</v>
      </c>
      <c r="J74" s="64">
        <v>0.9</v>
      </c>
      <c r="K74" s="64">
        <v>340.65</v>
      </c>
      <c r="L74" s="64">
        <v>33.61</v>
      </c>
      <c r="M74" s="64">
        <v>14.6</v>
      </c>
      <c r="N74" s="64">
        <v>138.6</v>
      </c>
      <c r="O74" s="64">
        <v>0</v>
      </c>
      <c r="P74" s="64">
        <v>0.73</v>
      </c>
      <c r="Q74" s="64">
        <v>10.09</v>
      </c>
      <c r="R74" s="198"/>
      <c r="S74" s="198"/>
      <c r="T74" s="198"/>
      <c r="U74" s="198"/>
    </row>
    <row r="75" spans="1:21" s="12" customFormat="1" x14ac:dyDescent="0.25">
      <c r="A75" s="247" t="s">
        <v>3094</v>
      </c>
      <c r="B75" s="64">
        <v>2.5299999999999998</v>
      </c>
      <c r="C75" s="64">
        <v>80.209999999999994</v>
      </c>
      <c r="D75" s="64">
        <v>43.93</v>
      </c>
      <c r="E75" s="64">
        <v>58.99</v>
      </c>
      <c r="F75" s="64">
        <v>41.3</v>
      </c>
      <c r="G75" s="64">
        <v>81.73</v>
      </c>
      <c r="H75" s="64">
        <v>21.37</v>
      </c>
      <c r="I75" s="64">
        <v>3.97</v>
      </c>
      <c r="J75" s="64">
        <v>1.04</v>
      </c>
      <c r="K75" s="64">
        <v>349.4</v>
      </c>
      <c r="L75" s="64">
        <v>33.14</v>
      </c>
      <c r="M75" s="64">
        <v>14.64</v>
      </c>
      <c r="N75" s="64">
        <v>125.5</v>
      </c>
      <c r="O75" s="64">
        <v>0</v>
      </c>
      <c r="P75" s="64">
        <v>0.79</v>
      </c>
      <c r="Q75" s="64">
        <v>10.11</v>
      </c>
      <c r="R75" s="198"/>
      <c r="S75" s="198"/>
      <c r="T75" s="198"/>
      <c r="U75" s="198"/>
    </row>
    <row r="76" spans="1:21" s="12" customFormat="1" x14ac:dyDescent="0.25">
      <c r="A76" s="247" t="s">
        <v>3095</v>
      </c>
      <c r="B76" s="64">
        <v>1.52</v>
      </c>
      <c r="C76" s="64">
        <v>75.78</v>
      </c>
      <c r="D76" s="64">
        <v>40.81</v>
      </c>
      <c r="E76" s="64">
        <v>53.8</v>
      </c>
      <c r="F76" s="64">
        <v>42.28</v>
      </c>
      <c r="G76" s="64">
        <v>83.96</v>
      </c>
      <c r="H76" s="64">
        <v>22.49</v>
      </c>
      <c r="I76" s="64">
        <v>4.1900000000000004</v>
      </c>
      <c r="J76" s="64">
        <v>0.8</v>
      </c>
      <c r="K76" s="64">
        <v>78.08</v>
      </c>
      <c r="L76" s="64">
        <v>32.270000000000003</v>
      </c>
      <c r="M76" s="64">
        <v>14.76</v>
      </c>
      <c r="N76" s="64">
        <v>114.1</v>
      </c>
      <c r="O76" s="64">
        <v>0</v>
      </c>
      <c r="P76" s="64">
        <v>0.61</v>
      </c>
      <c r="Q76" s="64">
        <v>10.11</v>
      </c>
      <c r="R76" s="198"/>
      <c r="S76" s="198"/>
      <c r="T76" s="198"/>
      <c r="U76" s="198"/>
    </row>
    <row r="77" spans="1:21" s="12" customFormat="1" x14ac:dyDescent="0.25">
      <c r="A77" s="247" t="s">
        <v>3096</v>
      </c>
      <c r="B77" s="64">
        <v>3.62</v>
      </c>
      <c r="C77" s="64">
        <v>88.6</v>
      </c>
      <c r="D77" s="64">
        <v>49.2</v>
      </c>
      <c r="E77" s="64">
        <v>50.7</v>
      </c>
      <c r="F77" s="64">
        <v>32.99</v>
      </c>
      <c r="G77" s="64">
        <v>91.25</v>
      </c>
      <c r="H77" s="64">
        <v>26.16</v>
      </c>
      <c r="I77" s="64">
        <v>3.87</v>
      </c>
      <c r="J77" s="64">
        <v>0.64</v>
      </c>
      <c r="K77" s="64">
        <v>44.91</v>
      </c>
      <c r="L77" s="64">
        <v>31.69</v>
      </c>
      <c r="M77" s="64">
        <v>15.69</v>
      </c>
      <c r="N77" s="64">
        <v>101.7</v>
      </c>
      <c r="O77" s="64">
        <v>0</v>
      </c>
      <c r="P77" s="64">
        <v>0.86</v>
      </c>
      <c r="Q77" s="64">
        <v>10.16</v>
      </c>
      <c r="R77" s="198"/>
      <c r="S77" s="198"/>
      <c r="T77" s="198"/>
      <c r="U77" s="198"/>
    </row>
    <row r="78" spans="1:21" s="12" customFormat="1" x14ac:dyDescent="0.25">
      <c r="A78" s="247" t="s">
        <v>3097</v>
      </c>
      <c r="B78" s="64">
        <v>10.07</v>
      </c>
      <c r="C78" s="64">
        <v>114.14</v>
      </c>
      <c r="D78" s="64">
        <v>67.709999999999994</v>
      </c>
      <c r="E78" s="64">
        <v>54.4</v>
      </c>
      <c r="F78" s="64">
        <v>27.27</v>
      </c>
      <c r="G78" s="64">
        <v>91.25</v>
      </c>
      <c r="H78" s="64">
        <v>26.16</v>
      </c>
      <c r="I78" s="64">
        <v>4</v>
      </c>
      <c r="J78" s="64">
        <v>0.65</v>
      </c>
      <c r="K78" s="64">
        <v>14.41</v>
      </c>
      <c r="L78" s="64">
        <v>31.28</v>
      </c>
      <c r="M78" s="64">
        <v>18.809999999999999</v>
      </c>
      <c r="N78" s="64">
        <v>89.7</v>
      </c>
      <c r="O78" s="64">
        <v>0</v>
      </c>
      <c r="P78" s="64">
        <v>1.27</v>
      </c>
      <c r="Q78" s="64">
        <v>10.16</v>
      </c>
      <c r="R78" s="198"/>
      <c r="S78" s="198"/>
      <c r="T78" s="198"/>
      <c r="U78" s="198"/>
    </row>
    <row r="79" spans="1:21" s="12" customFormat="1" x14ac:dyDescent="0.25">
      <c r="A79" s="247" t="s">
        <v>3098</v>
      </c>
      <c r="B79" s="64">
        <v>10.039999999999999</v>
      </c>
      <c r="C79" s="64">
        <v>131.88</v>
      </c>
      <c r="D79" s="64">
        <v>76.959999999999994</v>
      </c>
      <c r="E79" s="64">
        <v>54.74</v>
      </c>
      <c r="F79" s="64">
        <v>22.9</v>
      </c>
      <c r="G79" s="64">
        <v>91.25</v>
      </c>
      <c r="H79" s="64">
        <v>26.16</v>
      </c>
      <c r="I79" s="64">
        <v>3.99</v>
      </c>
      <c r="J79" s="64">
        <v>0.66</v>
      </c>
      <c r="K79" s="64">
        <v>7.58</v>
      </c>
      <c r="L79" s="64">
        <v>30.62</v>
      </c>
      <c r="M79" s="64">
        <v>17.78</v>
      </c>
      <c r="N79" s="64">
        <v>77.400000000000006</v>
      </c>
      <c r="O79" s="64">
        <v>0</v>
      </c>
      <c r="P79" s="64">
        <v>1.57</v>
      </c>
      <c r="Q79" s="64">
        <v>10.19</v>
      </c>
      <c r="R79" s="198"/>
      <c r="S79" s="198"/>
      <c r="T79" s="198"/>
      <c r="U79" s="198"/>
    </row>
    <row r="80" spans="1:21" s="12" customFormat="1" x14ac:dyDescent="0.25">
      <c r="A80" s="247" t="s">
        <v>3099</v>
      </c>
      <c r="B80" s="64">
        <v>33.86</v>
      </c>
      <c r="C80" s="64">
        <v>154.69</v>
      </c>
      <c r="D80" s="64">
        <v>107.97</v>
      </c>
      <c r="E80" s="64">
        <v>50.3</v>
      </c>
      <c r="F80" s="64">
        <v>13.9</v>
      </c>
      <c r="G80" s="64">
        <v>95.3</v>
      </c>
      <c r="H80" s="64">
        <v>27.46</v>
      </c>
      <c r="I80" s="64">
        <v>3.88</v>
      </c>
      <c r="J80" s="64">
        <v>0.69</v>
      </c>
      <c r="K80" s="64">
        <v>9</v>
      </c>
      <c r="L80" s="64">
        <v>29.93</v>
      </c>
      <c r="M80" s="64">
        <v>21.54</v>
      </c>
      <c r="N80" s="64">
        <v>67.3</v>
      </c>
      <c r="O80" s="64">
        <v>0</v>
      </c>
      <c r="P80" s="64">
        <v>2.16</v>
      </c>
      <c r="Q80" s="64">
        <v>10.19</v>
      </c>
      <c r="R80" s="198"/>
      <c r="S80" s="198"/>
      <c r="T80" s="198"/>
      <c r="U80" s="198"/>
    </row>
    <row r="81" spans="1:26" s="12" customFormat="1" x14ac:dyDescent="0.25">
      <c r="A81" s="247" t="s">
        <v>3100</v>
      </c>
      <c r="B81" s="64">
        <v>38.65</v>
      </c>
      <c r="C81" s="64">
        <v>157.93</v>
      </c>
      <c r="D81" s="64">
        <v>113.51</v>
      </c>
      <c r="E81" s="64">
        <v>42.63</v>
      </c>
      <c r="F81" s="64">
        <v>12.63</v>
      </c>
      <c r="G81" s="64">
        <v>107.81</v>
      </c>
      <c r="H81" s="64">
        <v>31.7</v>
      </c>
      <c r="I81" s="64">
        <v>3.97</v>
      </c>
      <c r="J81" s="64">
        <v>0.65</v>
      </c>
      <c r="K81" s="64">
        <v>358.53</v>
      </c>
      <c r="L81" s="64">
        <v>28.75</v>
      </c>
      <c r="M81" s="64">
        <v>24.97</v>
      </c>
      <c r="N81" s="64">
        <v>59.8</v>
      </c>
      <c r="O81" s="64">
        <v>0</v>
      </c>
      <c r="P81" s="64">
        <v>2.33</v>
      </c>
      <c r="Q81" s="64">
        <v>10.19</v>
      </c>
      <c r="R81" s="198"/>
      <c r="S81" s="198"/>
      <c r="T81" s="198"/>
      <c r="U81" s="198"/>
    </row>
    <row r="82" spans="1:26" s="12" customFormat="1" x14ac:dyDescent="0.25">
      <c r="A82" s="247" t="s">
        <v>3101</v>
      </c>
      <c r="B82" s="64">
        <v>69.540000000000006</v>
      </c>
      <c r="C82" s="64">
        <v>165.49</v>
      </c>
      <c r="D82" s="64">
        <v>142.22999999999999</v>
      </c>
      <c r="E82" s="64">
        <v>41.88</v>
      </c>
      <c r="F82" s="64">
        <v>8.83</v>
      </c>
      <c r="G82" s="64">
        <v>107.81</v>
      </c>
      <c r="H82" s="64">
        <v>31.7</v>
      </c>
      <c r="I82" s="64">
        <v>4.12</v>
      </c>
      <c r="J82" s="64">
        <v>0.73</v>
      </c>
      <c r="K82" s="64">
        <v>0.53</v>
      </c>
      <c r="L82" s="64">
        <v>27.7</v>
      </c>
      <c r="M82" s="64">
        <v>26.56</v>
      </c>
      <c r="N82" s="64">
        <v>56.6</v>
      </c>
      <c r="O82" s="64">
        <v>0</v>
      </c>
      <c r="P82" s="64">
        <v>2.89</v>
      </c>
      <c r="Q82" s="64">
        <v>10.199999999999999</v>
      </c>
      <c r="R82" s="198"/>
      <c r="S82" s="198"/>
      <c r="T82" s="198"/>
      <c r="U82" s="198"/>
    </row>
    <row r="83" spans="1:26" s="12" customFormat="1" x14ac:dyDescent="0.25">
      <c r="A83" s="247" t="s">
        <v>3102</v>
      </c>
      <c r="B83" s="64">
        <v>80.03</v>
      </c>
      <c r="C83" s="64">
        <v>167.38</v>
      </c>
      <c r="D83" s="64">
        <v>151.62</v>
      </c>
      <c r="E83" s="64">
        <v>39.17</v>
      </c>
      <c r="F83" s="64">
        <v>8.01</v>
      </c>
      <c r="G83" s="64">
        <v>107.81</v>
      </c>
      <c r="H83" s="64">
        <v>31.7</v>
      </c>
      <c r="I83" s="64">
        <v>3.83</v>
      </c>
      <c r="J83" s="64">
        <v>0.57999999999999996</v>
      </c>
      <c r="K83" s="64">
        <v>336.91</v>
      </c>
      <c r="L83" s="64">
        <v>26.97</v>
      </c>
      <c r="M83" s="64">
        <v>29.97</v>
      </c>
      <c r="N83" s="64">
        <v>56</v>
      </c>
      <c r="O83" s="64">
        <v>0</v>
      </c>
      <c r="P83" s="64">
        <v>3.45</v>
      </c>
      <c r="Q83" s="64">
        <v>10.17</v>
      </c>
      <c r="R83" s="198"/>
      <c r="S83" s="198"/>
      <c r="T83" s="198"/>
      <c r="U83" s="198"/>
    </row>
    <row r="84" spans="1:26" s="12" customFormat="1" x14ac:dyDescent="0.25">
      <c r="A84" s="247" t="s">
        <v>3103</v>
      </c>
      <c r="B84" s="64">
        <v>70.599999999999994</v>
      </c>
      <c r="C84" s="64">
        <v>170.16</v>
      </c>
      <c r="D84" s="64">
        <v>145.52000000000001</v>
      </c>
      <c r="E84" s="64">
        <v>34.869999999999997</v>
      </c>
      <c r="F84" s="64">
        <v>8.14</v>
      </c>
      <c r="G84" s="64">
        <v>116.41</v>
      </c>
      <c r="H84" s="64">
        <v>33.46</v>
      </c>
      <c r="I84" s="64">
        <v>4.0199999999999996</v>
      </c>
      <c r="J84" s="64">
        <v>0.63</v>
      </c>
      <c r="K84" s="64">
        <v>334.24</v>
      </c>
      <c r="L84" s="64">
        <v>26.37</v>
      </c>
      <c r="M84" s="64">
        <v>30.95</v>
      </c>
      <c r="N84" s="64">
        <v>55.8</v>
      </c>
      <c r="O84" s="64">
        <v>0</v>
      </c>
      <c r="P84" s="64">
        <v>3.18</v>
      </c>
      <c r="Q84" s="64">
        <v>10.199999999999999</v>
      </c>
      <c r="R84" s="198"/>
      <c r="S84" s="198"/>
      <c r="T84" s="198"/>
      <c r="U84" s="198"/>
    </row>
    <row r="85" spans="1:26" s="12" customFormat="1" x14ac:dyDescent="0.25">
      <c r="A85" s="247" t="s">
        <v>3104</v>
      </c>
      <c r="B85" s="64">
        <v>123.89</v>
      </c>
      <c r="C85" s="64">
        <v>159.26</v>
      </c>
      <c r="D85" s="64">
        <v>182.56</v>
      </c>
      <c r="E85" s="64">
        <v>33.44</v>
      </c>
      <c r="F85" s="64">
        <v>6.94</v>
      </c>
      <c r="G85" s="64">
        <v>144.66999999999999</v>
      </c>
      <c r="H85" s="64">
        <v>38.89</v>
      </c>
      <c r="I85" s="64">
        <v>4.07</v>
      </c>
      <c r="J85" s="64">
        <v>0.81</v>
      </c>
      <c r="K85" s="64">
        <v>354.15</v>
      </c>
      <c r="L85" s="64">
        <v>25.8</v>
      </c>
      <c r="M85" s="64">
        <v>36.340000000000003</v>
      </c>
      <c r="N85" s="64">
        <v>55.7</v>
      </c>
      <c r="O85" s="64">
        <v>0</v>
      </c>
      <c r="P85" s="64">
        <v>3.75</v>
      </c>
      <c r="Q85" s="64">
        <v>10.23</v>
      </c>
      <c r="R85" s="198"/>
      <c r="S85" s="198"/>
      <c r="T85" s="198"/>
      <c r="U85" s="198"/>
    </row>
    <row r="86" spans="1:26" s="12" customFormat="1" x14ac:dyDescent="0.25">
      <c r="A86" s="247" t="s">
        <v>3105</v>
      </c>
      <c r="B86" s="64">
        <v>121.63</v>
      </c>
      <c r="C86" s="64">
        <v>174.31</v>
      </c>
      <c r="D86" s="64">
        <v>188.61</v>
      </c>
      <c r="E86" s="64">
        <v>30.05</v>
      </c>
      <c r="F86" s="64">
        <v>6.77</v>
      </c>
      <c r="G86" s="64">
        <v>144.66999999999999</v>
      </c>
      <c r="H86" s="64">
        <v>38.89</v>
      </c>
      <c r="I86" s="64">
        <v>4.0599999999999996</v>
      </c>
      <c r="J86" s="64">
        <v>0.53</v>
      </c>
      <c r="K86" s="64">
        <v>336.54</v>
      </c>
      <c r="L86" s="64">
        <v>25.33</v>
      </c>
      <c r="M86" s="64">
        <v>32.840000000000003</v>
      </c>
      <c r="N86" s="64">
        <v>55.7</v>
      </c>
      <c r="O86" s="64">
        <v>0</v>
      </c>
      <c r="P86" s="64">
        <v>3.7</v>
      </c>
      <c r="Q86" s="64">
        <v>10.24</v>
      </c>
      <c r="R86" s="198"/>
      <c r="S86" s="198"/>
      <c r="T86" s="198"/>
      <c r="U86" s="198"/>
    </row>
    <row r="87" spans="1:26" s="12" customFormat="1" x14ac:dyDescent="0.25">
      <c r="A87" s="247" t="s">
        <v>3106</v>
      </c>
      <c r="B87" s="64">
        <v>187.69</v>
      </c>
      <c r="C87" s="64">
        <v>168.52</v>
      </c>
      <c r="D87" s="64">
        <v>238.55</v>
      </c>
      <c r="E87" s="64">
        <v>26.01</v>
      </c>
      <c r="F87" s="64">
        <v>7.69</v>
      </c>
      <c r="G87" s="64">
        <v>144.66999999999999</v>
      </c>
      <c r="H87" s="64">
        <v>38.89</v>
      </c>
      <c r="I87" s="64">
        <v>4</v>
      </c>
      <c r="J87" s="64">
        <v>0.13</v>
      </c>
      <c r="K87" s="64">
        <v>66.86</v>
      </c>
      <c r="L87" s="64">
        <v>25.05</v>
      </c>
      <c r="M87" s="64">
        <v>34.950000000000003</v>
      </c>
      <c r="N87" s="64">
        <v>55.7</v>
      </c>
      <c r="O87" s="64">
        <v>0</v>
      </c>
      <c r="P87" s="64">
        <v>3.74</v>
      </c>
      <c r="Q87" s="64">
        <v>10.27</v>
      </c>
      <c r="R87" s="198"/>
      <c r="S87" s="198"/>
      <c r="T87" s="198"/>
      <c r="U87" s="198"/>
    </row>
    <row r="88" spans="1:26" s="12" customFormat="1" x14ac:dyDescent="0.25">
      <c r="A88" s="247" t="s">
        <v>3107</v>
      </c>
      <c r="B88" s="64">
        <v>147.44999999999999</v>
      </c>
      <c r="C88" s="64">
        <v>173.44</v>
      </c>
      <c r="D88" s="64">
        <v>208.87</v>
      </c>
      <c r="E88" s="64">
        <v>24.72</v>
      </c>
      <c r="F88" s="64">
        <v>7.15</v>
      </c>
      <c r="G88" s="64">
        <v>154.01</v>
      </c>
      <c r="H88" s="64">
        <v>37.83</v>
      </c>
      <c r="I88" s="64">
        <v>3.97</v>
      </c>
      <c r="J88" s="64">
        <v>0.56999999999999995</v>
      </c>
      <c r="K88" s="64">
        <v>53.13</v>
      </c>
      <c r="L88" s="64">
        <v>25.3</v>
      </c>
      <c r="M88" s="64">
        <v>32.57</v>
      </c>
      <c r="N88" s="64">
        <v>54.8</v>
      </c>
      <c r="O88" s="64">
        <v>0</v>
      </c>
      <c r="P88" s="64">
        <v>3.55</v>
      </c>
      <c r="Q88" s="64">
        <v>10.29</v>
      </c>
      <c r="R88" s="198"/>
      <c r="S88" s="198"/>
      <c r="T88" s="198"/>
      <c r="U88" s="198"/>
    </row>
    <row r="89" spans="1:26" s="12" customFormat="1" x14ac:dyDescent="0.25">
      <c r="A89" s="247" t="s">
        <v>3108</v>
      </c>
      <c r="B89" s="64">
        <v>87.95</v>
      </c>
      <c r="C89" s="64">
        <v>161.29</v>
      </c>
      <c r="D89" s="64">
        <v>154.80000000000001</v>
      </c>
      <c r="E89" s="64">
        <v>26.41</v>
      </c>
      <c r="F89" s="64">
        <v>7.08</v>
      </c>
      <c r="G89" s="64">
        <v>184.68</v>
      </c>
      <c r="H89" s="64">
        <v>34.54</v>
      </c>
      <c r="I89" s="64">
        <v>3.89</v>
      </c>
      <c r="J89" s="64">
        <v>0.6</v>
      </c>
      <c r="K89" s="64">
        <v>44.07</v>
      </c>
      <c r="L89" s="64">
        <v>25.13</v>
      </c>
      <c r="M89" s="64">
        <v>35.369999999999997</v>
      </c>
      <c r="N89" s="64">
        <v>55</v>
      </c>
      <c r="O89" s="64">
        <v>0</v>
      </c>
      <c r="P89" s="64">
        <v>4.4000000000000004</v>
      </c>
      <c r="Q89" s="64">
        <v>10.28</v>
      </c>
      <c r="R89" s="198"/>
      <c r="S89" s="198"/>
      <c r="T89" s="198"/>
      <c r="U89" s="198"/>
    </row>
    <row r="90" spans="1:26" s="12" customFormat="1" x14ac:dyDescent="0.25">
      <c r="A90" s="247" t="s">
        <v>3109</v>
      </c>
      <c r="B90" s="64">
        <v>41.03</v>
      </c>
      <c r="C90" s="64">
        <v>161.35</v>
      </c>
      <c r="D90" s="64">
        <v>117.21</v>
      </c>
      <c r="E90" s="64">
        <v>32.18</v>
      </c>
      <c r="F90" s="64">
        <v>6.82</v>
      </c>
      <c r="G90" s="64">
        <v>184.68</v>
      </c>
      <c r="H90" s="64">
        <v>34.54</v>
      </c>
      <c r="I90" s="64">
        <v>4.12</v>
      </c>
      <c r="J90" s="64">
        <v>0.75</v>
      </c>
      <c r="K90" s="64">
        <v>60.12</v>
      </c>
      <c r="L90" s="64">
        <v>25.65</v>
      </c>
      <c r="M90" s="64">
        <v>28.46</v>
      </c>
      <c r="N90" s="64">
        <v>54.8</v>
      </c>
      <c r="O90" s="64">
        <v>0</v>
      </c>
      <c r="P90" s="64">
        <v>3.61</v>
      </c>
      <c r="Q90" s="64">
        <v>10.33</v>
      </c>
      <c r="R90" s="198"/>
      <c r="S90" s="198"/>
      <c r="T90" s="198"/>
      <c r="U90" s="198"/>
    </row>
    <row r="91" spans="1:26" s="12" customFormat="1" x14ac:dyDescent="0.25">
      <c r="A91" s="247" t="s">
        <v>3110</v>
      </c>
      <c r="B91" s="64">
        <v>48.37</v>
      </c>
      <c r="C91" s="64">
        <v>149.25</v>
      </c>
      <c r="D91" s="64">
        <v>116.77</v>
      </c>
      <c r="E91" s="64">
        <v>24.44</v>
      </c>
      <c r="F91" s="64">
        <v>9.35</v>
      </c>
      <c r="G91" s="64">
        <v>184.68</v>
      </c>
      <c r="H91" s="64">
        <v>34.54</v>
      </c>
      <c r="I91" s="64">
        <v>3.99</v>
      </c>
      <c r="J91" s="64">
        <v>0.59</v>
      </c>
      <c r="K91" s="64">
        <v>14.59</v>
      </c>
      <c r="L91" s="64">
        <v>25.67</v>
      </c>
      <c r="M91" s="64">
        <v>25.78</v>
      </c>
      <c r="N91" s="64">
        <v>54.9</v>
      </c>
      <c r="O91" s="64">
        <v>0</v>
      </c>
      <c r="P91" s="64">
        <v>2.65</v>
      </c>
      <c r="Q91" s="64">
        <v>10.33</v>
      </c>
      <c r="R91" s="198"/>
      <c r="S91" s="198"/>
      <c r="T91" s="198"/>
      <c r="U91" s="198"/>
    </row>
    <row r="92" spans="1:26" s="12" customFormat="1" x14ac:dyDescent="0.25">
      <c r="A92" s="247" t="s">
        <v>3111</v>
      </c>
      <c r="B92" s="64">
        <v>34.630000000000003</v>
      </c>
      <c r="C92" s="64">
        <v>129.91</v>
      </c>
      <c r="D92" s="64">
        <v>95.64</v>
      </c>
      <c r="E92" s="64">
        <v>17.95</v>
      </c>
      <c r="F92" s="64">
        <v>10.89</v>
      </c>
      <c r="G92" s="64">
        <v>175.47</v>
      </c>
      <c r="H92" s="64">
        <v>36.99</v>
      </c>
      <c r="I92" s="64">
        <v>3.97</v>
      </c>
      <c r="J92" s="64">
        <v>0.52</v>
      </c>
      <c r="K92" s="64">
        <v>13.66</v>
      </c>
      <c r="L92" s="64">
        <v>25.76</v>
      </c>
      <c r="M92" s="64">
        <v>23.38</v>
      </c>
      <c r="N92" s="64">
        <v>54.9</v>
      </c>
      <c r="O92" s="64">
        <v>0</v>
      </c>
      <c r="P92" s="64">
        <v>2.2999999999999998</v>
      </c>
      <c r="Q92" s="64">
        <v>10.32</v>
      </c>
      <c r="R92" s="198"/>
      <c r="S92" s="198"/>
      <c r="T92" s="198"/>
      <c r="U92" s="198"/>
    </row>
    <row r="93" spans="1:26" s="12" customFormat="1" x14ac:dyDescent="0.25">
      <c r="A93" s="247" t="s">
        <v>3112</v>
      </c>
      <c r="B93" s="64">
        <v>84.19</v>
      </c>
      <c r="C93" s="64">
        <v>140.80000000000001</v>
      </c>
      <c r="D93" s="64">
        <v>141.07</v>
      </c>
      <c r="E93" s="64">
        <v>18.97</v>
      </c>
      <c r="F93" s="64">
        <v>9.6999999999999993</v>
      </c>
      <c r="G93" s="64">
        <v>147.03</v>
      </c>
      <c r="H93" s="64">
        <v>45.06</v>
      </c>
      <c r="I93" s="64">
        <v>3.97</v>
      </c>
      <c r="J93" s="64">
        <v>0.69</v>
      </c>
      <c r="K93" s="64">
        <v>10.74</v>
      </c>
      <c r="L93" s="64">
        <v>25.64</v>
      </c>
      <c r="M93" s="64">
        <v>22.92</v>
      </c>
      <c r="N93" s="64">
        <v>55.3</v>
      </c>
      <c r="O93" s="64">
        <v>0</v>
      </c>
      <c r="P93" s="64">
        <v>2.12</v>
      </c>
      <c r="Q93" s="64">
        <v>10.27</v>
      </c>
      <c r="R93" s="198"/>
      <c r="S93" s="198"/>
      <c r="T93" s="198"/>
      <c r="U93" s="198"/>
    </row>
    <row r="94" spans="1:26" s="12" customFormat="1" x14ac:dyDescent="0.25">
      <c r="A94" s="247" t="s">
        <v>3113</v>
      </c>
      <c r="B94" s="64">
        <v>55.95</v>
      </c>
      <c r="C94" s="64">
        <v>131.54</v>
      </c>
      <c r="D94" s="64">
        <v>113.59</v>
      </c>
      <c r="E94" s="64">
        <v>18.29</v>
      </c>
      <c r="F94" s="64">
        <v>10.15</v>
      </c>
      <c r="G94" s="64">
        <v>147.03</v>
      </c>
      <c r="H94" s="64">
        <v>45.06</v>
      </c>
      <c r="I94" s="64">
        <v>3.91</v>
      </c>
      <c r="J94" s="64">
        <v>0.7</v>
      </c>
      <c r="K94" s="64">
        <v>6.4</v>
      </c>
      <c r="L94" s="64">
        <v>25.33</v>
      </c>
      <c r="M94" s="64">
        <v>23.17</v>
      </c>
      <c r="N94" s="64">
        <v>55.5</v>
      </c>
      <c r="O94" s="64">
        <v>0</v>
      </c>
      <c r="P94" s="64">
        <v>2.2599999999999998</v>
      </c>
      <c r="Q94" s="64">
        <v>10.220000000000001</v>
      </c>
      <c r="R94" s="198"/>
      <c r="S94" s="198"/>
      <c r="T94" s="198"/>
      <c r="U94" s="198"/>
    </row>
    <row r="95" spans="1:26" s="12" customFormat="1" x14ac:dyDescent="0.25">
      <c r="A95" s="247" t="s">
        <v>3114</v>
      </c>
      <c r="B95" s="64">
        <v>48.46</v>
      </c>
      <c r="C95" s="64">
        <v>129.09</v>
      </c>
      <c r="D95" s="64">
        <v>106.31</v>
      </c>
      <c r="E95" s="64">
        <v>16.260000000000002</v>
      </c>
      <c r="F95" s="64">
        <v>9.24</v>
      </c>
      <c r="G95" s="64">
        <v>147.03</v>
      </c>
      <c r="H95" s="64">
        <v>45.06</v>
      </c>
      <c r="I95" s="64">
        <v>4</v>
      </c>
      <c r="J95" s="64">
        <v>0.67</v>
      </c>
      <c r="K95" s="64">
        <v>28.93</v>
      </c>
      <c r="L95" s="64">
        <v>25.03</v>
      </c>
      <c r="M95" s="64">
        <v>24.11</v>
      </c>
      <c r="N95" s="64">
        <v>55.7</v>
      </c>
      <c r="O95" s="64">
        <v>0</v>
      </c>
      <c r="P95" s="64">
        <v>2.19</v>
      </c>
      <c r="Q95" s="64">
        <v>10.220000000000001</v>
      </c>
      <c r="R95" s="198"/>
      <c r="S95" s="198"/>
      <c r="T95" s="198"/>
      <c r="U95" s="198"/>
    </row>
    <row r="96" spans="1:26" s="12" customFormat="1" x14ac:dyDescent="0.25">
      <c r="A96" s="247" t="s">
        <v>3115</v>
      </c>
      <c r="B96" s="64">
        <v>40.36</v>
      </c>
      <c r="C96" s="64">
        <v>120.58</v>
      </c>
      <c r="D96" s="64">
        <v>95.36</v>
      </c>
      <c r="E96" s="64">
        <v>17.760000000000002</v>
      </c>
      <c r="F96" s="64">
        <v>9.8699999999999992</v>
      </c>
      <c r="G96" s="64">
        <v>140.09</v>
      </c>
      <c r="H96" s="64">
        <v>44.59</v>
      </c>
      <c r="I96" s="64">
        <v>3.86</v>
      </c>
      <c r="J96" s="64">
        <v>0.54</v>
      </c>
      <c r="K96" s="64">
        <v>26.67</v>
      </c>
      <c r="L96" s="64">
        <v>24.83</v>
      </c>
      <c r="M96" s="64">
        <v>23.11</v>
      </c>
      <c r="N96" s="64">
        <v>55.3</v>
      </c>
      <c r="O96" s="64">
        <v>0</v>
      </c>
      <c r="P96" s="64">
        <v>2.02</v>
      </c>
      <c r="Q96" s="64">
        <v>10.23</v>
      </c>
      <c r="R96" s="198"/>
      <c r="S96" s="198"/>
      <c r="T96" s="212"/>
      <c r="U96" s="198"/>
      <c r="Z96" s="109"/>
    </row>
    <row r="97" spans="1:33" s="12" customFormat="1" x14ac:dyDescent="0.25">
      <c r="A97" s="247" t="s">
        <v>3116</v>
      </c>
      <c r="B97" s="64">
        <v>34.799999999999997</v>
      </c>
      <c r="C97" s="64">
        <v>122.46</v>
      </c>
      <c r="D97" s="64">
        <v>91.89</v>
      </c>
      <c r="E97" s="64">
        <v>25.06</v>
      </c>
      <c r="F97" s="64">
        <v>11.84</v>
      </c>
      <c r="G97" s="64">
        <v>118.64</v>
      </c>
      <c r="H97" s="64">
        <v>43.16</v>
      </c>
      <c r="I97" s="64">
        <v>3.85</v>
      </c>
      <c r="J97" s="64">
        <v>0.72</v>
      </c>
      <c r="K97" s="64">
        <v>22.9</v>
      </c>
      <c r="L97" s="64">
        <v>24.75</v>
      </c>
      <c r="M97" s="64">
        <v>23.58</v>
      </c>
      <c r="N97" s="64">
        <v>55.3</v>
      </c>
      <c r="O97" s="64">
        <v>0</v>
      </c>
      <c r="P97" s="64">
        <v>1.84</v>
      </c>
      <c r="Q97" s="64">
        <v>10.199999999999999</v>
      </c>
      <c r="R97" s="198"/>
      <c r="S97" s="198"/>
      <c r="T97" s="198"/>
      <c r="U97" s="198"/>
    </row>
    <row r="98" spans="1:33" s="12" customFormat="1" x14ac:dyDescent="0.25">
      <c r="A98" s="247" t="s">
        <v>3117</v>
      </c>
      <c r="B98" s="64">
        <v>50.41</v>
      </c>
      <c r="C98" s="64">
        <v>130.9</v>
      </c>
      <c r="D98" s="64">
        <v>108.81</v>
      </c>
      <c r="E98" s="64">
        <v>27.88</v>
      </c>
      <c r="F98" s="64">
        <v>9.58</v>
      </c>
      <c r="G98" s="64">
        <v>118.64</v>
      </c>
      <c r="H98" s="64">
        <v>43.16</v>
      </c>
      <c r="I98" s="64">
        <v>4.0599999999999996</v>
      </c>
      <c r="J98" s="64">
        <v>0.75</v>
      </c>
      <c r="K98" s="64">
        <v>359.78</v>
      </c>
      <c r="L98" s="64">
        <v>24.17</v>
      </c>
      <c r="M98" s="64">
        <v>26.5</v>
      </c>
      <c r="N98" s="64">
        <v>55.7</v>
      </c>
      <c r="O98" s="64">
        <v>0</v>
      </c>
      <c r="P98" s="64">
        <v>1.81</v>
      </c>
      <c r="Q98" s="64">
        <v>10.17</v>
      </c>
      <c r="R98" s="198"/>
      <c r="S98" s="198"/>
      <c r="T98" s="198"/>
      <c r="U98" s="198"/>
    </row>
    <row r="99" spans="1:33" s="12" customFormat="1" x14ac:dyDescent="0.25">
      <c r="A99" s="247" t="s">
        <v>3118</v>
      </c>
      <c r="B99" s="64">
        <v>58.11</v>
      </c>
      <c r="C99" s="64">
        <v>119.15</v>
      </c>
      <c r="D99" s="64">
        <v>108.85</v>
      </c>
      <c r="E99" s="64">
        <v>21.92</v>
      </c>
      <c r="F99" s="64">
        <v>8.5399999999999991</v>
      </c>
      <c r="G99" s="64">
        <v>118.64</v>
      </c>
      <c r="H99" s="64">
        <v>43.16</v>
      </c>
      <c r="I99" s="64">
        <v>4.04</v>
      </c>
      <c r="J99" s="64">
        <v>0.84</v>
      </c>
      <c r="K99" s="64">
        <v>357.74</v>
      </c>
      <c r="L99" s="64">
        <v>23.68</v>
      </c>
      <c r="M99" s="64">
        <v>30.17</v>
      </c>
      <c r="N99" s="64">
        <v>55.4</v>
      </c>
      <c r="O99" s="64">
        <v>0</v>
      </c>
      <c r="P99" s="64">
        <v>2.17</v>
      </c>
      <c r="Q99" s="64">
        <v>10.130000000000001</v>
      </c>
      <c r="R99" s="198"/>
      <c r="S99" s="198"/>
      <c r="T99" s="198"/>
      <c r="U99" s="198"/>
    </row>
    <row r="100" spans="1:33" s="12" customFormat="1" x14ac:dyDescent="0.25">
      <c r="A100" s="247" t="s">
        <v>3119</v>
      </c>
      <c r="B100" s="64">
        <v>36.5</v>
      </c>
      <c r="C100" s="64">
        <v>117.42</v>
      </c>
      <c r="D100" s="64">
        <v>90.62</v>
      </c>
      <c r="E100" s="64">
        <v>25.04</v>
      </c>
      <c r="F100" s="64">
        <v>10.57</v>
      </c>
      <c r="G100" s="64">
        <v>116.72</v>
      </c>
      <c r="H100" s="64">
        <v>41.99</v>
      </c>
      <c r="I100" s="64">
        <v>4.1100000000000003</v>
      </c>
      <c r="J100" s="64">
        <v>0.67</v>
      </c>
      <c r="K100" s="64">
        <v>25.6</v>
      </c>
      <c r="L100" s="64">
        <v>23.64</v>
      </c>
      <c r="M100" s="64">
        <v>27.21</v>
      </c>
      <c r="N100" s="64">
        <v>55.4</v>
      </c>
      <c r="O100" s="64">
        <v>0</v>
      </c>
      <c r="P100" s="64">
        <v>1.87</v>
      </c>
      <c r="Q100" s="64">
        <v>10.14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3120</v>
      </c>
      <c r="B101" s="64">
        <v>30.45</v>
      </c>
      <c r="C101" s="64">
        <v>109.2</v>
      </c>
      <c r="D101" s="64">
        <v>81.47</v>
      </c>
      <c r="E101" s="64">
        <v>24.99</v>
      </c>
      <c r="F101" s="64">
        <v>12.56</v>
      </c>
      <c r="G101" s="64">
        <v>110.81</v>
      </c>
      <c r="H101" s="64">
        <v>38.35</v>
      </c>
      <c r="I101" s="64">
        <v>3.97</v>
      </c>
      <c r="J101" s="64">
        <v>0.56999999999999995</v>
      </c>
      <c r="K101" s="64">
        <v>34.08</v>
      </c>
      <c r="L101" s="64">
        <v>23.77</v>
      </c>
      <c r="M101" s="64">
        <v>24.58</v>
      </c>
      <c r="N101" s="64">
        <v>55.5</v>
      </c>
      <c r="O101" s="64">
        <v>0</v>
      </c>
      <c r="P101" s="64">
        <v>1.53</v>
      </c>
      <c r="Q101" s="64">
        <v>10.11</v>
      </c>
      <c r="R101" s="198"/>
      <c r="S101" s="198"/>
      <c r="T101" s="198"/>
      <c r="U101" s="198"/>
    </row>
    <row r="102" spans="1:33" s="12" customFormat="1" x14ac:dyDescent="0.25">
      <c r="A102" s="247" t="s">
        <v>3121</v>
      </c>
      <c r="B102" s="64">
        <v>17.3</v>
      </c>
      <c r="C102" s="64">
        <v>109.9</v>
      </c>
      <c r="D102" s="64">
        <v>71.290000000000006</v>
      </c>
      <c r="E102" s="64">
        <v>30.31</v>
      </c>
      <c r="F102" s="64">
        <v>14.51</v>
      </c>
      <c r="G102" s="64">
        <v>110.81</v>
      </c>
      <c r="H102" s="64">
        <v>38.35</v>
      </c>
      <c r="I102" s="64">
        <v>3.98</v>
      </c>
      <c r="J102" s="64">
        <v>0.39</v>
      </c>
      <c r="K102" s="64">
        <v>54.37</v>
      </c>
      <c r="L102" s="64">
        <v>23.4</v>
      </c>
      <c r="M102" s="64">
        <v>25.24</v>
      </c>
      <c r="N102" s="64">
        <v>55.5</v>
      </c>
      <c r="O102" s="64">
        <v>0</v>
      </c>
      <c r="P102" s="64">
        <v>1.1499999999999999</v>
      </c>
      <c r="Q102" s="64">
        <v>10.11</v>
      </c>
      <c r="R102" s="198"/>
      <c r="S102" s="198"/>
      <c r="T102" s="198"/>
      <c r="U102" s="198"/>
    </row>
    <row r="103" spans="1:33" s="12" customFormat="1" x14ac:dyDescent="0.25">
      <c r="A103" s="247" t="s">
        <v>3122</v>
      </c>
      <c r="B103" s="64">
        <v>15.69</v>
      </c>
      <c r="C103" s="64">
        <v>97.35</v>
      </c>
      <c r="D103" s="64">
        <v>63.45</v>
      </c>
      <c r="E103" s="64">
        <v>31.64</v>
      </c>
      <c r="F103" s="64">
        <v>16.36</v>
      </c>
      <c r="G103" s="64">
        <v>110.81</v>
      </c>
      <c r="H103" s="64">
        <v>38.35</v>
      </c>
      <c r="I103" s="64">
        <v>4.16</v>
      </c>
      <c r="J103" s="64">
        <v>0.55000000000000004</v>
      </c>
      <c r="K103" s="64">
        <v>266.32</v>
      </c>
      <c r="L103" s="64">
        <v>23.29</v>
      </c>
      <c r="M103" s="64">
        <v>27.12</v>
      </c>
      <c r="N103" s="64">
        <v>55.5</v>
      </c>
      <c r="O103" s="64">
        <v>0</v>
      </c>
      <c r="P103" s="64">
        <v>1.04</v>
      </c>
      <c r="Q103" s="64">
        <v>10.119999999999999</v>
      </c>
      <c r="R103" s="198"/>
      <c r="S103" s="198"/>
      <c r="T103" s="198"/>
      <c r="U103" s="198"/>
    </row>
    <row r="104" spans="1:33" s="12" customFormat="1" x14ac:dyDescent="0.25">
      <c r="A104" s="247" t="s">
        <v>3123</v>
      </c>
      <c r="B104" s="64">
        <v>14.43</v>
      </c>
      <c r="C104" s="64">
        <v>95.66</v>
      </c>
      <c r="D104" s="64">
        <v>61.55</v>
      </c>
      <c r="E104" s="64">
        <v>28.56</v>
      </c>
      <c r="F104" s="64">
        <v>15.86</v>
      </c>
      <c r="G104" s="64">
        <v>106.25</v>
      </c>
      <c r="H104" s="64">
        <v>37.64</v>
      </c>
      <c r="I104" s="64">
        <v>4.12</v>
      </c>
      <c r="J104" s="64">
        <v>0.33</v>
      </c>
      <c r="K104" s="64">
        <v>239.47</v>
      </c>
      <c r="L104" s="64">
        <v>22.77</v>
      </c>
      <c r="M104" s="64">
        <v>28.92</v>
      </c>
      <c r="N104" s="64">
        <v>55.9</v>
      </c>
      <c r="O104" s="64">
        <v>0</v>
      </c>
      <c r="P104" s="64">
        <v>1.1599999999999999</v>
      </c>
      <c r="Q104" s="64">
        <v>10.08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1.17</v>
      </c>
      <c r="C106" s="67">
        <f>MIN(C9:C104)</f>
        <v>69.59</v>
      </c>
      <c r="D106" s="67">
        <f t="shared" ref="D106:Q106" si="0">MIN(D9:D104)</f>
        <v>37.96</v>
      </c>
      <c r="E106" s="67">
        <f t="shared" si="0"/>
        <v>4.8600000000000003</v>
      </c>
      <c r="F106" s="67">
        <f t="shared" si="0"/>
        <v>6.77</v>
      </c>
      <c r="G106" s="67">
        <f t="shared" si="0"/>
        <v>61.8</v>
      </c>
      <c r="H106" s="67">
        <f t="shared" si="0"/>
        <v>0.02</v>
      </c>
      <c r="I106" s="67">
        <f t="shared" si="0"/>
        <v>3.79</v>
      </c>
      <c r="J106" s="67">
        <f t="shared" si="0"/>
        <v>0.13</v>
      </c>
      <c r="K106" s="67">
        <f t="shared" si="0"/>
        <v>0.53</v>
      </c>
      <c r="L106" s="67">
        <f t="shared" si="0"/>
        <v>19.47</v>
      </c>
      <c r="M106" s="67">
        <f t="shared" si="0"/>
        <v>10.64</v>
      </c>
      <c r="N106" s="67">
        <f t="shared" si="0"/>
        <v>54.8</v>
      </c>
      <c r="O106" s="67">
        <f t="shared" si="0"/>
        <v>0</v>
      </c>
      <c r="P106" s="67">
        <f t="shared" si="0"/>
        <v>0.52</v>
      </c>
      <c r="Q106" s="67">
        <f t="shared" si="0"/>
        <v>9.44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187.69</v>
      </c>
      <c r="C107" s="66">
        <f t="shared" ref="C107:Q107" si="1">MAX(C9:C104)</f>
        <v>323.05</v>
      </c>
      <c r="D107" s="66">
        <f t="shared" si="1"/>
        <v>238.55</v>
      </c>
      <c r="E107" s="66">
        <f t="shared" si="1"/>
        <v>58.99</v>
      </c>
      <c r="F107" s="66">
        <f t="shared" si="1"/>
        <v>42.28</v>
      </c>
      <c r="G107" s="66">
        <f t="shared" si="1"/>
        <v>184.68</v>
      </c>
      <c r="H107" s="66">
        <f t="shared" si="1"/>
        <v>45.06</v>
      </c>
      <c r="I107" s="66">
        <f t="shared" si="1"/>
        <v>4.2</v>
      </c>
      <c r="J107" s="66">
        <f t="shared" si="1"/>
        <v>2.19</v>
      </c>
      <c r="K107" s="66">
        <f t="shared" si="1"/>
        <v>359.78</v>
      </c>
      <c r="L107" s="66">
        <f t="shared" si="1"/>
        <v>37.57</v>
      </c>
      <c r="M107" s="66">
        <f t="shared" si="1"/>
        <v>40.39</v>
      </c>
      <c r="N107" s="66">
        <f t="shared" si="1"/>
        <v>820.1</v>
      </c>
      <c r="O107" s="66">
        <f t="shared" si="1"/>
        <v>0</v>
      </c>
      <c r="P107" s="66">
        <f t="shared" si="1"/>
        <v>4.4000000000000004</v>
      </c>
      <c r="Q107" s="66">
        <f t="shared" si="1"/>
        <v>10.33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29.484035087719302</v>
      </c>
      <c r="C108" s="67">
        <f t="shared" ref="C108:Q108" si="2">AVERAGE(C9:C104)</f>
        <v>133.62578947368422</v>
      </c>
      <c r="D108" s="67">
        <f t="shared" si="2"/>
        <v>93.458771929824593</v>
      </c>
      <c r="E108" s="67">
        <f t="shared" si="2"/>
        <v>25.21541666666667</v>
      </c>
      <c r="F108" s="67">
        <f t="shared" si="2"/>
        <v>16.77354166666667</v>
      </c>
      <c r="G108" s="67">
        <f t="shared" si="2"/>
        <v>115.93885416666666</v>
      </c>
      <c r="H108" s="67">
        <f t="shared" si="2"/>
        <v>27.95614583333332</v>
      </c>
      <c r="I108" s="67">
        <f t="shared" si="2"/>
        <v>3.9900000000000024</v>
      </c>
      <c r="J108" s="67">
        <f t="shared" si="2"/>
        <v>0.93708333333333338</v>
      </c>
      <c r="K108" s="67">
        <f t="shared" si="2"/>
        <v>128.02104166666669</v>
      </c>
      <c r="L108" s="67">
        <f t="shared" si="2"/>
        <v>27.420625000000001</v>
      </c>
      <c r="M108" s="67">
        <f t="shared" si="2"/>
        <v>22.931770833333321</v>
      </c>
      <c r="N108" s="67">
        <f t="shared" si="2"/>
        <v>251.24062500000014</v>
      </c>
      <c r="O108" s="67">
        <f t="shared" si="2"/>
        <v>0</v>
      </c>
      <c r="P108" s="67">
        <f t="shared" si="2"/>
        <v>1.3872916666666668</v>
      </c>
      <c r="Q108" s="67">
        <f t="shared" si="2"/>
        <v>9.8172916666666712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41.02379470065641</v>
      </c>
      <c r="C109" s="67">
        <f t="shared" ref="C109:Q109" si="3">STDEV(C9:C104)</f>
        <v>46.922403115119124</v>
      </c>
      <c r="D109" s="67">
        <f t="shared" si="3"/>
        <v>46.118481346193441</v>
      </c>
      <c r="E109" s="67">
        <f t="shared" si="3"/>
        <v>14.364282305090999</v>
      </c>
      <c r="F109" s="67">
        <f t="shared" si="3"/>
        <v>9.5003134551241999</v>
      </c>
      <c r="G109" s="67">
        <f t="shared" si="3"/>
        <v>33.986412729974774</v>
      </c>
      <c r="H109" s="67">
        <f t="shared" si="3"/>
        <v>13.013645338222341</v>
      </c>
      <c r="I109" s="67">
        <f t="shared" si="3"/>
        <v>9.9852522831371041E-2</v>
      </c>
      <c r="J109" s="67">
        <f t="shared" si="3"/>
        <v>0.46307875121253556</v>
      </c>
      <c r="K109" s="67">
        <f t="shared" si="3"/>
        <v>144.11774534426365</v>
      </c>
      <c r="L109" s="67">
        <f t="shared" si="3"/>
        <v>5.414936032571589</v>
      </c>
      <c r="M109" s="67">
        <f t="shared" si="3"/>
        <v>8.6642280908392557</v>
      </c>
      <c r="N109" s="67">
        <f t="shared" si="3"/>
        <v>272.89516575075396</v>
      </c>
      <c r="O109" s="67">
        <f t="shared" si="3"/>
        <v>0</v>
      </c>
      <c r="P109" s="67">
        <f t="shared" si="3"/>
        <v>0.86621193367159732</v>
      </c>
      <c r="Q109" s="67">
        <f t="shared" si="3"/>
        <v>0.28737827323899168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COUNT(B9:B104)+39</f>
        <v>96</v>
      </c>
      <c r="C110" s="66">
        <f t="shared" ref="C110:D110" si="4">COUNT(C9:C104)+39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F121" sqref="F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47" t="s">
        <v>3124</v>
      </c>
      <c r="B9" s="64">
        <v>33.119999999999997</v>
      </c>
      <c r="C9" s="64">
        <v>105.45</v>
      </c>
      <c r="D9" s="64">
        <v>81.66</v>
      </c>
      <c r="E9" s="64">
        <v>28.38</v>
      </c>
      <c r="F9" s="64">
        <v>10.58</v>
      </c>
      <c r="G9" s="64">
        <v>92.14</v>
      </c>
      <c r="H9" s="64">
        <v>35.299999999999997</v>
      </c>
      <c r="I9" s="64">
        <v>4.01</v>
      </c>
      <c r="J9" s="64">
        <v>0.51</v>
      </c>
      <c r="K9" s="64">
        <v>352.87</v>
      </c>
      <c r="L9" s="64">
        <v>21.92</v>
      </c>
      <c r="M9" s="64">
        <v>33.82</v>
      </c>
      <c r="N9" s="64">
        <v>56</v>
      </c>
      <c r="O9" s="64">
        <v>0</v>
      </c>
      <c r="P9" s="64">
        <v>1.44</v>
      </c>
      <c r="Q9" s="64">
        <v>10.06</v>
      </c>
      <c r="R9" s="198"/>
      <c r="S9" s="198"/>
      <c r="T9" s="198"/>
      <c r="U9" s="198"/>
    </row>
    <row r="10" spans="1:21" s="12" customFormat="1" x14ac:dyDescent="0.25">
      <c r="A10" s="247" t="s">
        <v>3125</v>
      </c>
      <c r="B10" s="64">
        <v>20.440000000000001</v>
      </c>
      <c r="C10" s="64">
        <v>101.09</v>
      </c>
      <c r="D10" s="64">
        <v>69.209999999999994</v>
      </c>
      <c r="E10" s="64">
        <v>27.15</v>
      </c>
      <c r="F10" s="64">
        <v>9.74</v>
      </c>
      <c r="G10" s="64">
        <v>92.14</v>
      </c>
      <c r="H10" s="64">
        <v>35.299999999999997</v>
      </c>
      <c r="I10" s="64">
        <v>3.99</v>
      </c>
      <c r="J10" s="64">
        <v>0.63</v>
      </c>
      <c r="K10" s="64">
        <v>9.9499999999999993</v>
      </c>
      <c r="L10" s="64">
        <v>21.29</v>
      </c>
      <c r="M10" s="64">
        <v>34.64</v>
      </c>
      <c r="N10" s="64">
        <v>55.8</v>
      </c>
      <c r="O10" s="64">
        <v>0</v>
      </c>
      <c r="P10" s="64">
        <v>1.44</v>
      </c>
      <c r="Q10" s="64">
        <v>10.029999999999999</v>
      </c>
      <c r="R10" s="198"/>
      <c r="S10" s="198"/>
      <c r="T10" s="198"/>
      <c r="U10" s="198"/>
    </row>
    <row r="11" spans="1:21" s="12" customFormat="1" x14ac:dyDescent="0.25">
      <c r="A11" s="247" t="s">
        <v>3126</v>
      </c>
      <c r="B11" s="64">
        <v>14.95</v>
      </c>
      <c r="C11" s="64">
        <v>91.83</v>
      </c>
      <c r="D11" s="64">
        <v>59.97</v>
      </c>
      <c r="E11" s="64">
        <v>28.47</v>
      </c>
      <c r="F11" s="64">
        <v>12.65</v>
      </c>
      <c r="G11" s="64">
        <v>92.14</v>
      </c>
      <c r="H11" s="64">
        <v>35.299999999999997</v>
      </c>
      <c r="I11" s="64">
        <v>3.82</v>
      </c>
      <c r="J11" s="64">
        <v>0.59</v>
      </c>
      <c r="K11" s="64">
        <v>330.33</v>
      </c>
      <c r="L11" s="64">
        <v>21.29</v>
      </c>
      <c r="M11" s="64">
        <v>33.11</v>
      </c>
      <c r="N11" s="64">
        <v>55.5</v>
      </c>
      <c r="O11" s="64">
        <v>0</v>
      </c>
      <c r="P11" s="64">
        <v>1.32</v>
      </c>
      <c r="Q11" s="64">
        <v>10.039999999999999</v>
      </c>
      <c r="R11" s="198"/>
      <c r="S11" s="198"/>
      <c r="T11" s="198"/>
      <c r="U11" s="198"/>
    </row>
    <row r="12" spans="1:21" s="12" customFormat="1" x14ac:dyDescent="0.25">
      <c r="A12" s="247" t="s">
        <v>3127</v>
      </c>
      <c r="B12" s="64">
        <v>14.92</v>
      </c>
      <c r="C12" s="64">
        <v>89.41</v>
      </c>
      <c r="D12" s="64">
        <v>58.68</v>
      </c>
      <c r="E12" s="64">
        <v>32.770000000000003</v>
      </c>
      <c r="F12" s="64">
        <v>16.079999999999998</v>
      </c>
      <c r="G12" s="64">
        <v>94.95</v>
      </c>
      <c r="H12" s="64">
        <v>34.56</v>
      </c>
      <c r="I12" s="64">
        <v>4.03</v>
      </c>
      <c r="J12" s="64">
        <v>0.52</v>
      </c>
      <c r="K12" s="64">
        <v>355.74</v>
      </c>
      <c r="L12" s="64">
        <v>21.48</v>
      </c>
      <c r="M12" s="64">
        <v>31.15</v>
      </c>
      <c r="N12" s="64">
        <v>55.3</v>
      </c>
      <c r="O12" s="64">
        <v>0</v>
      </c>
      <c r="P12" s="64">
        <v>1.1399999999999999</v>
      </c>
      <c r="Q12" s="64">
        <v>10.02</v>
      </c>
      <c r="R12" s="198"/>
      <c r="S12" s="198"/>
      <c r="T12" s="198"/>
      <c r="U12" s="198"/>
    </row>
    <row r="13" spans="1:21" s="12" customFormat="1" x14ac:dyDescent="0.25">
      <c r="A13" s="247" t="s">
        <v>3128</v>
      </c>
      <c r="B13" s="64">
        <v>12.15</v>
      </c>
      <c r="C13" s="64">
        <v>78.040000000000006</v>
      </c>
      <c r="D13" s="64">
        <v>50.52</v>
      </c>
      <c r="E13" s="64">
        <v>41.9</v>
      </c>
      <c r="F13" s="64">
        <v>20.2</v>
      </c>
      <c r="G13" s="64">
        <v>103.64</v>
      </c>
      <c r="H13" s="64">
        <v>32.28</v>
      </c>
      <c r="I13" s="64">
        <v>3.95</v>
      </c>
      <c r="J13" s="64">
        <v>0.27</v>
      </c>
      <c r="K13" s="64">
        <v>94.38</v>
      </c>
      <c r="L13" s="64">
        <v>21.85</v>
      </c>
      <c r="M13" s="64">
        <v>28.46</v>
      </c>
      <c r="N13" s="64">
        <v>55.1</v>
      </c>
      <c r="O13" s="64">
        <v>0</v>
      </c>
      <c r="P13" s="64">
        <v>1.02</v>
      </c>
      <c r="Q13" s="64">
        <v>10.02</v>
      </c>
      <c r="R13" s="198"/>
      <c r="S13" s="198"/>
      <c r="T13" s="198"/>
      <c r="U13" s="198"/>
    </row>
    <row r="14" spans="1:21" s="12" customFormat="1" x14ac:dyDescent="0.25">
      <c r="A14" s="247" t="s">
        <v>3129</v>
      </c>
      <c r="B14" s="64">
        <v>27.06</v>
      </c>
      <c r="C14" s="64">
        <v>80.67</v>
      </c>
      <c r="D14" s="64">
        <v>63.85</v>
      </c>
      <c r="E14" s="64">
        <v>16.98</v>
      </c>
      <c r="F14" s="64">
        <v>10.86</v>
      </c>
      <c r="G14" s="64">
        <v>103.64</v>
      </c>
      <c r="H14" s="64">
        <v>32.28</v>
      </c>
      <c r="I14" s="64">
        <v>4.13</v>
      </c>
      <c r="J14" s="64">
        <v>0.46</v>
      </c>
      <c r="K14" s="64">
        <v>337.57</v>
      </c>
      <c r="L14" s="64">
        <v>21.97</v>
      </c>
      <c r="M14" s="64">
        <v>30.22</v>
      </c>
      <c r="N14" s="64">
        <v>55.5</v>
      </c>
      <c r="O14" s="64">
        <v>0</v>
      </c>
      <c r="P14" s="64">
        <v>1.48</v>
      </c>
      <c r="Q14" s="64">
        <v>9.98</v>
      </c>
      <c r="R14" s="198"/>
      <c r="S14" s="198"/>
      <c r="T14" s="198"/>
      <c r="U14" s="198"/>
    </row>
    <row r="15" spans="1:21" s="12" customFormat="1" x14ac:dyDescent="0.25">
      <c r="A15" s="247" t="s">
        <v>3130</v>
      </c>
      <c r="B15" s="64">
        <v>24.51</v>
      </c>
      <c r="C15" s="64">
        <v>81.11</v>
      </c>
      <c r="D15" s="64">
        <v>62.03</v>
      </c>
      <c r="E15" s="64">
        <v>14.47</v>
      </c>
      <c r="F15" s="64">
        <v>10.43</v>
      </c>
      <c r="G15" s="64">
        <v>103.64</v>
      </c>
      <c r="H15" s="64">
        <v>32.28</v>
      </c>
      <c r="I15" s="64">
        <v>4.04</v>
      </c>
      <c r="J15" s="64">
        <v>0.56000000000000005</v>
      </c>
      <c r="K15" s="64">
        <v>300.07</v>
      </c>
      <c r="L15" s="64">
        <v>21.36</v>
      </c>
      <c r="M15" s="64">
        <v>34.15</v>
      </c>
      <c r="N15" s="64">
        <v>55.8</v>
      </c>
      <c r="O15" s="64">
        <v>0</v>
      </c>
      <c r="P15" s="64">
        <v>1.47</v>
      </c>
      <c r="Q15" s="64">
        <v>9.94</v>
      </c>
      <c r="R15" s="198"/>
      <c r="S15" s="198"/>
      <c r="T15" s="198"/>
      <c r="U15" s="198"/>
    </row>
    <row r="16" spans="1:21" s="12" customFormat="1" x14ac:dyDescent="0.25">
      <c r="A16" s="247" t="s">
        <v>3131</v>
      </c>
      <c r="B16" s="64">
        <v>25.99</v>
      </c>
      <c r="C16" s="64">
        <v>78.900000000000006</v>
      </c>
      <c r="D16" s="64">
        <v>62.06</v>
      </c>
      <c r="E16" s="64">
        <v>13.67</v>
      </c>
      <c r="F16" s="64">
        <v>11.05</v>
      </c>
      <c r="G16" s="64">
        <v>101.04</v>
      </c>
      <c r="H16" s="64">
        <v>32.630000000000003</v>
      </c>
      <c r="I16" s="64">
        <v>3.95</v>
      </c>
      <c r="J16" s="64">
        <v>0.88</v>
      </c>
      <c r="K16" s="64">
        <v>359.15</v>
      </c>
      <c r="L16" s="64">
        <v>20.71</v>
      </c>
      <c r="M16" s="64">
        <v>36.08</v>
      </c>
      <c r="N16" s="64">
        <v>55.5</v>
      </c>
      <c r="O16" s="64">
        <v>0</v>
      </c>
      <c r="P16" s="64">
        <v>1.5</v>
      </c>
      <c r="Q16" s="64">
        <v>9.94</v>
      </c>
      <c r="R16" s="198"/>
      <c r="S16" s="198"/>
      <c r="T16" s="198"/>
      <c r="U16" s="198"/>
    </row>
    <row r="17" spans="1:21" s="12" customFormat="1" x14ac:dyDescent="0.25">
      <c r="A17" s="247" t="s">
        <v>3132</v>
      </c>
      <c r="B17" s="64">
        <v>19.399999999999999</v>
      </c>
      <c r="C17" s="64">
        <v>74.63</v>
      </c>
      <c r="D17" s="64">
        <v>54.55</v>
      </c>
      <c r="E17" s="64">
        <v>20.059999999999999</v>
      </c>
      <c r="F17" s="64">
        <v>13.54</v>
      </c>
      <c r="G17" s="64">
        <v>92.5</v>
      </c>
      <c r="H17" s="64">
        <v>33.799999999999997</v>
      </c>
      <c r="I17" s="64">
        <v>4.0199999999999996</v>
      </c>
      <c r="J17" s="64">
        <v>1.21</v>
      </c>
      <c r="K17" s="64">
        <v>2.35</v>
      </c>
      <c r="L17" s="64">
        <v>21.24</v>
      </c>
      <c r="M17" s="64">
        <v>31.27</v>
      </c>
      <c r="N17" s="64">
        <v>54.2</v>
      </c>
      <c r="O17" s="64">
        <v>0</v>
      </c>
      <c r="P17" s="64">
        <v>1.33</v>
      </c>
      <c r="Q17" s="64">
        <v>9.9499999999999993</v>
      </c>
      <c r="R17" s="198"/>
      <c r="S17" s="198"/>
      <c r="T17" s="198"/>
      <c r="U17" s="198"/>
    </row>
    <row r="18" spans="1:21" s="12" customFormat="1" x14ac:dyDescent="0.25">
      <c r="A18" s="247" t="s">
        <v>3133</v>
      </c>
      <c r="B18" s="64">
        <v>22.91</v>
      </c>
      <c r="C18" s="64">
        <v>83.65</v>
      </c>
      <c r="D18" s="64">
        <v>62.07</v>
      </c>
      <c r="E18" s="64">
        <v>24.98</v>
      </c>
      <c r="F18" s="64">
        <v>8.84</v>
      </c>
      <c r="G18" s="64">
        <v>92.5</v>
      </c>
      <c r="H18" s="64">
        <v>33.799999999999997</v>
      </c>
      <c r="I18" s="64">
        <v>3.92</v>
      </c>
      <c r="J18" s="64">
        <v>1.05</v>
      </c>
      <c r="K18" s="64">
        <v>5.44</v>
      </c>
      <c r="L18" s="64">
        <v>21.84</v>
      </c>
      <c r="M18" s="64">
        <v>30.73</v>
      </c>
      <c r="N18" s="64">
        <v>54.8</v>
      </c>
      <c r="O18" s="64">
        <v>0</v>
      </c>
      <c r="P18" s="64">
        <v>1.55</v>
      </c>
      <c r="Q18" s="64">
        <v>9.94</v>
      </c>
      <c r="R18" s="198"/>
      <c r="S18" s="198"/>
      <c r="T18" s="198"/>
      <c r="U18" s="198"/>
    </row>
    <row r="19" spans="1:21" s="12" customFormat="1" x14ac:dyDescent="0.25">
      <c r="A19" s="247" t="s">
        <v>3134</v>
      </c>
      <c r="B19" s="64">
        <v>19.739999999999998</v>
      </c>
      <c r="C19" s="64">
        <v>85.07</v>
      </c>
      <c r="D19" s="64">
        <v>60.28</v>
      </c>
      <c r="E19" s="64">
        <v>39.659999999999997</v>
      </c>
      <c r="F19" s="64">
        <v>10.119999999999999</v>
      </c>
      <c r="G19" s="64">
        <v>92.5</v>
      </c>
      <c r="H19" s="64">
        <v>33.799999999999997</v>
      </c>
      <c r="I19" s="64">
        <v>4.1100000000000003</v>
      </c>
      <c r="J19" s="64">
        <v>0.73</v>
      </c>
      <c r="K19" s="64">
        <v>2.33</v>
      </c>
      <c r="L19" s="64">
        <v>21.9</v>
      </c>
      <c r="M19" s="64">
        <v>28.65</v>
      </c>
      <c r="N19" s="64">
        <v>54.9</v>
      </c>
      <c r="O19" s="64">
        <v>0</v>
      </c>
      <c r="P19" s="64">
        <v>1.44</v>
      </c>
      <c r="Q19" s="64">
        <v>9.92</v>
      </c>
      <c r="R19" s="198"/>
      <c r="S19" s="198"/>
      <c r="T19" s="198"/>
      <c r="U19" s="198"/>
    </row>
    <row r="20" spans="1:21" s="12" customFormat="1" x14ac:dyDescent="0.25">
      <c r="A20" s="247" t="s">
        <v>3135</v>
      </c>
      <c r="B20" s="64">
        <v>19.079999999999998</v>
      </c>
      <c r="C20" s="64">
        <v>76.989999999999995</v>
      </c>
      <c r="D20" s="64">
        <v>55.53</v>
      </c>
      <c r="E20" s="64">
        <v>18.940000000000001</v>
      </c>
      <c r="F20" s="64">
        <v>11.26</v>
      </c>
      <c r="G20" s="64">
        <v>114.7</v>
      </c>
      <c r="H20" s="64">
        <v>31.61</v>
      </c>
      <c r="I20" s="64">
        <v>3.86</v>
      </c>
      <c r="J20" s="64">
        <v>1</v>
      </c>
      <c r="K20" s="64">
        <v>4.59</v>
      </c>
      <c r="L20" s="64">
        <v>22.34</v>
      </c>
      <c r="M20" s="64">
        <v>24.6</v>
      </c>
      <c r="N20" s="64">
        <v>54.7</v>
      </c>
      <c r="O20" s="64">
        <v>0</v>
      </c>
      <c r="P20" s="64">
        <v>1.38</v>
      </c>
      <c r="Q20" s="64">
        <v>9.93</v>
      </c>
      <c r="R20" s="198"/>
      <c r="S20" s="198"/>
      <c r="T20" s="198"/>
      <c r="U20" s="198"/>
    </row>
    <row r="21" spans="1:21" s="12" customFormat="1" x14ac:dyDescent="0.25">
      <c r="A21" s="247" t="s">
        <v>3136</v>
      </c>
      <c r="B21" s="64">
        <v>18.71</v>
      </c>
      <c r="C21" s="64">
        <v>75.989999999999995</v>
      </c>
      <c r="D21" s="64">
        <v>54.7</v>
      </c>
      <c r="E21" s="64">
        <v>24.35</v>
      </c>
      <c r="F21" s="64">
        <v>10.51</v>
      </c>
      <c r="G21" s="64">
        <v>187.63</v>
      </c>
      <c r="H21" s="64">
        <v>24.39</v>
      </c>
      <c r="I21" s="64">
        <v>4.01</v>
      </c>
      <c r="J21" s="64">
        <v>1</v>
      </c>
      <c r="K21" s="64">
        <v>1.73</v>
      </c>
      <c r="L21" s="64">
        <v>22.21</v>
      </c>
      <c r="M21" s="64">
        <v>24.21</v>
      </c>
      <c r="N21" s="64">
        <v>55.2</v>
      </c>
      <c r="O21" s="64">
        <v>0</v>
      </c>
      <c r="P21" s="64">
        <v>1.35</v>
      </c>
      <c r="Q21" s="64">
        <v>9.89</v>
      </c>
      <c r="R21" s="198"/>
      <c r="S21" s="198"/>
      <c r="T21" s="198"/>
      <c r="U21" s="198"/>
    </row>
    <row r="22" spans="1:21" s="12" customFormat="1" x14ac:dyDescent="0.25">
      <c r="A22" s="247" t="s">
        <v>3137</v>
      </c>
      <c r="B22" s="64">
        <v>20.89</v>
      </c>
      <c r="C22" s="64">
        <v>75.61</v>
      </c>
      <c r="D22" s="64">
        <v>56.25</v>
      </c>
      <c r="E22" s="64">
        <v>8.61</v>
      </c>
      <c r="F22" s="64">
        <v>8.6300000000000008</v>
      </c>
      <c r="G22" s="64">
        <v>187.63</v>
      </c>
      <c r="H22" s="64">
        <v>24.39</v>
      </c>
      <c r="I22" s="64">
        <v>3.94</v>
      </c>
      <c r="J22" s="64">
        <v>1.33</v>
      </c>
      <c r="K22" s="64">
        <v>5.43</v>
      </c>
      <c r="L22" s="64">
        <v>22.27</v>
      </c>
      <c r="M22" s="64">
        <v>22.44</v>
      </c>
      <c r="N22" s="64">
        <v>54.8</v>
      </c>
      <c r="O22" s="64">
        <v>0</v>
      </c>
      <c r="P22" s="64">
        <v>1.42</v>
      </c>
      <c r="Q22" s="64">
        <v>9.8800000000000008</v>
      </c>
      <c r="R22" s="198"/>
      <c r="S22" s="198"/>
      <c r="T22" s="198"/>
      <c r="U22" s="198"/>
    </row>
    <row r="23" spans="1:21" s="12" customFormat="1" x14ac:dyDescent="0.25">
      <c r="A23" s="247" t="s">
        <v>3138</v>
      </c>
      <c r="B23" s="64">
        <v>18.23</v>
      </c>
      <c r="C23" s="64">
        <v>72.09</v>
      </c>
      <c r="D23" s="64">
        <v>52.28</v>
      </c>
      <c r="E23" s="64">
        <v>6.12</v>
      </c>
      <c r="F23" s="64">
        <v>8.99</v>
      </c>
      <c r="G23" s="64">
        <v>187.63</v>
      </c>
      <c r="H23" s="64">
        <v>24.39</v>
      </c>
      <c r="I23" s="64">
        <v>3.8</v>
      </c>
      <c r="J23" s="64">
        <v>1.25</v>
      </c>
      <c r="K23" s="64">
        <v>5.57</v>
      </c>
      <c r="L23" s="64">
        <v>22.15</v>
      </c>
      <c r="M23" s="64">
        <v>21.81</v>
      </c>
      <c r="N23" s="64">
        <v>55.2</v>
      </c>
      <c r="O23" s="64">
        <v>0</v>
      </c>
      <c r="P23" s="64">
        <v>1.36</v>
      </c>
      <c r="Q23" s="64">
        <v>9.86</v>
      </c>
      <c r="R23" s="198"/>
      <c r="S23" s="198"/>
      <c r="T23" s="198"/>
      <c r="U23" s="198"/>
    </row>
    <row r="24" spans="1:21" s="12" customFormat="1" x14ac:dyDescent="0.25">
      <c r="A24" s="247" t="s">
        <v>3139</v>
      </c>
      <c r="B24" s="64">
        <v>10.85</v>
      </c>
      <c r="C24" s="64">
        <v>61.4</v>
      </c>
      <c r="D24" s="64">
        <v>40.78</v>
      </c>
      <c r="E24" s="64">
        <v>13.43</v>
      </c>
      <c r="F24" s="64">
        <v>15.65</v>
      </c>
      <c r="G24" s="64">
        <v>167.4</v>
      </c>
      <c r="H24" s="64">
        <v>45.49</v>
      </c>
      <c r="I24" s="64">
        <v>4.01</v>
      </c>
      <c r="J24" s="64">
        <v>1.1299999999999999</v>
      </c>
      <c r="K24" s="64">
        <v>1.97</v>
      </c>
      <c r="L24" s="64">
        <v>21.93</v>
      </c>
      <c r="M24" s="64">
        <v>21.84</v>
      </c>
      <c r="N24" s="64">
        <v>55.4</v>
      </c>
      <c r="O24" s="64">
        <v>0</v>
      </c>
      <c r="P24" s="64">
        <v>1.1100000000000001</v>
      </c>
      <c r="Q24" s="64">
        <v>9.84</v>
      </c>
      <c r="R24" s="198"/>
      <c r="S24" s="198"/>
      <c r="T24" s="198"/>
      <c r="U24" s="198"/>
    </row>
    <row r="25" spans="1:21" s="12" customFormat="1" x14ac:dyDescent="0.25">
      <c r="A25" s="247" t="s">
        <v>3140</v>
      </c>
      <c r="B25" s="64">
        <v>11.97</v>
      </c>
      <c r="C25" s="64">
        <v>63.84</v>
      </c>
      <c r="D25" s="64">
        <v>42.95</v>
      </c>
      <c r="E25" s="64">
        <v>24.36</v>
      </c>
      <c r="F25" s="64">
        <v>16.440000000000001</v>
      </c>
      <c r="G25" s="64">
        <v>100.94</v>
      </c>
      <c r="H25" s="64">
        <v>40.82</v>
      </c>
      <c r="I25" s="64">
        <v>4.1500000000000004</v>
      </c>
      <c r="J25" s="64">
        <v>0.86</v>
      </c>
      <c r="K25" s="64">
        <v>5.15</v>
      </c>
      <c r="L25" s="64">
        <v>21.9</v>
      </c>
      <c r="M25" s="64">
        <v>21.41</v>
      </c>
      <c r="N25" s="64">
        <v>55.4</v>
      </c>
      <c r="O25" s="64">
        <v>0</v>
      </c>
      <c r="P25" s="64">
        <v>1.03</v>
      </c>
      <c r="Q25" s="64">
        <v>9.84</v>
      </c>
      <c r="R25" s="198"/>
      <c r="S25" s="198"/>
      <c r="T25" s="198"/>
      <c r="U25" s="198"/>
    </row>
    <row r="26" spans="1:21" s="12" customFormat="1" x14ac:dyDescent="0.25">
      <c r="A26" s="247" t="s">
        <v>3141</v>
      </c>
      <c r="B26" s="64">
        <v>10.62</v>
      </c>
      <c r="C26" s="64">
        <v>59.8</v>
      </c>
      <c r="D26" s="64">
        <v>39.75</v>
      </c>
      <c r="E26" s="64">
        <v>18.23</v>
      </c>
      <c r="F26" s="64">
        <v>14.93</v>
      </c>
      <c r="G26" s="64">
        <v>100.94</v>
      </c>
      <c r="H26" s="64">
        <v>40.82</v>
      </c>
      <c r="I26" s="64">
        <v>4.04</v>
      </c>
      <c r="J26" s="64">
        <v>1.51</v>
      </c>
      <c r="K26" s="64">
        <v>2.29</v>
      </c>
      <c r="L26" s="64">
        <v>21.75</v>
      </c>
      <c r="M26" s="64">
        <v>21.1</v>
      </c>
      <c r="N26" s="64">
        <v>54.8</v>
      </c>
      <c r="O26" s="64">
        <v>0</v>
      </c>
      <c r="P26" s="64">
        <v>1.1000000000000001</v>
      </c>
      <c r="Q26" s="64">
        <v>9.83</v>
      </c>
      <c r="R26" s="198"/>
      <c r="S26" s="198"/>
      <c r="T26" s="198"/>
      <c r="U26" s="198"/>
    </row>
    <row r="27" spans="1:21" s="12" customFormat="1" x14ac:dyDescent="0.25">
      <c r="A27" s="247" t="s">
        <v>3142</v>
      </c>
      <c r="B27" s="64">
        <v>7.95</v>
      </c>
      <c r="C27" s="64">
        <v>55.82</v>
      </c>
      <c r="D27" s="64">
        <v>35.54</v>
      </c>
      <c r="E27" s="64">
        <v>11.66</v>
      </c>
      <c r="F27" s="64">
        <v>18.079999999999998</v>
      </c>
      <c r="G27" s="64">
        <v>100.94</v>
      </c>
      <c r="H27" s="64">
        <v>40.82</v>
      </c>
      <c r="I27" s="64">
        <v>4.16</v>
      </c>
      <c r="J27" s="64">
        <v>0.55000000000000004</v>
      </c>
      <c r="K27" s="64">
        <v>27.34</v>
      </c>
      <c r="L27" s="64">
        <v>21.78</v>
      </c>
      <c r="M27" s="64">
        <v>19.989999999999998</v>
      </c>
      <c r="N27" s="64">
        <v>55.4</v>
      </c>
      <c r="O27" s="64">
        <v>0</v>
      </c>
      <c r="P27" s="64">
        <v>0.92</v>
      </c>
      <c r="Q27" s="64">
        <v>9.85</v>
      </c>
      <c r="R27" s="198"/>
      <c r="S27" s="198"/>
      <c r="T27" s="198"/>
      <c r="U27" s="198"/>
    </row>
    <row r="28" spans="1:21" s="12" customFormat="1" x14ac:dyDescent="0.25">
      <c r="A28" s="247" t="s">
        <v>3143</v>
      </c>
      <c r="B28" s="64">
        <v>8.75</v>
      </c>
      <c r="C28" s="64">
        <v>63.42</v>
      </c>
      <c r="D28" s="64">
        <v>40.15</v>
      </c>
      <c r="E28" s="64">
        <v>44.28</v>
      </c>
      <c r="F28" s="64">
        <v>15.62</v>
      </c>
      <c r="G28" s="64">
        <v>93.09</v>
      </c>
      <c r="H28" s="64">
        <v>33.020000000000003</v>
      </c>
      <c r="I28" s="64">
        <v>4.04</v>
      </c>
      <c r="J28" s="64">
        <v>0.45</v>
      </c>
      <c r="K28" s="64">
        <v>39.72</v>
      </c>
      <c r="L28" s="64">
        <v>21.46</v>
      </c>
      <c r="M28" s="64">
        <v>21.06</v>
      </c>
      <c r="N28" s="64">
        <v>55.6</v>
      </c>
      <c r="O28" s="64">
        <v>0</v>
      </c>
      <c r="P28" s="64">
        <v>0.92</v>
      </c>
      <c r="Q28" s="64">
        <v>9.84</v>
      </c>
      <c r="R28" s="198"/>
      <c r="S28" s="198"/>
      <c r="T28" s="198"/>
      <c r="U28" s="198"/>
    </row>
    <row r="29" spans="1:21" s="12" customFormat="1" x14ac:dyDescent="0.25">
      <c r="A29" s="247" t="s">
        <v>3144</v>
      </c>
      <c r="B29" s="64">
        <v>6.89</v>
      </c>
      <c r="C29" s="64">
        <v>59.64</v>
      </c>
      <c r="D29" s="64">
        <v>36.68</v>
      </c>
      <c r="E29" s="64">
        <v>28.79</v>
      </c>
      <c r="F29" s="64">
        <v>16.440000000000001</v>
      </c>
      <c r="G29" s="64">
        <v>67.290000000000006</v>
      </c>
      <c r="H29" s="64">
        <v>21.38</v>
      </c>
      <c r="I29" s="64">
        <v>3.95</v>
      </c>
      <c r="J29" s="64">
        <v>0.61</v>
      </c>
      <c r="K29" s="64">
        <v>62.72</v>
      </c>
      <c r="L29" s="64">
        <v>21.14</v>
      </c>
      <c r="M29" s="64">
        <v>22.04</v>
      </c>
      <c r="N29" s="64">
        <v>55.4</v>
      </c>
      <c r="O29" s="64">
        <v>0</v>
      </c>
      <c r="P29" s="64">
        <v>0.92</v>
      </c>
      <c r="Q29" s="64">
        <v>9.81</v>
      </c>
      <c r="R29" s="198"/>
      <c r="S29" s="198"/>
      <c r="T29" s="198"/>
      <c r="U29" s="198"/>
    </row>
    <row r="30" spans="1:21" s="12" customFormat="1" x14ac:dyDescent="0.25">
      <c r="A30" s="247" t="s">
        <v>3145</v>
      </c>
      <c r="B30" s="64">
        <v>9.58</v>
      </c>
      <c r="C30" s="64">
        <v>62.61</v>
      </c>
      <c r="D30" s="64">
        <v>40.39</v>
      </c>
      <c r="E30" s="64">
        <v>13.45</v>
      </c>
      <c r="F30" s="64">
        <v>11.62</v>
      </c>
      <c r="G30" s="64">
        <v>67.290000000000006</v>
      </c>
      <c r="H30" s="64">
        <v>21.38</v>
      </c>
      <c r="I30" s="64">
        <v>4.0599999999999996</v>
      </c>
      <c r="J30" s="64">
        <v>0.61</v>
      </c>
      <c r="K30" s="64">
        <v>186.88</v>
      </c>
      <c r="L30" s="64">
        <v>21.07</v>
      </c>
      <c r="M30" s="64">
        <v>22.96</v>
      </c>
      <c r="N30" s="64">
        <v>54.7</v>
      </c>
      <c r="O30" s="64">
        <v>0</v>
      </c>
      <c r="P30" s="64">
        <v>1.03</v>
      </c>
      <c r="Q30" s="64">
        <v>9.8000000000000007</v>
      </c>
      <c r="R30" s="198"/>
      <c r="S30" s="198"/>
      <c r="T30" s="198"/>
      <c r="U30" s="198"/>
    </row>
    <row r="31" spans="1:21" s="12" customFormat="1" x14ac:dyDescent="0.25">
      <c r="A31" s="247" t="s">
        <v>3146</v>
      </c>
      <c r="B31" s="64">
        <v>11.79</v>
      </c>
      <c r="C31" s="64">
        <v>67.95</v>
      </c>
      <c r="D31" s="64">
        <v>44.96</v>
      </c>
      <c r="E31" s="64">
        <v>5.15</v>
      </c>
      <c r="F31" s="64">
        <v>6.77</v>
      </c>
      <c r="G31" s="64">
        <v>67.290000000000006</v>
      </c>
      <c r="H31" s="64">
        <v>21.38</v>
      </c>
      <c r="I31" s="64">
        <v>3.84</v>
      </c>
      <c r="J31" s="64">
        <v>0.95</v>
      </c>
      <c r="K31" s="64">
        <v>184.86</v>
      </c>
      <c r="L31" s="64">
        <v>19.649999999999999</v>
      </c>
      <c r="M31" s="64">
        <v>42.39</v>
      </c>
      <c r="N31" s="64">
        <v>57.2</v>
      </c>
      <c r="O31" s="64">
        <v>0</v>
      </c>
      <c r="P31" s="64">
        <v>1.1499999999999999</v>
      </c>
      <c r="Q31" s="64">
        <v>9.7899999999999991</v>
      </c>
      <c r="R31" s="198"/>
      <c r="S31" s="198"/>
      <c r="T31" s="198"/>
      <c r="U31" s="198"/>
    </row>
    <row r="32" spans="1:21" s="12" customFormat="1" x14ac:dyDescent="0.25">
      <c r="A32" s="247" t="s">
        <v>3147</v>
      </c>
      <c r="B32" s="64">
        <v>11.55</v>
      </c>
      <c r="C32" s="64">
        <v>68.959999999999994</v>
      </c>
      <c r="D32" s="64">
        <v>45.29</v>
      </c>
      <c r="E32" s="64">
        <v>4.01</v>
      </c>
      <c r="F32" s="64">
        <v>6.56</v>
      </c>
      <c r="G32" s="64">
        <v>72.7</v>
      </c>
      <c r="H32" s="64">
        <v>23.5</v>
      </c>
      <c r="I32" s="64">
        <v>3.99</v>
      </c>
      <c r="J32" s="64">
        <v>1.02</v>
      </c>
      <c r="K32" s="64">
        <v>194.75</v>
      </c>
      <c r="L32" s="64">
        <v>18.78</v>
      </c>
      <c r="M32" s="64">
        <v>48.34</v>
      </c>
      <c r="N32" s="64">
        <v>59.2</v>
      </c>
      <c r="O32" s="64">
        <v>0</v>
      </c>
      <c r="P32" s="64">
        <v>1.1599999999999999</v>
      </c>
      <c r="Q32" s="64">
        <v>9.7899999999999991</v>
      </c>
      <c r="R32" s="198"/>
      <c r="S32" s="198"/>
      <c r="T32" s="198"/>
      <c r="U32" s="198"/>
    </row>
    <row r="33" spans="1:21" s="12" customFormat="1" x14ac:dyDescent="0.25">
      <c r="A33" s="247" t="s">
        <v>3148</v>
      </c>
      <c r="B33" s="64">
        <v>11.37</v>
      </c>
      <c r="C33" s="64">
        <v>67.66</v>
      </c>
      <c r="D33" s="64">
        <v>44.47</v>
      </c>
      <c r="E33" s="64">
        <v>4.5599999999999996</v>
      </c>
      <c r="F33" s="64">
        <v>6.71</v>
      </c>
      <c r="G33" s="64">
        <v>90.49</v>
      </c>
      <c r="H33" s="64">
        <v>30.47</v>
      </c>
      <c r="I33" s="64">
        <v>4.07</v>
      </c>
      <c r="J33" s="64">
        <v>0.6</v>
      </c>
      <c r="K33" s="64">
        <v>206.88</v>
      </c>
      <c r="L33" s="64">
        <v>18.36</v>
      </c>
      <c r="M33" s="64">
        <v>50.55</v>
      </c>
      <c r="N33" s="64">
        <v>69</v>
      </c>
      <c r="O33" s="64">
        <v>0</v>
      </c>
      <c r="P33" s="64">
        <v>1.1399999999999999</v>
      </c>
      <c r="Q33" s="64">
        <v>9.8000000000000007</v>
      </c>
      <c r="R33" s="198"/>
      <c r="S33" s="198"/>
      <c r="T33" s="198"/>
      <c r="U33" s="198"/>
    </row>
    <row r="34" spans="1:21" s="12" customFormat="1" x14ac:dyDescent="0.25">
      <c r="A34" s="247" t="s">
        <v>3149</v>
      </c>
      <c r="B34" s="64">
        <v>11.58</v>
      </c>
      <c r="C34" s="64">
        <v>66.8</v>
      </c>
      <c r="D34" s="64">
        <v>44.19</v>
      </c>
      <c r="E34" s="64">
        <v>4.42</v>
      </c>
      <c r="F34" s="64">
        <v>6.48</v>
      </c>
      <c r="G34" s="64">
        <v>90.49</v>
      </c>
      <c r="H34" s="64">
        <v>30.47</v>
      </c>
      <c r="I34" s="64">
        <v>4.0599999999999996</v>
      </c>
      <c r="J34" s="64">
        <v>0.51</v>
      </c>
      <c r="K34" s="64">
        <v>327.68</v>
      </c>
      <c r="L34" s="64">
        <v>18.46</v>
      </c>
      <c r="M34" s="64">
        <v>51.75</v>
      </c>
      <c r="N34" s="64">
        <v>88.3</v>
      </c>
      <c r="O34" s="64">
        <v>0</v>
      </c>
      <c r="P34" s="64">
        <v>1.1399999999999999</v>
      </c>
      <c r="Q34" s="64">
        <v>9.82</v>
      </c>
      <c r="R34" s="198"/>
      <c r="S34" s="198"/>
      <c r="T34" s="198"/>
      <c r="U34" s="198"/>
    </row>
    <row r="35" spans="1:21" s="12" customFormat="1" x14ac:dyDescent="0.25">
      <c r="A35" s="247" t="s">
        <v>3150</v>
      </c>
      <c r="B35" s="64">
        <v>16.68</v>
      </c>
      <c r="C35" s="64">
        <v>66.81</v>
      </c>
      <c r="D35" s="64">
        <v>48.28</v>
      </c>
      <c r="E35" s="64">
        <v>4.24</v>
      </c>
      <c r="F35" s="64">
        <v>5.92</v>
      </c>
      <c r="G35" s="64">
        <v>90.49</v>
      </c>
      <c r="H35" s="64">
        <v>30.47</v>
      </c>
      <c r="I35" s="64">
        <v>3.98</v>
      </c>
      <c r="J35" s="64">
        <v>0.26</v>
      </c>
      <c r="K35" s="64">
        <v>17.91</v>
      </c>
      <c r="L35" s="64">
        <v>18.72</v>
      </c>
      <c r="M35" s="64">
        <v>53.2</v>
      </c>
      <c r="N35" s="64">
        <v>115.2</v>
      </c>
      <c r="O35" s="64">
        <v>0</v>
      </c>
      <c r="P35" s="64">
        <v>1.1499999999999999</v>
      </c>
      <c r="Q35" s="64">
        <v>9.82</v>
      </c>
      <c r="R35" s="198"/>
      <c r="S35" s="198"/>
      <c r="T35" s="198"/>
      <c r="U35" s="198"/>
    </row>
    <row r="36" spans="1:21" s="12" customFormat="1" x14ac:dyDescent="0.25">
      <c r="A36" s="247" t="s">
        <v>3151</v>
      </c>
      <c r="B36" s="64">
        <v>17.66</v>
      </c>
      <c r="C36" s="64">
        <v>67.63</v>
      </c>
      <c r="D36" s="64">
        <v>49.5</v>
      </c>
      <c r="E36" s="64">
        <v>4.76</v>
      </c>
      <c r="F36" s="64">
        <v>6.35</v>
      </c>
      <c r="G36" s="64">
        <v>105.4</v>
      </c>
      <c r="H36" s="64">
        <v>34.21</v>
      </c>
      <c r="I36" s="64">
        <v>4.01</v>
      </c>
      <c r="J36" s="64">
        <v>0.37</v>
      </c>
      <c r="K36" s="64">
        <v>7.05</v>
      </c>
      <c r="L36" s="64">
        <v>19.79</v>
      </c>
      <c r="M36" s="64">
        <v>47.35</v>
      </c>
      <c r="N36" s="64">
        <v>150.30000000000001</v>
      </c>
      <c r="O36" s="64">
        <v>0</v>
      </c>
      <c r="P36" s="64">
        <v>1.1399999999999999</v>
      </c>
      <c r="Q36" s="64">
        <v>9.82</v>
      </c>
      <c r="R36" s="198"/>
      <c r="S36" s="198"/>
      <c r="T36" s="198"/>
      <c r="U36" s="198"/>
    </row>
    <row r="37" spans="1:21" s="12" customFormat="1" x14ac:dyDescent="0.25">
      <c r="A37" s="247" t="s">
        <v>3152</v>
      </c>
      <c r="B37" s="64">
        <v>20.2</v>
      </c>
      <c r="C37" s="64">
        <v>69.88</v>
      </c>
      <c r="D37" s="64">
        <v>52.71</v>
      </c>
      <c r="E37" s="64">
        <v>4.9000000000000004</v>
      </c>
      <c r="F37" s="64">
        <v>6.55</v>
      </c>
      <c r="G37" s="64">
        <v>154.38999999999999</v>
      </c>
      <c r="H37" s="64">
        <v>46.49</v>
      </c>
      <c r="I37" s="64">
        <v>3.8</v>
      </c>
      <c r="J37" s="64">
        <v>0.72</v>
      </c>
      <c r="K37" s="64">
        <v>337.59</v>
      </c>
      <c r="L37" s="64">
        <v>21.66</v>
      </c>
      <c r="M37" s="64">
        <v>42.81</v>
      </c>
      <c r="N37" s="64">
        <v>187</v>
      </c>
      <c r="O37" s="64">
        <v>0</v>
      </c>
      <c r="P37" s="64">
        <v>1.17</v>
      </c>
      <c r="Q37" s="64">
        <v>9.85</v>
      </c>
      <c r="R37" s="198"/>
      <c r="S37" s="198"/>
      <c r="T37" s="198"/>
      <c r="U37" s="198"/>
    </row>
    <row r="38" spans="1:21" s="12" customFormat="1" x14ac:dyDescent="0.25">
      <c r="A38" s="247" t="s">
        <v>3153</v>
      </c>
      <c r="B38" s="64">
        <v>21.47</v>
      </c>
      <c r="C38" s="64">
        <v>70.239999999999995</v>
      </c>
      <c r="D38" s="64">
        <v>53.92</v>
      </c>
      <c r="E38" s="64">
        <v>4.93</v>
      </c>
      <c r="F38" s="64">
        <v>5.78</v>
      </c>
      <c r="G38" s="64">
        <v>154.38999999999999</v>
      </c>
      <c r="H38" s="64">
        <v>46.49</v>
      </c>
      <c r="I38" s="64">
        <v>3.95</v>
      </c>
      <c r="J38" s="64">
        <v>0.36</v>
      </c>
      <c r="K38" s="64">
        <v>316.42</v>
      </c>
      <c r="L38" s="64">
        <v>23.19</v>
      </c>
      <c r="M38" s="64">
        <v>37.36</v>
      </c>
      <c r="N38" s="64">
        <v>228.6</v>
      </c>
      <c r="O38" s="64">
        <v>0</v>
      </c>
      <c r="P38" s="64">
        <v>1.25</v>
      </c>
      <c r="Q38" s="64">
        <v>9.86</v>
      </c>
      <c r="R38" s="198"/>
      <c r="S38" s="198"/>
      <c r="T38" s="198"/>
      <c r="U38" s="198"/>
    </row>
    <row r="39" spans="1:21" s="12" customFormat="1" x14ac:dyDescent="0.25">
      <c r="A39" s="247" t="s">
        <v>3154</v>
      </c>
      <c r="B39" s="64">
        <v>25.84</v>
      </c>
      <c r="C39" s="64">
        <v>71.03</v>
      </c>
      <c r="D39" s="64">
        <v>57.74</v>
      </c>
      <c r="E39" s="64">
        <v>5.01</v>
      </c>
      <c r="F39" s="64">
        <v>6.89</v>
      </c>
      <c r="G39" s="64">
        <v>154.38999999999999</v>
      </c>
      <c r="H39" s="64">
        <v>46.49</v>
      </c>
      <c r="I39" s="64">
        <v>4.03</v>
      </c>
      <c r="J39" s="64">
        <v>0.8</v>
      </c>
      <c r="K39" s="64">
        <v>341.44</v>
      </c>
      <c r="L39" s="64">
        <v>25</v>
      </c>
      <c r="M39" s="64">
        <v>31.86</v>
      </c>
      <c r="N39" s="64">
        <v>267.3</v>
      </c>
      <c r="O39" s="64">
        <v>0</v>
      </c>
      <c r="P39" s="64">
        <v>1.26</v>
      </c>
      <c r="Q39" s="64">
        <v>9.89</v>
      </c>
      <c r="R39" s="198"/>
      <c r="S39" s="198"/>
      <c r="T39" s="198"/>
      <c r="U39" s="198"/>
    </row>
    <row r="40" spans="1:21" s="12" customFormat="1" x14ac:dyDescent="0.25">
      <c r="A40" s="247" t="s">
        <v>3155</v>
      </c>
      <c r="B40" s="64">
        <v>9.59</v>
      </c>
      <c r="C40" s="64">
        <v>35.14</v>
      </c>
      <c r="D40" s="64">
        <v>26.05</v>
      </c>
      <c r="E40" s="64">
        <v>4.6900000000000004</v>
      </c>
      <c r="F40" s="64">
        <v>8.1199999999999992</v>
      </c>
      <c r="G40" s="64">
        <v>148.13999999999999</v>
      </c>
      <c r="H40" s="64">
        <v>36.29</v>
      </c>
      <c r="I40" s="64">
        <v>3.87</v>
      </c>
      <c r="J40" s="64">
        <v>0.9</v>
      </c>
      <c r="K40" s="64">
        <v>5.37</v>
      </c>
      <c r="L40" s="64">
        <v>26.01</v>
      </c>
      <c r="M40" s="64">
        <v>28.09</v>
      </c>
      <c r="N40" s="64">
        <v>308</v>
      </c>
      <c r="O40" s="64">
        <v>0</v>
      </c>
      <c r="P40" s="64">
        <v>1.26</v>
      </c>
      <c r="Q40" s="64">
        <v>9.92</v>
      </c>
      <c r="R40" s="198"/>
      <c r="S40" s="198"/>
      <c r="T40" s="198"/>
      <c r="U40" s="198"/>
    </row>
    <row r="41" spans="1:21" s="12" customFormat="1" x14ac:dyDescent="0.25">
      <c r="A41" s="247" t="s">
        <v>3156</v>
      </c>
      <c r="B41" s="209" t="s">
        <v>36</v>
      </c>
      <c r="C41" s="209" t="s">
        <v>36</v>
      </c>
      <c r="D41" s="209" t="s">
        <v>36</v>
      </c>
      <c r="E41" s="64">
        <v>8.94</v>
      </c>
      <c r="F41" s="64">
        <v>11.74</v>
      </c>
      <c r="G41" s="64">
        <v>127.63</v>
      </c>
      <c r="H41" s="64">
        <v>2.79</v>
      </c>
      <c r="I41" s="64">
        <v>3.98</v>
      </c>
      <c r="J41" s="64">
        <v>1.1200000000000001</v>
      </c>
      <c r="K41" s="64">
        <v>358.08</v>
      </c>
      <c r="L41" s="64">
        <v>27.51</v>
      </c>
      <c r="M41" s="64">
        <v>23.54</v>
      </c>
      <c r="N41" s="64">
        <v>351</v>
      </c>
      <c r="O41" s="64">
        <v>0</v>
      </c>
      <c r="P41" s="64">
        <v>1.27</v>
      </c>
      <c r="Q41" s="64">
        <v>9.92</v>
      </c>
      <c r="R41" s="198"/>
      <c r="S41" s="198"/>
      <c r="T41" s="198"/>
      <c r="U41" s="198"/>
    </row>
    <row r="42" spans="1:21" s="12" customFormat="1" x14ac:dyDescent="0.25">
      <c r="A42" s="247" t="s">
        <v>3157</v>
      </c>
      <c r="B42" s="209" t="s">
        <v>36</v>
      </c>
      <c r="C42" s="209" t="s">
        <v>36</v>
      </c>
      <c r="D42" s="209" t="s">
        <v>36</v>
      </c>
      <c r="E42" s="64">
        <v>21.12</v>
      </c>
      <c r="F42" s="64">
        <v>13.54</v>
      </c>
      <c r="G42" s="64">
        <v>127.63</v>
      </c>
      <c r="H42" s="64">
        <v>2.79</v>
      </c>
      <c r="I42" s="64">
        <v>4.05</v>
      </c>
      <c r="J42" s="64">
        <v>1.41</v>
      </c>
      <c r="K42" s="64">
        <v>1.31</v>
      </c>
      <c r="L42" s="64">
        <v>28.44</v>
      </c>
      <c r="M42" s="64">
        <v>18.34</v>
      </c>
      <c r="N42" s="64">
        <v>390.7</v>
      </c>
      <c r="O42" s="64">
        <v>0</v>
      </c>
      <c r="P42" s="64">
        <v>1.2</v>
      </c>
      <c r="Q42" s="64">
        <v>9.93</v>
      </c>
      <c r="R42" s="198"/>
      <c r="S42" s="198"/>
      <c r="T42" s="198"/>
      <c r="U42" s="198"/>
    </row>
    <row r="43" spans="1:21" s="12" customFormat="1" x14ac:dyDescent="0.25">
      <c r="A43" s="247" t="s">
        <v>3158</v>
      </c>
      <c r="B43" s="209" t="s">
        <v>36</v>
      </c>
      <c r="C43" s="209" t="s">
        <v>36</v>
      </c>
      <c r="D43" s="209" t="s">
        <v>36</v>
      </c>
      <c r="E43" s="64">
        <v>17.82</v>
      </c>
      <c r="F43" s="64">
        <v>13.13</v>
      </c>
      <c r="G43" s="64">
        <v>127.63</v>
      </c>
      <c r="H43" s="64">
        <v>2.79</v>
      </c>
      <c r="I43" s="64">
        <v>4.07</v>
      </c>
      <c r="J43" s="64">
        <v>1.75</v>
      </c>
      <c r="K43" s="64">
        <v>1.69</v>
      </c>
      <c r="L43" s="64">
        <v>28.72</v>
      </c>
      <c r="M43" s="64">
        <v>16.510000000000002</v>
      </c>
      <c r="N43" s="64">
        <v>437.1</v>
      </c>
      <c r="O43" s="64">
        <v>0</v>
      </c>
      <c r="P43" s="64">
        <v>1.21</v>
      </c>
      <c r="Q43" s="64">
        <v>9.94</v>
      </c>
      <c r="R43" s="198"/>
      <c r="S43" s="198"/>
      <c r="T43" s="198"/>
      <c r="U43" s="198"/>
    </row>
    <row r="44" spans="1:21" s="12" customFormat="1" x14ac:dyDescent="0.25">
      <c r="A44" s="247" t="s">
        <v>3159</v>
      </c>
      <c r="B44" s="209" t="s">
        <v>36</v>
      </c>
      <c r="C44" s="209" t="s">
        <v>36</v>
      </c>
      <c r="D44" s="209" t="s">
        <v>36</v>
      </c>
      <c r="E44" s="64">
        <v>19.13</v>
      </c>
      <c r="F44" s="64">
        <v>13.82</v>
      </c>
      <c r="G44" s="64">
        <v>125.29</v>
      </c>
      <c r="H44" s="64">
        <v>16.739999999999998</v>
      </c>
      <c r="I44" s="64">
        <v>3.88</v>
      </c>
      <c r="J44" s="64">
        <v>1.71</v>
      </c>
      <c r="K44" s="64">
        <v>3.4</v>
      </c>
      <c r="L44" s="64">
        <v>29.23</v>
      </c>
      <c r="M44" s="64">
        <v>15.52</v>
      </c>
      <c r="N44" s="64">
        <v>482.8</v>
      </c>
      <c r="O44" s="64">
        <v>0</v>
      </c>
      <c r="P44" s="64">
        <v>1.19</v>
      </c>
      <c r="Q44" s="64">
        <v>9.94</v>
      </c>
      <c r="R44" s="198"/>
      <c r="S44" s="198"/>
      <c r="T44" s="198"/>
      <c r="U44" s="198"/>
    </row>
    <row r="45" spans="1:21" s="12" customFormat="1" x14ac:dyDescent="0.25">
      <c r="A45" s="247" t="s">
        <v>3160</v>
      </c>
      <c r="B45" s="209" t="s">
        <v>36</v>
      </c>
      <c r="C45" s="209" t="s">
        <v>36</v>
      </c>
      <c r="D45" s="209" t="s">
        <v>36</v>
      </c>
      <c r="E45" s="64">
        <v>25.71</v>
      </c>
      <c r="F45" s="64">
        <v>17.350000000000001</v>
      </c>
      <c r="G45" s="64">
        <v>118.05</v>
      </c>
      <c r="H45" s="64">
        <v>62.59</v>
      </c>
      <c r="I45" s="64">
        <v>3.91</v>
      </c>
      <c r="J45" s="64">
        <v>1.24</v>
      </c>
      <c r="K45" s="64">
        <v>7.33</v>
      </c>
      <c r="L45" s="64">
        <v>29.9</v>
      </c>
      <c r="M45" s="64">
        <v>14.68</v>
      </c>
      <c r="N45" s="64">
        <v>525.70000000000005</v>
      </c>
      <c r="O45" s="64">
        <v>0</v>
      </c>
      <c r="P45" s="64">
        <v>1.1000000000000001</v>
      </c>
      <c r="Q45" s="64">
        <v>9.91</v>
      </c>
      <c r="R45" s="198"/>
      <c r="S45" s="198"/>
      <c r="T45" s="198"/>
      <c r="U45" s="198"/>
    </row>
    <row r="46" spans="1:21" s="12" customFormat="1" x14ac:dyDescent="0.25">
      <c r="A46" s="247" t="s">
        <v>3161</v>
      </c>
      <c r="B46" s="209" t="s">
        <v>36</v>
      </c>
      <c r="C46" s="209" t="s">
        <v>36</v>
      </c>
      <c r="D46" s="209" t="s">
        <v>36</v>
      </c>
      <c r="E46" s="64">
        <v>22.4</v>
      </c>
      <c r="F46" s="64">
        <v>15.77</v>
      </c>
      <c r="G46" s="64">
        <v>118.05</v>
      </c>
      <c r="H46" s="64">
        <v>62.59</v>
      </c>
      <c r="I46" s="64">
        <v>4.05</v>
      </c>
      <c r="J46" s="64">
        <v>1.23</v>
      </c>
      <c r="K46" s="64">
        <v>2.29</v>
      </c>
      <c r="L46" s="64">
        <v>30.65</v>
      </c>
      <c r="M46" s="64">
        <v>14.14</v>
      </c>
      <c r="N46" s="64">
        <v>568.70000000000005</v>
      </c>
      <c r="O46" s="64">
        <v>0</v>
      </c>
      <c r="P46" s="64">
        <v>1.18</v>
      </c>
      <c r="Q46" s="64">
        <v>9.91</v>
      </c>
      <c r="R46" s="198"/>
      <c r="S46" s="198"/>
      <c r="T46" s="198"/>
      <c r="U46" s="198"/>
    </row>
    <row r="47" spans="1:21" s="12" customFormat="1" x14ac:dyDescent="0.25">
      <c r="A47" s="247" t="s">
        <v>3162</v>
      </c>
      <c r="B47" s="209" t="s">
        <v>36</v>
      </c>
      <c r="C47" s="209" t="s">
        <v>36</v>
      </c>
      <c r="D47" s="209" t="s">
        <v>36</v>
      </c>
      <c r="E47" s="64">
        <v>26.84</v>
      </c>
      <c r="F47" s="64">
        <v>15.72</v>
      </c>
      <c r="G47" s="64">
        <v>118.05</v>
      </c>
      <c r="H47" s="64">
        <v>62.59</v>
      </c>
      <c r="I47" s="64">
        <v>3.89</v>
      </c>
      <c r="J47" s="64">
        <v>1.25</v>
      </c>
      <c r="K47" s="64">
        <v>9.76</v>
      </c>
      <c r="L47" s="64">
        <v>31.12</v>
      </c>
      <c r="M47" s="64">
        <v>13.5</v>
      </c>
      <c r="N47" s="64">
        <v>610</v>
      </c>
      <c r="O47" s="64">
        <v>0</v>
      </c>
      <c r="P47" s="64">
        <v>1.22</v>
      </c>
      <c r="Q47" s="64">
        <v>9.93</v>
      </c>
      <c r="R47" s="198"/>
      <c r="S47" s="198"/>
      <c r="T47" s="198"/>
      <c r="U47" s="198"/>
    </row>
    <row r="48" spans="1:21" s="12" customFormat="1" x14ac:dyDescent="0.25">
      <c r="A48" s="247" t="s">
        <v>3163</v>
      </c>
      <c r="B48" s="209" t="s">
        <v>36</v>
      </c>
      <c r="C48" s="209" t="s">
        <v>36</v>
      </c>
      <c r="D48" s="209" t="s">
        <v>36</v>
      </c>
      <c r="E48" s="64">
        <v>30.62</v>
      </c>
      <c r="F48" s="64">
        <v>19.91</v>
      </c>
      <c r="G48" s="64">
        <v>114.37</v>
      </c>
      <c r="H48" s="64">
        <v>58.83</v>
      </c>
      <c r="I48" s="64">
        <v>3.96</v>
      </c>
      <c r="J48" s="64">
        <v>0.84</v>
      </c>
      <c r="K48" s="64">
        <v>21.08</v>
      </c>
      <c r="L48" s="64">
        <v>31.18</v>
      </c>
      <c r="M48" s="64">
        <v>13.8</v>
      </c>
      <c r="N48" s="64">
        <v>642.6</v>
      </c>
      <c r="O48" s="64">
        <v>0</v>
      </c>
      <c r="P48" s="64">
        <v>1.21</v>
      </c>
      <c r="Q48" s="64">
        <v>9.92</v>
      </c>
      <c r="R48" s="198"/>
      <c r="S48" s="198"/>
      <c r="T48" s="198"/>
      <c r="U48" s="198"/>
    </row>
    <row r="49" spans="1:21" s="12" customFormat="1" x14ac:dyDescent="0.25">
      <c r="A49" s="247" t="s">
        <v>3164</v>
      </c>
      <c r="B49" s="209" t="s">
        <v>36</v>
      </c>
      <c r="C49" s="209" t="s">
        <v>36</v>
      </c>
      <c r="D49" s="209" t="s">
        <v>36</v>
      </c>
      <c r="E49" s="64">
        <v>11.28</v>
      </c>
      <c r="F49" s="64">
        <v>11.11</v>
      </c>
      <c r="G49" s="64">
        <v>102.27</v>
      </c>
      <c r="H49" s="64">
        <v>46.48</v>
      </c>
      <c r="I49" s="64">
        <v>3.94</v>
      </c>
      <c r="J49" s="64">
        <v>0.99</v>
      </c>
      <c r="K49" s="64">
        <v>41.97</v>
      </c>
      <c r="L49" s="64">
        <v>31.28</v>
      </c>
      <c r="M49" s="64">
        <v>12.88</v>
      </c>
      <c r="N49" s="64">
        <v>679.5</v>
      </c>
      <c r="O49" s="64">
        <v>0</v>
      </c>
      <c r="P49" s="64">
        <v>1.21</v>
      </c>
      <c r="Q49" s="64">
        <v>9.91</v>
      </c>
      <c r="R49" s="198"/>
      <c r="S49" s="198"/>
      <c r="T49" s="198"/>
      <c r="U49" s="198"/>
    </row>
    <row r="50" spans="1:21" s="12" customFormat="1" x14ac:dyDescent="0.25">
      <c r="A50" s="247" t="s">
        <v>3165</v>
      </c>
      <c r="B50" s="209" t="s">
        <v>36</v>
      </c>
      <c r="C50" s="209" t="s">
        <v>36</v>
      </c>
      <c r="D50" s="209" t="s">
        <v>36</v>
      </c>
      <c r="E50" s="64">
        <v>10.7</v>
      </c>
      <c r="F50" s="64">
        <v>13.24</v>
      </c>
      <c r="G50" s="64">
        <v>102.27</v>
      </c>
      <c r="H50" s="64">
        <v>46.48</v>
      </c>
      <c r="I50" s="64">
        <v>4.12</v>
      </c>
      <c r="J50" s="64">
        <v>1.03</v>
      </c>
      <c r="K50" s="64">
        <v>23.2</v>
      </c>
      <c r="L50" s="64">
        <v>31.58</v>
      </c>
      <c r="M50" s="64">
        <v>13.74</v>
      </c>
      <c r="N50" s="64">
        <v>697.4</v>
      </c>
      <c r="O50" s="64">
        <v>0</v>
      </c>
      <c r="P50" s="64">
        <v>1.19</v>
      </c>
      <c r="Q50" s="64">
        <v>9.89</v>
      </c>
      <c r="R50" s="198"/>
      <c r="S50" s="198"/>
      <c r="T50" s="198"/>
      <c r="U50" s="198"/>
    </row>
    <row r="51" spans="1:21" s="12" customFormat="1" x14ac:dyDescent="0.25">
      <c r="A51" s="247" t="s">
        <v>3166</v>
      </c>
      <c r="B51" s="209" t="s">
        <v>36</v>
      </c>
      <c r="C51" s="209" t="s">
        <v>36</v>
      </c>
      <c r="D51" s="209" t="s">
        <v>36</v>
      </c>
      <c r="E51" s="64">
        <v>11.3</v>
      </c>
      <c r="F51" s="64">
        <v>15.65</v>
      </c>
      <c r="G51" s="64">
        <v>102.27</v>
      </c>
      <c r="H51" s="64">
        <v>46.48</v>
      </c>
      <c r="I51" s="64">
        <v>4.04</v>
      </c>
      <c r="J51" s="64">
        <v>1.21</v>
      </c>
      <c r="K51" s="64">
        <v>6.98</v>
      </c>
      <c r="L51" s="64">
        <v>33.31</v>
      </c>
      <c r="M51" s="64">
        <v>12.09</v>
      </c>
      <c r="N51" s="64">
        <v>702</v>
      </c>
      <c r="O51" s="64">
        <v>0</v>
      </c>
      <c r="P51" s="64">
        <v>1.19</v>
      </c>
      <c r="Q51" s="64">
        <v>9.8800000000000008</v>
      </c>
      <c r="R51" s="198"/>
      <c r="S51" s="198"/>
      <c r="T51" s="198"/>
      <c r="U51" s="198"/>
    </row>
    <row r="52" spans="1:21" s="12" customFormat="1" x14ac:dyDescent="0.25">
      <c r="A52" s="247" t="s">
        <v>3167</v>
      </c>
      <c r="B52" s="209" t="s">
        <v>36</v>
      </c>
      <c r="C52" s="209" t="s">
        <v>36</v>
      </c>
      <c r="D52" s="209" t="s">
        <v>36</v>
      </c>
      <c r="E52" s="64">
        <v>10.55</v>
      </c>
      <c r="F52" s="64">
        <v>17.809999999999999</v>
      </c>
      <c r="G52" s="64">
        <v>102.22</v>
      </c>
      <c r="H52" s="64">
        <v>44.85</v>
      </c>
      <c r="I52" s="64">
        <v>4.12</v>
      </c>
      <c r="J52" s="64">
        <v>0.91</v>
      </c>
      <c r="K52" s="64">
        <v>18.239999999999998</v>
      </c>
      <c r="L52" s="64">
        <v>32.950000000000003</v>
      </c>
      <c r="M52" s="64">
        <v>12.86</v>
      </c>
      <c r="N52" s="64">
        <v>708.6</v>
      </c>
      <c r="O52" s="64">
        <v>0</v>
      </c>
      <c r="P52" s="64">
        <v>1.17</v>
      </c>
      <c r="Q52" s="64">
        <v>9.8699999999999992</v>
      </c>
      <c r="R52" s="198"/>
      <c r="S52" s="198"/>
      <c r="T52" s="198"/>
      <c r="U52" s="198"/>
    </row>
    <row r="53" spans="1:21" s="12" customFormat="1" x14ac:dyDescent="0.25">
      <c r="A53" s="247" t="s">
        <v>3168</v>
      </c>
      <c r="B53" s="209" t="s">
        <v>36</v>
      </c>
      <c r="C53" s="209" t="s">
        <v>36</v>
      </c>
      <c r="D53" s="209" t="s">
        <v>36</v>
      </c>
      <c r="E53" s="64">
        <v>15.45</v>
      </c>
      <c r="F53" s="64">
        <v>22.13</v>
      </c>
      <c r="G53" s="64">
        <v>102.07</v>
      </c>
      <c r="H53" s="64">
        <v>39.49</v>
      </c>
      <c r="I53" s="64">
        <v>3.87</v>
      </c>
      <c r="J53" s="64">
        <v>1.22</v>
      </c>
      <c r="K53" s="64">
        <v>11.51</v>
      </c>
      <c r="L53" s="64">
        <v>34.39</v>
      </c>
      <c r="M53" s="64">
        <v>11.47</v>
      </c>
      <c r="N53" s="64">
        <v>714</v>
      </c>
      <c r="O53" s="64">
        <v>0</v>
      </c>
      <c r="P53" s="64">
        <v>1.1599999999999999</v>
      </c>
      <c r="Q53" s="64">
        <v>9.8699999999999992</v>
      </c>
      <c r="R53" s="198"/>
      <c r="S53" s="198"/>
      <c r="T53" s="198"/>
      <c r="U53" s="198"/>
    </row>
    <row r="54" spans="1:21" s="12" customFormat="1" x14ac:dyDescent="0.25">
      <c r="A54" s="247" t="s">
        <v>3169</v>
      </c>
      <c r="B54" s="209" t="s">
        <v>36</v>
      </c>
      <c r="C54" s="209" t="s">
        <v>36</v>
      </c>
      <c r="D54" s="209" t="s">
        <v>36</v>
      </c>
      <c r="E54" s="64">
        <v>17.93</v>
      </c>
      <c r="F54" s="64">
        <v>21.93</v>
      </c>
      <c r="G54" s="64">
        <v>102.07</v>
      </c>
      <c r="H54" s="64">
        <v>39.49</v>
      </c>
      <c r="I54" s="64">
        <v>3.9</v>
      </c>
      <c r="J54" s="64">
        <v>1.6</v>
      </c>
      <c r="K54" s="64">
        <v>4.22</v>
      </c>
      <c r="L54" s="64">
        <v>35.119999999999997</v>
      </c>
      <c r="M54" s="64">
        <v>10.5</v>
      </c>
      <c r="N54" s="64">
        <v>724.5</v>
      </c>
      <c r="O54" s="64">
        <v>0</v>
      </c>
      <c r="P54" s="64">
        <v>1.1299999999999999</v>
      </c>
      <c r="Q54" s="64">
        <v>9.8800000000000008</v>
      </c>
      <c r="R54" s="198"/>
      <c r="S54" s="198"/>
      <c r="T54" s="198"/>
      <c r="U54" s="198"/>
    </row>
    <row r="55" spans="1:21" s="12" customFormat="1" x14ac:dyDescent="0.25">
      <c r="A55" s="247" t="s">
        <v>3170</v>
      </c>
      <c r="B55" s="209" t="s">
        <v>36</v>
      </c>
      <c r="C55" s="209" t="s">
        <v>36</v>
      </c>
      <c r="D55" s="209" t="s">
        <v>36</v>
      </c>
      <c r="E55" s="64">
        <v>21.34</v>
      </c>
      <c r="F55" s="64">
        <v>19.03</v>
      </c>
      <c r="G55" s="64">
        <v>102.07</v>
      </c>
      <c r="H55" s="64">
        <v>39.49</v>
      </c>
      <c r="I55" s="64">
        <v>3.88</v>
      </c>
      <c r="J55" s="64">
        <v>0.97</v>
      </c>
      <c r="K55" s="64">
        <v>38.89</v>
      </c>
      <c r="L55" s="64">
        <v>34.729999999999997</v>
      </c>
      <c r="M55" s="64">
        <v>10.64</v>
      </c>
      <c r="N55" s="64">
        <v>736.1</v>
      </c>
      <c r="O55" s="64">
        <v>0</v>
      </c>
      <c r="P55" s="64">
        <v>1.1399999999999999</v>
      </c>
      <c r="Q55" s="64">
        <v>9.86</v>
      </c>
      <c r="R55" s="198"/>
      <c r="S55" s="198"/>
      <c r="T55" s="198"/>
      <c r="U55" s="198"/>
    </row>
    <row r="56" spans="1:21" s="12" customFormat="1" x14ac:dyDescent="0.25">
      <c r="A56" s="247" t="s">
        <v>3171</v>
      </c>
      <c r="B56" s="209" t="s">
        <v>36</v>
      </c>
      <c r="C56" s="209" t="s">
        <v>36</v>
      </c>
      <c r="D56" s="209" t="s">
        <v>36</v>
      </c>
      <c r="E56" s="64">
        <v>16.899999999999999</v>
      </c>
      <c r="F56" s="64">
        <v>23.74</v>
      </c>
      <c r="G56" s="64">
        <v>101.46</v>
      </c>
      <c r="H56" s="64">
        <v>37.450000000000003</v>
      </c>
      <c r="I56" s="64">
        <v>4.0999999999999996</v>
      </c>
      <c r="J56" s="64">
        <v>0.93</v>
      </c>
      <c r="K56" s="64">
        <v>34.03</v>
      </c>
      <c r="L56" s="64">
        <v>33.76</v>
      </c>
      <c r="M56" s="64">
        <v>11.06</v>
      </c>
      <c r="N56" s="64">
        <v>747.2</v>
      </c>
      <c r="O56" s="64">
        <v>0</v>
      </c>
      <c r="P56" s="64">
        <v>1.1200000000000001</v>
      </c>
      <c r="Q56" s="64">
        <v>9.85</v>
      </c>
      <c r="R56" s="198"/>
      <c r="S56" s="198"/>
      <c r="T56" s="198"/>
      <c r="U56" s="198"/>
    </row>
    <row r="57" spans="1:21" s="12" customFormat="1" x14ac:dyDescent="0.25">
      <c r="A57" s="247" t="s">
        <v>3172</v>
      </c>
      <c r="B57" s="209" t="s">
        <v>36</v>
      </c>
      <c r="C57" s="209" t="s">
        <v>36</v>
      </c>
      <c r="D57" s="209" t="s">
        <v>36</v>
      </c>
      <c r="E57" s="64">
        <v>28.16</v>
      </c>
      <c r="F57" s="64">
        <v>23.58</v>
      </c>
      <c r="G57" s="64">
        <v>99.59</v>
      </c>
      <c r="H57" s="64">
        <v>30.75</v>
      </c>
      <c r="I57" s="64">
        <v>3.91</v>
      </c>
      <c r="J57" s="64">
        <v>1.71</v>
      </c>
      <c r="K57" s="64">
        <v>357.11</v>
      </c>
      <c r="L57" s="64">
        <v>35.69</v>
      </c>
      <c r="M57" s="64">
        <v>9.74</v>
      </c>
      <c r="N57" s="64">
        <v>749.6</v>
      </c>
      <c r="O57" s="64">
        <v>0</v>
      </c>
      <c r="P57" s="64">
        <v>1.1299999999999999</v>
      </c>
      <c r="Q57" s="64">
        <v>9.82</v>
      </c>
      <c r="R57" s="198"/>
      <c r="S57" s="198"/>
      <c r="T57" s="198"/>
      <c r="U57" s="198"/>
    </row>
    <row r="58" spans="1:21" s="12" customFormat="1" x14ac:dyDescent="0.25">
      <c r="A58" s="247" t="s">
        <v>3173</v>
      </c>
      <c r="B58" s="209" t="s">
        <v>36</v>
      </c>
      <c r="C58" s="209" t="s">
        <v>36</v>
      </c>
      <c r="D58" s="209" t="s">
        <v>36</v>
      </c>
      <c r="E58" s="64">
        <v>27.61</v>
      </c>
      <c r="F58" s="64">
        <v>20.55</v>
      </c>
      <c r="G58" s="64">
        <v>99.59</v>
      </c>
      <c r="H58" s="64">
        <v>30.75</v>
      </c>
      <c r="I58" s="64">
        <v>3.89</v>
      </c>
      <c r="J58" s="64">
        <v>1.54</v>
      </c>
      <c r="K58" s="64">
        <v>349.04</v>
      </c>
      <c r="L58" s="64">
        <v>37.270000000000003</v>
      </c>
      <c r="M58" s="64">
        <v>8.4700000000000006</v>
      </c>
      <c r="N58" s="64">
        <v>767.6</v>
      </c>
      <c r="O58" s="64">
        <v>0</v>
      </c>
      <c r="P58" s="64">
        <v>1.1299999999999999</v>
      </c>
      <c r="Q58" s="64">
        <v>9.83</v>
      </c>
      <c r="R58" s="198"/>
      <c r="S58" s="198"/>
      <c r="T58" s="198"/>
      <c r="U58" s="198"/>
    </row>
    <row r="59" spans="1:21" s="12" customFormat="1" x14ac:dyDescent="0.25">
      <c r="A59" s="247" t="s">
        <v>3174</v>
      </c>
      <c r="B59" s="209" t="s">
        <v>36</v>
      </c>
      <c r="C59" s="209" t="s">
        <v>36</v>
      </c>
      <c r="D59" s="209" t="s">
        <v>36</v>
      </c>
      <c r="E59" s="64">
        <v>48.46</v>
      </c>
      <c r="F59" s="64">
        <v>39.590000000000003</v>
      </c>
      <c r="G59" s="64">
        <v>99.59</v>
      </c>
      <c r="H59" s="64">
        <v>30.75</v>
      </c>
      <c r="I59" s="64">
        <v>4.0999999999999996</v>
      </c>
      <c r="J59" s="64">
        <v>1.06</v>
      </c>
      <c r="K59" s="64">
        <v>16.16</v>
      </c>
      <c r="L59" s="64">
        <v>36.31</v>
      </c>
      <c r="M59" s="64">
        <v>8.57</v>
      </c>
      <c r="N59" s="64">
        <v>777.3</v>
      </c>
      <c r="O59" s="64">
        <v>0</v>
      </c>
      <c r="P59" s="64">
        <v>1.01</v>
      </c>
      <c r="Q59" s="64">
        <v>9.82</v>
      </c>
      <c r="R59" s="198"/>
      <c r="S59" s="198"/>
      <c r="T59" s="198"/>
      <c r="U59" s="198"/>
    </row>
    <row r="60" spans="1:21" s="12" customFormat="1" x14ac:dyDescent="0.25">
      <c r="A60" s="247" t="s">
        <v>3175</v>
      </c>
      <c r="B60" s="209" t="s">
        <v>36</v>
      </c>
      <c r="C60" s="209" t="s">
        <v>36</v>
      </c>
      <c r="D60" s="209" t="s">
        <v>36</v>
      </c>
      <c r="E60" s="64">
        <v>61.17</v>
      </c>
      <c r="F60" s="64">
        <v>46.41</v>
      </c>
      <c r="G60" s="64">
        <v>96.06</v>
      </c>
      <c r="H60" s="64">
        <v>30.66</v>
      </c>
      <c r="I60" s="64">
        <v>4.0599999999999996</v>
      </c>
      <c r="J60" s="64">
        <v>0.64</v>
      </c>
      <c r="K60" s="64">
        <v>120.71</v>
      </c>
      <c r="L60" s="64">
        <v>35.700000000000003</v>
      </c>
      <c r="M60" s="64">
        <v>8.24</v>
      </c>
      <c r="N60" s="64">
        <v>782.6</v>
      </c>
      <c r="O60" s="64">
        <v>0</v>
      </c>
      <c r="P60" s="64">
        <v>0.81</v>
      </c>
      <c r="Q60" s="64">
        <v>9.85</v>
      </c>
      <c r="R60" s="198"/>
      <c r="S60" s="198"/>
      <c r="T60" s="198"/>
      <c r="U60" s="198"/>
    </row>
    <row r="61" spans="1:21" s="12" customFormat="1" x14ac:dyDescent="0.25">
      <c r="A61" s="247" t="s">
        <v>3176</v>
      </c>
      <c r="B61" s="209" t="s">
        <v>36</v>
      </c>
      <c r="C61" s="209" t="s">
        <v>36</v>
      </c>
      <c r="D61" s="209" t="s">
        <v>36</v>
      </c>
      <c r="E61" s="64">
        <v>50.66</v>
      </c>
      <c r="F61" s="64">
        <v>37.28</v>
      </c>
      <c r="G61" s="64">
        <v>85.17</v>
      </c>
      <c r="H61" s="64">
        <v>30.38</v>
      </c>
      <c r="I61" s="64">
        <v>4.08</v>
      </c>
      <c r="J61" s="64">
        <v>0.6</v>
      </c>
      <c r="K61" s="64">
        <v>59.53</v>
      </c>
      <c r="L61" s="64">
        <v>34.83</v>
      </c>
      <c r="M61" s="64">
        <v>10.37</v>
      </c>
      <c r="N61" s="64">
        <v>751.3</v>
      </c>
      <c r="O61" s="64">
        <v>0</v>
      </c>
      <c r="P61" s="64">
        <v>0.79</v>
      </c>
      <c r="Q61" s="64">
        <v>9.83</v>
      </c>
      <c r="R61" s="198"/>
      <c r="S61" s="198"/>
      <c r="T61" s="198"/>
      <c r="U61" s="198"/>
    </row>
    <row r="62" spans="1:21" s="12" customFormat="1" x14ac:dyDescent="0.25">
      <c r="A62" s="247" t="s">
        <v>3177</v>
      </c>
      <c r="B62" s="209" t="s">
        <v>36</v>
      </c>
      <c r="C62" s="209" t="s">
        <v>36</v>
      </c>
      <c r="D62" s="209" t="s">
        <v>36</v>
      </c>
      <c r="E62" s="64">
        <v>55.43</v>
      </c>
      <c r="F62" s="64">
        <v>38.450000000000003</v>
      </c>
      <c r="G62" s="64">
        <v>85.17</v>
      </c>
      <c r="H62" s="64">
        <v>30.38</v>
      </c>
      <c r="I62" s="64">
        <v>4.09</v>
      </c>
      <c r="J62" s="64">
        <v>0.62</v>
      </c>
      <c r="K62" s="64">
        <v>89.55</v>
      </c>
      <c r="L62" s="64">
        <v>34.49</v>
      </c>
      <c r="M62" s="64">
        <v>11.02</v>
      </c>
      <c r="N62" s="64">
        <v>722.4</v>
      </c>
      <c r="O62" s="64">
        <v>0</v>
      </c>
      <c r="P62" s="64">
        <v>0.76</v>
      </c>
      <c r="Q62" s="64">
        <v>9.82</v>
      </c>
      <c r="R62" s="198"/>
      <c r="S62" s="198"/>
      <c r="T62" s="198"/>
      <c r="U62" s="198"/>
    </row>
    <row r="63" spans="1:21" s="12" customFormat="1" x14ac:dyDescent="0.25">
      <c r="A63" s="247" t="s">
        <v>3178</v>
      </c>
      <c r="B63" s="209" t="s">
        <v>36</v>
      </c>
      <c r="C63" s="209" t="s">
        <v>36</v>
      </c>
      <c r="D63" s="209" t="s">
        <v>36</v>
      </c>
      <c r="E63" s="64">
        <v>50.82</v>
      </c>
      <c r="F63" s="64">
        <v>40.700000000000003</v>
      </c>
      <c r="G63" s="64">
        <v>85.17</v>
      </c>
      <c r="H63" s="64">
        <v>30.38</v>
      </c>
      <c r="I63" s="64">
        <v>4.01</v>
      </c>
      <c r="J63" s="64">
        <v>0.4</v>
      </c>
      <c r="K63" s="64">
        <v>61.12</v>
      </c>
      <c r="L63" s="64">
        <v>34.65</v>
      </c>
      <c r="M63" s="64">
        <v>11.24</v>
      </c>
      <c r="N63" s="64">
        <v>661.5</v>
      </c>
      <c r="O63" s="64">
        <v>0</v>
      </c>
      <c r="P63" s="64">
        <v>0.84</v>
      </c>
      <c r="Q63" s="64">
        <v>9.84</v>
      </c>
      <c r="R63" s="198"/>
      <c r="S63" s="198"/>
      <c r="T63" s="198"/>
      <c r="U63" s="198"/>
    </row>
    <row r="64" spans="1:21" s="12" customFormat="1" x14ac:dyDescent="0.25">
      <c r="A64" s="247" t="s">
        <v>3179</v>
      </c>
      <c r="B64" s="209" t="s">
        <v>36</v>
      </c>
      <c r="C64" s="209" t="s">
        <v>36</v>
      </c>
      <c r="D64" s="209" t="s">
        <v>36</v>
      </c>
      <c r="E64" s="64">
        <v>41.8</v>
      </c>
      <c r="F64" s="64">
        <v>34.18</v>
      </c>
      <c r="G64" s="64">
        <v>82.24</v>
      </c>
      <c r="H64" s="64">
        <v>33.549999999999997</v>
      </c>
      <c r="I64" s="64">
        <v>3.92</v>
      </c>
      <c r="J64" s="64">
        <v>1.08</v>
      </c>
      <c r="K64" s="64">
        <v>347.84</v>
      </c>
      <c r="L64" s="64">
        <v>36.6</v>
      </c>
      <c r="M64" s="64">
        <v>10.75</v>
      </c>
      <c r="N64" s="64">
        <v>648.9</v>
      </c>
      <c r="O64" s="64">
        <v>0</v>
      </c>
      <c r="P64" s="64">
        <v>0.9</v>
      </c>
      <c r="Q64" s="64">
        <v>9.83</v>
      </c>
      <c r="R64" s="198"/>
      <c r="S64" s="198"/>
      <c r="T64" s="198"/>
      <c r="U64" s="198"/>
    </row>
    <row r="65" spans="1:21" s="12" customFormat="1" x14ac:dyDescent="0.25">
      <c r="A65" s="247" t="s">
        <v>3180</v>
      </c>
      <c r="B65" s="209" t="s">
        <v>36</v>
      </c>
      <c r="C65" s="209" t="s">
        <v>36</v>
      </c>
      <c r="D65" s="209" t="s">
        <v>36</v>
      </c>
      <c r="E65" s="64">
        <v>41.87</v>
      </c>
      <c r="F65" s="64">
        <v>41.06</v>
      </c>
      <c r="G65" s="64">
        <v>73.17</v>
      </c>
      <c r="H65" s="64">
        <v>43.36</v>
      </c>
      <c r="I65" s="64">
        <v>4.01</v>
      </c>
      <c r="J65" s="64">
        <v>1.08</v>
      </c>
      <c r="K65" s="64">
        <v>335.15</v>
      </c>
      <c r="L65" s="64">
        <v>37.700000000000003</v>
      </c>
      <c r="M65" s="64">
        <v>10.76</v>
      </c>
      <c r="N65" s="64">
        <v>466</v>
      </c>
      <c r="O65" s="64">
        <v>0</v>
      </c>
      <c r="P65" s="64">
        <v>0.93</v>
      </c>
      <c r="Q65" s="64">
        <v>9.85</v>
      </c>
      <c r="R65" s="198"/>
      <c r="S65" s="198"/>
      <c r="T65" s="198"/>
      <c r="U65" s="198"/>
    </row>
    <row r="66" spans="1:21" s="12" customFormat="1" x14ac:dyDescent="0.25">
      <c r="A66" s="247" t="s">
        <v>3181</v>
      </c>
      <c r="B66" s="209" t="s">
        <v>36</v>
      </c>
      <c r="C66" s="209" t="s">
        <v>36</v>
      </c>
      <c r="D66" s="209" t="s">
        <v>36</v>
      </c>
      <c r="E66" s="64">
        <v>56.82</v>
      </c>
      <c r="F66" s="64">
        <v>41.55</v>
      </c>
      <c r="G66" s="64">
        <v>73.17</v>
      </c>
      <c r="H66" s="64">
        <v>43.36</v>
      </c>
      <c r="I66" s="64">
        <v>3.97</v>
      </c>
      <c r="J66" s="64">
        <v>0.57999999999999996</v>
      </c>
      <c r="K66" s="64">
        <v>17.14</v>
      </c>
      <c r="L66" s="64">
        <v>36.42</v>
      </c>
      <c r="M66" s="64">
        <v>10.86</v>
      </c>
      <c r="N66" s="64">
        <v>475</v>
      </c>
      <c r="O66" s="64">
        <v>0</v>
      </c>
      <c r="P66" s="64">
        <v>0.81</v>
      </c>
      <c r="Q66" s="64">
        <v>9.85</v>
      </c>
      <c r="R66" s="198"/>
      <c r="S66" s="198"/>
      <c r="T66" s="198"/>
      <c r="U66" s="198"/>
    </row>
    <row r="67" spans="1:21" s="12" customFormat="1" x14ac:dyDescent="0.25">
      <c r="A67" s="247" t="s">
        <v>3182</v>
      </c>
      <c r="B67" s="209" t="s">
        <v>36</v>
      </c>
      <c r="C67" s="209" t="s">
        <v>36</v>
      </c>
      <c r="D67" s="209" t="s">
        <v>36</v>
      </c>
      <c r="E67" s="64">
        <v>64.650000000000006</v>
      </c>
      <c r="F67" s="64">
        <v>45.82</v>
      </c>
      <c r="G67" s="64">
        <v>73.17</v>
      </c>
      <c r="H67" s="64">
        <v>43.36</v>
      </c>
      <c r="I67" s="64">
        <v>4.1399999999999997</v>
      </c>
      <c r="J67" s="64">
        <v>0.62</v>
      </c>
      <c r="K67" s="64">
        <v>14.5</v>
      </c>
      <c r="L67" s="64">
        <v>35.25</v>
      </c>
      <c r="M67" s="64">
        <v>11.28</v>
      </c>
      <c r="N67" s="64">
        <v>407.5</v>
      </c>
      <c r="O67" s="64">
        <v>0</v>
      </c>
      <c r="P67" s="64">
        <v>0.7</v>
      </c>
      <c r="Q67" s="64">
        <v>9.84</v>
      </c>
      <c r="R67" s="198"/>
      <c r="S67" s="198"/>
      <c r="T67" s="198"/>
      <c r="U67" s="198"/>
    </row>
    <row r="68" spans="1:21" s="12" customFormat="1" x14ac:dyDescent="0.25">
      <c r="A68" s="247" t="s">
        <v>3183</v>
      </c>
      <c r="B68" s="209" t="s">
        <v>36</v>
      </c>
      <c r="C68" s="209" t="s">
        <v>36</v>
      </c>
      <c r="D68" s="209" t="s">
        <v>36</v>
      </c>
      <c r="E68" s="64">
        <v>46.97</v>
      </c>
      <c r="F68" s="64">
        <v>39.31</v>
      </c>
      <c r="G68" s="64">
        <v>72.83</v>
      </c>
      <c r="H68" s="64">
        <v>44.5</v>
      </c>
      <c r="I68" s="64">
        <v>4.1100000000000003</v>
      </c>
      <c r="J68" s="64">
        <v>1.35</v>
      </c>
      <c r="K68" s="64">
        <v>358.42</v>
      </c>
      <c r="L68" s="64">
        <v>36.11</v>
      </c>
      <c r="M68" s="64">
        <v>10.77</v>
      </c>
      <c r="N68" s="64">
        <v>315.5</v>
      </c>
      <c r="O68" s="64">
        <v>0</v>
      </c>
      <c r="P68" s="64">
        <v>0.78</v>
      </c>
      <c r="Q68" s="64">
        <v>9.8699999999999992</v>
      </c>
      <c r="R68" s="198"/>
      <c r="S68" s="198"/>
      <c r="T68" s="198"/>
      <c r="U68" s="198"/>
    </row>
    <row r="69" spans="1:21" s="12" customFormat="1" x14ac:dyDescent="0.25">
      <c r="A69" s="247" t="s">
        <v>3184</v>
      </c>
      <c r="B69" s="209" t="s">
        <v>36</v>
      </c>
      <c r="C69" s="209" t="s">
        <v>36</v>
      </c>
      <c r="D69" s="209" t="s">
        <v>36</v>
      </c>
      <c r="E69" s="64">
        <v>54.26</v>
      </c>
      <c r="F69" s="64">
        <v>41.36</v>
      </c>
      <c r="G69" s="64">
        <v>71.77</v>
      </c>
      <c r="H69" s="64">
        <v>48.23</v>
      </c>
      <c r="I69" s="64">
        <v>3.9</v>
      </c>
      <c r="J69" s="64">
        <v>0.59</v>
      </c>
      <c r="K69" s="64">
        <v>76.7</v>
      </c>
      <c r="L69" s="64">
        <v>34.64</v>
      </c>
      <c r="M69" s="64">
        <v>11.28</v>
      </c>
      <c r="N69" s="64">
        <v>346.1</v>
      </c>
      <c r="O69" s="64">
        <v>0</v>
      </c>
      <c r="P69" s="64">
        <v>0.67</v>
      </c>
      <c r="Q69" s="64">
        <v>9.8800000000000008</v>
      </c>
      <c r="R69" s="198"/>
      <c r="S69" s="198"/>
      <c r="T69" s="198"/>
      <c r="U69" s="198"/>
    </row>
    <row r="70" spans="1:21" s="12" customFormat="1" x14ac:dyDescent="0.25">
      <c r="A70" s="247" t="s">
        <v>3185</v>
      </c>
      <c r="B70" s="209" t="s">
        <v>36</v>
      </c>
      <c r="C70" s="209" t="s">
        <v>36</v>
      </c>
      <c r="D70" s="209" t="s">
        <v>36</v>
      </c>
      <c r="E70" s="64">
        <v>49.68</v>
      </c>
      <c r="F70" s="64">
        <v>36.47</v>
      </c>
      <c r="G70" s="64">
        <v>71.77</v>
      </c>
      <c r="H70" s="64">
        <v>48.23</v>
      </c>
      <c r="I70" s="64">
        <v>3.99</v>
      </c>
      <c r="J70" s="64">
        <v>1.38</v>
      </c>
      <c r="K70" s="64">
        <v>95.46</v>
      </c>
      <c r="L70" s="64">
        <v>33.28</v>
      </c>
      <c r="M70" s="64">
        <v>12.41</v>
      </c>
      <c r="N70" s="64">
        <v>224.8</v>
      </c>
      <c r="O70" s="64">
        <v>0</v>
      </c>
      <c r="P70" s="64">
        <v>0.69</v>
      </c>
      <c r="Q70" s="64">
        <v>9.89</v>
      </c>
      <c r="R70" s="198"/>
      <c r="S70" s="198"/>
      <c r="T70" s="198"/>
      <c r="U70" s="198"/>
    </row>
    <row r="71" spans="1:21" s="12" customFormat="1" x14ac:dyDescent="0.25">
      <c r="A71" s="247" t="s">
        <v>3186</v>
      </c>
      <c r="B71" s="209" t="s">
        <v>36</v>
      </c>
      <c r="C71" s="209" t="s">
        <v>36</v>
      </c>
      <c r="D71" s="209" t="s">
        <v>36</v>
      </c>
      <c r="E71" s="64">
        <v>42.32</v>
      </c>
      <c r="F71" s="64">
        <v>29.09</v>
      </c>
      <c r="G71" s="64">
        <v>71.77</v>
      </c>
      <c r="H71" s="64">
        <v>48.23</v>
      </c>
      <c r="I71" s="64">
        <v>4.01</v>
      </c>
      <c r="J71" s="64">
        <v>1.43</v>
      </c>
      <c r="K71" s="64">
        <v>7.86</v>
      </c>
      <c r="L71" s="64">
        <v>33.450000000000003</v>
      </c>
      <c r="M71" s="64">
        <v>13.07</v>
      </c>
      <c r="N71" s="64">
        <v>211.4</v>
      </c>
      <c r="O71" s="64">
        <v>0</v>
      </c>
      <c r="P71" s="64">
        <v>0.75</v>
      </c>
      <c r="Q71" s="64">
        <v>9.86</v>
      </c>
      <c r="R71" s="198"/>
      <c r="S71" s="198"/>
      <c r="T71" s="198"/>
      <c r="U71" s="198"/>
    </row>
    <row r="72" spans="1:21" s="12" customFormat="1" x14ac:dyDescent="0.25">
      <c r="A72" s="247" t="s">
        <v>3187</v>
      </c>
      <c r="B72" s="209" t="s">
        <v>36</v>
      </c>
      <c r="C72" s="209" t="s">
        <v>36</v>
      </c>
      <c r="D72" s="209" t="s">
        <v>36</v>
      </c>
      <c r="E72" s="64">
        <v>13.34</v>
      </c>
      <c r="F72" s="64">
        <v>20.22</v>
      </c>
      <c r="G72" s="64">
        <v>75.13</v>
      </c>
      <c r="H72" s="64">
        <v>51.71</v>
      </c>
      <c r="I72" s="64">
        <v>4.0199999999999996</v>
      </c>
      <c r="J72" s="64">
        <v>2.29</v>
      </c>
      <c r="K72" s="64">
        <v>349.86</v>
      </c>
      <c r="L72" s="64">
        <v>33.700000000000003</v>
      </c>
      <c r="M72" s="64">
        <v>14.01</v>
      </c>
      <c r="N72" s="64">
        <v>184.6</v>
      </c>
      <c r="O72" s="64">
        <v>0</v>
      </c>
      <c r="P72" s="64">
        <v>0.85</v>
      </c>
      <c r="Q72" s="64">
        <v>9.9</v>
      </c>
      <c r="R72" s="198"/>
      <c r="S72" s="198"/>
      <c r="T72" s="198"/>
      <c r="U72" s="198"/>
    </row>
    <row r="73" spans="1:21" s="12" customFormat="1" x14ac:dyDescent="0.25">
      <c r="A73" s="247" t="s">
        <v>3188</v>
      </c>
      <c r="B73" s="209" t="s">
        <v>36</v>
      </c>
      <c r="C73" s="209" t="s">
        <v>36</v>
      </c>
      <c r="D73" s="209" t="s">
        <v>36</v>
      </c>
      <c r="E73" s="64">
        <v>27.69</v>
      </c>
      <c r="F73" s="64">
        <v>21.46</v>
      </c>
      <c r="G73" s="64">
        <v>85.52</v>
      </c>
      <c r="H73" s="64">
        <v>62.45</v>
      </c>
      <c r="I73" s="64">
        <v>3.93</v>
      </c>
      <c r="J73" s="64">
        <v>2.2000000000000002</v>
      </c>
      <c r="K73" s="64">
        <v>348.7</v>
      </c>
      <c r="L73" s="64">
        <v>33.22</v>
      </c>
      <c r="M73" s="64">
        <v>14.43</v>
      </c>
      <c r="N73" s="64">
        <v>170.4</v>
      </c>
      <c r="O73" s="64">
        <v>0</v>
      </c>
      <c r="P73" s="64">
        <v>0.85</v>
      </c>
      <c r="Q73" s="64">
        <v>9.89</v>
      </c>
      <c r="R73" s="198"/>
      <c r="S73" s="198"/>
      <c r="T73" s="198"/>
      <c r="U73" s="198"/>
    </row>
    <row r="74" spans="1:21" s="12" customFormat="1" x14ac:dyDescent="0.25">
      <c r="A74" s="247" t="s">
        <v>3189</v>
      </c>
      <c r="B74" s="209" t="s">
        <v>36</v>
      </c>
      <c r="C74" s="209" t="s">
        <v>36</v>
      </c>
      <c r="D74" s="209" t="s">
        <v>36</v>
      </c>
      <c r="E74" s="64">
        <v>20.29</v>
      </c>
      <c r="F74" s="64">
        <v>21.27</v>
      </c>
      <c r="G74" s="64">
        <v>85.52</v>
      </c>
      <c r="H74" s="64">
        <v>62.45</v>
      </c>
      <c r="I74" s="64">
        <v>4.09</v>
      </c>
      <c r="J74" s="64">
        <v>2.23</v>
      </c>
      <c r="K74" s="64">
        <v>355.49</v>
      </c>
      <c r="L74" s="64">
        <v>32.75</v>
      </c>
      <c r="M74" s="64">
        <v>14.89</v>
      </c>
      <c r="N74" s="64">
        <v>144.4</v>
      </c>
      <c r="O74" s="64">
        <v>0</v>
      </c>
      <c r="P74" s="64">
        <v>0.86</v>
      </c>
      <c r="Q74" s="64">
        <v>9.9</v>
      </c>
      <c r="R74" s="198"/>
      <c r="S74" s="198"/>
      <c r="T74" s="198"/>
      <c r="U74" s="198"/>
    </row>
    <row r="75" spans="1:21" s="12" customFormat="1" x14ac:dyDescent="0.25">
      <c r="A75" s="247" t="s">
        <v>3190</v>
      </c>
      <c r="B75" s="209" t="s">
        <v>36</v>
      </c>
      <c r="C75" s="209" t="s">
        <v>36</v>
      </c>
      <c r="D75" s="209" t="s">
        <v>36</v>
      </c>
      <c r="E75" s="64">
        <v>23.13</v>
      </c>
      <c r="F75" s="64">
        <v>22.67</v>
      </c>
      <c r="G75" s="64">
        <v>85.52</v>
      </c>
      <c r="H75" s="64">
        <v>62.45</v>
      </c>
      <c r="I75" s="64">
        <v>3.91</v>
      </c>
      <c r="J75" s="64">
        <v>2.2599999999999998</v>
      </c>
      <c r="K75" s="64">
        <v>356.1</v>
      </c>
      <c r="L75" s="64">
        <v>32.4</v>
      </c>
      <c r="M75" s="64">
        <v>14.62</v>
      </c>
      <c r="N75" s="64">
        <v>128.6</v>
      </c>
      <c r="O75" s="64">
        <v>0</v>
      </c>
      <c r="P75" s="64">
        <v>0.85</v>
      </c>
      <c r="Q75" s="64">
        <v>9.91</v>
      </c>
      <c r="R75" s="198"/>
      <c r="S75" s="198"/>
      <c r="T75" s="198"/>
      <c r="U75" s="198"/>
    </row>
    <row r="76" spans="1:21" s="12" customFormat="1" x14ac:dyDescent="0.25">
      <c r="A76" s="247" t="s">
        <v>3191</v>
      </c>
      <c r="B76" s="209" t="s">
        <v>36</v>
      </c>
      <c r="C76" s="209" t="s">
        <v>36</v>
      </c>
      <c r="D76" s="209" t="s">
        <v>36</v>
      </c>
      <c r="E76" s="64">
        <v>22.22</v>
      </c>
      <c r="F76" s="64">
        <v>20.57</v>
      </c>
      <c r="G76" s="64">
        <v>93.9</v>
      </c>
      <c r="H76" s="64">
        <v>60.68</v>
      </c>
      <c r="I76" s="64">
        <v>4</v>
      </c>
      <c r="J76" s="64">
        <v>2.0699999999999998</v>
      </c>
      <c r="K76" s="64">
        <v>350.83</v>
      </c>
      <c r="L76" s="64">
        <v>31.87</v>
      </c>
      <c r="M76" s="64">
        <v>15.69</v>
      </c>
      <c r="N76" s="64">
        <v>114</v>
      </c>
      <c r="O76" s="64">
        <v>0</v>
      </c>
      <c r="P76" s="64">
        <v>0.89</v>
      </c>
      <c r="Q76" s="64">
        <v>9.93</v>
      </c>
      <c r="R76" s="198"/>
      <c r="S76" s="198"/>
      <c r="T76" s="198"/>
      <c r="U76" s="198"/>
    </row>
    <row r="77" spans="1:21" s="12" customFormat="1" x14ac:dyDescent="0.25">
      <c r="A77" s="247" t="s">
        <v>3192</v>
      </c>
      <c r="B77" s="209" t="s">
        <v>36</v>
      </c>
      <c r="C77" s="209" t="s">
        <v>36</v>
      </c>
      <c r="D77" s="209" t="s">
        <v>36</v>
      </c>
      <c r="E77" s="64">
        <v>48.03</v>
      </c>
      <c r="F77" s="64">
        <v>28.22</v>
      </c>
      <c r="G77" s="64">
        <v>119.82</v>
      </c>
      <c r="H77" s="64">
        <v>54.85</v>
      </c>
      <c r="I77" s="64">
        <v>3.93</v>
      </c>
      <c r="J77" s="64">
        <v>1.92</v>
      </c>
      <c r="K77" s="64">
        <v>356.25</v>
      </c>
      <c r="L77" s="64">
        <v>31.38</v>
      </c>
      <c r="M77" s="64">
        <v>15.94</v>
      </c>
      <c r="N77" s="64">
        <v>100.6</v>
      </c>
      <c r="O77" s="64">
        <v>0</v>
      </c>
      <c r="P77" s="64">
        <v>0.94</v>
      </c>
      <c r="Q77" s="64">
        <v>9.94</v>
      </c>
      <c r="R77" s="198"/>
      <c r="S77" s="198"/>
      <c r="T77" s="198"/>
      <c r="U77" s="198"/>
    </row>
    <row r="78" spans="1:21" s="12" customFormat="1" x14ac:dyDescent="0.25">
      <c r="A78" s="247" t="s">
        <v>3193</v>
      </c>
      <c r="B78" s="209" t="s">
        <v>36</v>
      </c>
      <c r="C78" s="209" t="s">
        <v>36</v>
      </c>
      <c r="D78" s="209" t="s">
        <v>36</v>
      </c>
      <c r="E78" s="64">
        <v>68.92</v>
      </c>
      <c r="F78" s="64">
        <v>36.130000000000003</v>
      </c>
      <c r="G78" s="64">
        <v>119.82</v>
      </c>
      <c r="H78" s="64">
        <v>54.85</v>
      </c>
      <c r="I78" s="64">
        <v>3.91</v>
      </c>
      <c r="J78" s="64">
        <v>1.58</v>
      </c>
      <c r="K78" s="64">
        <v>359.07</v>
      </c>
      <c r="L78" s="64">
        <v>30.85</v>
      </c>
      <c r="M78" s="64">
        <v>16.63</v>
      </c>
      <c r="N78" s="64">
        <v>87.5</v>
      </c>
      <c r="O78" s="64">
        <v>0</v>
      </c>
      <c r="P78" s="64">
        <v>1.18</v>
      </c>
      <c r="Q78" s="64">
        <v>9.94</v>
      </c>
      <c r="R78" s="198"/>
      <c r="S78" s="198"/>
      <c r="T78" s="198"/>
      <c r="U78" s="198"/>
    </row>
    <row r="79" spans="1:21" s="12" customFormat="1" x14ac:dyDescent="0.25">
      <c r="A79" s="247" t="s">
        <v>3194</v>
      </c>
      <c r="B79" s="209" t="s">
        <v>36</v>
      </c>
      <c r="C79" s="209" t="s">
        <v>36</v>
      </c>
      <c r="D79" s="209" t="s">
        <v>36</v>
      </c>
      <c r="E79" s="64">
        <v>73.22</v>
      </c>
      <c r="F79" s="64">
        <v>37.14</v>
      </c>
      <c r="G79" s="64">
        <v>119.82</v>
      </c>
      <c r="H79" s="64">
        <v>54.85</v>
      </c>
      <c r="I79" s="64">
        <v>4.05</v>
      </c>
      <c r="J79" s="64">
        <v>1.47</v>
      </c>
      <c r="K79" s="64">
        <v>359.12</v>
      </c>
      <c r="L79" s="64">
        <v>30.39</v>
      </c>
      <c r="M79" s="64">
        <v>16.97</v>
      </c>
      <c r="N79" s="64">
        <v>75.8</v>
      </c>
      <c r="O79" s="64">
        <v>0</v>
      </c>
      <c r="P79" s="64">
        <v>1.18</v>
      </c>
      <c r="Q79" s="64">
        <v>9.93</v>
      </c>
      <c r="R79" s="198"/>
      <c r="S79" s="198"/>
      <c r="T79" s="198"/>
      <c r="U79" s="198"/>
    </row>
    <row r="80" spans="1:21" s="12" customFormat="1" x14ac:dyDescent="0.25">
      <c r="A80" s="247" t="s">
        <v>3195</v>
      </c>
      <c r="B80" s="209" t="s">
        <v>36</v>
      </c>
      <c r="C80" s="209" t="s">
        <v>36</v>
      </c>
      <c r="D80" s="209" t="s">
        <v>36</v>
      </c>
      <c r="E80" s="64">
        <v>69.03</v>
      </c>
      <c r="F80" s="64">
        <v>31.72</v>
      </c>
      <c r="G80" s="64">
        <v>122.07</v>
      </c>
      <c r="H80" s="64">
        <v>47.47</v>
      </c>
      <c r="I80" s="64">
        <v>3.96</v>
      </c>
      <c r="J80" s="64">
        <v>1.1299999999999999</v>
      </c>
      <c r="K80" s="64">
        <v>0.56999999999999995</v>
      </c>
      <c r="L80" s="64">
        <v>29.67</v>
      </c>
      <c r="M80" s="64">
        <v>18.170000000000002</v>
      </c>
      <c r="N80" s="64">
        <v>65.400000000000006</v>
      </c>
      <c r="O80" s="64">
        <v>0</v>
      </c>
      <c r="P80" s="64">
        <v>1.58</v>
      </c>
      <c r="Q80" s="64">
        <v>9.9499999999999993</v>
      </c>
      <c r="R80" s="198"/>
      <c r="S80" s="198"/>
      <c r="T80" s="198"/>
      <c r="U80" s="198"/>
    </row>
    <row r="81" spans="1:26" s="12" customFormat="1" x14ac:dyDescent="0.25">
      <c r="A81" s="247" t="s">
        <v>3196</v>
      </c>
      <c r="B81" s="209" t="s">
        <v>36</v>
      </c>
      <c r="C81" s="209" t="s">
        <v>36</v>
      </c>
      <c r="D81" s="209" t="s">
        <v>36</v>
      </c>
      <c r="E81" s="64">
        <v>64.41</v>
      </c>
      <c r="F81" s="64">
        <v>16.399999999999999</v>
      </c>
      <c r="G81" s="64">
        <v>129.47999999999999</v>
      </c>
      <c r="H81" s="64">
        <v>24.67</v>
      </c>
      <c r="I81" s="64">
        <v>4.0599999999999996</v>
      </c>
      <c r="J81" s="64">
        <v>0.86</v>
      </c>
      <c r="K81" s="64">
        <v>357.14</v>
      </c>
      <c r="L81" s="64">
        <v>28.8</v>
      </c>
      <c r="M81" s="64">
        <v>19.54</v>
      </c>
      <c r="N81" s="64">
        <v>58.1</v>
      </c>
      <c r="O81" s="64">
        <v>0</v>
      </c>
      <c r="P81" s="64">
        <v>2.17</v>
      </c>
      <c r="Q81" s="64">
        <v>9.99</v>
      </c>
      <c r="R81" s="198"/>
      <c r="S81" s="198"/>
      <c r="T81" s="198"/>
      <c r="U81" s="198"/>
    </row>
    <row r="82" spans="1:26" s="12" customFormat="1" x14ac:dyDescent="0.25">
      <c r="A82" s="247" t="s">
        <v>3197</v>
      </c>
      <c r="B82" s="209" t="s">
        <v>36</v>
      </c>
      <c r="C82" s="209" t="s">
        <v>36</v>
      </c>
      <c r="D82" s="209" t="s">
        <v>36</v>
      </c>
      <c r="E82" s="64">
        <v>65.59</v>
      </c>
      <c r="F82" s="64">
        <v>18.21</v>
      </c>
      <c r="G82" s="64">
        <v>129.47999999999999</v>
      </c>
      <c r="H82" s="64">
        <v>24.67</v>
      </c>
      <c r="I82" s="64">
        <v>4.13</v>
      </c>
      <c r="J82" s="64">
        <v>0.9</v>
      </c>
      <c r="K82" s="64">
        <v>359.52</v>
      </c>
      <c r="L82" s="64">
        <v>28.29</v>
      </c>
      <c r="M82" s="64">
        <v>20.86</v>
      </c>
      <c r="N82" s="64">
        <v>55.3</v>
      </c>
      <c r="O82" s="64">
        <v>0</v>
      </c>
      <c r="P82" s="64">
        <v>2.3199999999999998</v>
      </c>
      <c r="Q82" s="64">
        <v>9.94</v>
      </c>
      <c r="R82" s="198"/>
      <c r="S82" s="198"/>
      <c r="T82" s="198"/>
      <c r="U82" s="198"/>
    </row>
    <row r="83" spans="1:26" s="12" customFormat="1" x14ac:dyDescent="0.25">
      <c r="A83" s="247" t="s">
        <v>3198</v>
      </c>
      <c r="B83" s="209" t="s">
        <v>36</v>
      </c>
      <c r="C83" s="209" t="s">
        <v>36</v>
      </c>
      <c r="D83" s="209" t="s">
        <v>36</v>
      </c>
      <c r="E83" s="64">
        <v>66.489999999999995</v>
      </c>
      <c r="F83" s="64">
        <v>17.8</v>
      </c>
      <c r="G83" s="64">
        <v>129.47999999999999</v>
      </c>
      <c r="H83" s="64">
        <v>24.67</v>
      </c>
      <c r="I83" s="64">
        <v>4.09</v>
      </c>
      <c r="J83" s="64">
        <v>0.62</v>
      </c>
      <c r="K83" s="64">
        <v>4.0999999999999996</v>
      </c>
      <c r="L83" s="64">
        <v>27.52</v>
      </c>
      <c r="M83" s="64">
        <v>23.56</v>
      </c>
      <c r="N83" s="64">
        <v>55</v>
      </c>
      <c r="O83" s="64">
        <v>0</v>
      </c>
      <c r="P83" s="64">
        <v>2.35</v>
      </c>
      <c r="Q83" s="64">
        <v>9.9499999999999993</v>
      </c>
      <c r="R83" s="198"/>
      <c r="S83" s="198"/>
      <c r="T83" s="198"/>
      <c r="U83" s="198"/>
    </row>
    <row r="84" spans="1:26" s="12" customFormat="1" x14ac:dyDescent="0.25">
      <c r="A84" s="247" t="s">
        <v>3199</v>
      </c>
      <c r="B84" s="209" t="s">
        <v>36</v>
      </c>
      <c r="C84" s="209" t="s">
        <v>36</v>
      </c>
      <c r="D84" s="209" t="s">
        <v>36</v>
      </c>
      <c r="E84" s="64">
        <v>61.82</v>
      </c>
      <c r="F84" s="64">
        <v>15.59</v>
      </c>
      <c r="G84" s="64">
        <v>138.66</v>
      </c>
      <c r="H84" s="64">
        <v>25.89</v>
      </c>
      <c r="I84" s="64">
        <v>3.98</v>
      </c>
      <c r="J84" s="64">
        <v>0.65</v>
      </c>
      <c r="K84" s="64">
        <v>64.209999999999994</v>
      </c>
      <c r="L84" s="64">
        <v>27.34</v>
      </c>
      <c r="M84" s="64">
        <v>23.05</v>
      </c>
      <c r="N84" s="64">
        <v>54.8</v>
      </c>
      <c r="O84" s="64">
        <v>0</v>
      </c>
      <c r="P84" s="64">
        <v>2.0499999999999998</v>
      </c>
      <c r="Q84" s="64">
        <v>9.99</v>
      </c>
      <c r="R84" s="198"/>
      <c r="S84" s="198"/>
      <c r="T84" s="198"/>
      <c r="U84" s="198"/>
    </row>
    <row r="85" spans="1:26" s="12" customFormat="1" x14ac:dyDescent="0.25">
      <c r="A85" s="247" t="s">
        <v>3200</v>
      </c>
      <c r="B85" s="209" t="s">
        <v>36</v>
      </c>
      <c r="C85" s="209" t="s">
        <v>36</v>
      </c>
      <c r="D85" s="209" t="s">
        <v>36</v>
      </c>
      <c r="E85" s="64">
        <v>50.48</v>
      </c>
      <c r="F85" s="64">
        <v>10.95</v>
      </c>
      <c r="G85" s="64">
        <v>167.03</v>
      </c>
      <c r="H85" s="64">
        <v>29.88</v>
      </c>
      <c r="I85" s="64">
        <v>4.1100000000000003</v>
      </c>
      <c r="J85" s="64">
        <v>0.65</v>
      </c>
      <c r="K85" s="64">
        <v>351.55</v>
      </c>
      <c r="L85" s="64">
        <v>26.54</v>
      </c>
      <c r="M85" s="64">
        <v>29.12</v>
      </c>
      <c r="N85" s="64">
        <v>54.9</v>
      </c>
      <c r="O85" s="64">
        <v>0</v>
      </c>
      <c r="P85" s="64">
        <v>2.77</v>
      </c>
      <c r="Q85" s="64">
        <v>9.9700000000000006</v>
      </c>
      <c r="R85" s="198"/>
      <c r="S85" s="198"/>
      <c r="T85" s="198"/>
      <c r="U85" s="198"/>
    </row>
    <row r="86" spans="1:26" s="12" customFormat="1" x14ac:dyDescent="0.25">
      <c r="A86" s="247" t="s">
        <v>3201</v>
      </c>
      <c r="B86" s="209" t="s">
        <v>36</v>
      </c>
      <c r="C86" s="209" t="s">
        <v>36</v>
      </c>
      <c r="D86" s="209" t="s">
        <v>36</v>
      </c>
      <c r="E86" s="64">
        <v>37.22</v>
      </c>
      <c r="F86" s="64">
        <v>7.35</v>
      </c>
      <c r="G86" s="64">
        <v>167.03</v>
      </c>
      <c r="H86" s="64">
        <v>29.88</v>
      </c>
      <c r="I86" s="64">
        <v>3.94</v>
      </c>
      <c r="J86" s="64">
        <v>0.64</v>
      </c>
      <c r="K86" s="64">
        <v>352.89</v>
      </c>
      <c r="L86" s="64">
        <v>25.62</v>
      </c>
      <c r="M86" s="64">
        <v>33.51</v>
      </c>
      <c r="N86" s="64">
        <v>55</v>
      </c>
      <c r="O86" s="64">
        <v>0</v>
      </c>
      <c r="P86" s="64">
        <v>3.82</v>
      </c>
      <c r="Q86" s="64">
        <v>9.98</v>
      </c>
      <c r="R86" s="198"/>
      <c r="S86" s="198"/>
      <c r="T86" s="198"/>
      <c r="U86" s="198"/>
    </row>
    <row r="87" spans="1:26" s="12" customFormat="1" x14ac:dyDescent="0.25">
      <c r="A87" s="247" t="s">
        <v>3202</v>
      </c>
      <c r="B87" s="209" t="s">
        <v>36</v>
      </c>
      <c r="C87" s="209" t="s">
        <v>36</v>
      </c>
      <c r="D87" s="209" t="s">
        <v>36</v>
      </c>
      <c r="E87" s="64">
        <v>32.53</v>
      </c>
      <c r="F87" s="64">
        <v>7.39</v>
      </c>
      <c r="G87" s="64">
        <v>167.03</v>
      </c>
      <c r="H87" s="64">
        <v>29.88</v>
      </c>
      <c r="I87" s="64">
        <v>4</v>
      </c>
      <c r="J87" s="64">
        <v>0.7</v>
      </c>
      <c r="K87" s="64">
        <v>356.64</v>
      </c>
      <c r="L87" s="64">
        <v>25.08</v>
      </c>
      <c r="M87" s="64">
        <v>33.19</v>
      </c>
      <c r="N87" s="64">
        <v>54.8</v>
      </c>
      <c r="O87" s="64">
        <v>0</v>
      </c>
      <c r="P87" s="64">
        <v>3.85</v>
      </c>
      <c r="Q87" s="64">
        <v>9.98</v>
      </c>
      <c r="R87" s="198"/>
      <c r="S87" s="198"/>
      <c r="T87" s="198"/>
      <c r="U87" s="198"/>
    </row>
    <row r="88" spans="1:26" s="12" customFormat="1" x14ac:dyDescent="0.25">
      <c r="A88" s="247" t="s">
        <v>3203</v>
      </c>
      <c r="B88" s="209" t="s">
        <v>36</v>
      </c>
      <c r="C88" s="209" t="s">
        <v>36</v>
      </c>
      <c r="D88" s="209" t="s">
        <v>36</v>
      </c>
      <c r="E88" s="64">
        <v>30.12</v>
      </c>
      <c r="F88" s="64">
        <v>7.33</v>
      </c>
      <c r="G88" s="64">
        <v>173.21</v>
      </c>
      <c r="H88" s="64">
        <v>33.82</v>
      </c>
      <c r="I88" s="64">
        <v>4.01</v>
      </c>
      <c r="J88" s="64">
        <v>0.56000000000000005</v>
      </c>
      <c r="K88" s="64">
        <v>350.07</v>
      </c>
      <c r="L88" s="64">
        <v>24.98</v>
      </c>
      <c r="M88" s="64">
        <v>31.23</v>
      </c>
      <c r="N88" s="64">
        <v>54.6</v>
      </c>
      <c r="O88" s="64">
        <v>0</v>
      </c>
      <c r="P88" s="64">
        <v>3.7</v>
      </c>
      <c r="Q88" s="64">
        <v>10</v>
      </c>
      <c r="R88" s="198"/>
      <c r="S88" s="198"/>
      <c r="T88" s="198"/>
      <c r="U88" s="198"/>
    </row>
    <row r="89" spans="1:26" s="12" customFormat="1" x14ac:dyDescent="0.25">
      <c r="A89" s="247" t="s">
        <v>3204</v>
      </c>
      <c r="B89" s="209" t="s">
        <v>36</v>
      </c>
      <c r="C89" s="209" t="s">
        <v>36</v>
      </c>
      <c r="D89" s="209" t="s">
        <v>36</v>
      </c>
      <c r="E89" s="64">
        <v>23.93</v>
      </c>
      <c r="F89" s="64">
        <v>8.36</v>
      </c>
      <c r="G89" s="64">
        <v>193.53</v>
      </c>
      <c r="H89" s="64">
        <v>46.77</v>
      </c>
      <c r="I89" s="64">
        <v>3.98</v>
      </c>
      <c r="J89" s="64">
        <v>0.84</v>
      </c>
      <c r="K89" s="64">
        <v>1.17</v>
      </c>
      <c r="L89" s="64">
        <v>24.65</v>
      </c>
      <c r="M89" s="64">
        <v>35.53</v>
      </c>
      <c r="N89" s="64">
        <v>54.6</v>
      </c>
      <c r="O89" s="64">
        <v>0</v>
      </c>
      <c r="P89" s="64">
        <v>4.0599999999999996</v>
      </c>
      <c r="Q89" s="64">
        <v>10.08</v>
      </c>
      <c r="R89" s="198"/>
      <c r="S89" s="198"/>
      <c r="T89" s="198"/>
      <c r="U89" s="198"/>
    </row>
    <row r="90" spans="1:26" s="12" customFormat="1" x14ac:dyDescent="0.25">
      <c r="A90" s="247" t="s">
        <v>3205</v>
      </c>
      <c r="B90" s="209" t="s">
        <v>36</v>
      </c>
      <c r="C90" s="209" t="s">
        <v>36</v>
      </c>
      <c r="D90" s="209" t="s">
        <v>36</v>
      </c>
      <c r="E90" s="64">
        <v>25.02</v>
      </c>
      <c r="F90" s="64">
        <v>10.74</v>
      </c>
      <c r="G90" s="64">
        <v>193.53</v>
      </c>
      <c r="H90" s="64">
        <v>46.77</v>
      </c>
      <c r="I90" s="64">
        <v>3.96</v>
      </c>
      <c r="J90" s="64">
        <v>0.73</v>
      </c>
      <c r="K90" s="64">
        <v>28.42</v>
      </c>
      <c r="L90" s="64">
        <v>24.88</v>
      </c>
      <c r="M90" s="64">
        <v>24.77</v>
      </c>
      <c r="N90" s="64">
        <v>54</v>
      </c>
      <c r="O90" s="64">
        <v>0</v>
      </c>
      <c r="P90" s="64">
        <v>3.03</v>
      </c>
      <c r="Q90" s="64">
        <v>10.1</v>
      </c>
      <c r="R90" s="198"/>
      <c r="S90" s="198"/>
      <c r="T90" s="198"/>
      <c r="U90" s="198"/>
    </row>
    <row r="91" spans="1:26" s="12" customFormat="1" x14ac:dyDescent="0.25">
      <c r="A91" s="247" t="s">
        <v>3206</v>
      </c>
      <c r="B91" s="209" t="s">
        <v>36</v>
      </c>
      <c r="C91" s="209" t="s">
        <v>36</v>
      </c>
      <c r="D91" s="209" t="s">
        <v>36</v>
      </c>
      <c r="E91" s="64">
        <v>23.5</v>
      </c>
      <c r="F91" s="64">
        <v>15.39</v>
      </c>
      <c r="G91" s="64">
        <v>193.53</v>
      </c>
      <c r="H91" s="64">
        <v>46.77</v>
      </c>
      <c r="I91" s="64">
        <v>3.83</v>
      </c>
      <c r="J91" s="64">
        <v>0.61</v>
      </c>
      <c r="K91" s="64">
        <v>24.93</v>
      </c>
      <c r="L91" s="64">
        <v>25.57</v>
      </c>
      <c r="M91" s="64">
        <v>19.8</v>
      </c>
      <c r="N91" s="64">
        <v>53.7</v>
      </c>
      <c r="O91" s="64">
        <v>0</v>
      </c>
      <c r="P91" s="64">
        <v>2.36</v>
      </c>
      <c r="Q91" s="64">
        <v>10.130000000000001</v>
      </c>
      <c r="R91" s="198"/>
      <c r="S91" s="198"/>
      <c r="T91" s="198"/>
      <c r="U91" s="198"/>
    </row>
    <row r="92" spans="1:26" s="12" customFormat="1" x14ac:dyDescent="0.25">
      <c r="A92" s="247" t="s">
        <v>3207</v>
      </c>
      <c r="B92" s="209" t="s">
        <v>36</v>
      </c>
      <c r="C92" s="209" t="s">
        <v>36</v>
      </c>
      <c r="D92" s="209" t="s">
        <v>36</v>
      </c>
      <c r="E92" s="64">
        <v>23.87</v>
      </c>
      <c r="F92" s="64">
        <v>15.98</v>
      </c>
      <c r="G92" s="64">
        <v>187.51</v>
      </c>
      <c r="H92" s="64">
        <v>49.7</v>
      </c>
      <c r="I92" s="64">
        <v>4.09</v>
      </c>
      <c r="J92" s="64">
        <v>0.53</v>
      </c>
      <c r="K92" s="64">
        <v>28.19</v>
      </c>
      <c r="L92" s="64">
        <v>25.67</v>
      </c>
      <c r="M92" s="64">
        <v>18.829999999999998</v>
      </c>
      <c r="N92" s="64">
        <v>54.2</v>
      </c>
      <c r="O92" s="64">
        <v>0</v>
      </c>
      <c r="P92" s="64">
        <v>2.2200000000000002</v>
      </c>
      <c r="Q92" s="64">
        <v>10.15</v>
      </c>
      <c r="R92" s="198"/>
      <c r="S92" s="198"/>
      <c r="T92" s="198"/>
      <c r="U92" s="198"/>
    </row>
    <row r="93" spans="1:26" s="12" customFormat="1" x14ac:dyDescent="0.25">
      <c r="A93" s="247" t="s">
        <v>3208</v>
      </c>
      <c r="B93" s="209" t="s">
        <v>36</v>
      </c>
      <c r="C93" s="209" t="s">
        <v>36</v>
      </c>
      <c r="D93" s="209" t="s">
        <v>36</v>
      </c>
      <c r="E93" s="64">
        <v>22.52</v>
      </c>
      <c r="F93" s="64">
        <v>17.59</v>
      </c>
      <c r="G93" s="64">
        <v>168.93</v>
      </c>
      <c r="H93" s="64">
        <v>58.78</v>
      </c>
      <c r="I93" s="64">
        <v>4.03</v>
      </c>
      <c r="J93" s="64">
        <v>0.56000000000000005</v>
      </c>
      <c r="K93" s="64">
        <v>26.39</v>
      </c>
      <c r="L93" s="64">
        <v>25.62</v>
      </c>
      <c r="M93" s="64">
        <v>18</v>
      </c>
      <c r="N93" s="64">
        <v>54</v>
      </c>
      <c r="O93" s="64">
        <v>0</v>
      </c>
      <c r="P93" s="64">
        <v>1.93</v>
      </c>
      <c r="Q93" s="64">
        <v>10.130000000000001</v>
      </c>
      <c r="R93" s="198"/>
      <c r="S93" s="198"/>
      <c r="T93" s="198"/>
      <c r="U93" s="198"/>
    </row>
    <row r="94" spans="1:26" s="12" customFormat="1" x14ac:dyDescent="0.25">
      <c r="A94" s="247" t="s">
        <v>3209</v>
      </c>
      <c r="B94" s="209" t="s">
        <v>36</v>
      </c>
      <c r="C94" s="209" t="s">
        <v>36</v>
      </c>
      <c r="D94" s="209" t="s">
        <v>36</v>
      </c>
      <c r="E94" s="64">
        <v>29.76</v>
      </c>
      <c r="F94" s="64">
        <v>13.59</v>
      </c>
      <c r="G94" s="64">
        <v>168.93</v>
      </c>
      <c r="H94" s="64">
        <v>58.78</v>
      </c>
      <c r="I94" s="64">
        <v>4</v>
      </c>
      <c r="J94" s="64">
        <v>0.64</v>
      </c>
      <c r="K94" s="64">
        <v>15.87</v>
      </c>
      <c r="L94" s="64">
        <v>25.55</v>
      </c>
      <c r="M94" s="64">
        <v>17.91</v>
      </c>
      <c r="N94" s="64">
        <v>54.3</v>
      </c>
      <c r="O94" s="64">
        <v>0</v>
      </c>
      <c r="P94" s="64">
        <v>2.2400000000000002</v>
      </c>
      <c r="Q94" s="64">
        <v>10.1</v>
      </c>
      <c r="R94" s="198"/>
      <c r="S94" s="198"/>
      <c r="T94" s="198"/>
      <c r="U94" s="198"/>
    </row>
    <row r="95" spans="1:26" s="12" customFormat="1" x14ac:dyDescent="0.25">
      <c r="A95" s="247" t="s">
        <v>3210</v>
      </c>
      <c r="B95" s="209" t="s">
        <v>36</v>
      </c>
      <c r="C95" s="209" t="s">
        <v>36</v>
      </c>
      <c r="D95" s="209" t="s">
        <v>36</v>
      </c>
      <c r="E95" s="64">
        <v>32.89</v>
      </c>
      <c r="F95" s="64">
        <v>9.9499999999999993</v>
      </c>
      <c r="G95" s="64">
        <v>168.93</v>
      </c>
      <c r="H95" s="64">
        <v>58.78</v>
      </c>
      <c r="I95" s="64">
        <v>3.93</v>
      </c>
      <c r="J95" s="64">
        <v>0.49</v>
      </c>
      <c r="K95" s="64">
        <v>17.04</v>
      </c>
      <c r="L95" s="64">
        <v>25.29</v>
      </c>
      <c r="M95" s="64">
        <v>18.329999999999998</v>
      </c>
      <c r="N95" s="64">
        <v>54.6</v>
      </c>
      <c r="O95" s="64">
        <v>0</v>
      </c>
      <c r="P95" s="64">
        <v>2.4500000000000002</v>
      </c>
      <c r="Q95" s="64">
        <v>10.07</v>
      </c>
      <c r="R95" s="198"/>
      <c r="S95" s="198"/>
      <c r="T95" s="198"/>
      <c r="U95" s="198"/>
    </row>
    <row r="96" spans="1:26" s="12" customFormat="1" x14ac:dyDescent="0.25">
      <c r="A96" s="247" t="s">
        <v>3211</v>
      </c>
      <c r="B96" s="209" t="s">
        <v>36</v>
      </c>
      <c r="C96" s="209" t="s">
        <v>36</v>
      </c>
      <c r="D96" s="209" t="s">
        <v>36</v>
      </c>
      <c r="E96" s="64">
        <v>32.409999999999997</v>
      </c>
      <c r="F96" s="64">
        <v>10.220000000000001</v>
      </c>
      <c r="G96" s="64">
        <v>156.55000000000001</v>
      </c>
      <c r="H96" s="64">
        <v>55.39</v>
      </c>
      <c r="I96" s="64">
        <v>4.12</v>
      </c>
      <c r="J96" s="64">
        <v>0.34</v>
      </c>
      <c r="K96" s="64">
        <v>24.86</v>
      </c>
      <c r="L96" s="64">
        <v>24.96</v>
      </c>
      <c r="M96" s="64">
        <v>18.98</v>
      </c>
      <c r="N96" s="64">
        <v>54.6</v>
      </c>
      <c r="O96" s="64">
        <v>0</v>
      </c>
      <c r="P96" s="64">
        <v>2.52</v>
      </c>
      <c r="Q96" s="64">
        <v>10.050000000000001</v>
      </c>
      <c r="R96" s="198"/>
      <c r="S96" s="198"/>
      <c r="T96" s="212"/>
      <c r="U96" s="198"/>
      <c r="Z96" s="109"/>
    </row>
    <row r="97" spans="1:33" s="12" customFormat="1" x14ac:dyDescent="0.25">
      <c r="A97" s="247" t="s">
        <v>3212</v>
      </c>
      <c r="B97" s="209" t="s">
        <v>36</v>
      </c>
      <c r="C97" s="209" t="s">
        <v>36</v>
      </c>
      <c r="D97" s="209" t="s">
        <v>36</v>
      </c>
      <c r="E97" s="64">
        <v>32.68</v>
      </c>
      <c r="F97" s="64">
        <v>11.05</v>
      </c>
      <c r="G97" s="64">
        <v>118.29</v>
      </c>
      <c r="H97" s="64">
        <v>44.24</v>
      </c>
      <c r="I97" s="64">
        <v>4.04</v>
      </c>
      <c r="J97" s="64">
        <v>0.49</v>
      </c>
      <c r="K97" s="64">
        <v>24.21</v>
      </c>
      <c r="L97" s="64">
        <v>24.75</v>
      </c>
      <c r="M97" s="64">
        <v>19.059999999999999</v>
      </c>
      <c r="N97" s="64">
        <v>54.3</v>
      </c>
      <c r="O97" s="64">
        <v>0</v>
      </c>
      <c r="P97" s="64">
        <v>2.31</v>
      </c>
      <c r="Q97" s="64">
        <v>10.08</v>
      </c>
      <c r="R97" s="198"/>
      <c r="S97" s="198"/>
      <c r="T97" s="198"/>
      <c r="U97" s="198"/>
    </row>
    <row r="98" spans="1:33" s="12" customFormat="1" x14ac:dyDescent="0.25">
      <c r="A98" s="247" t="s">
        <v>3213</v>
      </c>
      <c r="B98" s="209" t="s">
        <v>36</v>
      </c>
      <c r="C98" s="209" t="s">
        <v>36</v>
      </c>
      <c r="D98" s="209" t="s">
        <v>36</v>
      </c>
      <c r="E98" s="64">
        <v>36.83</v>
      </c>
      <c r="F98" s="64">
        <v>10.89</v>
      </c>
      <c r="G98" s="64">
        <v>118.29</v>
      </c>
      <c r="H98" s="64">
        <v>44.24</v>
      </c>
      <c r="I98" s="64">
        <v>3.97</v>
      </c>
      <c r="J98" s="64">
        <v>0.54</v>
      </c>
      <c r="K98" s="64">
        <v>28.06</v>
      </c>
      <c r="L98" s="64">
        <v>24.72</v>
      </c>
      <c r="M98" s="64">
        <v>19.53</v>
      </c>
      <c r="N98" s="64">
        <v>54.3</v>
      </c>
      <c r="O98" s="64">
        <v>0</v>
      </c>
      <c r="P98" s="64">
        <v>1.98</v>
      </c>
      <c r="Q98" s="64">
        <v>10.09</v>
      </c>
      <c r="R98" s="198"/>
      <c r="S98" s="198"/>
      <c r="T98" s="198"/>
      <c r="U98" s="198"/>
    </row>
    <row r="99" spans="1:33" s="12" customFormat="1" x14ac:dyDescent="0.25">
      <c r="A99" s="247" t="s">
        <v>3214</v>
      </c>
      <c r="B99" s="209" t="s">
        <v>36</v>
      </c>
      <c r="C99" s="209" t="s">
        <v>36</v>
      </c>
      <c r="D99" s="209" t="s">
        <v>36</v>
      </c>
      <c r="E99" s="64">
        <v>42.5</v>
      </c>
      <c r="F99" s="64">
        <v>15.31</v>
      </c>
      <c r="G99" s="64">
        <v>118.29</v>
      </c>
      <c r="H99" s="64">
        <v>44.24</v>
      </c>
      <c r="I99" s="64">
        <v>3.93</v>
      </c>
      <c r="J99" s="64">
        <v>0.57999999999999996</v>
      </c>
      <c r="K99" s="64">
        <v>9.17</v>
      </c>
      <c r="L99" s="64">
        <v>24.83</v>
      </c>
      <c r="M99" s="64">
        <v>19.760000000000002</v>
      </c>
      <c r="N99" s="64">
        <v>54</v>
      </c>
      <c r="O99" s="64">
        <v>0</v>
      </c>
      <c r="P99" s="64">
        <v>1.63</v>
      </c>
      <c r="Q99" s="64">
        <v>10.050000000000001</v>
      </c>
      <c r="R99" s="198"/>
      <c r="S99" s="198"/>
      <c r="T99" s="198"/>
      <c r="U99" s="198"/>
    </row>
    <row r="100" spans="1:33" s="12" customFormat="1" x14ac:dyDescent="0.25">
      <c r="A100" s="247" t="s">
        <v>3215</v>
      </c>
      <c r="B100" s="209" t="s">
        <v>36</v>
      </c>
      <c r="C100" s="209" t="s">
        <v>36</v>
      </c>
      <c r="D100" s="209" t="s">
        <v>36</v>
      </c>
      <c r="E100" s="64">
        <v>41.79</v>
      </c>
      <c r="F100" s="64">
        <v>20.22</v>
      </c>
      <c r="G100" s="64">
        <v>120.48</v>
      </c>
      <c r="H100" s="64">
        <v>43.68</v>
      </c>
      <c r="I100" s="64">
        <v>4.13</v>
      </c>
      <c r="J100" s="64">
        <v>0.68</v>
      </c>
      <c r="K100" s="64">
        <v>10.23</v>
      </c>
      <c r="L100" s="64">
        <v>24.68</v>
      </c>
      <c r="M100" s="64">
        <v>19.739999999999998</v>
      </c>
      <c r="N100" s="64">
        <v>54.3</v>
      </c>
      <c r="O100" s="64">
        <v>0</v>
      </c>
      <c r="P100" s="64">
        <v>1.52</v>
      </c>
      <c r="Q100" s="64">
        <v>10.01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47" t="s">
        <v>3216</v>
      </c>
      <c r="B101" s="209" t="s">
        <v>36</v>
      </c>
      <c r="C101" s="209" t="s">
        <v>36</v>
      </c>
      <c r="D101" s="209" t="s">
        <v>36</v>
      </c>
      <c r="E101" s="64">
        <v>36.93</v>
      </c>
      <c r="F101" s="64">
        <v>16.809999999999999</v>
      </c>
      <c r="G101" s="64">
        <v>127.24</v>
      </c>
      <c r="H101" s="64">
        <v>42.04</v>
      </c>
      <c r="I101" s="64">
        <v>4.04</v>
      </c>
      <c r="J101" s="64">
        <v>0.36</v>
      </c>
      <c r="K101" s="64">
        <v>32.97</v>
      </c>
      <c r="L101" s="64">
        <v>24.63</v>
      </c>
      <c r="M101" s="64">
        <v>19.399999999999999</v>
      </c>
      <c r="N101" s="64">
        <v>54.4</v>
      </c>
      <c r="O101" s="64">
        <v>0</v>
      </c>
      <c r="P101" s="64">
        <v>1.35</v>
      </c>
      <c r="Q101" s="64">
        <v>10.039999999999999</v>
      </c>
      <c r="R101" s="198"/>
      <c r="S101" s="198"/>
      <c r="T101" s="198"/>
      <c r="U101" s="198"/>
    </row>
    <row r="102" spans="1:33" s="12" customFormat="1" x14ac:dyDescent="0.25">
      <c r="A102" s="247" t="s">
        <v>3217</v>
      </c>
      <c r="B102" s="209" t="s">
        <v>36</v>
      </c>
      <c r="C102" s="209" t="s">
        <v>36</v>
      </c>
      <c r="D102" s="209" t="s">
        <v>36</v>
      </c>
      <c r="E102" s="64">
        <v>24.18</v>
      </c>
      <c r="F102" s="64">
        <v>16.850000000000001</v>
      </c>
      <c r="G102" s="64">
        <v>127.24</v>
      </c>
      <c r="H102" s="64">
        <v>42.04</v>
      </c>
      <c r="I102" s="64">
        <v>3.98</v>
      </c>
      <c r="J102" s="64">
        <v>0.57999999999999996</v>
      </c>
      <c r="K102" s="64">
        <v>51.77</v>
      </c>
      <c r="L102" s="64">
        <v>24.53</v>
      </c>
      <c r="M102" s="64">
        <v>19.61</v>
      </c>
      <c r="N102" s="64">
        <v>54.4</v>
      </c>
      <c r="O102" s="64">
        <v>0</v>
      </c>
      <c r="P102" s="64">
        <v>1.51</v>
      </c>
      <c r="Q102" s="64">
        <v>10.02</v>
      </c>
      <c r="R102" s="198"/>
      <c r="S102" s="198"/>
      <c r="T102" s="198"/>
      <c r="U102" s="198"/>
    </row>
    <row r="103" spans="1:33" s="12" customFormat="1" x14ac:dyDescent="0.25">
      <c r="A103" s="247" t="s">
        <v>3218</v>
      </c>
      <c r="B103" s="209" t="s">
        <v>36</v>
      </c>
      <c r="C103" s="209" t="s">
        <v>36</v>
      </c>
      <c r="D103" s="209" t="s">
        <v>36</v>
      </c>
      <c r="E103" s="64">
        <v>18.5</v>
      </c>
      <c r="F103" s="64">
        <v>20.58</v>
      </c>
      <c r="G103" s="64">
        <v>127.24</v>
      </c>
      <c r="H103" s="64">
        <v>42.04</v>
      </c>
      <c r="I103" s="64">
        <v>3.94</v>
      </c>
      <c r="J103" s="64">
        <v>0.56000000000000005</v>
      </c>
      <c r="K103" s="64">
        <v>48.53</v>
      </c>
      <c r="L103" s="64">
        <v>24.33</v>
      </c>
      <c r="M103" s="64">
        <v>19.649999999999999</v>
      </c>
      <c r="N103" s="64">
        <v>54.1</v>
      </c>
      <c r="O103" s="64">
        <v>0</v>
      </c>
      <c r="P103" s="64">
        <v>1.48</v>
      </c>
      <c r="Q103" s="64">
        <v>10.01</v>
      </c>
      <c r="R103" s="198"/>
      <c r="S103" s="198"/>
      <c r="T103" s="198"/>
      <c r="U103" s="198"/>
    </row>
    <row r="104" spans="1:33" s="12" customFormat="1" x14ac:dyDescent="0.25">
      <c r="A104" s="247" t="s">
        <v>3219</v>
      </c>
      <c r="B104" s="209" t="s">
        <v>36</v>
      </c>
      <c r="C104" s="209" t="s">
        <v>36</v>
      </c>
      <c r="D104" s="209" t="s">
        <v>36</v>
      </c>
      <c r="E104" s="64">
        <v>19.11</v>
      </c>
      <c r="F104" s="64">
        <v>22.81</v>
      </c>
      <c r="G104" s="64">
        <v>124.05</v>
      </c>
      <c r="H104" s="64">
        <v>40.64</v>
      </c>
      <c r="I104" s="64">
        <v>4.03</v>
      </c>
      <c r="J104" s="64">
        <v>0.56000000000000005</v>
      </c>
      <c r="K104" s="64">
        <v>53.52</v>
      </c>
      <c r="L104" s="64">
        <v>24.39</v>
      </c>
      <c r="M104" s="64">
        <v>19.059999999999999</v>
      </c>
      <c r="N104" s="64">
        <v>54.2</v>
      </c>
      <c r="O104" s="64">
        <v>0</v>
      </c>
      <c r="P104" s="64">
        <v>1.45</v>
      </c>
      <c r="Q104" s="64">
        <v>9.99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6.89</v>
      </c>
      <c r="C106" s="67">
        <f>MIN(C9:C104)</f>
        <v>35.14</v>
      </c>
      <c r="D106" s="67">
        <f t="shared" ref="D106:Q106" si="0">MIN(D9:D104)</f>
        <v>26.05</v>
      </c>
      <c r="E106" s="67">
        <f t="shared" si="0"/>
        <v>4.01</v>
      </c>
      <c r="F106" s="67">
        <f t="shared" si="0"/>
        <v>5.78</v>
      </c>
      <c r="G106" s="67">
        <f t="shared" si="0"/>
        <v>67.290000000000006</v>
      </c>
      <c r="H106" s="67">
        <f t="shared" si="0"/>
        <v>2.79</v>
      </c>
      <c r="I106" s="67">
        <f t="shared" si="0"/>
        <v>3.8</v>
      </c>
      <c r="J106" s="67">
        <f t="shared" si="0"/>
        <v>0.26</v>
      </c>
      <c r="K106" s="67">
        <f t="shared" si="0"/>
        <v>0.56999999999999995</v>
      </c>
      <c r="L106" s="67">
        <f t="shared" si="0"/>
        <v>18.36</v>
      </c>
      <c r="M106" s="67">
        <f t="shared" si="0"/>
        <v>8.24</v>
      </c>
      <c r="N106" s="67">
        <f t="shared" si="0"/>
        <v>53.7</v>
      </c>
      <c r="O106" s="67">
        <f t="shared" si="0"/>
        <v>0</v>
      </c>
      <c r="P106" s="67">
        <f t="shared" si="0"/>
        <v>0.67</v>
      </c>
      <c r="Q106" s="67">
        <f t="shared" si="0"/>
        <v>9.7899999999999991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33.119999999999997</v>
      </c>
      <c r="C107" s="66">
        <f t="shared" ref="C107:Q107" si="1">MAX(C9:C104)</f>
        <v>105.45</v>
      </c>
      <c r="D107" s="66">
        <f t="shared" si="1"/>
        <v>81.66</v>
      </c>
      <c r="E107" s="66">
        <f t="shared" si="1"/>
        <v>73.22</v>
      </c>
      <c r="F107" s="66">
        <f t="shared" si="1"/>
        <v>46.41</v>
      </c>
      <c r="G107" s="66">
        <f t="shared" si="1"/>
        <v>193.53</v>
      </c>
      <c r="H107" s="66">
        <f t="shared" si="1"/>
        <v>62.59</v>
      </c>
      <c r="I107" s="66">
        <f t="shared" si="1"/>
        <v>4.16</v>
      </c>
      <c r="J107" s="66">
        <f t="shared" si="1"/>
        <v>2.29</v>
      </c>
      <c r="K107" s="66">
        <f t="shared" si="1"/>
        <v>359.52</v>
      </c>
      <c r="L107" s="66">
        <f t="shared" si="1"/>
        <v>37.700000000000003</v>
      </c>
      <c r="M107" s="66">
        <f t="shared" si="1"/>
        <v>53.2</v>
      </c>
      <c r="N107" s="66">
        <f t="shared" si="1"/>
        <v>782.6</v>
      </c>
      <c r="O107" s="66">
        <f t="shared" si="1"/>
        <v>0</v>
      </c>
      <c r="P107" s="66">
        <f t="shared" si="1"/>
        <v>4.0599999999999996</v>
      </c>
      <c r="Q107" s="66">
        <f t="shared" si="1"/>
        <v>10.15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16.763750000000005</v>
      </c>
      <c r="C108" s="67">
        <f t="shared" ref="C108:Q108" si="2">AVERAGE(C9:C104)</f>
        <v>72.786249999999995</v>
      </c>
      <c r="D108" s="67">
        <f t="shared" si="2"/>
        <v>51.468437500000007</v>
      </c>
      <c r="E108" s="67">
        <f t="shared" si="2"/>
        <v>29.135833333333323</v>
      </c>
      <c r="F108" s="67">
        <f t="shared" si="2"/>
        <v>18.189270833333332</v>
      </c>
      <c r="G108" s="67">
        <f t="shared" si="2"/>
        <v>115.82489583333337</v>
      </c>
      <c r="H108" s="67">
        <f t="shared" si="2"/>
        <v>39.009479166666651</v>
      </c>
      <c r="I108" s="67">
        <f t="shared" si="2"/>
        <v>3.9964583333333334</v>
      </c>
      <c r="J108" s="67">
        <f t="shared" si="2"/>
        <v>0.93864583333333373</v>
      </c>
      <c r="K108" s="67">
        <f t="shared" si="2"/>
        <v>133.13781249999997</v>
      </c>
      <c r="L108" s="67">
        <f t="shared" si="2"/>
        <v>27.314375000000002</v>
      </c>
      <c r="M108" s="67">
        <f t="shared" si="2"/>
        <v>21.842812499999994</v>
      </c>
      <c r="N108" s="67">
        <f t="shared" si="2"/>
        <v>241.16979166666658</v>
      </c>
      <c r="O108" s="67">
        <f t="shared" si="2"/>
        <v>0</v>
      </c>
      <c r="P108" s="67">
        <f t="shared" si="2"/>
        <v>1.4305208333333328</v>
      </c>
      <c r="Q108" s="67">
        <f t="shared" si="2"/>
        <v>9.9255208333333389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6.4888543399556342</v>
      </c>
      <c r="C109" s="67">
        <f t="shared" ref="C109:Q109" si="3">STDEV(C9:C104)</f>
        <v>13.488518594381222</v>
      </c>
      <c r="D109" s="67">
        <f t="shared" si="3"/>
        <v>11.238456187565895</v>
      </c>
      <c r="E109" s="67">
        <f t="shared" si="3"/>
        <v>18.094316040747621</v>
      </c>
      <c r="F109" s="67">
        <f t="shared" si="3"/>
        <v>10.494143754824863</v>
      </c>
      <c r="G109" s="67">
        <f t="shared" si="3"/>
        <v>34.270494782255462</v>
      </c>
      <c r="H109" s="67">
        <f t="shared" si="3"/>
        <v>13.098407245060674</v>
      </c>
      <c r="I109" s="67">
        <f t="shared" si="3"/>
        <v>8.5433620482640985E-2</v>
      </c>
      <c r="J109" s="67">
        <f t="shared" si="3"/>
        <v>0.48130441136925756</v>
      </c>
      <c r="K109" s="67">
        <f t="shared" si="3"/>
        <v>150.95734483065857</v>
      </c>
      <c r="L109" s="67">
        <f t="shared" si="3"/>
        <v>5.5024937528360764</v>
      </c>
      <c r="M109" s="67">
        <f t="shared" si="3"/>
        <v>10.587626015219765</v>
      </c>
      <c r="N109" s="67">
        <f t="shared" si="3"/>
        <v>259.63269647301917</v>
      </c>
      <c r="O109" s="67">
        <f t="shared" si="3"/>
        <v>0</v>
      </c>
      <c r="P109" s="67">
        <f t="shared" si="3"/>
        <v>0.70362724849494185</v>
      </c>
      <c r="Q109" s="67">
        <f t="shared" si="3"/>
        <v>8.8815240414157337E-2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COUNT(B9:B104)+64</f>
        <v>96</v>
      </c>
      <c r="C110" s="66">
        <f t="shared" ref="C110:D110" si="4">COUNT(C9:C104)+64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D68" sqref="D68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01/03/2025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01/03/2025 00:15</v>
      </c>
      <c r="B9" s="61">
        <f>'01'!B108</f>
        <v>50.706354166666664</v>
      </c>
      <c r="C9" s="61">
        <f>'01'!C108</f>
        <v>86.420520833333342</v>
      </c>
      <c r="D9" s="61">
        <f>'01'!D108</f>
        <v>84.437604166666674</v>
      </c>
      <c r="E9" s="61">
        <f>'01'!E108</f>
        <v>7.0747916666666688</v>
      </c>
      <c r="F9" s="61">
        <f>'01'!F108</f>
        <v>12.050624999999998</v>
      </c>
      <c r="G9" s="99">
        <f>'01'!$G$108</f>
        <v>87.28604166666662</v>
      </c>
      <c r="H9" s="61">
        <f>'01'!H108</f>
        <v>29.58562499999999</v>
      </c>
      <c r="I9" s="61">
        <f>'01'!I108</f>
        <v>3.9977083333333336</v>
      </c>
      <c r="J9" s="61">
        <f>'01'!J108</f>
        <v>0.6584374999999999</v>
      </c>
      <c r="K9" s="61">
        <f>'01'!K108</f>
        <v>249.66916666666677</v>
      </c>
      <c r="L9" s="61">
        <f>'01'!L108</f>
        <v>23.661874999999998</v>
      </c>
      <c r="M9" s="61">
        <f>'01'!M108</f>
        <v>44.427500000000016</v>
      </c>
      <c r="N9" s="61">
        <f>'01'!N108</f>
        <v>259.81979166666662</v>
      </c>
      <c r="O9" s="61">
        <f>'01'!O108</f>
        <v>0</v>
      </c>
      <c r="P9" s="201">
        <f>'01'!P108</f>
        <v>1.1243749999999999</v>
      </c>
      <c r="Q9" s="61">
        <f>'01'!Q108</f>
        <v>9.5787499999999959</v>
      </c>
      <c r="R9" s="118"/>
      <c r="S9" s="118"/>
      <c r="T9" s="118"/>
      <c r="U9" s="118"/>
    </row>
    <row r="10" spans="1:21" x14ac:dyDescent="0.25">
      <c r="A10" s="94" t="str">
        <f>'02'!$B$2</f>
        <v>02/03/2025 00:15</v>
      </c>
      <c r="B10" s="61">
        <f>'02'!B108</f>
        <v>30.027083333333348</v>
      </c>
      <c r="C10" s="61">
        <f>'02'!C108</f>
        <v>77.864895833333335</v>
      </c>
      <c r="D10" s="61">
        <f>'02'!D108</f>
        <v>63.384270833333318</v>
      </c>
      <c r="E10" s="61">
        <f>'02'!E108</f>
        <v>7.0350000000000037</v>
      </c>
      <c r="F10" s="61">
        <f>'02'!F108</f>
        <v>12.51729166666667</v>
      </c>
      <c r="G10" s="61">
        <f>'02'!G108</f>
        <v>81.42781250000003</v>
      </c>
      <c r="H10" s="61">
        <f>'02'!H108</f>
        <v>28.274687499999999</v>
      </c>
      <c r="I10" s="61">
        <f>'02'!I108</f>
        <v>4.0042708333333321</v>
      </c>
      <c r="J10" s="61">
        <f>'02'!J108</f>
        <v>0.75447916666666648</v>
      </c>
      <c r="K10" s="61">
        <f>'02'!K108</f>
        <v>233.86604166666666</v>
      </c>
      <c r="L10" s="61">
        <f>'02'!L108</f>
        <v>23.992812499999989</v>
      </c>
      <c r="M10" s="61">
        <f>'02'!M108</f>
        <v>47.079999999999977</v>
      </c>
      <c r="N10" s="61">
        <f>'02'!N108</f>
        <v>239.77916666666661</v>
      </c>
      <c r="O10" s="61">
        <f>'02'!O108</f>
        <v>0</v>
      </c>
      <c r="P10" s="201">
        <f>'02'!P108</f>
        <v>0.90010416666666693</v>
      </c>
      <c r="Q10" s="61">
        <f>'02'!Q108</f>
        <v>9.3953125000000028</v>
      </c>
      <c r="R10" s="118"/>
      <c r="S10" s="118"/>
      <c r="T10" s="118"/>
      <c r="U10" s="118"/>
    </row>
    <row r="11" spans="1:21" x14ac:dyDescent="0.25">
      <c r="A11" s="94" t="str">
        <f>'03'!$B$2</f>
        <v>03/03/2025 00:15</v>
      </c>
      <c r="B11" s="61">
        <f>'03'!B108</f>
        <v>40.809270833333336</v>
      </c>
      <c r="C11" s="61">
        <f>'03'!C108</f>
        <v>80.033541666666636</v>
      </c>
      <c r="D11" s="61">
        <f>'03'!D108</f>
        <v>73.164270833333319</v>
      </c>
      <c r="E11" s="61">
        <f>'03'!E108</f>
        <v>7.5245833333333314</v>
      </c>
      <c r="F11" s="61">
        <f>'03'!F108</f>
        <v>12.598645833333331</v>
      </c>
      <c r="G11" s="61">
        <f>'03'!G108</f>
        <v>88.01437500000003</v>
      </c>
      <c r="H11" s="61">
        <f>'03'!H108</f>
        <v>27.931770833333335</v>
      </c>
      <c r="I11" s="61">
        <f>'03'!I108</f>
        <v>3.9817708333333335</v>
      </c>
      <c r="J11" s="61">
        <f>'03'!J108</f>
        <v>0.8536458333333331</v>
      </c>
      <c r="K11" s="61">
        <f>'03'!K108</f>
        <v>220.43260416666669</v>
      </c>
      <c r="L11" s="61">
        <f>'03'!L108</f>
        <v>24.926979166666669</v>
      </c>
      <c r="M11" s="61">
        <f>'03'!M108</f>
        <v>41.482395833333342</v>
      </c>
      <c r="N11" s="61">
        <f>'03'!N108</f>
        <v>255.33229166666672</v>
      </c>
      <c r="O11" s="61">
        <f>'03'!O108</f>
        <v>0</v>
      </c>
      <c r="P11" s="201">
        <f>'03'!P108</f>
        <v>0.94697916666666693</v>
      </c>
      <c r="Q11" s="61">
        <f>'03'!Q108</f>
        <v>9.4185416666666626</v>
      </c>
      <c r="R11" s="118"/>
      <c r="S11" s="118"/>
      <c r="T11" s="118"/>
      <c r="U11" s="118"/>
    </row>
    <row r="12" spans="1:21" x14ac:dyDescent="0.25">
      <c r="A12" s="94" t="str">
        <f>'04'!$B$2</f>
        <v>04/03/2025 00:15</v>
      </c>
      <c r="B12" s="61">
        <f>'04'!B108</f>
        <v>21.806847826086962</v>
      </c>
      <c r="C12" s="61">
        <f>'04'!C108</f>
        <v>68.634673913043457</v>
      </c>
      <c r="D12" s="61">
        <f>'04'!D108</f>
        <v>53.780760869565235</v>
      </c>
      <c r="E12" s="61">
        <f>'04'!E108</f>
        <v>7.6324175824175793</v>
      </c>
      <c r="F12" s="61">
        <f>'04'!F108</f>
        <v>16.147812500000004</v>
      </c>
      <c r="G12" s="61">
        <f>'04'!G108</f>
        <v>71.675326086956517</v>
      </c>
      <c r="H12" s="61">
        <f>'04'!H108</f>
        <v>22.197608695652185</v>
      </c>
      <c r="I12" s="61">
        <f>'04'!I108</f>
        <v>4.0112499999999995</v>
      </c>
      <c r="J12" s="61">
        <f>'04'!J108</f>
        <v>1.0276041666666671</v>
      </c>
      <c r="K12" s="61">
        <f>'04'!K108</f>
        <v>200.07468749999995</v>
      </c>
      <c r="L12" s="61">
        <f>'04'!L108</f>
        <v>24.553333333333327</v>
      </c>
      <c r="M12" s="61">
        <f>'04'!M108</f>
        <v>35.090000000000003</v>
      </c>
      <c r="N12" s="61">
        <f>'04'!N108</f>
        <v>264.50520833333331</v>
      </c>
      <c r="O12" s="61">
        <f>'04'!O108</f>
        <v>0</v>
      </c>
      <c r="P12" s="201">
        <f>'04'!P108</f>
        <v>0.81106382978723401</v>
      </c>
      <c r="Q12" s="61">
        <f>'04'!Q108</f>
        <v>9.5938541666666666</v>
      </c>
      <c r="R12" s="118"/>
      <c r="S12" s="118"/>
      <c r="T12" s="118"/>
      <c r="U12" s="118"/>
    </row>
    <row r="13" spans="1:21" x14ac:dyDescent="0.25">
      <c r="A13" s="94" t="str">
        <f>'05'!$B$2</f>
        <v>05/03/2025 00:15</v>
      </c>
      <c r="B13" s="61">
        <f>'05'!B108</f>
        <v>8.7570833333333322</v>
      </c>
      <c r="C13" s="61">
        <f>'05'!C108</f>
        <v>61.341041666666676</v>
      </c>
      <c r="D13" s="61">
        <f>'05'!D108</f>
        <v>39.070208333333341</v>
      </c>
      <c r="E13" s="61">
        <f>'05'!E108</f>
        <v>2.6366666666666667</v>
      </c>
      <c r="F13" s="61">
        <f>'05'!F108</f>
        <v>9.2986458333333353</v>
      </c>
      <c r="G13" s="61">
        <f>'05'!G108</f>
        <v>65.969166666666638</v>
      </c>
      <c r="H13" s="61">
        <f>'05'!H108</f>
        <v>36.220833333333353</v>
      </c>
      <c r="I13" s="61">
        <f>'05'!I108</f>
        <v>4.0020833333333341</v>
      </c>
      <c r="J13" s="61">
        <f>'05'!J108</f>
        <v>1.9536458333333331</v>
      </c>
      <c r="K13" s="61">
        <f>'05'!K108</f>
        <v>307.89062499999994</v>
      </c>
      <c r="L13" s="61">
        <f>'05'!L108</f>
        <v>22.919895833333332</v>
      </c>
      <c r="M13" s="61">
        <f>'05'!M108</f>
        <v>26.130416666666676</v>
      </c>
      <c r="N13" s="61">
        <f>'05'!N108</f>
        <v>284.2833333333333</v>
      </c>
      <c r="O13" s="61">
        <f>'05'!O108</f>
        <v>0</v>
      </c>
      <c r="P13" s="201">
        <f>'05'!P108</f>
        <v>0.65416666666666679</v>
      </c>
      <c r="Q13" s="61">
        <f>'05'!Q108</f>
        <v>9.7270833333333329</v>
      </c>
      <c r="R13" s="118"/>
      <c r="S13" s="118"/>
      <c r="T13" s="118"/>
      <c r="U13" s="118"/>
    </row>
    <row r="14" spans="1:21" x14ac:dyDescent="0.25">
      <c r="A14" s="94" t="str">
        <f>'06'!$B$2</f>
        <v>06/03/2025 00:15</v>
      </c>
      <c r="B14" s="61">
        <f>'06'!B108</f>
        <v>30.247395833333339</v>
      </c>
      <c r="C14" s="61">
        <f>'06'!C108</f>
        <v>63.628645833333337</v>
      </c>
      <c r="D14" s="61">
        <f>'06'!D108</f>
        <v>57.500520833333326</v>
      </c>
      <c r="E14" s="61">
        <f>'06'!E108</f>
        <v>10.132083333333336</v>
      </c>
      <c r="F14" s="61">
        <f>'06'!F108</f>
        <v>15.365937500000003</v>
      </c>
      <c r="G14" s="61">
        <f>'06'!G108</f>
        <v>78.289565217391299</v>
      </c>
      <c r="H14" s="61">
        <f>'06'!H108</f>
        <v>24.427282608695652</v>
      </c>
      <c r="I14" s="61">
        <f>'06'!I108</f>
        <v>4.0084375000000021</v>
      </c>
      <c r="J14" s="61">
        <f>'06'!J108</f>
        <v>1.102708333333333</v>
      </c>
      <c r="K14" s="61">
        <f>'06'!K108</f>
        <v>273.4398958333332</v>
      </c>
      <c r="L14" s="61">
        <f>'06'!L108</f>
        <v>20.948437499999994</v>
      </c>
      <c r="M14" s="61">
        <f>'06'!M108</f>
        <v>22.040208333333339</v>
      </c>
      <c r="N14" s="61">
        <f>'06'!N108</f>
        <v>284.20729166666672</v>
      </c>
      <c r="O14" s="61">
        <f>'06'!O108</f>
        <v>0</v>
      </c>
      <c r="P14" s="201">
        <f>'06'!P108</f>
        <v>0.81020833333333353</v>
      </c>
      <c r="Q14" s="61">
        <f>'06'!Q108</f>
        <v>9.3622916666666693</v>
      </c>
      <c r="R14" s="118"/>
      <c r="S14" s="118"/>
      <c r="T14" s="118"/>
      <c r="U14" s="118"/>
    </row>
    <row r="15" spans="1:21" x14ac:dyDescent="0.25">
      <c r="A15" s="94" t="str">
        <f>'07'!$B$2</f>
        <v>07/03/2025 00:15</v>
      </c>
      <c r="B15" s="61">
        <f>'07'!B108</f>
        <v>39.81895833333332</v>
      </c>
      <c r="C15" s="61">
        <f>'07'!C108</f>
        <v>74.081249999999969</v>
      </c>
      <c r="D15" s="61">
        <f>'07'!D108</f>
        <v>70.636770833333372</v>
      </c>
      <c r="E15" s="61">
        <f>'07'!E108</f>
        <v>5.1015624999999991</v>
      </c>
      <c r="F15" s="61">
        <f>'07'!F108</f>
        <v>11.705520833333329</v>
      </c>
      <c r="G15" s="100">
        <f>'07'!$G$108</f>
        <v>84.510104166666636</v>
      </c>
      <c r="H15" s="61">
        <f>'07'!H108</f>
        <v>23.044270833333318</v>
      </c>
      <c r="I15" s="61">
        <f>'07'!I108</f>
        <v>3.9919791666666682</v>
      </c>
      <c r="J15" s="61">
        <f>'07'!J108</f>
        <v>0.76437499999999969</v>
      </c>
      <c r="K15" s="61">
        <f>'07'!K108</f>
        <v>235.62750000000005</v>
      </c>
      <c r="L15" s="61">
        <f>'07'!L108</f>
        <v>21.296354166666671</v>
      </c>
      <c r="M15" s="61">
        <f>'07'!M108</f>
        <v>26.667708333333319</v>
      </c>
      <c r="N15" s="61">
        <f>'07'!N108</f>
        <v>288.59062499999999</v>
      </c>
      <c r="O15" s="61">
        <f>'07'!O108</f>
        <v>0</v>
      </c>
      <c r="P15" s="201">
        <f>'07'!P108</f>
        <v>0.94208333333333349</v>
      </c>
      <c r="Q15" s="61">
        <f>'07'!Q108</f>
        <v>9.4969791666666676</v>
      </c>
      <c r="R15" s="118"/>
      <c r="S15" s="118"/>
      <c r="T15" s="118"/>
      <c r="U15" s="118"/>
    </row>
    <row r="16" spans="1:21" x14ac:dyDescent="0.25">
      <c r="A16" s="94" t="str">
        <f>'08'!$B$2</f>
        <v>08/03/2025 00:15</v>
      </c>
      <c r="B16" s="61">
        <f>'08'!B108</f>
        <v>39.140625000000007</v>
      </c>
      <c r="C16" s="61">
        <f>'08'!C108</f>
        <v>78.82708333333332</v>
      </c>
      <c r="D16" s="61">
        <f>'08'!D108</f>
        <v>72.572395833333275</v>
      </c>
      <c r="E16" s="61">
        <f>'08'!E108</f>
        <v>6.169999999999999</v>
      </c>
      <c r="F16" s="61">
        <f>'08'!F108</f>
        <v>13.325624999999995</v>
      </c>
      <c r="G16" s="100">
        <f>'08'!$G$108</f>
        <v>83.406979166666645</v>
      </c>
      <c r="H16" s="61">
        <f>'08'!H108</f>
        <v>34.621770833333365</v>
      </c>
      <c r="I16" s="61">
        <f>'08'!I108</f>
        <v>3.9935416666666659</v>
      </c>
      <c r="J16" s="61">
        <f>'08'!J108</f>
        <v>0.71364583333333342</v>
      </c>
      <c r="K16" s="61">
        <f>'08'!K108</f>
        <v>219.74510416666666</v>
      </c>
      <c r="L16" s="61">
        <f>'08'!L108</f>
        <v>22.872395833333332</v>
      </c>
      <c r="M16" s="61">
        <f>'08'!M108</f>
        <v>28.368541666666683</v>
      </c>
      <c r="N16" s="61">
        <f>'08'!N108</f>
        <v>271.16250000000008</v>
      </c>
      <c r="O16" s="61">
        <f>'08'!O108</f>
        <v>0</v>
      </c>
      <c r="P16" s="201">
        <f>'08'!P108</f>
        <v>1.0425</v>
      </c>
      <c r="Q16" s="61">
        <f>'08'!Q108</f>
        <v>9.5046875000000028</v>
      </c>
      <c r="R16" s="118"/>
      <c r="S16" s="118"/>
      <c r="T16" s="118"/>
      <c r="U16" s="118"/>
    </row>
    <row r="17" spans="1:21" x14ac:dyDescent="0.25">
      <c r="A17" s="94" t="str">
        <f>'09'!$B$2</f>
        <v>09/03/2025 00:15</v>
      </c>
      <c r="B17" s="61">
        <f>'09'!B108</f>
        <v>38.345729166666651</v>
      </c>
      <c r="C17" s="61">
        <f>'09'!C108</f>
        <v>78.059479166666662</v>
      </c>
      <c r="D17" s="61">
        <f>'09'!D108</f>
        <v>71.53416666666665</v>
      </c>
      <c r="E17" s="61">
        <f>'09'!E108</f>
        <v>9.0223958333333343</v>
      </c>
      <c r="F17" s="61">
        <f>'09'!F108</f>
        <v>18.485208333333336</v>
      </c>
      <c r="G17" s="100">
        <f>'09'!$G$108</f>
        <v>96.89562500000001</v>
      </c>
      <c r="H17" s="61">
        <f>'09'!H108</f>
        <v>29.467395833333317</v>
      </c>
      <c r="I17" s="61">
        <f>'09'!I108</f>
        <v>4.0040624999999999</v>
      </c>
      <c r="J17" s="61">
        <f>'09'!J108</f>
        <v>0.80291666666666661</v>
      </c>
      <c r="K17" s="61">
        <f>'09'!K108</f>
        <v>172.88249999999996</v>
      </c>
      <c r="L17" s="61">
        <f>'09'!L108</f>
        <v>24.151145833333342</v>
      </c>
      <c r="M17" s="61">
        <f>'09'!M108</f>
        <v>29.469791666666669</v>
      </c>
      <c r="N17" s="61">
        <f>'09'!N108</f>
        <v>246.23333333333338</v>
      </c>
      <c r="O17" s="61">
        <f>'09'!O108</f>
        <v>0</v>
      </c>
      <c r="P17" s="201">
        <f>'09'!P108</f>
        <v>1.0841666666666663</v>
      </c>
      <c r="Q17" s="61">
        <f>'09'!Q108</f>
        <v>9.6022916666666625</v>
      </c>
      <c r="R17" s="118"/>
      <c r="S17" s="118"/>
      <c r="T17" s="118"/>
      <c r="U17" s="118"/>
    </row>
    <row r="18" spans="1:21" x14ac:dyDescent="0.25">
      <c r="A18" s="94" t="str">
        <f>'10'!$B$2</f>
        <v>10/03/2025 00:15</v>
      </c>
      <c r="B18" s="61">
        <f>'10'!B108</f>
        <v>39.204583333333339</v>
      </c>
      <c r="C18" s="61">
        <f>'10'!C108</f>
        <v>91.851979166666652</v>
      </c>
      <c r="D18" s="61">
        <f>'10'!D108</f>
        <v>79.428645833333292</v>
      </c>
      <c r="E18" s="61">
        <f>'10'!E108</f>
        <v>10.696354166666667</v>
      </c>
      <c r="F18" s="61">
        <f>'10'!F108</f>
        <v>15.418958333333334</v>
      </c>
      <c r="G18" s="101">
        <f>'10'!$G$108</f>
        <v>111.53010416666665</v>
      </c>
      <c r="H18" s="61">
        <f>'10'!H108</f>
        <v>37.597386363636367</v>
      </c>
      <c r="I18" s="61">
        <f>'10'!I108</f>
        <v>3.9824999999999999</v>
      </c>
      <c r="J18" s="61">
        <f>'10'!J108</f>
        <v>0.91552083333333323</v>
      </c>
      <c r="K18" s="61">
        <f>'10'!K108</f>
        <v>148.94656250000006</v>
      </c>
      <c r="L18" s="61">
        <f>'10'!L108</f>
        <v>24.32385416666666</v>
      </c>
      <c r="M18" s="61">
        <f>'10'!M108</f>
        <v>32.767812500000012</v>
      </c>
      <c r="N18" s="61">
        <f>'10'!N108</f>
        <v>231.99374999999998</v>
      </c>
      <c r="O18" s="61">
        <f>'10'!O108</f>
        <v>0</v>
      </c>
      <c r="P18" s="201">
        <f>'10'!P108</f>
        <v>1.4957291666666668</v>
      </c>
      <c r="Q18" s="61">
        <f>'10'!Q108</f>
        <v>9.5397916666666713</v>
      </c>
      <c r="R18" s="118"/>
      <c r="S18" s="118"/>
      <c r="T18" s="118"/>
      <c r="U18" s="118"/>
    </row>
    <row r="19" spans="1:21" x14ac:dyDescent="0.25">
      <c r="A19" s="94" t="str">
        <f>'11'!$B$2</f>
        <v>11/03/2025 00:15</v>
      </c>
      <c r="B19" s="61">
        <f>'11'!B108</f>
        <v>82.132604166666667</v>
      </c>
      <c r="C19" s="61">
        <f>'11'!C108</f>
        <v>83.727500000000006</v>
      </c>
      <c r="D19" s="61">
        <f>'11'!D108</f>
        <v>109.59833333333336</v>
      </c>
      <c r="E19" s="61">
        <f>'11'!E108</f>
        <v>7.2018750000000011</v>
      </c>
      <c r="F19" s="61">
        <f>'11'!F108</f>
        <v>10.569687500000002</v>
      </c>
      <c r="G19" s="99">
        <f>'11'!$G$108</f>
        <v>93.425104166666657</v>
      </c>
      <c r="H19" s="61">
        <f>'11'!H108</f>
        <v>22.709791666666678</v>
      </c>
      <c r="I19" s="61">
        <f>'11'!I108</f>
        <v>4.0115625000000019</v>
      </c>
      <c r="J19" s="61">
        <f>'11'!J108</f>
        <v>1.0184374999999999</v>
      </c>
      <c r="K19" s="61">
        <f>'11'!K108</f>
        <v>173.4504166666666</v>
      </c>
      <c r="L19" s="61">
        <f>'11'!L108</f>
        <v>24.56739583333334</v>
      </c>
      <c r="M19" s="61">
        <f>'11'!M108</f>
        <v>29.023750000000007</v>
      </c>
      <c r="N19" s="61">
        <f>'11'!N108</f>
        <v>270.98437500000006</v>
      </c>
      <c r="O19" s="61">
        <f>'11'!O108</f>
        <v>0</v>
      </c>
      <c r="P19" s="201">
        <f>'11'!P108</f>
        <v>1.5303124999999997</v>
      </c>
      <c r="Q19" s="61">
        <f>'11'!Q108</f>
        <v>9.7033333333333314</v>
      </c>
      <c r="R19" s="118"/>
      <c r="S19" s="118"/>
      <c r="T19" s="118"/>
      <c r="U19" s="118"/>
    </row>
    <row r="20" spans="1:21" x14ac:dyDescent="0.25">
      <c r="A20" s="94" t="str">
        <f>'12'!$B$2</f>
        <v>12/03/2025 00:15</v>
      </c>
      <c r="B20" s="61">
        <f>'12'!B108</f>
        <v>84.414479166666638</v>
      </c>
      <c r="C20" s="61">
        <f>'12'!C108</f>
        <v>89.288749999999979</v>
      </c>
      <c r="D20" s="61">
        <f>'12'!D108</f>
        <v>114.34479166666669</v>
      </c>
      <c r="E20" s="61">
        <f>'12'!E108</f>
        <v>7.411249999999999</v>
      </c>
      <c r="F20" s="61">
        <f>'12'!F108</f>
        <v>11.515000000000002</v>
      </c>
      <c r="G20" s="101">
        <f>'12'!$G$108</f>
        <v>92.620833333333238</v>
      </c>
      <c r="H20" s="61">
        <f>'12'!H108</f>
        <v>29.903645833333339</v>
      </c>
      <c r="I20" s="61">
        <f>'12'!I108</f>
        <v>3.9968750000000028</v>
      </c>
      <c r="J20" s="61">
        <f>'12'!J108</f>
        <v>0.7407291666666671</v>
      </c>
      <c r="K20" s="61">
        <f>'12'!K108</f>
        <v>257.09875</v>
      </c>
      <c r="L20" s="61">
        <f>'12'!L108</f>
        <v>25.049270833333324</v>
      </c>
      <c r="M20" s="61">
        <f>'12'!M108</f>
        <v>35.302812500000009</v>
      </c>
      <c r="N20" s="61">
        <f>'12'!N108</f>
        <v>261.86041666666659</v>
      </c>
      <c r="O20" s="61">
        <f>'12'!O108</f>
        <v>0</v>
      </c>
      <c r="P20" s="201">
        <f>'12'!P108</f>
        <v>1.4187500000000004</v>
      </c>
      <c r="Q20" s="61">
        <f>'12'!Q108</f>
        <v>9.7592708333333285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13/03/2025 00:15</v>
      </c>
      <c r="B21" s="91">
        <f>'13'!B108</f>
        <v>47.852291666666666</v>
      </c>
      <c r="C21" s="91">
        <f>'13'!C108</f>
        <v>82.08541666666666</v>
      </c>
      <c r="D21" s="91">
        <f>'13'!D108</f>
        <v>81.261041666666671</v>
      </c>
      <c r="E21" s="91">
        <f>'13'!E108</f>
        <v>5.682500000000001</v>
      </c>
      <c r="F21" s="91">
        <f>'13'!F108</f>
        <v>12.439166666666663</v>
      </c>
      <c r="G21" s="100">
        <f>'13'!$G$108</f>
        <v>86.759791666666615</v>
      </c>
      <c r="H21" s="91">
        <f>'13'!H108</f>
        <v>31.00822916666667</v>
      </c>
      <c r="I21" s="91">
        <f>'13'!I108</f>
        <v>3.9860416666666665</v>
      </c>
      <c r="J21" s="91">
        <f>'13'!J108</f>
        <v>0.70989583333333295</v>
      </c>
      <c r="K21" s="91">
        <f>'13'!K108</f>
        <v>244.35479166666656</v>
      </c>
      <c r="L21" s="91">
        <f>'13'!L108</f>
        <v>26.015312499999997</v>
      </c>
      <c r="M21" s="91">
        <f>'13'!M108</f>
        <v>31.39333333333332</v>
      </c>
      <c r="N21" s="91">
        <f>'13'!N108</f>
        <v>244.87083333333342</v>
      </c>
      <c r="O21" s="91">
        <f>'13'!O108</f>
        <v>0</v>
      </c>
      <c r="P21" s="202">
        <f>'13'!P108</f>
        <v>1.3197916666666669</v>
      </c>
      <c r="Q21" s="91">
        <f>'13'!Q108</f>
        <v>9.5431250000000052</v>
      </c>
      <c r="R21" s="204"/>
      <c r="S21" s="204"/>
      <c r="T21" s="204"/>
      <c r="U21" s="204"/>
    </row>
    <row r="22" spans="1:21" s="89" customFormat="1" x14ac:dyDescent="0.25">
      <c r="A22" s="94" t="str">
        <f>'14'!$B$2</f>
        <v>14/03/2025 00:15</v>
      </c>
      <c r="B22" s="90">
        <f>'14'!B108</f>
        <v>18.2459375</v>
      </c>
      <c r="C22" s="90">
        <f>'14'!C108</f>
        <v>63.670416666666625</v>
      </c>
      <c r="D22" s="90">
        <f>'14'!D108</f>
        <v>47.897395833333327</v>
      </c>
      <c r="E22" s="90">
        <f>'14'!E108</f>
        <v>6.7265625000000009</v>
      </c>
      <c r="F22" s="90">
        <f>'14'!F108</f>
        <v>16.996249999999989</v>
      </c>
      <c r="G22" s="100">
        <f>'14'!$G$108</f>
        <v>71.11322916666667</v>
      </c>
      <c r="H22" s="100">
        <f>'14'!$G$108</f>
        <v>71.11322916666667</v>
      </c>
      <c r="I22" s="90">
        <f>'14'!I108</f>
        <v>4.0150000000000023</v>
      </c>
      <c r="J22" s="90">
        <f>'14'!J108</f>
        <v>0.70895833333333336</v>
      </c>
      <c r="K22" s="90">
        <f>'14'!K108</f>
        <v>253.48822916666657</v>
      </c>
      <c r="L22" s="90">
        <f>'14'!L108</f>
        <v>26.760729166666678</v>
      </c>
      <c r="M22" s="90">
        <f>'14'!M108</f>
        <v>30.851562499999986</v>
      </c>
      <c r="N22" s="90">
        <f>'14'!N108</f>
        <v>242.99270833333333</v>
      </c>
      <c r="O22" s="90">
        <f>'14'!O108</f>
        <v>0</v>
      </c>
      <c r="P22" s="203">
        <f>'14'!P108</f>
        <v>1.3351041666666668</v>
      </c>
      <c r="Q22" s="90">
        <f>'14'!Q108</f>
        <v>9.3799999999999972</v>
      </c>
      <c r="R22" s="205"/>
      <c r="S22" s="205"/>
      <c r="T22" s="205"/>
      <c r="U22" s="205"/>
    </row>
    <row r="23" spans="1:21" x14ac:dyDescent="0.25">
      <c r="A23" s="94" t="str">
        <f>'15'!$B$2</f>
        <v>15/03/2025 00:15</v>
      </c>
      <c r="B23" s="61">
        <f>'15'!B108</f>
        <v>26.626666666666669</v>
      </c>
      <c r="C23" s="61">
        <f>'15'!C108</f>
        <v>71.011250000000047</v>
      </c>
      <c r="D23" s="61">
        <f>'15'!D108</f>
        <v>58.453958333333333</v>
      </c>
      <c r="E23" s="61">
        <f>'15'!E108</f>
        <v>6.610520833333335</v>
      </c>
      <c r="F23" s="61">
        <f>'15'!F108</f>
        <v>14.971666666666669</v>
      </c>
      <c r="G23" s="100">
        <f>'15'!$G$108</f>
        <v>58.872291666666634</v>
      </c>
      <c r="H23" s="61">
        <f>'15'!H108</f>
        <v>19.922717391304342</v>
      </c>
      <c r="I23" s="61">
        <f>'15'!I108</f>
        <v>3.9961458333333328</v>
      </c>
      <c r="J23" s="61">
        <f>'15'!J108</f>
        <v>0.64656250000000026</v>
      </c>
      <c r="K23" s="61">
        <f>'15'!K108</f>
        <v>243.54968749999998</v>
      </c>
      <c r="L23" s="61">
        <f>'15'!L108</f>
        <v>26.090000000000003</v>
      </c>
      <c r="M23" s="61">
        <f>'15'!M108</f>
        <v>38.129791666666641</v>
      </c>
      <c r="N23" s="61">
        <f>'15'!N108</f>
        <v>235.00624999999994</v>
      </c>
      <c r="O23" s="61">
        <f>'15'!O108</f>
        <v>0</v>
      </c>
      <c r="P23" s="201">
        <f>'15'!P108</f>
        <v>1.1688541666666665</v>
      </c>
      <c r="Q23" s="61">
        <f>'15'!Q108</f>
        <v>9.3707291666666652</v>
      </c>
      <c r="R23" s="118"/>
      <c r="S23" s="118"/>
      <c r="T23" s="118"/>
      <c r="U23" s="118"/>
    </row>
    <row r="24" spans="1:21" x14ac:dyDescent="0.25">
      <c r="A24" s="94" t="str">
        <f>'16'!$B$2</f>
        <v>16/03/2025 00:15</v>
      </c>
      <c r="B24" s="61">
        <f>'16'!B108</f>
        <v>32.427395833333328</v>
      </c>
      <c r="C24" s="61">
        <f>'16'!C108</f>
        <v>75.604375000000019</v>
      </c>
      <c r="D24" s="61">
        <f>'16'!D108</f>
        <v>65.505104166666669</v>
      </c>
      <c r="E24" s="61">
        <f>'16'!E108</f>
        <v>6.2865625000000023</v>
      </c>
      <c r="F24" s="61">
        <f>'16'!F108</f>
        <v>14.560416666666669</v>
      </c>
      <c r="G24" s="100">
        <f>'16'!$G$108</f>
        <v>79.663854166666695</v>
      </c>
      <c r="H24" s="61">
        <f>'16'!H108</f>
        <v>24.352500000000006</v>
      </c>
      <c r="I24" s="61">
        <f>'16'!I108</f>
        <v>3.9823958333333334</v>
      </c>
      <c r="J24" s="61">
        <f>'16'!J108</f>
        <v>0.76322916666666651</v>
      </c>
      <c r="K24" s="61">
        <f>'16'!K108</f>
        <v>264.27156250000002</v>
      </c>
      <c r="L24" s="61">
        <f>'16'!L108</f>
        <v>26.424583333333334</v>
      </c>
      <c r="M24" s="61">
        <f>'16'!M108</f>
        <v>40.802916666666668</v>
      </c>
      <c r="N24" s="61">
        <f>'16'!N108</f>
        <v>225.83437500000005</v>
      </c>
      <c r="O24" s="61">
        <f>'16'!O108</f>
        <v>0</v>
      </c>
      <c r="P24" s="201">
        <f>'16'!P108</f>
        <v>1.1466666666666663</v>
      </c>
      <c r="Q24" s="61">
        <f>'16'!Q108</f>
        <v>9.3477083333333333</v>
      </c>
      <c r="R24" s="118"/>
      <c r="S24" s="118"/>
      <c r="T24" s="118"/>
      <c r="U24" s="118"/>
    </row>
    <row r="25" spans="1:21" x14ac:dyDescent="0.25">
      <c r="A25" s="94" t="str">
        <f>'17'!$B$2</f>
        <v>17/03/2025 00:15</v>
      </c>
      <c r="B25" s="61">
        <f>'17'!B108</f>
        <v>13.383958333333334</v>
      </c>
      <c r="C25" s="61">
        <f>'17'!C108</f>
        <v>69.058958333333337</v>
      </c>
      <c r="D25" s="61">
        <f>'17'!D108</f>
        <v>46.813020833333347</v>
      </c>
      <c r="E25" s="61">
        <f>'17'!E108</f>
        <v>7.1308333333333351</v>
      </c>
      <c r="F25" s="61">
        <f>'17'!F108</f>
        <v>14.683541666666668</v>
      </c>
      <c r="G25" s="101">
        <f>'17'!$G$108</f>
        <v>64.396875000000037</v>
      </c>
      <c r="H25" s="61">
        <f>'17'!H108</f>
        <v>26.701979166666671</v>
      </c>
      <c r="I25" s="61">
        <f>'17'!I108</f>
        <v>4.0029166666666649</v>
      </c>
      <c r="J25" s="61">
        <f>'17'!J108</f>
        <v>1.0021874999999998</v>
      </c>
      <c r="K25" s="61">
        <f>'17'!K108</f>
        <v>292.67572916666671</v>
      </c>
      <c r="L25" s="61">
        <f>'17'!L108</f>
        <v>27.063124999999996</v>
      </c>
      <c r="M25" s="61">
        <f>'17'!M108</f>
        <v>32.573854166666671</v>
      </c>
      <c r="N25" s="61">
        <f>'17'!N108</f>
        <v>231.87708333333342</v>
      </c>
      <c r="O25" s="61">
        <f>'17'!O108</f>
        <v>0</v>
      </c>
      <c r="P25" s="201">
        <f>'17'!P108</f>
        <v>0.93302083333333352</v>
      </c>
      <c r="Q25" s="61">
        <f>'17'!Q108</f>
        <v>9.3694791666666681</v>
      </c>
      <c r="R25" s="118"/>
      <c r="S25" s="118"/>
      <c r="T25" s="118"/>
      <c r="U25" s="118"/>
    </row>
    <row r="26" spans="1:21" x14ac:dyDescent="0.25">
      <c r="A26" s="94" t="str">
        <f>'18'!$B$2</f>
        <v>18/03/2025 00:15</v>
      </c>
      <c r="B26" s="61">
        <f>'18'!B108</f>
        <v>46.014255319148944</v>
      </c>
      <c r="C26" s="61">
        <f>'18'!C108</f>
        <v>85.5001063829787</v>
      </c>
      <c r="D26" s="61">
        <f>'18'!D108</f>
        <v>116.24744680851066</v>
      </c>
      <c r="E26" s="61">
        <f>'18'!E108</f>
        <v>16.752282608695644</v>
      </c>
      <c r="F26" s="61">
        <f>'18'!F108</f>
        <v>15.429375000000007</v>
      </c>
      <c r="G26" s="99">
        <f>'18'!$G$108</f>
        <v>85.637391304347815</v>
      </c>
      <c r="H26" s="61">
        <f>'18'!H108</f>
        <v>21.800760869565227</v>
      </c>
      <c r="I26" s="61">
        <f>'18'!I108</f>
        <v>3.9982291666666661</v>
      </c>
      <c r="J26" s="61">
        <f>'18'!J108</f>
        <v>0.82614583333333391</v>
      </c>
      <c r="K26" s="61">
        <f>'18'!K108</f>
        <v>165.6092708333334</v>
      </c>
      <c r="L26" s="61">
        <f>'18'!L108</f>
        <v>26.017812499999994</v>
      </c>
      <c r="M26" s="61">
        <f>'18'!M108</f>
        <v>33.917083333333338</v>
      </c>
      <c r="N26" s="61">
        <f>'18'!N108</f>
        <v>256.28333333333325</v>
      </c>
      <c r="O26" s="61">
        <f>'18'!O108</f>
        <v>0</v>
      </c>
      <c r="P26" s="201">
        <f>'18'!P108</f>
        <v>0.69226666666666692</v>
      </c>
      <c r="Q26" s="61">
        <f>'18'!Q108</f>
        <v>9.6331249999999962</v>
      </c>
      <c r="R26" s="118"/>
      <c r="S26" s="118"/>
      <c r="T26" s="118"/>
      <c r="U26" s="118"/>
    </row>
    <row r="27" spans="1:21" x14ac:dyDescent="0.25">
      <c r="A27" s="94" t="str">
        <f>'19'!$B$2</f>
        <v>19/03/2025 00:15</v>
      </c>
      <c r="B27" s="61">
        <f>'19'!B108</f>
        <v>19.403020833333333</v>
      </c>
      <c r="C27" s="61">
        <f>'19'!C108</f>
        <v>81.274583333333325</v>
      </c>
      <c r="D27" s="61">
        <f>'19'!D108</f>
        <v>100.67739583333332</v>
      </c>
      <c r="E27" s="61">
        <f>'19'!E108</f>
        <v>13.240520833333328</v>
      </c>
      <c r="F27" s="61">
        <f>'19'!F108</f>
        <v>21.38989583333333</v>
      </c>
      <c r="G27" s="61">
        <f>'19'!G108</f>
        <v>82.240625000000009</v>
      </c>
      <c r="H27" s="61">
        <f>'19'!H108</f>
        <v>31.254791666666652</v>
      </c>
      <c r="I27" s="61">
        <f>'19'!I108</f>
        <v>3.9980208333333329</v>
      </c>
      <c r="J27" s="61">
        <f>'19'!J108</f>
        <v>0.84374999999999967</v>
      </c>
      <c r="K27" s="61">
        <f>'19'!K108</f>
        <v>183.12177083333336</v>
      </c>
      <c r="L27" s="61">
        <f>'19'!L108</f>
        <v>27.133854166666666</v>
      </c>
      <c r="M27" s="61">
        <f>'19'!M108</f>
        <v>34.634270833333339</v>
      </c>
      <c r="N27" s="61">
        <f>'19'!N108</f>
        <v>216.23749999999998</v>
      </c>
      <c r="O27" s="61">
        <f>'19'!O108</f>
        <v>0</v>
      </c>
      <c r="P27" s="201">
        <f>'19'!P108</f>
        <v>1.2214583333333335</v>
      </c>
      <c r="Q27" s="61">
        <f>'19'!Q108</f>
        <v>9.5276041666666718</v>
      </c>
      <c r="R27" s="118"/>
      <c r="S27" s="118"/>
      <c r="T27" s="118"/>
      <c r="U27" s="118"/>
    </row>
    <row r="28" spans="1:21" x14ac:dyDescent="0.25">
      <c r="A28" s="94" t="str">
        <f>'20'!$B$2</f>
        <v>20/03/2025 00:15</v>
      </c>
      <c r="B28" s="61">
        <f>'20'!B108</f>
        <v>18.481562499999999</v>
      </c>
      <c r="C28" s="61">
        <f>'20'!C108</f>
        <v>75.277187499999982</v>
      </c>
      <c r="D28" s="61">
        <f>'20'!D108</f>
        <v>93.758854166666666</v>
      </c>
      <c r="E28" s="61">
        <f>'20'!E108</f>
        <v>7.4561458333333333</v>
      </c>
      <c r="F28" s="61">
        <f>'20'!F108</f>
        <v>14.516458333333331</v>
      </c>
      <c r="G28" s="61">
        <f>'20'!G108</f>
        <v>53.35916666666666</v>
      </c>
      <c r="H28" s="61">
        <f>'20'!H108</f>
        <v>22.077187500000004</v>
      </c>
      <c r="I28" s="61">
        <f>'20'!I108</f>
        <v>3.9882291666666667</v>
      </c>
      <c r="J28" s="61">
        <f>'20'!J108</f>
        <v>0.80604166666666632</v>
      </c>
      <c r="K28" s="61">
        <f>'20'!K108</f>
        <v>255.65177083333325</v>
      </c>
      <c r="L28" s="61">
        <f>'20'!L108</f>
        <v>26.687291666666667</v>
      </c>
      <c r="M28" s="61">
        <f>'20'!M108</f>
        <v>41.008645833333318</v>
      </c>
      <c r="N28" s="61">
        <f>'20'!N108</f>
        <v>236.96875</v>
      </c>
      <c r="O28" s="61">
        <f>'20'!O108</f>
        <v>0</v>
      </c>
      <c r="P28" s="201">
        <f>'20'!P108</f>
        <v>1.0069791666666663</v>
      </c>
      <c r="Q28" s="61">
        <f>'20'!Q108</f>
        <v>8.9781249999999986</v>
      </c>
      <c r="R28" s="118"/>
      <c r="S28" s="118"/>
      <c r="T28" s="118"/>
      <c r="U28" s="118"/>
    </row>
    <row r="29" spans="1:21" x14ac:dyDescent="0.25">
      <c r="A29" s="94" t="str">
        <f>'21'!$B$2</f>
        <v>21/03/2025 00:15</v>
      </c>
      <c r="B29" s="61">
        <f>'21'!B108</f>
        <v>9.8506250000000044</v>
      </c>
      <c r="C29" s="61">
        <f>'21'!C108</f>
        <v>63.077604166666653</v>
      </c>
      <c r="D29" s="61">
        <f>'21'!D108</f>
        <v>72.928750000000022</v>
      </c>
      <c r="E29" s="61">
        <f>'21'!E108</f>
        <v>6.3792708333333339</v>
      </c>
      <c r="F29" s="61">
        <f>'21'!F108</f>
        <v>12.253645833333332</v>
      </c>
      <c r="G29" s="61">
        <f>'21'!G108</f>
        <v>62.646458333333328</v>
      </c>
      <c r="H29" s="61">
        <f>'21'!H108</f>
        <v>21.421041666666671</v>
      </c>
      <c r="I29" s="61">
        <f>'21'!I108</f>
        <v>4.0117708333333342</v>
      </c>
      <c r="J29" s="61">
        <f>'21'!J108</f>
        <v>1.2312500000000002</v>
      </c>
      <c r="K29" s="61">
        <f>'21'!K108</f>
        <v>175.92104166666664</v>
      </c>
      <c r="L29" s="61">
        <f>'21'!L108</f>
        <v>24.260104166666675</v>
      </c>
      <c r="M29" s="61">
        <f>'21'!M108</f>
        <v>53.190729166666664</v>
      </c>
      <c r="N29" s="61">
        <f>'21'!N108</f>
        <v>212.89895833333341</v>
      </c>
      <c r="O29" s="61">
        <f>'21'!O108</f>
        <v>0</v>
      </c>
      <c r="P29" s="201">
        <f>'21'!P108</f>
        <v>0.68010416666666618</v>
      </c>
      <c r="Q29" s="61">
        <f>'21'!Q108</f>
        <v>8.8705208333333356</v>
      </c>
      <c r="R29" s="118"/>
      <c r="S29" s="118"/>
      <c r="T29" s="118"/>
      <c r="U29" s="118"/>
    </row>
    <row r="30" spans="1:21" x14ac:dyDescent="0.25">
      <c r="A30" s="94" t="str">
        <f>'22'!$B$2</f>
        <v>22/03/2025 00:15</v>
      </c>
      <c r="B30" s="61">
        <f>'22'!B108</f>
        <v>6.2492708333333349</v>
      </c>
      <c r="C30" s="61">
        <f>'22'!C108</f>
        <v>54.5</v>
      </c>
      <c r="D30" s="61">
        <f>'22'!D108</f>
        <v>60.748958333333299</v>
      </c>
      <c r="E30" s="61">
        <f>'22'!E108</f>
        <v>4.4536458333333337</v>
      </c>
      <c r="F30" s="61">
        <f>'22'!F108</f>
        <v>16.772500000000004</v>
      </c>
      <c r="G30" s="61">
        <f>'22'!G108</f>
        <v>31.982916666666657</v>
      </c>
      <c r="H30" s="61">
        <f>'22'!H108</f>
        <v>13.64208333333333</v>
      </c>
      <c r="I30" s="61">
        <f>'22'!I108</f>
        <v>3.995000000000001</v>
      </c>
      <c r="J30" s="61">
        <f>'22'!J108</f>
        <v>1.0254166666666664</v>
      </c>
      <c r="K30" s="61">
        <f>'22'!K108</f>
        <v>142.15916666666661</v>
      </c>
      <c r="L30" s="61">
        <f>'22'!L108</f>
        <v>23.388020833333329</v>
      </c>
      <c r="M30" s="61">
        <f>'22'!M108</f>
        <v>63.997604166666655</v>
      </c>
      <c r="N30" s="61">
        <f>'22'!N108</f>
        <v>260.50833333333327</v>
      </c>
      <c r="O30" s="61">
        <f>'22'!O108</f>
        <v>0</v>
      </c>
      <c r="P30" s="201">
        <f>'22'!P108</f>
        <v>0.54479166666666645</v>
      </c>
      <c r="Q30" s="61">
        <f>'22'!Q108</f>
        <v>8.9512499999999946</v>
      </c>
      <c r="R30" s="118"/>
      <c r="S30" s="118"/>
      <c r="T30" s="118"/>
      <c r="U30" s="118"/>
    </row>
    <row r="31" spans="1:21" x14ac:dyDescent="0.25">
      <c r="A31" s="94" t="str">
        <f>'23'!$B$2</f>
        <v>23/03/2025 00:15</v>
      </c>
      <c r="B31" s="61">
        <f>'23'!B108</f>
        <v>9.1886458333333341</v>
      </c>
      <c r="C31" s="61">
        <f>'23'!C108</f>
        <v>56.669374999999981</v>
      </c>
      <c r="D31" s="61">
        <f>'23'!D108</f>
        <v>65.858645833333313</v>
      </c>
      <c r="E31" s="61">
        <f>'23'!E108</f>
        <v>3.7884374999999992</v>
      </c>
      <c r="F31" s="61">
        <f>'23'!F108</f>
        <v>15.154166666666676</v>
      </c>
      <c r="G31" s="61">
        <f>'23'!G108</f>
        <v>40.274270833333325</v>
      </c>
      <c r="H31" s="61">
        <f>'23'!H108</f>
        <v>15.098750000000004</v>
      </c>
      <c r="I31" s="61">
        <f>'23'!I108</f>
        <v>4.013020833333333</v>
      </c>
      <c r="J31" s="61">
        <f>'23'!J108</f>
        <v>0.94031249999999966</v>
      </c>
      <c r="K31" s="61">
        <f>'23'!K108</f>
        <v>149.02510416666669</v>
      </c>
      <c r="L31" s="61">
        <f>'23'!L108</f>
        <v>23.575416666666673</v>
      </c>
      <c r="M31" s="61">
        <f>'23'!M108</f>
        <v>66.415624999999977</v>
      </c>
      <c r="N31" s="61">
        <f>'23'!N108</f>
        <v>223.86770833333335</v>
      </c>
      <c r="O31" s="61">
        <f>'23'!O108</f>
        <v>2.0833333333333333E-3</v>
      </c>
      <c r="P31" s="201">
        <f>'23'!P108</f>
        <v>0.62145833333333322</v>
      </c>
      <c r="Q31" s="61">
        <f>'23'!Q108</f>
        <v>9.1161458333333361</v>
      </c>
      <c r="R31" s="118"/>
      <c r="S31" s="206"/>
      <c r="T31" s="118"/>
      <c r="U31" s="118"/>
    </row>
    <row r="32" spans="1:21" x14ac:dyDescent="0.25">
      <c r="A32" s="94" t="str">
        <f>'24'!$B$2</f>
        <v>24/03/2025 00:15</v>
      </c>
      <c r="B32" s="61">
        <f>'24'!B108</f>
        <v>23.618750000000002</v>
      </c>
      <c r="C32" s="61">
        <f>'24'!C108</f>
        <v>64.377916666666678</v>
      </c>
      <c r="D32" s="61">
        <f>'24'!D108</f>
        <v>70.431562500000027</v>
      </c>
      <c r="E32" s="61">
        <f>'24'!E108</f>
        <v>3.5864583333333351</v>
      </c>
      <c r="F32" s="61">
        <f>'24'!F108</f>
        <v>13.589895833333328</v>
      </c>
      <c r="G32" s="61">
        <f>'24'!G108</f>
        <v>58.713586956521745</v>
      </c>
      <c r="H32" s="61">
        <f>'24'!H108</f>
        <v>16.545760869565214</v>
      </c>
      <c r="I32" s="61">
        <f>'24'!I108</f>
        <v>3.9996875000000007</v>
      </c>
      <c r="J32" s="61">
        <f>'24'!J108</f>
        <v>0.99656250000000002</v>
      </c>
      <c r="K32" s="61">
        <f>'24'!K108</f>
        <v>161.01729166666661</v>
      </c>
      <c r="L32" s="61">
        <f>'24'!L108</f>
        <v>24.857708333333331</v>
      </c>
      <c r="M32" s="61">
        <f>'24'!M108</f>
        <v>53.034479166666692</v>
      </c>
      <c r="N32" s="61">
        <f>'24'!N108</f>
        <v>261.50104166666671</v>
      </c>
      <c r="O32" s="61">
        <f>'24'!O108</f>
        <v>0</v>
      </c>
      <c r="P32" s="201">
        <f>'24'!P108</f>
        <v>0.91000000000000014</v>
      </c>
      <c r="Q32" s="61">
        <f>'24'!Q108</f>
        <v>9.2483333333333313</v>
      </c>
      <c r="R32" s="118"/>
      <c r="S32" s="118"/>
      <c r="T32" s="118"/>
      <c r="U32" s="118"/>
    </row>
    <row r="33" spans="1:21" x14ac:dyDescent="0.25">
      <c r="A33" s="94" t="str">
        <f>'25'!$B$2</f>
        <v>25/03/2025 00:15</v>
      </c>
      <c r="B33" s="61">
        <f>'25'!B108</f>
        <v>20.778333333333325</v>
      </c>
      <c r="C33" s="61">
        <f>'25'!C108</f>
        <v>73.12458333333332</v>
      </c>
      <c r="D33" s="61">
        <f>'25'!D108</f>
        <v>54.868124999999971</v>
      </c>
      <c r="E33" s="61">
        <f>'25'!E108</f>
        <v>8.9308333333333341</v>
      </c>
      <c r="F33" s="61">
        <f>'25'!F108</f>
        <v>16.683958333333326</v>
      </c>
      <c r="G33" s="61">
        <f>'25'!G108</f>
        <v>85.235937499999991</v>
      </c>
      <c r="H33" s="61">
        <f>'25'!H108</f>
        <v>29.650625000000019</v>
      </c>
      <c r="I33" s="61">
        <f>'25'!I108</f>
        <v>4.0031249999999998</v>
      </c>
      <c r="J33" s="61">
        <f>'25'!J108</f>
        <v>0.78895833333333343</v>
      </c>
      <c r="K33" s="61">
        <f>'25'!K108</f>
        <v>218.27749999999992</v>
      </c>
      <c r="L33" s="61">
        <f>'25'!L108</f>
        <v>25.390520833333344</v>
      </c>
      <c r="M33" s="61">
        <f>'25'!M108</f>
        <v>38.198229166666657</v>
      </c>
      <c r="N33" s="61">
        <f>'25'!N108</f>
        <v>275.78541666666655</v>
      </c>
      <c r="O33" s="61">
        <f>'25'!O108</f>
        <v>0</v>
      </c>
      <c r="P33" s="201">
        <f>'25'!P108</f>
        <v>0.88677083333333329</v>
      </c>
      <c r="Q33" s="61">
        <f>'25'!Q108</f>
        <v>9.2810416666666669</v>
      </c>
      <c r="R33" s="118"/>
      <c r="S33" s="206"/>
      <c r="T33" s="118"/>
      <c r="U33" s="118"/>
    </row>
    <row r="34" spans="1:21" x14ac:dyDescent="0.25">
      <c r="A34" s="94" t="str">
        <f>'26'!$B$2</f>
        <v>26/03/2025 00:15</v>
      </c>
      <c r="B34" s="61">
        <f>'26'!B108</f>
        <v>37.281458333333347</v>
      </c>
      <c r="C34" s="61">
        <f>'26'!C108</f>
        <v>82.849895833333321</v>
      </c>
      <c r="D34" s="61">
        <f>'26'!D108</f>
        <v>73.183125000000004</v>
      </c>
      <c r="E34" s="61">
        <f>'26'!E108</f>
        <v>8.1038541666666646</v>
      </c>
      <c r="F34" s="61">
        <f>'26'!F108</f>
        <v>15.813125000000001</v>
      </c>
      <c r="G34" s="61">
        <f>'26'!G108</f>
        <v>117.91291666666666</v>
      </c>
      <c r="H34" s="61">
        <f>'26'!H108</f>
        <v>42.931354166666665</v>
      </c>
      <c r="I34" s="61">
        <f>'26'!I108</f>
        <v>4.0045833333333336</v>
      </c>
      <c r="J34" s="61">
        <f>'26'!J108</f>
        <v>0.69333333333333336</v>
      </c>
      <c r="K34" s="61">
        <f>'26'!K108</f>
        <v>211.75177083333332</v>
      </c>
      <c r="L34" s="61">
        <f>'26'!L108</f>
        <v>25.621458333333347</v>
      </c>
      <c r="M34" s="61">
        <f>'26'!M108</f>
        <v>36.510312500000005</v>
      </c>
      <c r="N34" s="61">
        <f>'26'!N108</f>
        <v>269.31354166666659</v>
      </c>
      <c r="O34" s="61">
        <f>'26'!O108</f>
        <v>0</v>
      </c>
      <c r="P34" s="201">
        <f>'26'!P108</f>
        <v>1.2213541666666665</v>
      </c>
      <c r="Q34" s="61">
        <f>'26'!Q108</f>
        <v>9.3569791666666671</v>
      </c>
      <c r="R34" s="118"/>
      <c r="S34" s="118"/>
      <c r="T34" s="118"/>
      <c r="U34" s="118"/>
    </row>
    <row r="35" spans="1:21" x14ac:dyDescent="0.25">
      <c r="A35" s="94" t="str">
        <f>'27'!$B$2</f>
        <v>27/03/2025 00:15</v>
      </c>
      <c r="B35" s="61">
        <f>'27'!B108</f>
        <v>34.118043478260859</v>
      </c>
      <c r="C35" s="61">
        <f>'27'!C108</f>
        <v>75.382173913043474</v>
      </c>
      <c r="D35" s="61">
        <f>'27'!D108</f>
        <v>66.744999999999976</v>
      </c>
      <c r="E35" s="61">
        <f>'27'!E108</f>
        <v>8.8665432098765411</v>
      </c>
      <c r="F35" s="61">
        <f>'27'!F108</f>
        <v>16.883181818181825</v>
      </c>
      <c r="G35" s="61">
        <f>'27'!G108</f>
        <v>105.85715909090912</v>
      </c>
      <c r="H35" s="61">
        <f>'27'!H108</f>
        <v>37.856477272727275</v>
      </c>
      <c r="I35" s="61">
        <f>'27'!I108</f>
        <v>3.9982954545454543</v>
      </c>
      <c r="J35" s="61">
        <f>'27'!J108</f>
        <v>0.63159090909090909</v>
      </c>
      <c r="K35" s="61">
        <f>'27'!K108</f>
        <v>254.88943181818175</v>
      </c>
      <c r="L35" s="61">
        <f>'27'!L108</f>
        <v>25.550681818181818</v>
      </c>
      <c r="M35" s="61">
        <f>'27'!M108</f>
        <v>34.269999999999989</v>
      </c>
      <c r="N35" s="61">
        <f>'27'!N108</f>
        <v>212.41477272727269</v>
      </c>
      <c r="O35" s="61">
        <f>'27'!O108</f>
        <v>0</v>
      </c>
      <c r="P35" s="201">
        <f>'27'!P108</f>
        <v>1.1843181818181816</v>
      </c>
      <c r="Q35" s="61">
        <f>'27'!Q108</f>
        <v>9.46511627906977</v>
      </c>
      <c r="R35" s="118"/>
      <c r="S35" s="118"/>
      <c r="T35" s="118"/>
      <c r="U35" s="118"/>
    </row>
    <row r="36" spans="1:21" x14ac:dyDescent="0.25">
      <c r="A36" s="94" t="str">
        <f>'28'!$B$2</f>
        <v>28/03/2025 00:15</v>
      </c>
      <c r="B36" s="209" t="s">
        <v>36</v>
      </c>
      <c r="C36" s="209" t="s">
        <v>36</v>
      </c>
      <c r="D36" s="209" t="s">
        <v>36</v>
      </c>
      <c r="E36" s="61">
        <f>'28'!E108</f>
        <v>13.483125000000006</v>
      </c>
      <c r="F36" s="61">
        <f>'28'!F108</f>
        <v>16.82375</v>
      </c>
      <c r="G36" s="61">
        <f>'28'!G108</f>
        <v>114.6303125</v>
      </c>
      <c r="H36" s="61">
        <f>'28'!H108</f>
        <v>36.644687499999989</v>
      </c>
      <c r="I36" s="61">
        <f>'28'!I108</f>
        <v>4.0022916666666655</v>
      </c>
      <c r="J36" s="61">
        <f>'28'!J108</f>
        <v>0.74177083333333338</v>
      </c>
      <c r="K36" s="61">
        <f>'28'!K108</f>
        <v>230.39937499999996</v>
      </c>
      <c r="L36" s="61">
        <f>'28'!L108</f>
        <v>27.486354166666658</v>
      </c>
      <c r="M36" s="61">
        <f>'28'!M108</f>
        <v>33.238958333333329</v>
      </c>
      <c r="N36" s="61">
        <f>'28'!N108</f>
        <v>253.30000000000018</v>
      </c>
      <c r="O36" s="61">
        <f>'28'!O108</f>
        <v>0</v>
      </c>
      <c r="P36" s="201">
        <f>'28'!P108</f>
        <v>1.8490624999999996</v>
      </c>
      <c r="Q36" s="61">
        <f>'28'!Q108</f>
        <v>9.5931250000000006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29/03/2025 00:15</v>
      </c>
      <c r="B37" s="209" t="s">
        <v>36</v>
      </c>
      <c r="C37" s="209" t="s">
        <v>36</v>
      </c>
      <c r="D37" s="209" t="s">
        <v>36</v>
      </c>
      <c r="E37" s="61">
        <f>'29'!E108</f>
        <v>20.569270833333338</v>
      </c>
      <c r="F37" s="61">
        <f>'29'!F108</f>
        <v>17.156666666666663</v>
      </c>
      <c r="G37" s="61">
        <f>'29'!G108</f>
        <v>116.94000000000004</v>
      </c>
      <c r="H37" s="61">
        <f>'29'!H108</f>
        <v>34.013020833333343</v>
      </c>
      <c r="I37" s="61">
        <f>'29'!I108</f>
        <v>4.0086458333333335</v>
      </c>
      <c r="J37" s="61">
        <f>'29'!J108</f>
        <v>1.0302083333333329</v>
      </c>
      <c r="K37" s="61">
        <f>'29'!K108</f>
        <v>112.3508333333333</v>
      </c>
      <c r="L37" s="61">
        <f>'29'!L108</f>
        <v>27.724999999999994</v>
      </c>
      <c r="M37" s="61">
        <f>'29'!M108</f>
        <v>28.005312500000002</v>
      </c>
      <c r="N37" s="61">
        <f>'29'!N108</f>
        <v>242.57812500000003</v>
      </c>
      <c r="O37" s="61">
        <f>'29'!O108</f>
        <v>0</v>
      </c>
      <c r="P37" s="201">
        <f>'29'!P108</f>
        <v>1.5623958333333328</v>
      </c>
      <c r="Q37" s="61">
        <f>'29'!Q108</f>
        <v>9.5286458333333339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30/03/2025 00:15</v>
      </c>
      <c r="B38" s="61">
        <f>'30'!B108</f>
        <v>29.484035087719302</v>
      </c>
      <c r="C38" s="61">
        <f>'30'!C108</f>
        <v>133.62578947368422</v>
      </c>
      <c r="D38" s="61">
        <f>'30'!D108</f>
        <v>93.458771929824593</v>
      </c>
      <c r="E38" s="61">
        <f>'30'!E108</f>
        <v>25.21541666666667</v>
      </c>
      <c r="F38" s="61">
        <f>'30'!F108</f>
        <v>16.77354166666667</v>
      </c>
      <c r="G38" s="61">
        <f>'30'!G108</f>
        <v>115.93885416666666</v>
      </c>
      <c r="H38" s="61">
        <f>'30'!H108</f>
        <v>27.95614583333332</v>
      </c>
      <c r="I38" s="61">
        <f>'30'!I108</f>
        <v>3.9900000000000024</v>
      </c>
      <c r="J38" s="61">
        <f>'30'!J108</f>
        <v>0.93708333333333338</v>
      </c>
      <c r="K38" s="61">
        <f>'30'!K108</f>
        <v>128.02104166666669</v>
      </c>
      <c r="L38" s="61">
        <f>'30'!L108</f>
        <v>27.420625000000001</v>
      </c>
      <c r="M38" s="61">
        <f>'30'!M108</f>
        <v>22.931770833333321</v>
      </c>
      <c r="N38" s="61">
        <f>'30'!N108</f>
        <v>251.24062500000014</v>
      </c>
      <c r="O38" s="61">
        <f>'30'!O108</f>
        <v>0</v>
      </c>
      <c r="P38" s="201">
        <f>'30'!P108</f>
        <v>1.3872916666666668</v>
      </c>
      <c r="Q38" s="61">
        <f>'30'!Q108</f>
        <v>9.8172916666666712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31/03/2025 00:15</v>
      </c>
      <c r="B39" s="61">
        <f>'31'!B108</f>
        <v>16.763750000000005</v>
      </c>
      <c r="C39" s="61">
        <f>'31'!C108</f>
        <v>72.786249999999995</v>
      </c>
      <c r="D39" s="61">
        <f>'31'!D108</f>
        <v>51.468437500000007</v>
      </c>
      <c r="E39" s="61">
        <f>'31'!E108</f>
        <v>29.135833333333323</v>
      </c>
      <c r="F39" s="61">
        <f>'31'!F108</f>
        <v>18.189270833333332</v>
      </c>
      <c r="G39" s="61">
        <f>'31'!G108</f>
        <v>115.82489583333337</v>
      </c>
      <c r="H39" s="61">
        <f>'31'!H108</f>
        <v>39.009479166666651</v>
      </c>
      <c r="I39" s="61">
        <f>'31'!I108</f>
        <v>3.9964583333333334</v>
      </c>
      <c r="J39" s="61">
        <f>'31'!J108</f>
        <v>0.93864583333333373</v>
      </c>
      <c r="K39" s="61">
        <f>'31'!K108</f>
        <v>133.13781249999997</v>
      </c>
      <c r="L39" s="61">
        <f>'31'!L108</f>
        <v>27.314375000000002</v>
      </c>
      <c r="M39" s="61">
        <f>'31'!M108</f>
        <v>21.842812499999994</v>
      </c>
      <c r="N39" s="61">
        <f>'31'!N108</f>
        <v>241.16979166666658</v>
      </c>
      <c r="O39" s="61">
        <f>'31'!O108</f>
        <v>0</v>
      </c>
      <c r="P39" s="61">
        <f>'31'!P108</f>
        <v>1.4305208333333328</v>
      </c>
      <c r="Q39" s="61">
        <f>'31'!Q108</f>
        <v>9.9255208333333389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6.2492708333333349</v>
      </c>
      <c r="C41" s="16">
        <f t="shared" si="0"/>
        <v>54.5</v>
      </c>
      <c r="D41" s="16">
        <f t="shared" si="0"/>
        <v>39.070208333333341</v>
      </c>
      <c r="E41" s="16">
        <f t="shared" si="0"/>
        <v>2.6366666666666667</v>
      </c>
      <c r="F41" s="16">
        <f t="shared" si="0"/>
        <v>9.2986458333333353</v>
      </c>
      <c r="G41" s="16">
        <f t="shared" si="0"/>
        <v>31.982916666666657</v>
      </c>
      <c r="H41" s="16">
        <f t="shared" si="0"/>
        <v>13.64208333333333</v>
      </c>
      <c r="I41" s="16">
        <f t="shared" si="0"/>
        <v>3.9817708333333335</v>
      </c>
      <c r="J41" s="16">
        <f t="shared" si="0"/>
        <v>0.63159090909090909</v>
      </c>
      <c r="K41" s="16">
        <f t="shared" si="0"/>
        <v>112.3508333333333</v>
      </c>
      <c r="L41" s="16">
        <f t="shared" si="0"/>
        <v>20.948437499999994</v>
      </c>
      <c r="M41" s="16">
        <f t="shared" si="0"/>
        <v>22.040208333333339</v>
      </c>
      <c r="N41" s="16">
        <f t="shared" si="0"/>
        <v>212.41477272727269</v>
      </c>
      <c r="O41" s="16">
        <f t="shared" si="0"/>
        <v>0</v>
      </c>
      <c r="P41" s="16">
        <f t="shared" si="0"/>
        <v>0.54479166666666645</v>
      </c>
      <c r="Q41" s="16">
        <f t="shared" si="0"/>
        <v>8.8705208333333356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84.414479166666638</v>
      </c>
      <c r="C42" s="16">
        <f t="shared" si="1"/>
        <v>133.62578947368422</v>
      </c>
      <c r="D42" s="16">
        <f t="shared" si="1"/>
        <v>116.24744680851066</v>
      </c>
      <c r="E42" s="16">
        <f t="shared" si="1"/>
        <v>25.21541666666667</v>
      </c>
      <c r="F42" s="16">
        <f t="shared" si="1"/>
        <v>21.38989583333333</v>
      </c>
      <c r="G42" s="16">
        <f t="shared" si="1"/>
        <v>117.91291666666666</v>
      </c>
      <c r="H42" s="16">
        <f t="shared" si="1"/>
        <v>71.11322916666667</v>
      </c>
      <c r="I42" s="16">
        <f t="shared" si="1"/>
        <v>4.0150000000000023</v>
      </c>
      <c r="J42" s="16">
        <f t="shared" si="1"/>
        <v>1.9536458333333331</v>
      </c>
      <c r="K42" s="16">
        <f t="shared" si="1"/>
        <v>307.89062499999994</v>
      </c>
      <c r="L42" s="16">
        <f t="shared" si="1"/>
        <v>27.724999999999994</v>
      </c>
      <c r="M42" s="16">
        <f t="shared" si="1"/>
        <v>66.415624999999977</v>
      </c>
      <c r="N42" s="16">
        <f t="shared" si="1"/>
        <v>288.59062499999999</v>
      </c>
      <c r="O42" s="16">
        <f t="shared" si="1"/>
        <v>2.0833333333333333E-3</v>
      </c>
      <c r="P42" s="16">
        <f t="shared" si="1"/>
        <v>1.8490624999999996</v>
      </c>
      <c r="Q42" s="16">
        <f t="shared" si="1"/>
        <v>9.8172916666666712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32.086259465876765</v>
      </c>
      <c r="C43" s="16">
        <f t="shared" si="2"/>
        <v>76.458892631526766</v>
      </c>
      <c r="D43" s="16">
        <f t="shared" si="2"/>
        <v>73.510353438377393</v>
      </c>
      <c r="E43" s="16">
        <f t="shared" si="2"/>
        <v>8.6967254744774358</v>
      </c>
      <c r="F43" s="16">
        <f t="shared" si="2"/>
        <v>14.729672032828285</v>
      </c>
      <c r="G43" s="16">
        <f t="shared" si="2"/>
        <v>82.240889149648652</v>
      </c>
      <c r="H43" s="16">
        <f t="shared" si="2"/>
        <v>28.999113691260433</v>
      </c>
      <c r="I43" s="16">
        <f t="shared" si="2"/>
        <v>3.9993147095959594</v>
      </c>
      <c r="J43" s="16">
        <f t="shared" si="2"/>
        <v>0.88764678030303013</v>
      </c>
      <c r="K43" s="16">
        <f t="shared" si="2"/>
        <v>212.65530744949496</v>
      </c>
      <c r="L43" s="16">
        <f t="shared" si="2"/>
        <v>25.024411616161611</v>
      </c>
      <c r="M43" s="16">
        <f t="shared" si="2"/>
        <v>37.031847222222218</v>
      </c>
      <c r="N43" s="16">
        <f t="shared" si="2"/>
        <v>250.40771464646465</v>
      </c>
      <c r="O43" s="16">
        <f t="shared" si="2"/>
        <v>6.9444444444444444E-5</v>
      </c>
      <c r="P43" s="16">
        <f t="shared" si="2"/>
        <v>1.0810709281646251</v>
      </c>
      <c r="Q43" s="16">
        <f t="shared" si="2"/>
        <v>9.4353510981912159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19.057536428781646</v>
      </c>
      <c r="C44" s="16">
        <f t="shared" si="3"/>
        <v>14.836495309970418</v>
      </c>
      <c r="D44" s="16">
        <f t="shared" si="3"/>
        <v>19.989182622478925</v>
      </c>
      <c r="E44" s="16">
        <f t="shared" si="3"/>
        <v>4.9038740315436788</v>
      </c>
      <c r="F44" s="16">
        <f t="shared" si="3"/>
        <v>2.5803919588143986</v>
      </c>
      <c r="G44" s="16">
        <f t="shared" si="3"/>
        <v>22.032014659248816</v>
      </c>
      <c r="H44" s="16">
        <f t="shared" si="3"/>
        <v>10.657457829790038</v>
      </c>
      <c r="I44" s="16">
        <f t="shared" si="3"/>
        <v>9.3985248246131938E-3</v>
      </c>
      <c r="J44" s="16">
        <f t="shared" si="3"/>
        <v>0.25169380878370057</v>
      </c>
      <c r="K44" s="16">
        <f t="shared" si="3"/>
        <v>50.70260641961432</v>
      </c>
      <c r="L44" s="16">
        <f t="shared" si="3"/>
        <v>1.7507714101248106</v>
      </c>
      <c r="M44" s="16">
        <f t="shared" si="3"/>
        <v>10.821476990827151</v>
      </c>
      <c r="N44" s="16">
        <f t="shared" si="3"/>
        <v>21.187771362245329</v>
      </c>
      <c r="O44" s="16">
        <f t="shared" si="3"/>
        <v>3.8036288715636538E-4</v>
      </c>
      <c r="P44" s="16">
        <f t="shared" si="3"/>
        <v>0.31588766124945716</v>
      </c>
      <c r="Q44" s="16">
        <f t="shared" si="3"/>
        <v>0.2312085232929359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6">
        <f>COUNT(B9:B39)+2</f>
        <v>31</v>
      </c>
      <c r="C45" s="16">
        <f t="shared" ref="C45:D45" si="4">COUNT(C9:C39)+2</f>
        <v>31</v>
      </c>
      <c r="D45" s="16">
        <f t="shared" si="4"/>
        <v>31</v>
      </c>
      <c r="E45" s="13">
        <f t="shared" ref="C45:Q45" si="5">COUNT(E9:E39)</f>
        <v>31</v>
      </c>
      <c r="F45" s="13">
        <f t="shared" si="5"/>
        <v>31</v>
      </c>
      <c r="G45" s="13">
        <f t="shared" si="5"/>
        <v>31</v>
      </c>
      <c r="H45" s="13">
        <f t="shared" si="5"/>
        <v>31</v>
      </c>
      <c r="I45" s="13">
        <f t="shared" si="5"/>
        <v>31</v>
      </c>
      <c r="J45" s="13">
        <f t="shared" si="5"/>
        <v>31</v>
      </c>
      <c r="K45" s="13">
        <f t="shared" si="5"/>
        <v>31</v>
      </c>
      <c r="L45" s="13">
        <f t="shared" si="5"/>
        <v>31</v>
      </c>
      <c r="M45" s="13">
        <f t="shared" si="5"/>
        <v>31</v>
      </c>
      <c r="N45" s="13">
        <f t="shared" si="5"/>
        <v>31</v>
      </c>
      <c r="O45" s="13">
        <f t="shared" si="5"/>
        <v>31</v>
      </c>
      <c r="P45" s="13">
        <f t="shared" si="5"/>
        <v>31</v>
      </c>
      <c r="Q45" s="13">
        <f t="shared" si="5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6">IF(C45&gt;=28,"&gt;90%",IF(C45&lt;=28,"&lt;90%"))</f>
        <v>&gt;90%</v>
      </c>
      <c r="D46" s="13" t="str">
        <f t="shared" si="6"/>
        <v>&gt;90%</v>
      </c>
      <c r="E46" s="13" t="str">
        <f t="shared" si="6"/>
        <v>&gt;90%</v>
      </c>
      <c r="F46" s="13" t="str">
        <f t="shared" si="6"/>
        <v>&gt;90%</v>
      </c>
      <c r="G46" s="13" t="str">
        <f t="shared" si="6"/>
        <v>&gt;90%</v>
      </c>
      <c r="H46" s="13" t="str">
        <f t="shared" si="6"/>
        <v>&gt;90%</v>
      </c>
      <c r="I46" s="13" t="str">
        <f t="shared" si="6"/>
        <v>&gt;90%</v>
      </c>
      <c r="J46" s="13" t="str">
        <f t="shared" si="6"/>
        <v>&gt;90%</v>
      </c>
      <c r="K46" s="13" t="str">
        <f t="shared" si="6"/>
        <v>&gt;90%</v>
      </c>
      <c r="L46" s="13" t="str">
        <f t="shared" si="6"/>
        <v>&gt;90%</v>
      </c>
      <c r="M46" s="13" t="str">
        <f t="shared" si="6"/>
        <v>&gt;90%</v>
      </c>
      <c r="N46" s="13" t="str">
        <f t="shared" si="6"/>
        <v>&gt;90%</v>
      </c>
      <c r="O46" s="13" t="str">
        <f t="shared" si="6"/>
        <v>&gt;90%</v>
      </c>
      <c r="P46" s="13" t="str">
        <f t="shared" si="6"/>
        <v>&gt;90%</v>
      </c>
      <c r="Q46" s="13" t="str">
        <f t="shared" si="6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7">IF(C45&gt;=28,"OK",IF(C45&lt;=28,"LESS"))</f>
        <v>OK</v>
      </c>
      <c r="D47" s="13" t="str">
        <f t="shared" si="7"/>
        <v>OK</v>
      </c>
      <c r="E47" s="13" t="str">
        <f t="shared" si="7"/>
        <v>OK</v>
      </c>
      <c r="F47" s="13" t="str">
        <f t="shared" si="7"/>
        <v>OK</v>
      </c>
      <c r="G47" s="13" t="str">
        <f t="shared" si="7"/>
        <v>OK</v>
      </c>
      <c r="H47" s="13" t="str">
        <f t="shared" si="7"/>
        <v>OK</v>
      </c>
      <c r="I47" s="13" t="str">
        <f t="shared" si="7"/>
        <v>OK</v>
      </c>
      <c r="J47" s="13" t="str">
        <f t="shared" si="7"/>
        <v>OK</v>
      </c>
      <c r="K47" s="13" t="str">
        <f t="shared" si="7"/>
        <v>OK</v>
      </c>
      <c r="L47" s="13" t="str">
        <f t="shared" si="7"/>
        <v>OK</v>
      </c>
      <c r="M47" s="13" t="str">
        <f t="shared" si="7"/>
        <v>OK</v>
      </c>
      <c r="N47" s="13" t="str">
        <f t="shared" si="7"/>
        <v>OK</v>
      </c>
      <c r="O47" s="13" t="str">
        <f t="shared" si="7"/>
        <v>OK</v>
      </c>
      <c r="P47" s="13" t="str">
        <f t="shared" si="7"/>
        <v>OK</v>
      </c>
      <c r="Q47" s="13" t="str">
        <f t="shared" si="7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2" sqref="D2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0" t="s">
        <v>3221</v>
      </c>
      <c r="E1" s="220"/>
      <c r="F1" s="220"/>
      <c r="G1" s="220"/>
      <c r="H1" s="220"/>
      <c r="I1" s="220"/>
      <c r="J1" s="221"/>
    </row>
    <row r="2" spans="2:24" ht="22.5" customHeight="1" thickBot="1" x14ac:dyDescent="0.3">
      <c r="B2" s="54"/>
      <c r="C2" s="111" t="s">
        <v>0</v>
      </c>
      <c r="D2" s="112" t="s">
        <v>3220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19" t="s">
        <v>1</v>
      </c>
      <c r="H5" s="219"/>
      <c r="I5" s="40"/>
      <c r="J5" s="40"/>
      <c r="K5" s="40"/>
      <c r="L5" s="40"/>
      <c r="M5" s="41"/>
      <c r="O5" s="68"/>
      <c r="P5" s="69"/>
      <c r="Q5" s="69"/>
      <c r="R5" s="69"/>
      <c r="S5" s="207" t="s">
        <v>220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45720.53125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203.42</v>
      </c>
      <c r="I8" s="60">
        <v>0</v>
      </c>
      <c r="J8" s="61">
        <f>F8/H8</f>
        <v>0.9831874938550782</v>
      </c>
      <c r="K8" s="61">
        <f>(H8-F8)*100/F8</f>
        <v>1.7099999999999937</v>
      </c>
      <c r="L8" s="60" t="s">
        <v>67</v>
      </c>
      <c r="M8" s="78" t="s">
        <v>215</v>
      </c>
      <c r="O8" s="247" t="s">
        <v>580</v>
      </c>
      <c r="P8" s="64" t="s">
        <v>70</v>
      </c>
      <c r="Q8" s="64">
        <v>5094.75</v>
      </c>
      <c r="R8" s="64">
        <v>3919.01</v>
      </c>
      <c r="S8" s="77" t="s">
        <v>225</v>
      </c>
      <c r="T8" s="77">
        <v>832.41</v>
      </c>
      <c r="U8" s="86">
        <v>0.93489999999999995</v>
      </c>
      <c r="V8" s="86">
        <v>0.95</v>
      </c>
      <c r="W8" s="60" t="s">
        <v>67</v>
      </c>
      <c r="X8" s="78" t="s">
        <v>215</v>
      </c>
    </row>
    <row r="9" spans="2:24" ht="15.75" x14ac:dyDescent="0.25">
      <c r="B9" s="63">
        <v>45734.520833333336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204.16</v>
      </c>
      <c r="I9" s="60">
        <v>0</v>
      </c>
      <c r="J9" s="61">
        <f t="shared" ref="J9:J14" si="0">F9/H9</f>
        <v>0.97962382445141072</v>
      </c>
      <c r="K9" s="61">
        <f t="shared" ref="K9:K14" si="1">(H9-F9)*100/F9</f>
        <v>2.0799999999999983</v>
      </c>
      <c r="L9" s="60" t="s">
        <v>67</v>
      </c>
      <c r="M9" s="62" t="s">
        <v>215</v>
      </c>
      <c r="O9" s="63">
        <v>45734.572916666664</v>
      </c>
      <c r="P9" s="64" t="s">
        <v>70</v>
      </c>
      <c r="Q9" s="64">
        <v>4952.1400000000003</v>
      </c>
      <c r="R9" s="64">
        <v>3824.65</v>
      </c>
      <c r="S9" s="77" t="s">
        <v>225</v>
      </c>
      <c r="T9" s="77">
        <v>835.98</v>
      </c>
      <c r="U9" s="86">
        <v>0.91379999999999995</v>
      </c>
      <c r="V9" s="86">
        <v>0.90890000000000004</v>
      </c>
      <c r="W9" s="60" t="s">
        <v>67</v>
      </c>
      <c r="X9" s="62" t="s">
        <v>215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215</v>
      </c>
      <c r="O10" s="63"/>
      <c r="P10" s="64" t="s">
        <v>70</v>
      </c>
      <c r="Q10" s="64"/>
      <c r="R10" s="64"/>
      <c r="S10" s="77" t="s">
        <v>225</v>
      </c>
      <c r="T10" s="77"/>
      <c r="U10" s="86"/>
      <c r="V10" s="86"/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225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225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7" t="s">
        <v>25</v>
      </c>
      <c r="D21" s="217"/>
      <c r="E21" s="217"/>
      <c r="F21" s="217"/>
      <c r="G21" s="217"/>
      <c r="H21" s="217"/>
      <c r="I21" s="45">
        <f>COUNT(B8:B20)</f>
        <v>2</v>
      </c>
      <c r="J21" s="46"/>
      <c r="K21" s="46"/>
      <c r="L21" s="47"/>
      <c r="M21" s="48"/>
      <c r="O21" s="80"/>
      <c r="P21" s="216" t="s">
        <v>84</v>
      </c>
      <c r="Q21" s="216"/>
      <c r="R21" s="216"/>
      <c r="S21" s="216"/>
      <c r="T21" s="81">
        <f>COUNT(O8:O20)</f>
        <v>1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8" t="s">
        <v>2</v>
      </c>
      <c r="H24" s="218"/>
      <c r="I24" s="40"/>
      <c r="J24" s="51"/>
      <c r="K24" s="51"/>
      <c r="L24" s="40"/>
      <c r="M24" s="41"/>
      <c r="O24" s="68"/>
      <c r="P24" s="69"/>
      <c r="Q24" s="69"/>
      <c r="R24" s="69"/>
      <c r="S24" s="207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45720.447916666664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204.16</v>
      </c>
      <c r="I27" s="60">
        <v>0</v>
      </c>
      <c r="J27" s="61">
        <f>F27/H27</f>
        <v>0.97962382445141072</v>
      </c>
      <c r="K27" s="61">
        <f>(H27-F27)*100/F27</f>
        <v>2.0799999999999983</v>
      </c>
      <c r="L27" s="60" t="s">
        <v>67</v>
      </c>
      <c r="M27" s="78" t="s">
        <v>215</v>
      </c>
      <c r="O27" s="247" t="s">
        <v>580</v>
      </c>
      <c r="P27" s="64" t="s">
        <v>71</v>
      </c>
      <c r="Q27" s="64">
        <v>4951.96</v>
      </c>
      <c r="R27" s="64">
        <v>3900.55</v>
      </c>
      <c r="S27" s="77" t="s">
        <v>224</v>
      </c>
      <c r="T27" s="77">
        <v>800.88</v>
      </c>
      <c r="U27" s="86">
        <v>0.99790000000000001</v>
      </c>
      <c r="V27" s="86">
        <v>1.0043</v>
      </c>
      <c r="W27" s="60" t="s">
        <v>67</v>
      </c>
      <c r="X27" s="78" t="s">
        <v>215</v>
      </c>
    </row>
    <row r="28" spans="2:24" s="24" customFormat="1" ht="15.75" x14ac:dyDescent="0.25">
      <c r="B28" s="63">
        <v>45720.46875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203.52</v>
      </c>
      <c r="I28" s="60">
        <v>0</v>
      </c>
      <c r="J28" s="61">
        <f t="shared" ref="J28:J33" si="2">F28/H28</f>
        <v>0.98270440251572322</v>
      </c>
      <c r="K28" s="61">
        <f t="shared" ref="K28:K33" si="3">(H28-F28)*100/F28</f>
        <v>1.7600000000000051</v>
      </c>
      <c r="L28" s="60" t="s">
        <v>67</v>
      </c>
      <c r="M28" s="62" t="s">
        <v>221</v>
      </c>
      <c r="O28" s="63">
        <v>45734.572916666664</v>
      </c>
      <c r="P28" s="64" t="s">
        <v>71</v>
      </c>
      <c r="Q28" s="64">
        <v>5052.46</v>
      </c>
      <c r="R28" s="64">
        <v>4051.23</v>
      </c>
      <c r="S28" s="77" t="s">
        <v>224</v>
      </c>
      <c r="T28" s="77">
        <v>802.47</v>
      </c>
      <c r="U28" s="86">
        <v>0.98919999999999997</v>
      </c>
      <c r="V28" s="86">
        <v>0.9798</v>
      </c>
      <c r="W28" s="60" t="s">
        <v>67</v>
      </c>
      <c r="X28" s="62" t="s">
        <v>215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222</v>
      </c>
      <c r="O29" s="63"/>
      <c r="P29" s="64" t="s">
        <v>71</v>
      </c>
      <c r="Q29" s="64"/>
      <c r="R29" s="64"/>
      <c r="S29" s="77" t="s">
        <v>224</v>
      </c>
      <c r="T29" s="77"/>
      <c r="U29" s="86"/>
      <c r="V29" s="86"/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222</v>
      </c>
      <c r="O30" s="63"/>
      <c r="P30" s="64" t="s">
        <v>71</v>
      </c>
      <c r="Q30" s="64"/>
      <c r="R30" s="64"/>
      <c r="S30" s="77" t="s">
        <v>224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6" t="s">
        <v>85</v>
      </c>
      <c r="Q40" s="216"/>
      <c r="R40" s="216"/>
      <c r="S40" s="216"/>
      <c r="T40" s="81">
        <f>COUNT(O27:O39)</f>
        <v>1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7" t="s">
        <v>26</v>
      </c>
      <c r="E41" s="217"/>
      <c r="F41" s="217"/>
      <c r="G41" s="217"/>
      <c r="H41" s="217"/>
      <c r="I41" s="217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8" t="s">
        <v>23</v>
      </c>
      <c r="H44" s="218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221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7" t="s">
        <v>27</v>
      </c>
      <c r="E61" s="217"/>
      <c r="F61" s="217"/>
      <c r="G61" s="217"/>
      <c r="H61" s="217"/>
      <c r="I61" s="217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8" t="s">
        <v>3</v>
      </c>
      <c r="H64" s="218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45720.583333333336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221</v>
      </c>
    </row>
    <row r="68" spans="2:13" ht="15.75" x14ac:dyDescent="0.25">
      <c r="B68" s="63">
        <v>45734.760416666664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4.9800000000000004</v>
      </c>
      <c r="I68" s="60">
        <v>0</v>
      </c>
      <c r="J68" s="61">
        <f t="shared" ref="J68:J73" si="4">F68/H68</f>
        <v>1.0040160642570279</v>
      </c>
      <c r="K68" s="61">
        <f t="shared" ref="K68:K73" si="5">(H68-F68)*100/F68</f>
        <v>-0.39999999999999147</v>
      </c>
      <c r="L68" s="60" t="s">
        <v>67</v>
      </c>
      <c r="M68" s="62" t="s">
        <v>222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222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222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7" t="s">
        <v>28</v>
      </c>
      <c r="E81" s="217"/>
      <c r="F81" s="217"/>
      <c r="G81" s="217"/>
      <c r="H81" s="217"/>
      <c r="I81" s="217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8" t="s">
        <v>24</v>
      </c>
      <c r="H84" s="218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7" t="s">
        <v>29</v>
      </c>
      <c r="E101" s="217"/>
      <c r="F101" s="217"/>
      <c r="G101" s="217"/>
      <c r="H101" s="217"/>
      <c r="I101" s="217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19" t="s">
        <v>4</v>
      </c>
      <c r="H104" s="219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221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222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222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222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7" t="s">
        <v>69</v>
      </c>
      <c r="D119" s="217"/>
      <c r="E119" s="217"/>
      <c r="F119" s="217"/>
      <c r="G119" s="217"/>
      <c r="H119" s="217"/>
      <c r="I119" s="52">
        <f>COUNT(B107:B118)</f>
        <v>0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2" t="s">
        <v>226</v>
      </c>
      <c r="C2" s="222"/>
      <c r="D2" s="223">
        <v>45717</v>
      </c>
      <c r="E2" s="223"/>
    </row>
    <row r="3" spans="1:5" x14ac:dyDescent="0.25">
      <c r="B3" s="222" t="s">
        <v>21</v>
      </c>
      <c r="C3" s="222"/>
      <c r="D3" s="223"/>
      <c r="E3" s="223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47" t="s">
        <v>2786</v>
      </c>
      <c r="C8" s="247" t="s">
        <v>2793</v>
      </c>
      <c r="D8" s="33">
        <f t="shared" ref="D8:D13" si="0">C8-B8</f>
        <v>7.2916666664241347E-2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7.2916666664241347E-2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4" t="s">
        <v>22</v>
      </c>
      <c r="C44" s="224"/>
      <c r="D44" s="20">
        <f>SUM(D11:D42)</f>
        <v>7.2916666664241347E-2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0" t="s">
        <v>219</v>
      </c>
      <c r="C2" s="240"/>
      <c r="D2" s="240"/>
      <c r="E2" s="240"/>
      <c r="F2" s="241">
        <v>44713</v>
      </c>
      <c r="G2" s="242"/>
      <c r="H2" s="242"/>
    </row>
    <row r="3" spans="2:24" s="12" customFormat="1" ht="15" customHeight="1" x14ac:dyDescent="0.25">
      <c r="B3" s="240"/>
      <c r="C3" s="240"/>
      <c r="D3" s="240"/>
      <c r="E3" s="240"/>
      <c r="F3" s="242"/>
      <c r="G3" s="242"/>
      <c r="H3" s="242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3" t="s">
        <v>4</v>
      </c>
      <c r="C12" s="245" t="s">
        <v>133</v>
      </c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127"/>
      <c r="U12" s="125"/>
    </row>
    <row r="13" spans="2:24" ht="15" customHeight="1" x14ac:dyDescent="0.25">
      <c r="B13" s="244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4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4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4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44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4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5" t="s">
        <v>2</v>
      </c>
      <c r="C25" s="238" t="s">
        <v>133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27"/>
      <c r="S25" s="188"/>
      <c r="T25" s="189"/>
    </row>
    <row r="26" spans="2:28" ht="15" customHeight="1" x14ac:dyDescent="0.3">
      <c r="B26" s="235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5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5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7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29" t="s">
        <v>3</v>
      </c>
      <c r="C36" s="231" t="s">
        <v>133</v>
      </c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2"/>
    </row>
    <row r="37" spans="2:25" ht="15.75" customHeight="1" x14ac:dyDescent="0.25">
      <c r="B37" s="230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0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0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3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4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4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4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4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5" t="s">
        <v>184</v>
      </c>
      <c r="C61" s="238" t="s">
        <v>133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27"/>
      <c r="S61" s="166"/>
      <c r="T61" s="167"/>
    </row>
    <row r="62" spans="2:20" ht="15.75" x14ac:dyDescent="0.3">
      <c r="B62" s="235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36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6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7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5" t="s">
        <v>201</v>
      </c>
      <c r="C69" s="238" t="s">
        <v>133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27"/>
      <c r="S69" s="166"/>
      <c r="T69" s="167"/>
    </row>
    <row r="70" spans="2:20" ht="15.75" x14ac:dyDescent="0.3">
      <c r="B70" s="235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5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6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7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5" t="s">
        <v>24</v>
      </c>
      <c r="C77" s="227" t="s">
        <v>133</v>
      </c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177"/>
      <c r="S77" s="177"/>
      <c r="T77" s="178"/>
    </row>
    <row r="78" spans="2:20" x14ac:dyDescent="0.25">
      <c r="B78" s="226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26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6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26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26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6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2025-04-14T12:04:47Z</dcterms:modified>
</cp:coreProperties>
</file>