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155" yWindow="510" windowWidth="20730" windowHeight="11760" tabRatio="913" activeTab="31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31" sheetId="42" r:id="rId31"/>
    <sheet name="MONTHLY 30" sheetId="39" r:id="rId32"/>
  </sheets>
  <calcPr calcId="144525"/>
</workbook>
</file>

<file path=xl/calcChain.xml><?xml version="1.0" encoding="utf-8"?>
<calcChain xmlns="http://schemas.openxmlformats.org/spreadsheetml/2006/main">
  <c r="O44" i="39" l="1"/>
  <c r="N44" i="39"/>
  <c r="N17" i="39"/>
  <c r="O17" i="39"/>
  <c r="P17" i="39"/>
  <c r="N15" i="39"/>
  <c r="O15" i="39"/>
  <c r="P15" i="39"/>
  <c r="K44" i="39"/>
  <c r="L44" i="39"/>
  <c r="M44" i="39"/>
  <c r="J44" i="39"/>
  <c r="K38" i="30"/>
  <c r="L38" i="30"/>
  <c r="M38" i="30"/>
  <c r="N38" i="30"/>
  <c r="O38" i="30"/>
  <c r="J38" i="30"/>
  <c r="K38" i="29"/>
  <c r="L38" i="29"/>
  <c r="M38" i="29"/>
  <c r="N38" i="29"/>
  <c r="O38" i="29"/>
  <c r="J38" i="29"/>
  <c r="K38" i="28"/>
  <c r="L38" i="28"/>
  <c r="M38" i="28"/>
  <c r="N38" i="28"/>
  <c r="O38" i="28"/>
  <c r="J38" i="28"/>
  <c r="O36" i="27"/>
  <c r="O38" i="27"/>
  <c r="M38" i="27"/>
  <c r="L38" i="27"/>
  <c r="K38" i="27"/>
  <c r="N38" i="27"/>
  <c r="J38" i="27"/>
  <c r="M38" i="26"/>
  <c r="L38" i="26"/>
  <c r="O35" i="26"/>
  <c r="O36" i="26"/>
  <c r="Q38" i="42" l="1"/>
  <c r="Q40" i="42" s="1"/>
  <c r="P38" i="42"/>
  <c r="P40" i="42" s="1"/>
  <c r="O38" i="42"/>
  <c r="O40" i="42" s="1"/>
  <c r="N38" i="42"/>
  <c r="N40" i="42" s="1"/>
  <c r="M38" i="42"/>
  <c r="M40" i="42" s="1"/>
  <c r="L38" i="42"/>
  <c r="L40" i="42" s="1"/>
  <c r="K38" i="42"/>
  <c r="K40" i="42" s="1"/>
  <c r="J38" i="42"/>
  <c r="J40" i="42" s="1"/>
  <c r="I38" i="42"/>
  <c r="I40" i="42" s="1"/>
  <c r="H38" i="42"/>
  <c r="H40" i="42" s="1"/>
  <c r="G38" i="42"/>
  <c r="G40" i="42" s="1"/>
  <c r="F38" i="42"/>
  <c r="F40" i="42" s="1"/>
  <c r="E38" i="42"/>
  <c r="E40" i="42" s="1"/>
  <c r="D38" i="42"/>
  <c r="D39" i="42" s="1"/>
  <c r="C38" i="42"/>
  <c r="C39" i="42" s="1"/>
  <c r="B38" i="42"/>
  <c r="B40" i="42" s="1"/>
  <c r="Q37" i="42"/>
  <c r="P37" i="42"/>
  <c r="O37" i="42"/>
  <c r="N37" i="42"/>
  <c r="M37" i="42"/>
  <c r="L37" i="42"/>
  <c r="K37" i="42"/>
  <c r="J37" i="42"/>
  <c r="I37" i="42"/>
  <c r="H37" i="42"/>
  <c r="G37" i="42"/>
  <c r="F37" i="42"/>
  <c r="E37" i="42"/>
  <c r="D37" i="42"/>
  <c r="C37" i="42"/>
  <c r="B37" i="42"/>
  <c r="Q36" i="42"/>
  <c r="P36" i="42"/>
  <c r="O36" i="42"/>
  <c r="N36" i="42"/>
  <c r="M36" i="42"/>
  <c r="L36" i="42"/>
  <c r="K36" i="42"/>
  <c r="J36" i="42"/>
  <c r="I36" i="42"/>
  <c r="H36" i="42"/>
  <c r="G36" i="42"/>
  <c r="F36" i="42"/>
  <c r="E36" i="42"/>
  <c r="D36" i="42"/>
  <c r="C36" i="42"/>
  <c r="B36" i="42"/>
  <c r="Q35" i="42"/>
  <c r="P35" i="42"/>
  <c r="O35" i="42"/>
  <c r="N35" i="42"/>
  <c r="M35" i="42"/>
  <c r="L35" i="42"/>
  <c r="K35" i="42"/>
  <c r="J35" i="42"/>
  <c r="I35" i="42"/>
  <c r="H35" i="42"/>
  <c r="G35" i="42"/>
  <c r="F35" i="42"/>
  <c r="E35" i="42"/>
  <c r="D35" i="42"/>
  <c r="C35" i="42"/>
  <c r="B35" i="42"/>
  <c r="Q34" i="42"/>
  <c r="P34" i="42"/>
  <c r="O34" i="42"/>
  <c r="N34" i="42"/>
  <c r="M34" i="42"/>
  <c r="L34" i="42"/>
  <c r="K34" i="42"/>
  <c r="J34" i="42"/>
  <c r="I34" i="42"/>
  <c r="H34" i="42"/>
  <c r="G34" i="42"/>
  <c r="F34" i="42"/>
  <c r="E34" i="42"/>
  <c r="D34" i="42"/>
  <c r="C34" i="42"/>
  <c r="B34" i="42"/>
  <c r="B2" i="42"/>
  <c r="D40" i="42" l="1"/>
  <c r="E39" i="42"/>
  <c r="B39" i="42"/>
  <c r="F39" i="42"/>
  <c r="G39" i="42"/>
  <c r="H39" i="42"/>
  <c r="I39" i="42"/>
  <c r="J39" i="42"/>
  <c r="K39" i="42"/>
  <c r="L39" i="42"/>
  <c r="C40" i="42"/>
  <c r="M39" i="42"/>
  <c r="N39" i="42"/>
  <c r="O39" i="42"/>
  <c r="P39" i="42"/>
  <c r="Q39" i="42"/>
  <c r="H38" i="24"/>
  <c r="G38" i="24"/>
  <c r="H38" i="19"/>
  <c r="H38" i="13"/>
  <c r="G38" i="13"/>
  <c r="E38" i="13"/>
  <c r="H38" i="3"/>
  <c r="G38" i="3"/>
  <c r="E38" i="3"/>
  <c r="Q38" i="2"/>
  <c r="G38" i="2"/>
  <c r="H38" i="2"/>
  <c r="I38" i="2"/>
  <c r="J38" i="2"/>
  <c r="K38" i="2"/>
  <c r="L38" i="2"/>
  <c r="M38" i="2"/>
  <c r="N38" i="2"/>
  <c r="O38" i="2"/>
  <c r="P38" i="2"/>
  <c r="F38" i="2"/>
  <c r="C38" i="2"/>
  <c r="D38" i="2"/>
  <c r="E38" i="2"/>
  <c r="B38" i="2"/>
  <c r="B2" i="20" l="1"/>
  <c r="H37" i="39"/>
  <c r="F36" i="39"/>
  <c r="E36" i="39"/>
  <c r="G35" i="39"/>
  <c r="F35" i="39"/>
  <c r="G34" i="39"/>
  <c r="H33" i="39"/>
  <c r="I32" i="39"/>
  <c r="M28" i="39"/>
  <c r="N27" i="39"/>
  <c r="O26" i="39"/>
  <c r="P25" i="39"/>
  <c r="Q24" i="39"/>
  <c r="A24" i="39"/>
  <c r="B23" i="39"/>
  <c r="A23" i="39"/>
  <c r="C22" i="39"/>
  <c r="D21" i="39"/>
  <c r="E20" i="39"/>
  <c r="F19" i="39"/>
  <c r="G18" i="39"/>
  <c r="H17" i="39"/>
  <c r="I16" i="39"/>
  <c r="K15" i="39"/>
  <c r="K14" i="39"/>
  <c r="L13" i="39"/>
  <c r="M12" i="39"/>
  <c r="Q11" i="39"/>
  <c r="P11" i="39"/>
  <c r="O11" i="39"/>
  <c r="A11" i="39"/>
  <c r="Q38" i="41"/>
  <c r="Q40" i="41" s="1"/>
  <c r="P38" i="41"/>
  <c r="P40" i="41" s="1"/>
  <c r="O38" i="41"/>
  <c r="O40" i="41" s="1"/>
  <c r="N38" i="41"/>
  <c r="N40" i="41" s="1"/>
  <c r="M38" i="41"/>
  <c r="M40" i="41" s="1"/>
  <c r="L38" i="41"/>
  <c r="L40" i="41" s="1"/>
  <c r="K38" i="41"/>
  <c r="K40" i="41" s="1"/>
  <c r="J38" i="41"/>
  <c r="J40" i="41" s="1"/>
  <c r="I38" i="41"/>
  <c r="I40" i="41" s="1"/>
  <c r="H38" i="41"/>
  <c r="H40" i="41" s="1"/>
  <c r="G38" i="41"/>
  <c r="G40" i="41" s="1"/>
  <c r="F38" i="41"/>
  <c r="F40" i="41" s="1"/>
  <c r="E38" i="41"/>
  <c r="E40" i="41" s="1"/>
  <c r="D38" i="41"/>
  <c r="D40" i="41" s="1"/>
  <c r="C38" i="41"/>
  <c r="C40" i="41" s="1"/>
  <c r="B38" i="41"/>
  <c r="B40" i="41" s="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C37" i="41"/>
  <c r="B37" i="41"/>
  <c r="Q36" i="41"/>
  <c r="Q38" i="39" s="1"/>
  <c r="P36" i="41"/>
  <c r="P38" i="39" s="1"/>
  <c r="O36" i="41"/>
  <c r="O38" i="39" s="1"/>
  <c r="N36" i="41"/>
  <c r="N38" i="39" s="1"/>
  <c r="M36" i="41"/>
  <c r="M38" i="39" s="1"/>
  <c r="L36" i="41"/>
  <c r="L38" i="39" s="1"/>
  <c r="K36" i="41"/>
  <c r="K38" i="39" s="1"/>
  <c r="J36" i="41"/>
  <c r="J38" i="39" s="1"/>
  <c r="I36" i="41"/>
  <c r="I38" i="39" s="1"/>
  <c r="H36" i="41"/>
  <c r="H38" i="39" s="1"/>
  <c r="G36" i="41"/>
  <c r="G38" i="39" s="1"/>
  <c r="F36" i="41"/>
  <c r="F38" i="39" s="1"/>
  <c r="E36" i="41"/>
  <c r="E38" i="39" s="1"/>
  <c r="D36" i="41"/>
  <c r="D38" i="39" s="1"/>
  <c r="C36" i="41"/>
  <c r="C38" i="39" s="1"/>
  <c r="B36" i="41"/>
  <c r="B38" i="39" s="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B35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B2" i="41"/>
  <c r="A38" i="39" s="1"/>
  <c r="Q39" i="40"/>
  <c r="Q38" i="40"/>
  <c r="Q40" i="40" s="1"/>
  <c r="P38" i="40"/>
  <c r="P40" i="40" s="1"/>
  <c r="O38" i="40"/>
  <c r="O40" i="40" s="1"/>
  <c r="N38" i="40"/>
  <c r="N40" i="40" s="1"/>
  <c r="M38" i="40"/>
  <c r="M40" i="40" s="1"/>
  <c r="L38" i="40"/>
  <c r="L40" i="40" s="1"/>
  <c r="K38" i="40"/>
  <c r="K40" i="40" s="1"/>
  <c r="J38" i="40"/>
  <c r="J40" i="40" s="1"/>
  <c r="I38" i="40"/>
  <c r="I40" i="40" s="1"/>
  <c r="H38" i="40"/>
  <c r="H40" i="40" s="1"/>
  <c r="G38" i="40"/>
  <c r="G40" i="40" s="1"/>
  <c r="F38" i="40"/>
  <c r="F40" i="40" s="1"/>
  <c r="E38" i="40"/>
  <c r="E40" i="40" s="1"/>
  <c r="D38" i="40"/>
  <c r="D40" i="40" s="1"/>
  <c r="C38" i="40"/>
  <c r="C40" i="40" s="1"/>
  <c r="B38" i="40"/>
  <c r="B40" i="40" s="1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Q36" i="40"/>
  <c r="Q37" i="39" s="1"/>
  <c r="P36" i="40"/>
  <c r="P37" i="39" s="1"/>
  <c r="O36" i="40"/>
  <c r="O37" i="39" s="1"/>
  <c r="N36" i="40"/>
  <c r="N37" i="39" s="1"/>
  <c r="M36" i="40"/>
  <c r="M37" i="39" s="1"/>
  <c r="L36" i="40"/>
  <c r="L37" i="39" s="1"/>
  <c r="K36" i="40"/>
  <c r="K37" i="39" s="1"/>
  <c r="J36" i="40"/>
  <c r="J37" i="39" s="1"/>
  <c r="I36" i="40"/>
  <c r="I37" i="39" s="1"/>
  <c r="H36" i="40"/>
  <c r="G36" i="40"/>
  <c r="G37" i="39" s="1"/>
  <c r="F36" i="40"/>
  <c r="F37" i="39" s="1"/>
  <c r="E36" i="40"/>
  <c r="E37" i="39" s="1"/>
  <c r="D36" i="40"/>
  <c r="D37" i="39" s="1"/>
  <c r="C36" i="40"/>
  <c r="C37" i="39" s="1"/>
  <c r="B36" i="40"/>
  <c r="B37" i="39" s="1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Q34" i="40"/>
  <c r="P34" i="40"/>
  <c r="O34" i="40"/>
  <c r="N34" i="40"/>
  <c r="M34" i="40"/>
  <c r="L34" i="40"/>
  <c r="K34" i="40"/>
  <c r="J34" i="40"/>
  <c r="I34" i="40"/>
  <c r="H34" i="40"/>
  <c r="G34" i="40"/>
  <c r="F34" i="40"/>
  <c r="E34" i="40"/>
  <c r="D34" i="40"/>
  <c r="C34" i="40"/>
  <c r="B34" i="40"/>
  <c r="B2" i="40"/>
  <c r="A37" i="39" s="1"/>
  <c r="Q38" i="33"/>
  <c r="Q40" i="33" s="1"/>
  <c r="P38" i="33"/>
  <c r="P40" i="33" s="1"/>
  <c r="O38" i="33"/>
  <c r="O40" i="33" s="1"/>
  <c r="N38" i="33"/>
  <c r="N40" i="33" s="1"/>
  <c r="M38" i="33"/>
  <c r="M39" i="33" s="1"/>
  <c r="L38" i="33"/>
  <c r="L40" i="33" s="1"/>
  <c r="K38" i="33"/>
  <c r="K40" i="33" s="1"/>
  <c r="J38" i="33"/>
  <c r="J40" i="33" s="1"/>
  <c r="I38" i="33"/>
  <c r="I40" i="33" s="1"/>
  <c r="H38" i="33"/>
  <c r="H40" i="33" s="1"/>
  <c r="G38" i="33"/>
  <c r="G40" i="33" s="1"/>
  <c r="F38" i="33"/>
  <c r="F40" i="33" s="1"/>
  <c r="E38" i="33"/>
  <c r="E40" i="33" s="1"/>
  <c r="D38" i="33"/>
  <c r="D40" i="33" s="1"/>
  <c r="C38" i="33"/>
  <c r="C40" i="33" s="1"/>
  <c r="B38" i="33"/>
  <c r="B40" i="33" s="1"/>
  <c r="Q37" i="33"/>
  <c r="P37" i="33"/>
  <c r="O37" i="33"/>
  <c r="N37" i="33"/>
  <c r="M37" i="33"/>
  <c r="L37" i="33"/>
  <c r="K37" i="33"/>
  <c r="J37" i="33"/>
  <c r="I37" i="33"/>
  <c r="H37" i="33"/>
  <c r="G37" i="33"/>
  <c r="F37" i="33"/>
  <c r="E37" i="33"/>
  <c r="D37" i="33"/>
  <c r="C37" i="33"/>
  <c r="B37" i="33"/>
  <c r="Q36" i="33"/>
  <c r="Q36" i="39" s="1"/>
  <c r="P36" i="33"/>
  <c r="P36" i="39" s="1"/>
  <c r="O36" i="33"/>
  <c r="O36" i="39" s="1"/>
  <c r="N36" i="33"/>
  <c r="N36" i="39" s="1"/>
  <c r="M36" i="33"/>
  <c r="M36" i="39" s="1"/>
  <c r="L36" i="33"/>
  <c r="L36" i="39" s="1"/>
  <c r="K36" i="33"/>
  <c r="K36" i="39" s="1"/>
  <c r="J36" i="33"/>
  <c r="J36" i="39" s="1"/>
  <c r="I36" i="33"/>
  <c r="I36" i="39" s="1"/>
  <c r="H36" i="33"/>
  <c r="H36" i="39" s="1"/>
  <c r="G36" i="33"/>
  <c r="G36" i="39" s="1"/>
  <c r="F36" i="33"/>
  <c r="E36" i="33"/>
  <c r="D36" i="33"/>
  <c r="D36" i="39" s="1"/>
  <c r="C36" i="33"/>
  <c r="C36" i="39" s="1"/>
  <c r="B36" i="33"/>
  <c r="B36" i="39" s="1"/>
  <c r="Q35" i="33"/>
  <c r="P35" i="33"/>
  <c r="O35" i="33"/>
  <c r="N35" i="33"/>
  <c r="M35" i="33"/>
  <c r="L35" i="33"/>
  <c r="K35" i="33"/>
  <c r="J35" i="33"/>
  <c r="I35" i="33"/>
  <c r="H35" i="33"/>
  <c r="G35" i="33"/>
  <c r="F35" i="33"/>
  <c r="E35" i="33"/>
  <c r="D35" i="33"/>
  <c r="C35" i="33"/>
  <c r="B35" i="33"/>
  <c r="Q34" i="33"/>
  <c r="P34" i="33"/>
  <c r="O34" i="33"/>
  <c r="N34" i="33"/>
  <c r="M34" i="33"/>
  <c r="L34" i="33"/>
  <c r="K34" i="33"/>
  <c r="J34" i="33"/>
  <c r="I34" i="33"/>
  <c r="H34" i="33"/>
  <c r="G34" i="33"/>
  <c r="F34" i="33"/>
  <c r="E34" i="33"/>
  <c r="D34" i="33"/>
  <c r="C34" i="33"/>
  <c r="B34" i="33"/>
  <c r="B2" i="33"/>
  <c r="A36" i="39" s="1"/>
  <c r="Q38" i="32"/>
  <c r="Q40" i="32" s="1"/>
  <c r="P38" i="32"/>
  <c r="P40" i="32" s="1"/>
  <c r="O38" i="32"/>
  <c r="O40" i="32" s="1"/>
  <c r="N38" i="32"/>
  <c r="N39" i="32" s="1"/>
  <c r="M38" i="32"/>
  <c r="M39" i="32" s="1"/>
  <c r="L38" i="32"/>
  <c r="L40" i="32" s="1"/>
  <c r="K38" i="32"/>
  <c r="K40" i="32" s="1"/>
  <c r="J38" i="32"/>
  <c r="J40" i="32" s="1"/>
  <c r="I38" i="32"/>
  <c r="I40" i="32" s="1"/>
  <c r="H38" i="32"/>
  <c r="H40" i="32" s="1"/>
  <c r="G38" i="32"/>
  <c r="G40" i="32" s="1"/>
  <c r="F38" i="32"/>
  <c r="F40" i="32" s="1"/>
  <c r="E38" i="32"/>
  <c r="E40" i="32" s="1"/>
  <c r="D38" i="32"/>
  <c r="D40" i="32" s="1"/>
  <c r="C38" i="32"/>
  <c r="C40" i="32" s="1"/>
  <c r="B38" i="32"/>
  <c r="B40" i="32" s="1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Q36" i="32"/>
  <c r="Q35" i="39" s="1"/>
  <c r="P36" i="32"/>
  <c r="P35" i="39" s="1"/>
  <c r="O36" i="32"/>
  <c r="O35" i="39" s="1"/>
  <c r="N36" i="32"/>
  <c r="N35" i="39" s="1"/>
  <c r="M36" i="32"/>
  <c r="M35" i="39" s="1"/>
  <c r="L36" i="32"/>
  <c r="L35" i="39" s="1"/>
  <c r="K36" i="32"/>
  <c r="K35" i="39" s="1"/>
  <c r="J36" i="32"/>
  <c r="J35" i="39" s="1"/>
  <c r="I36" i="32"/>
  <c r="I35" i="39" s="1"/>
  <c r="H36" i="32"/>
  <c r="H35" i="39" s="1"/>
  <c r="G36" i="32"/>
  <c r="F36" i="32"/>
  <c r="E36" i="32"/>
  <c r="E35" i="39" s="1"/>
  <c r="D36" i="32"/>
  <c r="D35" i="39" s="1"/>
  <c r="C36" i="32"/>
  <c r="C35" i="39" s="1"/>
  <c r="B36" i="32"/>
  <c r="B35" i="39" s="1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B2" i="32"/>
  <c r="A35" i="39" s="1"/>
  <c r="Q38" i="31"/>
  <c r="Q40" i="31" s="1"/>
  <c r="P38" i="31"/>
  <c r="P40" i="31" s="1"/>
  <c r="O38" i="31"/>
  <c r="O40" i="31" s="1"/>
  <c r="N38" i="31"/>
  <c r="N40" i="31" s="1"/>
  <c r="M38" i="31"/>
  <c r="M40" i="31" s="1"/>
  <c r="L38" i="31"/>
  <c r="L40" i="31" s="1"/>
  <c r="K38" i="31"/>
  <c r="K40" i="31" s="1"/>
  <c r="J38" i="31"/>
  <c r="J40" i="31" s="1"/>
  <c r="I38" i="31"/>
  <c r="I40" i="31" s="1"/>
  <c r="H38" i="31"/>
  <c r="H40" i="31" s="1"/>
  <c r="G38" i="31"/>
  <c r="G40" i="31" s="1"/>
  <c r="F38" i="31"/>
  <c r="F40" i="31" s="1"/>
  <c r="E38" i="31"/>
  <c r="E40" i="31" s="1"/>
  <c r="D38" i="31"/>
  <c r="D40" i="31" s="1"/>
  <c r="C38" i="31"/>
  <c r="C40" i="31" s="1"/>
  <c r="B38" i="31"/>
  <c r="B40" i="31" s="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B37" i="31"/>
  <c r="Q36" i="31"/>
  <c r="Q34" i="39" s="1"/>
  <c r="P36" i="31"/>
  <c r="P34" i="39" s="1"/>
  <c r="O36" i="31"/>
  <c r="N36" i="31"/>
  <c r="M36" i="31"/>
  <c r="L36" i="31"/>
  <c r="K36" i="31"/>
  <c r="J36" i="31"/>
  <c r="I36" i="31"/>
  <c r="I34" i="39" s="1"/>
  <c r="H36" i="31"/>
  <c r="H34" i="39" s="1"/>
  <c r="G36" i="31"/>
  <c r="F36" i="31"/>
  <c r="F34" i="39" s="1"/>
  <c r="E36" i="31"/>
  <c r="E34" i="39" s="1"/>
  <c r="D36" i="31"/>
  <c r="D34" i="39" s="1"/>
  <c r="C36" i="31"/>
  <c r="C34" i="39" s="1"/>
  <c r="B36" i="31"/>
  <c r="B34" i="39" s="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B35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2" i="31"/>
  <c r="A34" i="39" s="1"/>
  <c r="Q38" i="30"/>
  <c r="Q40" i="30" s="1"/>
  <c r="P38" i="30"/>
  <c r="P40" i="30" s="1"/>
  <c r="O40" i="30"/>
  <c r="N40" i="30"/>
  <c r="M40" i="30"/>
  <c r="L40" i="30"/>
  <c r="K40" i="30"/>
  <c r="J40" i="30"/>
  <c r="I38" i="30"/>
  <c r="I40" i="30" s="1"/>
  <c r="H38" i="30"/>
  <c r="H40" i="30" s="1"/>
  <c r="G38" i="30"/>
  <c r="G40" i="30" s="1"/>
  <c r="F38" i="30"/>
  <c r="F40" i="30" s="1"/>
  <c r="E38" i="30"/>
  <c r="E40" i="30" s="1"/>
  <c r="D38" i="30"/>
  <c r="D40" i="30" s="1"/>
  <c r="C38" i="30"/>
  <c r="C40" i="30" s="1"/>
  <c r="B38" i="30"/>
  <c r="B40" i="30" s="1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B37" i="30"/>
  <c r="Q36" i="30"/>
  <c r="Q33" i="39" s="1"/>
  <c r="P36" i="30"/>
  <c r="P33" i="39" s="1"/>
  <c r="O36" i="30"/>
  <c r="N36" i="30"/>
  <c r="M36" i="30"/>
  <c r="L36" i="30"/>
  <c r="K36" i="30"/>
  <c r="J36" i="30"/>
  <c r="I36" i="30"/>
  <c r="I33" i="39" s="1"/>
  <c r="H36" i="30"/>
  <c r="G36" i="30"/>
  <c r="G33" i="39" s="1"/>
  <c r="F36" i="30"/>
  <c r="F33" i="39" s="1"/>
  <c r="E36" i="30"/>
  <c r="E33" i="39" s="1"/>
  <c r="D36" i="30"/>
  <c r="D33" i="39" s="1"/>
  <c r="C36" i="30"/>
  <c r="C33" i="39" s="1"/>
  <c r="B36" i="30"/>
  <c r="B33" i="39" s="1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B35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2" i="30"/>
  <c r="A33" i="39" s="1"/>
  <c r="Q38" i="29"/>
  <c r="Q40" i="29" s="1"/>
  <c r="P38" i="29"/>
  <c r="P39" i="29" s="1"/>
  <c r="O40" i="29"/>
  <c r="N40" i="29"/>
  <c r="M40" i="29"/>
  <c r="L40" i="29"/>
  <c r="K40" i="29"/>
  <c r="J40" i="29"/>
  <c r="I38" i="29"/>
  <c r="I40" i="29" s="1"/>
  <c r="H38" i="29"/>
  <c r="H40" i="29" s="1"/>
  <c r="G38" i="29"/>
  <c r="G40" i="29" s="1"/>
  <c r="F38" i="29"/>
  <c r="F40" i="29" s="1"/>
  <c r="E38" i="29"/>
  <c r="E40" i="29" s="1"/>
  <c r="D38" i="29"/>
  <c r="D40" i="29" s="1"/>
  <c r="C38" i="29"/>
  <c r="C40" i="29" s="1"/>
  <c r="B38" i="29"/>
  <c r="B40" i="29" s="1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B37" i="29"/>
  <c r="Q36" i="29"/>
  <c r="Q32" i="39" s="1"/>
  <c r="P36" i="29"/>
  <c r="P32" i="39" s="1"/>
  <c r="O36" i="29"/>
  <c r="N36" i="29"/>
  <c r="M36" i="29"/>
  <c r="L36" i="29"/>
  <c r="K36" i="29"/>
  <c r="J36" i="29"/>
  <c r="I36" i="29"/>
  <c r="H36" i="29"/>
  <c r="H32" i="39" s="1"/>
  <c r="G36" i="29"/>
  <c r="G32" i="39" s="1"/>
  <c r="F36" i="29"/>
  <c r="F32" i="39" s="1"/>
  <c r="E36" i="29"/>
  <c r="E32" i="39" s="1"/>
  <c r="D36" i="29"/>
  <c r="D32" i="39" s="1"/>
  <c r="C36" i="29"/>
  <c r="C32" i="39" s="1"/>
  <c r="B36" i="29"/>
  <c r="B32" i="39" s="1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B35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2" i="29"/>
  <c r="A32" i="39" s="1"/>
  <c r="Q38" i="28"/>
  <c r="Q39" i="28" s="1"/>
  <c r="P38" i="28"/>
  <c r="P40" i="28" s="1"/>
  <c r="O40" i="28"/>
  <c r="N40" i="28"/>
  <c r="M40" i="28"/>
  <c r="L40" i="28"/>
  <c r="K40" i="28"/>
  <c r="J40" i="28"/>
  <c r="I38" i="28"/>
  <c r="I40" i="28" s="1"/>
  <c r="H38" i="28"/>
  <c r="H40" i="28" s="1"/>
  <c r="G38" i="28"/>
  <c r="G40" i="28" s="1"/>
  <c r="F38" i="28"/>
  <c r="F40" i="28" s="1"/>
  <c r="E38" i="28"/>
  <c r="E40" i="28" s="1"/>
  <c r="D38" i="28"/>
  <c r="D40" i="28" s="1"/>
  <c r="C38" i="28"/>
  <c r="C40" i="28" s="1"/>
  <c r="B38" i="28"/>
  <c r="B40" i="28" s="1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Q36" i="28"/>
  <c r="Q31" i="39" s="1"/>
  <c r="P36" i="28"/>
  <c r="P31" i="39" s="1"/>
  <c r="O36" i="28"/>
  <c r="N36" i="28"/>
  <c r="M36" i="28"/>
  <c r="L36" i="28"/>
  <c r="K36" i="28"/>
  <c r="J36" i="28"/>
  <c r="I36" i="28"/>
  <c r="I31" i="39" s="1"/>
  <c r="H36" i="28"/>
  <c r="H31" i="39" s="1"/>
  <c r="G36" i="28"/>
  <c r="G31" i="39" s="1"/>
  <c r="F36" i="28"/>
  <c r="F31" i="39" s="1"/>
  <c r="E36" i="28"/>
  <c r="E31" i="39" s="1"/>
  <c r="D36" i="28"/>
  <c r="D31" i="39" s="1"/>
  <c r="C36" i="28"/>
  <c r="C31" i="39" s="1"/>
  <c r="B36" i="28"/>
  <c r="B31" i="39" s="1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2" i="28"/>
  <c r="A31" i="39" s="1"/>
  <c r="Q38" i="27"/>
  <c r="Q40" i="27" s="1"/>
  <c r="P38" i="27"/>
  <c r="P40" i="27" s="1"/>
  <c r="O40" i="27"/>
  <c r="N40" i="27"/>
  <c r="M40" i="27"/>
  <c r="L40" i="27"/>
  <c r="K40" i="27"/>
  <c r="J40" i="27"/>
  <c r="I38" i="27"/>
  <c r="I40" i="27" s="1"/>
  <c r="H38" i="27"/>
  <c r="H40" i="27" s="1"/>
  <c r="G38" i="27"/>
  <c r="G40" i="27" s="1"/>
  <c r="F38" i="27"/>
  <c r="F40" i="27" s="1"/>
  <c r="E38" i="27"/>
  <c r="E40" i="27" s="1"/>
  <c r="D38" i="27"/>
  <c r="D40" i="27" s="1"/>
  <c r="C38" i="27"/>
  <c r="C40" i="27" s="1"/>
  <c r="B38" i="27"/>
  <c r="B40" i="27" s="1"/>
  <c r="Q37" i="27"/>
  <c r="P37" i="27"/>
  <c r="O37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B37" i="27"/>
  <c r="Q36" i="27"/>
  <c r="Q30" i="39" s="1"/>
  <c r="P36" i="27"/>
  <c r="P30" i="39" s="1"/>
  <c r="N36" i="27"/>
  <c r="N30" i="39" s="1"/>
  <c r="M36" i="27"/>
  <c r="M30" i="39" s="1"/>
  <c r="L36" i="27"/>
  <c r="L30" i="39" s="1"/>
  <c r="K36" i="27"/>
  <c r="K30" i="39" s="1"/>
  <c r="J36" i="27"/>
  <c r="J30" i="39" s="1"/>
  <c r="I36" i="27"/>
  <c r="I30" i="39" s="1"/>
  <c r="H36" i="27"/>
  <c r="H30" i="39" s="1"/>
  <c r="G36" i="27"/>
  <c r="G30" i="39" s="1"/>
  <c r="F36" i="27"/>
  <c r="F30" i="39" s="1"/>
  <c r="E36" i="27"/>
  <c r="E30" i="39" s="1"/>
  <c r="D36" i="27"/>
  <c r="D30" i="39" s="1"/>
  <c r="C36" i="27"/>
  <c r="C30" i="39" s="1"/>
  <c r="B36" i="27"/>
  <c r="B30" i="39" s="1"/>
  <c r="Q35" i="27"/>
  <c r="P35" i="27"/>
  <c r="O35" i="27"/>
  <c r="N35" i="27"/>
  <c r="M35" i="27"/>
  <c r="L35" i="27"/>
  <c r="K35" i="27"/>
  <c r="J35" i="27"/>
  <c r="I35" i="27"/>
  <c r="H35" i="27"/>
  <c r="G35" i="27"/>
  <c r="F35" i="27"/>
  <c r="E35" i="27"/>
  <c r="D35" i="27"/>
  <c r="C35" i="27"/>
  <c r="B35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2" i="27"/>
  <c r="A30" i="39" s="1"/>
  <c r="Q38" i="26"/>
  <c r="Q40" i="26" s="1"/>
  <c r="P38" i="26"/>
  <c r="P40" i="26" s="1"/>
  <c r="O38" i="26"/>
  <c r="O40" i="26" s="1"/>
  <c r="N38" i="26"/>
  <c r="N40" i="26" s="1"/>
  <c r="M40" i="26"/>
  <c r="L40" i="26"/>
  <c r="K38" i="26"/>
  <c r="K40" i="26" s="1"/>
  <c r="J38" i="26"/>
  <c r="J40" i="26" s="1"/>
  <c r="I38" i="26"/>
  <c r="I40" i="26" s="1"/>
  <c r="H38" i="26"/>
  <c r="H40" i="26" s="1"/>
  <c r="G38" i="26"/>
  <c r="G40" i="26" s="1"/>
  <c r="F38" i="26"/>
  <c r="F40" i="26" s="1"/>
  <c r="E38" i="26"/>
  <c r="E40" i="26" s="1"/>
  <c r="D38" i="26"/>
  <c r="D40" i="26" s="1"/>
  <c r="C38" i="26"/>
  <c r="C39" i="26" s="1"/>
  <c r="B38" i="26"/>
  <c r="B40" i="26" s="1"/>
  <c r="Q37" i="26"/>
  <c r="P37" i="26"/>
  <c r="O37" i="26"/>
  <c r="N37" i="26"/>
  <c r="M37" i="26"/>
  <c r="L37" i="26"/>
  <c r="K37" i="26"/>
  <c r="J37" i="26"/>
  <c r="I37" i="26"/>
  <c r="H37" i="26"/>
  <c r="G37" i="26"/>
  <c r="F37" i="26"/>
  <c r="E37" i="26"/>
  <c r="D37" i="26"/>
  <c r="C37" i="26"/>
  <c r="B37" i="26"/>
  <c r="Q36" i="26"/>
  <c r="Q29" i="39" s="1"/>
  <c r="P36" i="26"/>
  <c r="P29" i="39" s="1"/>
  <c r="O29" i="39"/>
  <c r="N36" i="26"/>
  <c r="N29" i="39" s="1"/>
  <c r="M36" i="26"/>
  <c r="M29" i="39" s="1"/>
  <c r="L36" i="26"/>
  <c r="L29" i="39" s="1"/>
  <c r="K36" i="26"/>
  <c r="K29" i="39" s="1"/>
  <c r="J36" i="26"/>
  <c r="J29" i="39" s="1"/>
  <c r="I36" i="26"/>
  <c r="I29" i="39" s="1"/>
  <c r="H36" i="26"/>
  <c r="H29" i="39" s="1"/>
  <c r="G36" i="26"/>
  <c r="G29" i="39" s="1"/>
  <c r="F36" i="26"/>
  <c r="F29" i="39" s="1"/>
  <c r="E36" i="26"/>
  <c r="E29" i="39" s="1"/>
  <c r="D36" i="26"/>
  <c r="D29" i="39" s="1"/>
  <c r="C36" i="26"/>
  <c r="C29" i="39" s="1"/>
  <c r="B36" i="26"/>
  <c r="B29" i="39" s="1"/>
  <c r="Q35" i="26"/>
  <c r="P35" i="26"/>
  <c r="N35" i="26"/>
  <c r="M35" i="26"/>
  <c r="L35" i="26"/>
  <c r="K35" i="26"/>
  <c r="J35" i="26"/>
  <c r="I35" i="26"/>
  <c r="H35" i="26"/>
  <c r="G35" i="26"/>
  <c r="F35" i="26"/>
  <c r="E35" i="26"/>
  <c r="D35" i="26"/>
  <c r="C35" i="26"/>
  <c r="B35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2" i="26"/>
  <c r="A29" i="39" s="1"/>
  <c r="Q38" i="25"/>
  <c r="Q40" i="25" s="1"/>
  <c r="P38" i="25"/>
  <c r="P40" i="25" s="1"/>
  <c r="O38" i="25"/>
  <c r="O40" i="25" s="1"/>
  <c r="N38" i="25"/>
  <c r="N40" i="25" s="1"/>
  <c r="M38" i="25"/>
  <c r="M40" i="25" s="1"/>
  <c r="L38" i="25"/>
  <c r="L40" i="25" s="1"/>
  <c r="K38" i="25"/>
  <c r="K40" i="25" s="1"/>
  <c r="J38" i="25"/>
  <c r="J40" i="25" s="1"/>
  <c r="I38" i="25"/>
  <c r="I40" i="25" s="1"/>
  <c r="H38" i="25"/>
  <c r="H40" i="25" s="1"/>
  <c r="G38" i="25"/>
  <c r="G40" i="25" s="1"/>
  <c r="F38" i="25"/>
  <c r="F40" i="25" s="1"/>
  <c r="E38" i="25"/>
  <c r="E40" i="25" s="1"/>
  <c r="D38" i="25"/>
  <c r="D40" i="25" s="1"/>
  <c r="C38" i="25"/>
  <c r="C40" i="25" s="1"/>
  <c r="B38" i="25"/>
  <c r="B40" i="25" s="1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B37" i="25"/>
  <c r="Q36" i="25"/>
  <c r="Q28" i="39" s="1"/>
  <c r="P36" i="25"/>
  <c r="P28" i="39" s="1"/>
  <c r="O36" i="25"/>
  <c r="O28" i="39" s="1"/>
  <c r="N36" i="25"/>
  <c r="N28" i="39" s="1"/>
  <c r="M36" i="25"/>
  <c r="L36" i="25"/>
  <c r="L28" i="39" s="1"/>
  <c r="K36" i="25"/>
  <c r="K28" i="39" s="1"/>
  <c r="J36" i="25"/>
  <c r="J28" i="39" s="1"/>
  <c r="I36" i="25"/>
  <c r="I28" i="39" s="1"/>
  <c r="H36" i="25"/>
  <c r="H28" i="39" s="1"/>
  <c r="G36" i="25"/>
  <c r="G28" i="39" s="1"/>
  <c r="F36" i="25"/>
  <c r="F28" i="39" s="1"/>
  <c r="E36" i="25"/>
  <c r="E28" i="39" s="1"/>
  <c r="D36" i="25"/>
  <c r="D28" i="39" s="1"/>
  <c r="C36" i="25"/>
  <c r="C28" i="39" s="1"/>
  <c r="B36" i="25"/>
  <c r="B28" i="39" s="1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B35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2" i="25"/>
  <c r="A28" i="39" s="1"/>
  <c r="Q38" i="24"/>
  <c r="Q40" i="24" s="1"/>
  <c r="P38" i="24"/>
  <c r="P40" i="24" s="1"/>
  <c r="O38" i="24"/>
  <c r="O40" i="24" s="1"/>
  <c r="N38" i="24"/>
  <c r="N40" i="24" s="1"/>
  <c r="M38" i="24"/>
  <c r="M40" i="24" s="1"/>
  <c r="L38" i="24"/>
  <c r="L40" i="24" s="1"/>
  <c r="K38" i="24"/>
  <c r="K40" i="24" s="1"/>
  <c r="J38" i="24"/>
  <c r="J40" i="24" s="1"/>
  <c r="I38" i="24"/>
  <c r="I40" i="24" s="1"/>
  <c r="H40" i="24"/>
  <c r="G40" i="24"/>
  <c r="F38" i="24"/>
  <c r="F40" i="24" s="1"/>
  <c r="E38" i="24"/>
  <c r="E39" i="24" s="1"/>
  <c r="D38" i="24"/>
  <c r="D40" i="24" s="1"/>
  <c r="C38" i="24"/>
  <c r="C40" i="24" s="1"/>
  <c r="B38" i="24"/>
  <c r="B40" i="24" s="1"/>
  <c r="Q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B37" i="24"/>
  <c r="Q36" i="24"/>
  <c r="Q27" i="39" s="1"/>
  <c r="P36" i="24"/>
  <c r="P27" i="39" s="1"/>
  <c r="O36" i="24"/>
  <c r="O27" i="39" s="1"/>
  <c r="N36" i="24"/>
  <c r="M36" i="24"/>
  <c r="M27" i="39" s="1"/>
  <c r="L36" i="24"/>
  <c r="L27" i="39" s="1"/>
  <c r="K36" i="24"/>
  <c r="K27" i="39" s="1"/>
  <c r="J36" i="24"/>
  <c r="J27" i="39" s="1"/>
  <c r="I36" i="24"/>
  <c r="I27" i="39" s="1"/>
  <c r="H36" i="24"/>
  <c r="H27" i="39" s="1"/>
  <c r="G36" i="24"/>
  <c r="G27" i="39" s="1"/>
  <c r="F36" i="24"/>
  <c r="F27" i="39" s="1"/>
  <c r="E36" i="24"/>
  <c r="E27" i="39" s="1"/>
  <c r="D36" i="24"/>
  <c r="D27" i="39" s="1"/>
  <c r="C36" i="24"/>
  <c r="C27" i="39" s="1"/>
  <c r="B36" i="24"/>
  <c r="B27" i="39" s="1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2" i="24"/>
  <c r="A27" i="39" s="1"/>
  <c r="Q38" i="23"/>
  <c r="Q40" i="23" s="1"/>
  <c r="P38" i="23"/>
  <c r="P40" i="23" s="1"/>
  <c r="O38" i="23"/>
  <c r="O40" i="23" s="1"/>
  <c r="N38" i="23"/>
  <c r="N40" i="23" s="1"/>
  <c r="M38" i="23"/>
  <c r="M40" i="23" s="1"/>
  <c r="L38" i="23"/>
  <c r="L40" i="23" s="1"/>
  <c r="K38" i="23"/>
  <c r="K40" i="23" s="1"/>
  <c r="J38" i="23"/>
  <c r="J40" i="23" s="1"/>
  <c r="I38" i="23"/>
  <c r="I40" i="23" s="1"/>
  <c r="H38" i="23"/>
  <c r="H40" i="23" s="1"/>
  <c r="G38" i="23"/>
  <c r="G40" i="23" s="1"/>
  <c r="F38" i="23"/>
  <c r="F40" i="23" s="1"/>
  <c r="E38" i="23"/>
  <c r="E40" i="23" s="1"/>
  <c r="D38" i="23"/>
  <c r="D40" i="23" s="1"/>
  <c r="C38" i="23"/>
  <c r="C40" i="23" s="1"/>
  <c r="B38" i="23"/>
  <c r="B40" i="23" s="1"/>
  <c r="Q37" i="23"/>
  <c r="P37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C37" i="23"/>
  <c r="B37" i="23"/>
  <c r="Q36" i="23"/>
  <c r="Q26" i="39" s="1"/>
  <c r="P36" i="23"/>
  <c r="P26" i="39" s="1"/>
  <c r="O36" i="23"/>
  <c r="N36" i="23"/>
  <c r="N26" i="39" s="1"/>
  <c r="M36" i="23"/>
  <c r="M26" i="39" s="1"/>
  <c r="L36" i="23"/>
  <c r="L26" i="39" s="1"/>
  <c r="K36" i="23"/>
  <c r="K26" i="39" s="1"/>
  <c r="J36" i="23"/>
  <c r="J26" i="39" s="1"/>
  <c r="I36" i="23"/>
  <c r="I26" i="39" s="1"/>
  <c r="H36" i="23"/>
  <c r="H26" i="39" s="1"/>
  <c r="G36" i="23"/>
  <c r="G26" i="39" s="1"/>
  <c r="F36" i="23"/>
  <c r="F26" i="39" s="1"/>
  <c r="E36" i="23"/>
  <c r="E26" i="39" s="1"/>
  <c r="D36" i="23"/>
  <c r="D26" i="39" s="1"/>
  <c r="C36" i="23"/>
  <c r="C26" i="39" s="1"/>
  <c r="B36" i="23"/>
  <c r="B26" i="39" s="1"/>
  <c r="Q35" i="23"/>
  <c r="P35" i="23"/>
  <c r="O35" i="23"/>
  <c r="N35" i="23"/>
  <c r="M35" i="23"/>
  <c r="L35" i="23"/>
  <c r="K35" i="23"/>
  <c r="J35" i="23"/>
  <c r="I35" i="23"/>
  <c r="H35" i="23"/>
  <c r="G35" i="23"/>
  <c r="F35" i="23"/>
  <c r="E35" i="23"/>
  <c r="D35" i="23"/>
  <c r="C35" i="23"/>
  <c r="B35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2" i="23"/>
  <c r="A26" i="39" s="1"/>
  <c r="Q38" i="22"/>
  <c r="Q40" i="22" s="1"/>
  <c r="P38" i="22"/>
  <c r="P40" i="22" s="1"/>
  <c r="O38" i="22"/>
  <c r="O40" i="22" s="1"/>
  <c r="N38" i="22"/>
  <c r="N40" i="22" s="1"/>
  <c r="M38" i="22"/>
  <c r="M40" i="22" s="1"/>
  <c r="L38" i="22"/>
  <c r="L40" i="22" s="1"/>
  <c r="K38" i="22"/>
  <c r="K40" i="22" s="1"/>
  <c r="J38" i="22"/>
  <c r="J40" i="22" s="1"/>
  <c r="I38" i="22"/>
  <c r="I40" i="22" s="1"/>
  <c r="H38" i="22"/>
  <c r="H40" i="22" s="1"/>
  <c r="G38" i="22"/>
  <c r="G39" i="22" s="1"/>
  <c r="F38" i="22"/>
  <c r="F40" i="22" s="1"/>
  <c r="E38" i="22"/>
  <c r="E40" i="22" s="1"/>
  <c r="D38" i="22"/>
  <c r="D40" i="22" s="1"/>
  <c r="C38" i="22"/>
  <c r="C40" i="22" s="1"/>
  <c r="B38" i="22"/>
  <c r="B40" i="22" s="1"/>
  <c r="Q37" i="22"/>
  <c r="P37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B37" i="22"/>
  <c r="Q36" i="22"/>
  <c r="Q25" i="39" s="1"/>
  <c r="P36" i="22"/>
  <c r="O36" i="22"/>
  <c r="O25" i="39" s="1"/>
  <c r="N36" i="22"/>
  <c r="N25" i="39" s="1"/>
  <c r="M36" i="22"/>
  <c r="M25" i="39" s="1"/>
  <c r="L36" i="22"/>
  <c r="L25" i="39" s="1"/>
  <c r="K36" i="22"/>
  <c r="K25" i="39" s="1"/>
  <c r="J36" i="22"/>
  <c r="J25" i="39" s="1"/>
  <c r="I36" i="22"/>
  <c r="I25" i="39" s="1"/>
  <c r="H36" i="22"/>
  <c r="H25" i="39" s="1"/>
  <c r="G36" i="22"/>
  <c r="G25" i="39" s="1"/>
  <c r="F36" i="22"/>
  <c r="F25" i="39" s="1"/>
  <c r="E36" i="22"/>
  <c r="E25" i="39" s="1"/>
  <c r="D36" i="22"/>
  <c r="D25" i="39" s="1"/>
  <c r="C36" i="22"/>
  <c r="C25" i="39" s="1"/>
  <c r="B36" i="22"/>
  <c r="B25" i="39" s="1"/>
  <c r="Q35" i="22"/>
  <c r="P35" i="22"/>
  <c r="O35" i="22"/>
  <c r="N35" i="22"/>
  <c r="M35" i="22"/>
  <c r="L35" i="22"/>
  <c r="K35" i="22"/>
  <c r="J35" i="22"/>
  <c r="I35" i="22"/>
  <c r="H35" i="22"/>
  <c r="G35" i="22"/>
  <c r="F35" i="22"/>
  <c r="E35" i="22"/>
  <c r="D35" i="22"/>
  <c r="C35" i="22"/>
  <c r="B35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2" i="22"/>
  <c r="A25" i="39" s="1"/>
  <c r="Q38" i="21"/>
  <c r="Q40" i="21" s="1"/>
  <c r="P38" i="21"/>
  <c r="P40" i="21" s="1"/>
  <c r="O38" i="21"/>
  <c r="O40" i="21" s="1"/>
  <c r="N38" i="21"/>
  <c r="N40" i="21" s="1"/>
  <c r="M38" i="21"/>
  <c r="M40" i="21" s="1"/>
  <c r="L38" i="21"/>
  <c r="L40" i="21" s="1"/>
  <c r="K38" i="21"/>
  <c r="K40" i="21" s="1"/>
  <c r="J38" i="21"/>
  <c r="J40" i="21" s="1"/>
  <c r="I38" i="21"/>
  <c r="I40" i="21" s="1"/>
  <c r="H38" i="21"/>
  <c r="H40" i="21" s="1"/>
  <c r="G38" i="21"/>
  <c r="G39" i="21" s="1"/>
  <c r="F38" i="21"/>
  <c r="F40" i="21" s="1"/>
  <c r="E38" i="21"/>
  <c r="E40" i="21" s="1"/>
  <c r="D38" i="21"/>
  <c r="D40" i="21" s="1"/>
  <c r="C38" i="21"/>
  <c r="C40" i="21" s="1"/>
  <c r="B38" i="21"/>
  <c r="B40" i="21" s="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Q36" i="21"/>
  <c r="P36" i="21"/>
  <c r="P24" i="39" s="1"/>
  <c r="O36" i="21"/>
  <c r="O24" i="39" s="1"/>
  <c r="N36" i="21"/>
  <c r="N24" i="39" s="1"/>
  <c r="M36" i="21"/>
  <c r="M24" i="39" s="1"/>
  <c r="L36" i="21"/>
  <c r="L24" i="39" s="1"/>
  <c r="K36" i="21"/>
  <c r="K24" i="39" s="1"/>
  <c r="J36" i="21"/>
  <c r="J24" i="39" s="1"/>
  <c r="I36" i="21"/>
  <c r="I24" i="39" s="1"/>
  <c r="H36" i="21"/>
  <c r="H24" i="39" s="1"/>
  <c r="G36" i="21"/>
  <c r="G24" i="39" s="1"/>
  <c r="F36" i="21"/>
  <c r="F24" i="39" s="1"/>
  <c r="E36" i="21"/>
  <c r="E24" i="39" s="1"/>
  <c r="D36" i="21"/>
  <c r="D24" i="39" s="1"/>
  <c r="C36" i="21"/>
  <c r="C24" i="39" s="1"/>
  <c r="B36" i="21"/>
  <c r="B24" i="39" s="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2" i="21"/>
  <c r="Q38" i="20"/>
  <c r="Q40" i="20" s="1"/>
  <c r="P38" i="20"/>
  <c r="P40" i="20" s="1"/>
  <c r="O38" i="20"/>
  <c r="O40" i="20" s="1"/>
  <c r="N38" i="20"/>
  <c r="N40" i="20" s="1"/>
  <c r="M38" i="20"/>
  <c r="M40" i="20" s="1"/>
  <c r="L38" i="20"/>
  <c r="L40" i="20" s="1"/>
  <c r="K38" i="20"/>
  <c r="K40" i="20" s="1"/>
  <c r="J38" i="20"/>
  <c r="J40" i="20" s="1"/>
  <c r="I38" i="20"/>
  <c r="I40" i="20" s="1"/>
  <c r="H38" i="20"/>
  <c r="H40" i="20" s="1"/>
  <c r="G38" i="20"/>
  <c r="G40" i="20" s="1"/>
  <c r="F38" i="20"/>
  <c r="F40" i="20" s="1"/>
  <c r="E38" i="20"/>
  <c r="E40" i="20" s="1"/>
  <c r="D38" i="20"/>
  <c r="D40" i="20" s="1"/>
  <c r="C38" i="20"/>
  <c r="C40" i="20" s="1"/>
  <c r="B38" i="20"/>
  <c r="B40" i="20" s="1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Q36" i="20"/>
  <c r="Q23" i="39" s="1"/>
  <c r="P36" i="20"/>
  <c r="P23" i="39" s="1"/>
  <c r="O36" i="20"/>
  <c r="O23" i="39" s="1"/>
  <c r="N36" i="20"/>
  <c r="N23" i="39" s="1"/>
  <c r="M36" i="20"/>
  <c r="M23" i="39" s="1"/>
  <c r="L36" i="20"/>
  <c r="L23" i="39" s="1"/>
  <c r="K36" i="20"/>
  <c r="K23" i="39" s="1"/>
  <c r="J36" i="20"/>
  <c r="J23" i="39" s="1"/>
  <c r="I36" i="20"/>
  <c r="I23" i="39" s="1"/>
  <c r="H36" i="20"/>
  <c r="H23" i="39" s="1"/>
  <c r="G36" i="20"/>
  <c r="G23" i="39" s="1"/>
  <c r="F36" i="20"/>
  <c r="F23" i="39" s="1"/>
  <c r="E36" i="20"/>
  <c r="E23" i="39" s="1"/>
  <c r="D36" i="20"/>
  <c r="D23" i="39" s="1"/>
  <c r="C36" i="20"/>
  <c r="C23" i="39" s="1"/>
  <c r="B36" i="20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B35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Q38" i="19"/>
  <c r="Q40" i="19" s="1"/>
  <c r="P38" i="19"/>
  <c r="P40" i="19" s="1"/>
  <c r="O38" i="19"/>
  <c r="O40" i="19" s="1"/>
  <c r="N38" i="19"/>
  <c r="N40" i="19" s="1"/>
  <c r="M38" i="19"/>
  <c r="M40" i="19" s="1"/>
  <c r="L38" i="19"/>
  <c r="L40" i="19" s="1"/>
  <c r="K38" i="19"/>
  <c r="K40" i="19" s="1"/>
  <c r="J38" i="19"/>
  <c r="J40" i="19" s="1"/>
  <c r="I38" i="19"/>
  <c r="I40" i="19" s="1"/>
  <c r="H40" i="19"/>
  <c r="G38" i="19"/>
  <c r="G39" i="19" s="1"/>
  <c r="F38" i="19"/>
  <c r="F40" i="19" s="1"/>
  <c r="E38" i="19"/>
  <c r="E40" i="19" s="1"/>
  <c r="D38" i="19"/>
  <c r="D40" i="19" s="1"/>
  <c r="C38" i="19"/>
  <c r="C40" i="19" s="1"/>
  <c r="B38" i="19"/>
  <c r="B40" i="19" s="1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B37" i="19"/>
  <c r="Q36" i="19"/>
  <c r="Q22" i="39" s="1"/>
  <c r="P36" i="19"/>
  <c r="P22" i="39" s="1"/>
  <c r="O36" i="19"/>
  <c r="O22" i="39" s="1"/>
  <c r="N36" i="19"/>
  <c r="N22" i="39" s="1"/>
  <c r="M36" i="19"/>
  <c r="M22" i="39" s="1"/>
  <c r="L36" i="19"/>
  <c r="L22" i="39" s="1"/>
  <c r="K36" i="19"/>
  <c r="K22" i="39" s="1"/>
  <c r="J36" i="19"/>
  <c r="J22" i="39" s="1"/>
  <c r="I36" i="19"/>
  <c r="I22" i="39" s="1"/>
  <c r="H36" i="19"/>
  <c r="H22" i="39" s="1"/>
  <c r="G36" i="19"/>
  <c r="G22" i="39" s="1"/>
  <c r="F36" i="19"/>
  <c r="F22" i="39" s="1"/>
  <c r="E36" i="19"/>
  <c r="E22" i="39" s="1"/>
  <c r="D36" i="19"/>
  <c r="D22" i="39" s="1"/>
  <c r="C36" i="19"/>
  <c r="B36" i="19"/>
  <c r="B22" i="39" s="1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B35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2" i="19"/>
  <c r="A22" i="39" s="1"/>
  <c r="Q38" i="18"/>
  <c r="Q40" i="18" s="1"/>
  <c r="P38" i="18"/>
  <c r="P40" i="18" s="1"/>
  <c r="O38" i="18"/>
  <c r="O40" i="18" s="1"/>
  <c r="N38" i="18"/>
  <c r="N40" i="18" s="1"/>
  <c r="M38" i="18"/>
  <c r="M40" i="18" s="1"/>
  <c r="L38" i="18"/>
  <c r="L40" i="18" s="1"/>
  <c r="K38" i="18"/>
  <c r="K40" i="18" s="1"/>
  <c r="J38" i="18"/>
  <c r="J40" i="18" s="1"/>
  <c r="I38" i="18"/>
  <c r="I40" i="18" s="1"/>
  <c r="H38" i="18"/>
  <c r="H40" i="18" s="1"/>
  <c r="G38" i="18"/>
  <c r="G40" i="18" s="1"/>
  <c r="F38" i="18"/>
  <c r="F40" i="18" s="1"/>
  <c r="E38" i="18"/>
  <c r="E40" i="18" s="1"/>
  <c r="D38" i="18"/>
  <c r="D40" i="18" s="1"/>
  <c r="C38" i="18"/>
  <c r="C40" i="18" s="1"/>
  <c r="B38" i="18"/>
  <c r="B40" i="18" s="1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Q36" i="18"/>
  <c r="Q21" i="39" s="1"/>
  <c r="P36" i="18"/>
  <c r="P21" i="39" s="1"/>
  <c r="O36" i="18"/>
  <c r="O21" i="39" s="1"/>
  <c r="N36" i="18"/>
  <c r="N21" i="39" s="1"/>
  <c r="M36" i="18"/>
  <c r="M21" i="39" s="1"/>
  <c r="L36" i="18"/>
  <c r="L21" i="39" s="1"/>
  <c r="K36" i="18"/>
  <c r="K21" i="39" s="1"/>
  <c r="J36" i="18"/>
  <c r="J21" i="39" s="1"/>
  <c r="I36" i="18"/>
  <c r="I21" i="39" s="1"/>
  <c r="H36" i="18"/>
  <c r="H21" i="39" s="1"/>
  <c r="G36" i="18"/>
  <c r="G21" i="39" s="1"/>
  <c r="F36" i="18"/>
  <c r="F21" i="39" s="1"/>
  <c r="E36" i="18"/>
  <c r="E21" i="39" s="1"/>
  <c r="D36" i="18"/>
  <c r="C36" i="18"/>
  <c r="C21" i="39" s="1"/>
  <c r="B36" i="18"/>
  <c r="B21" i="39" s="1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2" i="18"/>
  <c r="A21" i="39" s="1"/>
  <c r="Q38" i="17"/>
  <c r="Q40" i="17" s="1"/>
  <c r="P38" i="17"/>
  <c r="P40" i="17" s="1"/>
  <c r="O38" i="17"/>
  <c r="O40" i="17" s="1"/>
  <c r="N38" i="17"/>
  <c r="N40" i="17" s="1"/>
  <c r="M38" i="17"/>
  <c r="M40" i="17" s="1"/>
  <c r="L38" i="17"/>
  <c r="L40" i="17" s="1"/>
  <c r="K38" i="17"/>
  <c r="K40" i="17" s="1"/>
  <c r="J38" i="17"/>
  <c r="J40" i="17" s="1"/>
  <c r="I38" i="17"/>
  <c r="I39" i="17" s="1"/>
  <c r="H38" i="17"/>
  <c r="H40" i="17" s="1"/>
  <c r="G38" i="17"/>
  <c r="G40" i="17" s="1"/>
  <c r="F38" i="17"/>
  <c r="F40" i="17" s="1"/>
  <c r="E38" i="17"/>
  <c r="E40" i="17" s="1"/>
  <c r="D38" i="17"/>
  <c r="D40" i="17" s="1"/>
  <c r="C38" i="17"/>
  <c r="C40" i="17" s="1"/>
  <c r="B38" i="17"/>
  <c r="B40" i="17" s="1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Q36" i="17"/>
  <c r="Q20" i="39" s="1"/>
  <c r="P36" i="17"/>
  <c r="P20" i="39" s="1"/>
  <c r="O36" i="17"/>
  <c r="O20" i="39" s="1"/>
  <c r="N36" i="17"/>
  <c r="N20" i="39" s="1"/>
  <c r="M36" i="17"/>
  <c r="M20" i="39" s="1"/>
  <c r="L36" i="17"/>
  <c r="L20" i="39" s="1"/>
  <c r="K36" i="17"/>
  <c r="K20" i="39" s="1"/>
  <c r="J36" i="17"/>
  <c r="J20" i="39" s="1"/>
  <c r="I36" i="17"/>
  <c r="I20" i="39" s="1"/>
  <c r="H36" i="17"/>
  <c r="H20" i="39" s="1"/>
  <c r="G36" i="17"/>
  <c r="G20" i="39" s="1"/>
  <c r="F36" i="17"/>
  <c r="F20" i="39" s="1"/>
  <c r="E36" i="17"/>
  <c r="D36" i="17"/>
  <c r="D20" i="39" s="1"/>
  <c r="C36" i="17"/>
  <c r="C20" i="39" s="1"/>
  <c r="B36" i="17"/>
  <c r="B20" i="39" s="1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2" i="17"/>
  <c r="A20" i="39" s="1"/>
  <c r="Q38" i="16"/>
  <c r="Q40" i="16" s="1"/>
  <c r="P38" i="16"/>
  <c r="P40" i="16" s="1"/>
  <c r="O38" i="16"/>
  <c r="O40" i="16" s="1"/>
  <c r="N38" i="16"/>
  <c r="N40" i="16" s="1"/>
  <c r="M38" i="16"/>
  <c r="M40" i="16" s="1"/>
  <c r="L38" i="16"/>
  <c r="L40" i="16" s="1"/>
  <c r="K38" i="16"/>
  <c r="K40" i="16" s="1"/>
  <c r="J38" i="16"/>
  <c r="J40" i="16" s="1"/>
  <c r="I38" i="16"/>
  <c r="I40" i="16" s="1"/>
  <c r="H38" i="16"/>
  <c r="H40" i="16" s="1"/>
  <c r="G38" i="16"/>
  <c r="G40" i="16" s="1"/>
  <c r="F38" i="16"/>
  <c r="F40" i="16" s="1"/>
  <c r="E38" i="16"/>
  <c r="E40" i="16" s="1"/>
  <c r="D38" i="16"/>
  <c r="D40" i="16" s="1"/>
  <c r="C38" i="16"/>
  <c r="C40" i="16" s="1"/>
  <c r="B38" i="16"/>
  <c r="B40" i="16" s="1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Q36" i="16"/>
  <c r="Q19" i="39" s="1"/>
  <c r="P36" i="16"/>
  <c r="P19" i="39" s="1"/>
  <c r="O36" i="16"/>
  <c r="O19" i="39" s="1"/>
  <c r="N36" i="16"/>
  <c r="N19" i="39" s="1"/>
  <c r="M36" i="16"/>
  <c r="M19" i="39" s="1"/>
  <c r="L36" i="16"/>
  <c r="L19" i="39" s="1"/>
  <c r="K36" i="16"/>
  <c r="K19" i="39" s="1"/>
  <c r="J36" i="16"/>
  <c r="J19" i="39" s="1"/>
  <c r="I36" i="16"/>
  <c r="I19" i="39" s="1"/>
  <c r="H36" i="16"/>
  <c r="H19" i="39" s="1"/>
  <c r="G36" i="16"/>
  <c r="G19" i="39" s="1"/>
  <c r="F36" i="16"/>
  <c r="E36" i="16"/>
  <c r="E19" i="39" s="1"/>
  <c r="D36" i="16"/>
  <c r="D19" i="39" s="1"/>
  <c r="C36" i="16"/>
  <c r="C19" i="39" s="1"/>
  <c r="B36" i="16"/>
  <c r="B19" i="39" s="1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2" i="16"/>
  <c r="A19" i="39" s="1"/>
  <c r="Q38" i="15"/>
  <c r="Q40" i="15" s="1"/>
  <c r="P38" i="15"/>
  <c r="P40" i="15" s="1"/>
  <c r="O38" i="15"/>
  <c r="O40" i="15" s="1"/>
  <c r="N38" i="15"/>
  <c r="N40" i="15" s="1"/>
  <c r="M38" i="15"/>
  <c r="M40" i="15" s="1"/>
  <c r="L38" i="15"/>
  <c r="L40" i="15" s="1"/>
  <c r="K38" i="15"/>
  <c r="K39" i="15" s="1"/>
  <c r="J38" i="15"/>
  <c r="J40" i="15" s="1"/>
  <c r="I38" i="15"/>
  <c r="I40" i="15" s="1"/>
  <c r="H38" i="15"/>
  <c r="H40" i="15" s="1"/>
  <c r="G38" i="15"/>
  <c r="G40" i="15" s="1"/>
  <c r="F38" i="15"/>
  <c r="F40" i="15" s="1"/>
  <c r="E38" i="15"/>
  <c r="E40" i="15" s="1"/>
  <c r="D38" i="15"/>
  <c r="D40" i="15" s="1"/>
  <c r="C38" i="15"/>
  <c r="C40" i="15" s="1"/>
  <c r="B38" i="15"/>
  <c r="B40" i="15" s="1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Q36" i="15"/>
  <c r="Q18" i="39" s="1"/>
  <c r="P36" i="15"/>
  <c r="P18" i="39" s="1"/>
  <c r="O36" i="15"/>
  <c r="O18" i="39" s="1"/>
  <c r="N36" i="15"/>
  <c r="N18" i="39" s="1"/>
  <c r="M36" i="15"/>
  <c r="M18" i="39" s="1"/>
  <c r="L36" i="15"/>
  <c r="L18" i="39" s="1"/>
  <c r="K36" i="15"/>
  <c r="K18" i="39" s="1"/>
  <c r="J36" i="15"/>
  <c r="J18" i="39" s="1"/>
  <c r="I36" i="15"/>
  <c r="I18" i="39" s="1"/>
  <c r="H36" i="15"/>
  <c r="H18" i="39" s="1"/>
  <c r="G36" i="15"/>
  <c r="F36" i="15"/>
  <c r="F18" i="39" s="1"/>
  <c r="E36" i="15"/>
  <c r="E18" i="39" s="1"/>
  <c r="D36" i="15"/>
  <c r="D18" i="39" s="1"/>
  <c r="C36" i="15"/>
  <c r="C18" i="39" s="1"/>
  <c r="B36" i="15"/>
  <c r="B18" i="39" s="1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2" i="15"/>
  <c r="A18" i="39" s="1"/>
  <c r="I40" i="14"/>
  <c r="Q38" i="14"/>
  <c r="Q40" i="14" s="1"/>
  <c r="P38" i="14"/>
  <c r="P40" i="14" s="1"/>
  <c r="O38" i="14"/>
  <c r="O40" i="14" s="1"/>
  <c r="N38" i="14"/>
  <c r="N40" i="14" s="1"/>
  <c r="M38" i="14"/>
  <c r="M40" i="14" s="1"/>
  <c r="L38" i="14"/>
  <c r="L40" i="14" s="1"/>
  <c r="K38" i="14"/>
  <c r="K40" i="14" s="1"/>
  <c r="J38" i="14"/>
  <c r="J40" i="14" s="1"/>
  <c r="I38" i="14"/>
  <c r="I39" i="14" s="1"/>
  <c r="H38" i="14"/>
  <c r="H40" i="14" s="1"/>
  <c r="G38" i="14"/>
  <c r="G40" i="14" s="1"/>
  <c r="F38" i="14"/>
  <c r="F40" i="14" s="1"/>
  <c r="E38" i="14"/>
  <c r="E40" i="14" s="1"/>
  <c r="D38" i="14"/>
  <c r="D40" i="14" s="1"/>
  <c r="C38" i="14"/>
  <c r="C40" i="14" s="1"/>
  <c r="B38" i="14"/>
  <c r="B40" i="14" s="1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Q36" i="14"/>
  <c r="Q17" i="39" s="1"/>
  <c r="P36" i="14"/>
  <c r="O36" i="14"/>
  <c r="N36" i="14"/>
  <c r="M36" i="14"/>
  <c r="M17" i="39" s="1"/>
  <c r="L36" i="14"/>
  <c r="L17" i="39" s="1"/>
  <c r="K36" i="14"/>
  <c r="K17" i="39" s="1"/>
  <c r="J36" i="14"/>
  <c r="J17" i="39" s="1"/>
  <c r="I36" i="14"/>
  <c r="I17" i="39" s="1"/>
  <c r="H36" i="14"/>
  <c r="G36" i="14"/>
  <c r="G17" i="39" s="1"/>
  <c r="F36" i="14"/>
  <c r="F17" i="39" s="1"/>
  <c r="E36" i="14"/>
  <c r="E17" i="39" s="1"/>
  <c r="D36" i="14"/>
  <c r="D17" i="39" s="1"/>
  <c r="C36" i="14"/>
  <c r="C17" i="39" s="1"/>
  <c r="B36" i="14"/>
  <c r="B17" i="39" s="1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2" i="14"/>
  <c r="A17" i="39" s="1"/>
  <c r="Q38" i="13"/>
  <c r="Q40" i="13" s="1"/>
  <c r="P38" i="13"/>
  <c r="P40" i="13" s="1"/>
  <c r="O38" i="13"/>
  <c r="O40" i="13" s="1"/>
  <c r="N38" i="13"/>
  <c r="N40" i="13" s="1"/>
  <c r="M38" i="13"/>
  <c r="M40" i="13" s="1"/>
  <c r="L38" i="13"/>
  <c r="L40" i="13" s="1"/>
  <c r="K38" i="13"/>
  <c r="K40" i="13" s="1"/>
  <c r="J38" i="13"/>
  <c r="J40" i="13" s="1"/>
  <c r="I38" i="13"/>
  <c r="I40" i="13" s="1"/>
  <c r="H40" i="13"/>
  <c r="G40" i="13"/>
  <c r="F38" i="13"/>
  <c r="F40" i="13" s="1"/>
  <c r="E40" i="13"/>
  <c r="D38" i="13"/>
  <c r="D40" i="13" s="1"/>
  <c r="C38" i="13"/>
  <c r="C40" i="13" s="1"/>
  <c r="B38" i="13"/>
  <c r="B40" i="13" s="1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Q36" i="13"/>
  <c r="Q16" i="39" s="1"/>
  <c r="P36" i="13"/>
  <c r="P16" i="39" s="1"/>
  <c r="O36" i="13"/>
  <c r="O16" i="39" s="1"/>
  <c r="N36" i="13"/>
  <c r="N16" i="39" s="1"/>
  <c r="M36" i="13"/>
  <c r="M16" i="39" s="1"/>
  <c r="L36" i="13"/>
  <c r="L16" i="39" s="1"/>
  <c r="K36" i="13"/>
  <c r="K16" i="39" s="1"/>
  <c r="J36" i="13"/>
  <c r="J16" i="39" s="1"/>
  <c r="I36" i="13"/>
  <c r="H36" i="13"/>
  <c r="H16" i="39" s="1"/>
  <c r="G36" i="13"/>
  <c r="G16" i="39" s="1"/>
  <c r="F36" i="13"/>
  <c r="F16" i="39" s="1"/>
  <c r="E36" i="13"/>
  <c r="E16" i="39" s="1"/>
  <c r="D36" i="13"/>
  <c r="D16" i="39" s="1"/>
  <c r="C36" i="13"/>
  <c r="C16" i="39" s="1"/>
  <c r="B36" i="13"/>
  <c r="B16" i="39" s="1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2" i="13"/>
  <c r="A16" i="39" s="1"/>
  <c r="I40" i="12"/>
  <c r="I39" i="12"/>
  <c r="Q38" i="12"/>
  <c r="Q40" i="12" s="1"/>
  <c r="P38" i="12"/>
  <c r="P40" i="12" s="1"/>
  <c r="O38" i="12"/>
  <c r="O40" i="12" s="1"/>
  <c r="N38" i="12"/>
  <c r="N40" i="12" s="1"/>
  <c r="M38" i="12"/>
  <c r="M40" i="12" s="1"/>
  <c r="L38" i="12"/>
  <c r="L40" i="12" s="1"/>
  <c r="K38" i="12"/>
  <c r="K40" i="12" s="1"/>
  <c r="J38" i="12"/>
  <c r="J40" i="12" s="1"/>
  <c r="I38" i="12"/>
  <c r="H38" i="12"/>
  <c r="H40" i="12" s="1"/>
  <c r="G38" i="12"/>
  <c r="G40" i="12" s="1"/>
  <c r="F38" i="12"/>
  <c r="F40" i="12" s="1"/>
  <c r="E38" i="12"/>
  <c r="E40" i="12" s="1"/>
  <c r="D38" i="12"/>
  <c r="D40" i="12" s="1"/>
  <c r="C38" i="12"/>
  <c r="C40" i="12" s="1"/>
  <c r="B38" i="12"/>
  <c r="B40" i="12" s="1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Q36" i="12"/>
  <c r="Q15" i="39" s="1"/>
  <c r="P36" i="12"/>
  <c r="O36" i="12"/>
  <c r="N36" i="12"/>
  <c r="M36" i="12"/>
  <c r="M15" i="39" s="1"/>
  <c r="L36" i="12"/>
  <c r="L15" i="39" s="1"/>
  <c r="K36" i="12"/>
  <c r="J36" i="12"/>
  <c r="J15" i="39" s="1"/>
  <c r="I36" i="12"/>
  <c r="I15" i="39" s="1"/>
  <c r="H36" i="12"/>
  <c r="H15" i="39" s="1"/>
  <c r="G36" i="12"/>
  <c r="G15" i="39" s="1"/>
  <c r="F36" i="12"/>
  <c r="F15" i="39" s="1"/>
  <c r="E36" i="12"/>
  <c r="E15" i="39" s="1"/>
  <c r="D36" i="12"/>
  <c r="D15" i="39" s="1"/>
  <c r="C36" i="12"/>
  <c r="C15" i="39" s="1"/>
  <c r="B36" i="12"/>
  <c r="B15" i="39" s="1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B35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B2" i="12"/>
  <c r="A15" i="39" s="1"/>
  <c r="Q38" i="11"/>
  <c r="Q40" i="11" s="1"/>
  <c r="P38" i="11"/>
  <c r="P40" i="11" s="1"/>
  <c r="O38" i="11"/>
  <c r="O40" i="11" s="1"/>
  <c r="N38" i="11"/>
  <c r="N40" i="11" s="1"/>
  <c r="M38" i="11"/>
  <c r="M40" i="11" s="1"/>
  <c r="L38" i="11"/>
  <c r="L40" i="11" s="1"/>
  <c r="K38" i="11"/>
  <c r="K40" i="11" s="1"/>
  <c r="J38" i="11"/>
  <c r="J40" i="11" s="1"/>
  <c r="I38" i="11"/>
  <c r="I39" i="11" s="1"/>
  <c r="H38" i="11"/>
  <c r="H40" i="11" s="1"/>
  <c r="G38" i="11"/>
  <c r="G40" i="11" s="1"/>
  <c r="F38" i="11"/>
  <c r="F40" i="11" s="1"/>
  <c r="E38" i="11"/>
  <c r="E40" i="11" s="1"/>
  <c r="D38" i="11"/>
  <c r="D40" i="11" s="1"/>
  <c r="C38" i="11"/>
  <c r="C40" i="11" s="1"/>
  <c r="B38" i="11"/>
  <c r="B40" i="11" s="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Q36" i="11"/>
  <c r="Q14" i="39" s="1"/>
  <c r="P36" i="11"/>
  <c r="P14" i="39" s="1"/>
  <c r="O36" i="11"/>
  <c r="O14" i="39" s="1"/>
  <c r="N36" i="11"/>
  <c r="N14" i="39" s="1"/>
  <c r="M36" i="11"/>
  <c r="M14" i="39" s="1"/>
  <c r="L36" i="11"/>
  <c r="L14" i="39" s="1"/>
  <c r="K36" i="11"/>
  <c r="J36" i="11"/>
  <c r="J14" i="39" s="1"/>
  <c r="I36" i="11"/>
  <c r="I14" i="39" s="1"/>
  <c r="H36" i="11"/>
  <c r="H14" i="39" s="1"/>
  <c r="G36" i="11"/>
  <c r="G14" i="39" s="1"/>
  <c r="F36" i="11"/>
  <c r="F14" i="39" s="1"/>
  <c r="E36" i="11"/>
  <c r="E14" i="39" s="1"/>
  <c r="D36" i="11"/>
  <c r="D14" i="39" s="1"/>
  <c r="C36" i="11"/>
  <c r="C14" i="39" s="1"/>
  <c r="B36" i="11"/>
  <c r="B14" i="39" s="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B2" i="11"/>
  <c r="A14" i="39" s="1"/>
  <c r="J40" i="10"/>
  <c r="Q38" i="10"/>
  <c r="Q40" i="10" s="1"/>
  <c r="P38" i="10"/>
  <c r="P40" i="10" s="1"/>
  <c r="O38" i="10"/>
  <c r="O40" i="10" s="1"/>
  <c r="N38" i="10"/>
  <c r="N40" i="10" s="1"/>
  <c r="M38" i="10"/>
  <c r="M40" i="10" s="1"/>
  <c r="L38" i="10"/>
  <c r="L40" i="10" s="1"/>
  <c r="K38" i="10"/>
  <c r="K40" i="10" s="1"/>
  <c r="J38" i="10"/>
  <c r="J39" i="10" s="1"/>
  <c r="I38" i="10"/>
  <c r="I40" i="10" s="1"/>
  <c r="H38" i="10"/>
  <c r="H40" i="10" s="1"/>
  <c r="G38" i="10"/>
  <c r="G40" i="10" s="1"/>
  <c r="F38" i="10"/>
  <c r="F40" i="10" s="1"/>
  <c r="E38" i="10"/>
  <c r="E40" i="10" s="1"/>
  <c r="D38" i="10"/>
  <c r="D40" i="10" s="1"/>
  <c r="C38" i="10"/>
  <c r="C40" i="10" s="1"/>
  <c r="B38" i="10"/>
  <c r="B40" i="10" s="1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Q36" i="10"/>
  <c r="Q13" i="39" s="1"/>
  <c r="P36" i="10"/>
  <c r="P13" i="39" s="1"/>
  <c r="O36" i="10"/>
  <c r="O13" i="39" s="1"/>
  <c r="N36" i="10"/>
  <c r="N13" i="39" s="1"/>
  <c r="M36" i="10"/>
  <c r="M13" i="39" s="1"/>
  <c r="L36" i="10"/>
  <c r="K36" i="10"/>
  <c r="K13" i="39" s="1"/>
  <c r="J36" i="10"/>
  <c r="J13" i="39" s="1"/>
  <c r="I36" i="10"/>
  <c r="I13" i="39" s="1"/>
  <c r="H36" i="10"/>
  <c r="H13" i="39" s="1"/>
  <c r="G36" i="10"/>
  <c r="G13" i="39" s="1"/>
  <c r="F36" i="10"/>
  <c r="F13" i="39" s="1"/>
  <c r="E36" i="10"/>
  <c r="E13" i="39" s="1"/>
  <c r="D36" i="10"/>
  <c r="D13" i="39" s="1"/>
  <c r="C36" i="10"/>
  <c r="C13" i="39" s="1"/>
  <c r="B36" i="10"/>
  <c r="B13" i="39" s="1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B2" i="10"/>
  <c r="A13" i="39" s="1"/>
  <c r="K40" i="9"/>
  <c r="K39" i="9"/>
  <c r="Q38" i="9"/>
  <c r="Q40" i="9" s="1"/>
  <c r="P38" i="9"/>
  <c r="P40" i="9" s="1"/>
  <c r="O38" i="9"/>
  <c r="O40" i="9" s="1"/>
  <c r="N38" i="9"/>
  <c r="N40" i="9" s="1"/>
  <c r="M38" i="9"/>
  <c r="M40" i="9" s="1"/>
  <c r="L38" i="9"/>
  <c r="L40" i="9" s="1"/>
  <c r="K38" i="9"/>
  <c r="J38" i="9"/>
  <c r="J40" i="9" s="1"/>
  <c r="I38" i="9"/>
  <c r="I40" i="9" s="1"/>
  <c r="H38" i="9"/>
  <c r="H40" i="9" s="1"/>
  <c r="G38" i="9"/>
  <c r="G40" i="9" s="1"/>
  <c r="F38" i="9"/>
  <c r="F40" i="9" s="1"/>
  <c r="E38" i="9"/>
  <c r="E40" i="9" s="1"/>
  <c r="D38" i="9"/>
  <c r="D40" i="9" s="1"/>
  <c r="C38" i="9"/>
  <c r="C40" i="9" s="1"/>
  <c r="B38" i="9"/>
  <c r="B40" i="9" s="1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Q36" i="9"/>
  <c r="Q12" i="39" s="1"/>
  <c r="P36" i="9"/>
  <c r="P12" i="39" s="1"/>
  <c r="O36" i="9"/>
  <c r="O12" i="39" s="1"/>
  <c r="N36" i="9"/>
  <c r="N12" i="39" s="1"/>
  <c r="M36" i="9"/>
  <c r="L36" i="9"/>
  <c r="L12" i="39" s="1"/>
  <c r="K36" i="9"/>
  <c r="K12" i="39" s="1"/>
  <c r="J36" i="9"/>
  <c r="J12" i="39" s="1"/>
  <c r="I36" i="9"/>
  <c r="I12" i="39" s="1"/>
  <c r="H36" i="9"/>
  <c r="H12" i="39" s="1"/>
  <c r="G36" i="9"/>
  <c r="G12" i="39" s="1"/>
  <c r="F36" i="9"/>
  <c r="F12" i="39" s="1"/>
  <c r="E36" i="9"/>
  <c r="E12" i="39" s="1"/>
  <c r="D36" i="9"/>
  <c r="D12" i="39" s="1"/>
  <c r="C36" i="9"/>
  <c r="C12" i="39" s="1"/>
  <c r="B36" i="9"/>
  <c r="B12" i="39" s="1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B2" i="9"/>
  <c r="A12" i="39" s="1"/>
  <c r="K39" i="8"/>
  <c r="Q38" i="8"/>
  <c r="Q40" i="8" s="1"/>
  <c r="P38" i="8"/>
  <c r="P40" i="8" s="1"/>
  <c r="O38" i="8"/>
  <c r="O40" i="8" s="1"/>
  <c r="N38" i="8"/>
  <c r="N40" i="8" s="1"/>
  <c r="M38" i="8"/>
  <c r="M40" i="8" s="1"/>
  <c r="L38" i="8"/>
  <c r="L39" i="8" s="1"/>
  <c r="K38" i="8"/>
  <c r="K40" i="8" s="1"/>
  <c r="J38" i="8"/>
  <c r="J40" i="8" s="1"/>
  <c r="I38" i="8"/>
  <c r="I40" i="8" s="1"/>
  <c r="H38" i="8"/>
  <c r="H40" i="8" s="1"/>
  <c r="G38" i="8"/>
  <c r="G40" i="8" s="1"/>
  <c r="F38" i="8"/>
  <c r="F40" i="8" s="1"/>
  <c r="E38" i="8"/>
  <c r="E40" i="8" s="1"/>
  <c r="D38" i="8"/>
  <c r="D40" i="8" s="1"/>
  <c r="C38" i="8"/>
  <c r="C40" i="8" s="1"/>
  <c r="B38" i="8"/>
  <c r="B40" i="8" s="1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Q36" i="8"/>
  <c r="P36" i="8"/>
  <c r="O36" i="8"/>
  <c r="N36" i="8"/>
  <c r="N11" i="39" s="1"/>
  <c r="M36" i="8"/>
  <c r="M11" i="39" s="1"/>
  <c r="L36" i="8"/>
  <c r="L11" i="39" s="1"/>
  <c r="K36" i="8"/>
  <c r="K11" i="39" s="1"/>
  <c r="J36" i="8"/>
  <c r="J11" i="39" s="1"/>
  <c r="I36" i="8"/>
  <c r="I11" i="39" s="1"/>
  <c r="H36" i="8"/>
  <c r="H11" i="39" s="1"/>
  <c r="G36" i="8"/>
  <c r="G11" i="39" s="1"/>
  <c r="F36" i="8"/>
  <c r="F11" i="39" s="1"/>
  <c r="E36" i="8"/>
  <c r="E11" i="39" s="1"/>
  <c r="D36" i="8"/>
  <c r="D11" i="39" s="1"/>
  <c r="C36" i="8"/>
  <c r="C11" i="39" s="1"/>
  <c r="B36" i="8"/>
  <c r="B11" i="39" s="1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B2" i="8"/>
  <c r="Q38" i="3"/>
  <c r="Q40" i="3" s="1"/>
  <c r="P38" i="3"/>
  <c r="P40" i="3" s="1"/>
  <c r="O38" i="3"/>
  <c r="O40" i="3" s="1"/>
  <c r="N38" i="3"/>
  <c r="N40" i="3" s="1"/>
  <c r="M38" i="3"/>
  <c r="M40" i="3" s="1"/>
  <c r="L38" i="3"/>
  <c r="L40" i="3" s="1"/>
  <c r="K38" i="3"/>
  <c r="K40" i="3" s="1"/>
  <c r="J38" i="3"/>
  <c r="J40" i="3" s="1"/>
  <c r="I38" i="3"/>
  <c r="I40" i="3" s="1"/>
  <c r="H40" i="3"/>
  <c r="G40" i="3"/>
  <c r="F38" i="3"/>
  <c r="F40" i="3" s="1"/>
  <c r="E40" i="3"/>
  <c r="D38" i="3"/>
  <c r="D40" i="3" s="1"/>
  <c r="C38" i="3"/>
  <c r="C40" i="3" s="1"/>
  <c r="B38" i="3"/>
  <c r="B40" i="3" s="1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Q36" i="3"/>
  <c r="Q10" i="39" s="1"/>
  <c r="P36" i="3"/>
  <c r="P10" i="39" s="1"/>
  <c r="O36" i="3"/>
  <c r="O10" i="39" s="1"/>
  <c r="N36" i="3"/>
  <c r="N10" i="39" s="1"/>
  <c r="M36" i="3"/>
  <c r="M10" i="39" s="1"/>
  <c r="L36" i="3"/>
  <c r="L10" i="39" s="1"/>
  <c r="K36" i="3"/>
  <c r="K10" i="39" s="1"/>
  <c r="J36" i="3"/>
  <c r="J10" i="39" s="1"/>
  <c r="I36" i="3"/>
  <c r="I10" i="39" s="1"/>
  <c r="H36" i="3"/>
  <c r="H10" i="39" s="1"/>
  <c r="G36" i="3"/>
  <c r="G10" i="39" s="1"/>
  <c r="F36" i="3"/>
  <c r="F10" i="39" s="1"/>
  <c r="E36" i="3"/>
  <c r="E10" i="39" s="1"/>
  <c r="D36" i="3"/>
  <c r="D10" i="39" s="1"/>
  <c r="C36" i="3"/>
  <c r="C10" i="39" s="1"/>
  <c r="B36" i="3"/>
  <c r="B10" i="39" s="1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B2" i="3"/>
  <c r="A10" i="39" s="1"/>
  <c r="Q39" i="2"/>
  <c r="P39" i="2"/>
  <c r="O40" i="2"/>
  <c r="N40" i="2"/>
  <c r="M40" i="2"/>
  <c r="L40" i="2"/>
  <c r="K40" i="2"/>
  <c r="J39" i="2"/>
  <c r="I40" i="2"/>
  <c r="H40" i="2"/>
  <c r="G40" i="2"/>
  <c r="F40" i="2"/>
  <c r="E40" i="2"/>
  <c r="D40" i="2"/>
  <c r="C40" i="2"/>
  <c r="B40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Q36" i="2"/>
  <c r="Q9" i="39" s="1"/>
  <c r="P36" i="2"/>
  <c r="P9" i="39" s="1"/>
  <c r="O36" i="2"/>
  <c r="O9" i="39" s="1"/>
  <c r="N36" i="2"/>
  <c r="N9" i="39" s="1"/>
  <c r="M36" i="2"/>
  <c r="M9" i="39" s="1"/>
  <c r="L36" i="2"/>
  <c r="L9" i="39" s="1"/>
  <c r="K36" i="2"/>
  <c r="K9" i="39" s="1"/>
  <c r="J36" i="2"/>
  <c r="J9" i="39" s="1"/>
  <c r="I36" i="2"/>
  <c r="I9" i="39" s="1"/>
  <c r="H36" i="2"/>
  <c r="H9" i="39" s="1"/>
  <c r="G36" i="2"/>
  <c r="G9" i="39" s="1"/>
  <c r="F36" i="2"/>
  <c r="F9" i="39" s="1"/>
  <c r="E36" i="2"/>
  <c r="E9" i="39" s="1"/>
  <c r="D36" i="2"/>
  <c r="D9" i="39" s="1"/>
  <c r="C36" i="2"/>
  <c r="C9" i="39" s="1"/>
  <c r="B36" i="2"/>
  <c r="B9" i="39" s="1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B2" i="2"/>
  <c r="A9" i="39" s="1"/>
  <c r="B2" i="39" s="1"/>
  <c r="L39" i="41" l="1"/>
  <c r="M39" i="41"/>
  <c r="N39" i="41"/>
  <c r="O39" i="41"/>
  <c r="P39" i="41"/>
  <c r="Q39" i="41"/>
  <c r="B39" i="41"/>
  <c r="C39" i="41"/>
  <c r="D39" i="41"/>
  <c r="E39" i="41"/>
  <c r="F39" i="41"/>
  <c r="G39" i="41"/>
  <c r="H39" i="41"/>
  <c r="I39" i="41"/>
  <c r="J39" i="41"/>
  <c r="K39" i="41"/>
  <c r="M39" i="40"/>
  <c r="N39" i="40"/>
  <c r="O39" i="40"/>
  <c r="P39" i="40"/>
  <c r="B39" i="40"/>
  <c r="C39" i="40"/>
  <c r="D39" i="40"/>
  <c r="E39" i="40"/>
  <c r="F39" i="40"/>
  <c r="G39" i="40"/>
  <c r="H39" i="40"/>
  <c r="I39" i="40"/>
  <c r="J39" i="40"/>
  <c r="K39" i="40"/>
  <c r="L39" i="40"/>
  <c r="O39" i="33"/>
  <c r="P39" i="33"/>
  <c r="Q39" i="33"/>
  <c r="B39" i="33"/>
  <c r="C39" i="33"/>
  <c r="D39" i="33"/>
  <c r="E39" i="33"/>
  <c r="F39" i="33"/>
  <c r="M40" i="33"/>
  <c r="G39" i="33"/>
  <c r="H39" i="33"/>
  <c r="I39" i="33"/>
  <c r="J39" i="33"/>
  <c r="N39" i="33"/>
  <c r="K39" i="33"/>
  <c r="L39" i="33"/>
  <c r="O39" i="32"/>
  <c r="P39" i="32"/>
  <c r="Q39" i="32"/>
  <c r="B39" i="32"/>
  <c r="C39" i="32"/>
  <c r="D39" i="32"/>
  <c r="E39" i="32"/>
  <c r="N40" i="32"/>
  <c r="F39" i="32"/>
  <c r="G39" i="32"/>
  <c r="H39" i="32"/>
  <c r="M40" i="32"/>
  <c r="I39" i="32"/>
  <c r="J39" i="32"/>
  <c r="K39" i="32"/>
  <c r="L39" i="32"/>
  <c r="O39" i="31"/>
  <c r="P39" i="31"/>
  <c r="Q39" i="31"/>
  <c r="B39" i="31"/>
  <c r="C39" i="31"/>
  <c r="D39" i="31"/>
  <c r="E39" i="31"/>
  <c r="F39" i="31"/>
  <c r="G39" i="31"/>
  <c r="H39" i="31"/>
  <c r="I39" i="31"/>
  <c r="J39" i="31"/>
  <c r="K39" i="31"/>
  <c r="N39" i="31"/>
  <c r="L39" i="31"/>
  <c r="M39" i="31"/>
  <c r="P39" i="30"/>
  <c r="Q39" i="30"/>
  <c r="B39" i="30"/>
  <c r="C39" i="30"/>
  <c r="D39" i="30"/>
  <c r="E39" i="30"/>
  <c r="F39" i="30"/>
  <c r="G39" i="30"/>
  <c r="O39" i="30"/>
  <c r="H39" i="30"/>
  <c r="I39" i="30"/>
  <c r="J39" i="30"/>
  <c r="K39" i="30"/>
  <c r="L39" i="30"/>
  <c r="M39" i="30"/>
  <c r="N39" i="30"/>
  <c r="Q39" i="29"/>
  <c r="B39" i="29"/>
  <c r="P40" i="29"/>
  <c r="C39" i="29"/>
  <c r="D39" i="29"/>
  <c r="E39" i="29"/>
  <c r="F39" i="29"/>
  <c r="G39" i="29"/>
  <c r="H39" i="29"/>
  <c r="I39" i="29"/>
  <c r="J39" i="29"/>
  <c r="K39" i="29"/>
  <c r="L39" i="29"/>
  <c r="M39" i="29"/>
  <c r="N39" i="29"/>
  <c r="O39" i="29"/>
  <c r="B39" i="28"/>
  <c r="Q40" i="28"/>
  <c r="C39" i="28"/>
  <c r="D39" i="28"/>
  <c r="E39" i="28"/>
  <c r="F39" i="28"/>
  <c r="G39" i="28"/>
  <c r="H39" i="28"/>
  <c r="I39" i="28"/>
  <c r="J39" i="28"/>
  <c r="K39" i="28"/>
  <c r="L39" i="28"/>
  <c r="M39" i="28"/>
  <c r="N39" i="28"/>
  <c r="O39" i="28"/>
  <c r="P39" i="28"/>
  <c r="B39" i="27"/>
  <c r="D39" i="27"/>
  <c r="C39" i="27"/>
  <c r="E39" i="27"/>
  <c r="F39" i="27"/>
  <c r="G39" i="27"/>
  <c r="H39" i="27"/>
  <c r="I39" i="27"/>
  <c r="J39" i="27"/>
  <c r="K39" i="27"/>
  <c r="L39" i="27"/>
  <c r="M39" i="27"/>
  <c r="N39" i="27"/>
  <c r="O39" i="27"/>
  <c r="P39" i="27"/>
  <c r="Q39" i="27"/>
  <c r="D39" i="26"/>
  <c r="E39" i="26"/>
  <c r="F39" i="26"/>
  <c r="C40" i="26"/>
  <c r="G39" i="26"/>
  <c r="H39" i="26"/>
  <c r="I39" i="26"/>
  <c r="J39" i="26"/>
  <c r="K39" i="26"/>
  <c r="L39" i="26"/>
  <c r="M39" i="26"/>
  <c r="N39" i="26"/>
  <c r="O39" i="26"/>
  <c r="P39" i="26"/>
  <c r="Q39" i="26"/>
  <c r="B39" i="26"/>
  <c r="E39" i="25"/>
  <c r="F39" i="25"/>
  <c r="G39" i="25"/>
  <c r="H39" i="25"/>
  <c r="I39" i="25"/>
  <c r="J39" i="25"/>
  <c r="D39" i="25"/>
  <c r="K39" i="25"/>
  <c r="L39" i="25"/>
  <c r="M39" i="25"/>
  <c r="N39" i="25"/>
  <c r="O39" i="25"/>
  <c r="P39" i="25"/>
  <c r="Q39" i="25"/>
  <c r="B39" i="25"/>
  <c r="C39" i="25"/>
  <c r="F39" i="24"/>
  <c r="G39" i="24"/>
  <c r="H39" i="24"/>
  <c r="I39" i="24"/>
  <c r="E40" i="24"/>
  <c r="J39" i="24"/>
  <c r="K39" i="24"/>
  <c r="L39" i="24"/>
  <c r="M39" i="24"/>
  <c r="N39" i="24"/>
  <c r="O39" i="24"/>
  <c r="P39" i="24"/>
  <c r="Q39" i="24"/>
  <c r="B39" i="24"/>
  <c r="C39" i="24"/>
  <c r="D39" i="24"/>
  <c r="G39" i="23"/>
  <c r="F39" i="23"/>
  <c r="H39" i="23"/>
  <c r="I39" i="23"/>
  <c r="J39" i="23"/>
  <c r="K39" i="23"/>
  <c r="L39" i="23"/>
  <c r="M39" i="23"/>
  <c r="N39" i="23"/>
  <c r="O39" i="23"/>
  <c r="P39" i="23"/>
  <c r="Q39" i="23"/>
  <c r="B39" i="23"/>
  <c r="C39" i="23"/>
  <c r="D39" i="23"/>
  <c r="E39" i="23"/>
  <c r="H39" i="22"/>
  <c r="I39" i="22"/>
  <c r="J39" i="22"/>
  <c r="G40" i="22"/>
  <c r="K39" i="22"/>
  <c r="L39" i="22"/>
  <c r="M39" i="22"/>
  <c r="N39" i="22"/>
  <c r="O39" i="22"/>
  <c r="P39" i="22"/>
  <c r="Q39" i="22"/>
  <c r="B39" i="22"/>
  <c r="C39" i="22"/>
  <c r="D39" i="22"/>
  <c r="E39" i="22"/>
  <c r="F39" i="22"/>
  <c r="H39" i="21"/>
  <c r="I39" i="21"/>
  <c r="J39" i="21"/>
  <c r="G40" i="21"/>
  <c r="K39" i="21"/>
  <c r="L39" i="21"/>
  <c r="M39" i="21"/>
  <c r="N39" i="21"/>
  <c r="O39" i="21"/>
  <c r="P39" i="21"/>
  <c r="Q39" i="21"/>
  <c r="B39" i="21"/>
  <c r="C39" i="21"/>
  <c r="D39" i="21"/>
  <c r="E39" i="21"/>
  <c r="F39" i="21"/>
  <c r="G39" i="20"/>
  <c r="H39" i="20"/>
  <c r="I39" i="20"/>
  <c r="J39" i="20"/>
  <c r="K39" i="20"/>
  <c r="L39" i="20"/>
  <c r="N39" i="20"/>
  <c r="O39" i="20"/>
  <c r="P39" i="20"/>
  <c r="M39" i="20"/>
  <c r="Q39" i="20"/>
  <c r="B39" i="20"/>
  <c r="C39" i="20"/>
  <c r="D39" i="20"/>
  <c r="E39" i="20"/>
  <c r="F39" i="20"/>
  <c r="G40" i="19"/>
  <c r="H39" i="19"/>
  <c r="I39" i="19"/>
  <c r="J39" i="19"/>
  <c r="K39" i="19"/>
  <c r="L39" i="19"/>
  <c r="M39" i="19"/>
  <c r="N39" i="19"/>
  <c r="O39" i="19"/>
  <c r="P39" i="19"/>
  <c r="Q39" i="19"/>
  <c r="B39" i="19"/>
  <c r="C39" i="19"/>
  <c r="D39" i="19"/>
  <c r="E39" i="19"/>
  <c r="F39" i="19"/>
  <c r="I39" i="18"/>
  <c r="J39" i="18"/>
  <c r="K39" i="18"/>
  <c r="H39" i="18"/>
  <c r="L39" i="18"/>
  <c r="M39" i="18"/>
  <c r="N39" i="18"/>
  <c r="O39" i="18"/>
  <c r="P39" i="18"/>
  <c r="Q39" i="18"/>
  <c r="B39" i="18"/>
  <c r="C39" i="18"/>
  <c r="D39" i="18"/>
  <c r="E39" i="18"/>
  <c r="F39" i="18"/>
  <c r="G39" i="18"/>
  <c r="J39" i="17"/>
  <c r="K39" i="17"/>
  <c r="L39" i="17"/>
  <c r="M39" i="17"/>
  <c r="N39" i="17"/>
  <c r="O39" i="17"/>
  <c r="I40" i="17"/>
  <c r="P39" i="17"/>
  <c r="Q39" i="17"/>
  <c r="B39" i="17"/>
  <c r="C39" i="17"/>
  <c r="D39" i="17"/>
  <c r="E39" i="17"/>
  <c r="F39" i="17"/>
  <c r="G39" i="17"/>
  <c r="H39" i="17"/>
  <c r="K39" i="16"/>
  <c r="L39" i="16"/>
  <c r="M39" i="16"/>
  <c r="N39" i="16"/>
  <c r="J39" i="16"/>
  <c r="O39" i="16"/>
  <c r="P39" i="16"/>
  <c r="Q39" i="16"/>
  <c r="B39" i="16"/>
  <c r="C39" i="16"/>
  <c r="D39" i="16"/>
  <c r="E39" i="16"/>
  <c r="F39" i="16"/>
  <c r="G39" i="16"/>
  <c r="H39" i="16"/>
  <c r="I39" i="16"/>
  <c r="K40" i="15"/>
  <c r="L39" i="15"/>
  <c r="M39" i="15"/>
  <c r="N39" i="15"/>
  <c r="O39" i="15"/>
  <c r="P39" i="15"/>
  <c r="Q39" i="15"/>
  <c r="B39" i="15"/>
  <c r="C39" i="15"/>
  <c r="D39" i="15"/>
  <c r="E39" i="15"/>
  <c r="F39" i="15"/>
  <c r="G39" i="15"/>
  <c r="H39" i="15"/>
  <c r="I39" i="15"/>
  <c r="J39" i="15"/>
  <c r="J39" i="14"/>
  <c r="K39" i="14"/>
  <c r="L39" i="14"/>
  <c r="M39" i="14"/>
  <c r="N39" i="14"/>
  <c r="O39" i="14"/>
  <c r="P39" i="14"/>
  <c r="Q39" i="14"/>
  <c r="B39" i="14"/>
  <c r="C39" i="14"/>
  <c r="D39" i="14"/>
  <c r="E39" i="14"/>
  <c r="F39" i="14"/>
  <c r="G39" i="14"/>
  <c r="H39" i="14"/>
  <c r="K39" i="13"/>
  <c r="L39" i="13"/>
  <c r="M39" i="13"/>
  <c r="N39" i="13"/>
  <c r="O39" i="13"/>
  <c r="P39" i="13"/>
  <c r="Q39" i="13"/>
  <c r="B39" i="13"/>
  <c r="C39" i="13"/>
  <c r="J39" i="13"/>
  <c r="D39" i="13"/>
  <c r="E39" i="13"/>
  <c r="F39" i="13"/>
  <c r="G39" i="13"/>
  <c r="H39" i="13"/>
  <c r="I39" i="13"/>
  <c r="H39" i="12"/>
  <c r="J39" i="12"/>
  <c r="K39" i="12"/>
  <c r="L39" i="12"/>
  <c r="M39" i="12"/>
  <c r="N39" i="12"/>
  <c r="O39" i="12"/>
  <c r="P39" i="12"/>
  <c r="Q39" i="12"/>
  <c r="B39" i="12"/>
  <c r="C39" i="12"/>
  <c r="D39" i="12"/>
  <c r="E39" i="12"/>
  <c r="F39" i="12"/>
  <c r="G39" i="12"/>
  <c r="J39" i="11"/>
  <c r="K39" i="11"/>
  <c r="L39" i="11"/>
  <c r="M39" i="11"/>
  <c r="N39" i="11"/>
  <c r="O39" i="11"/>
  <c r="P39" i="11"/>
  <c r="Q39" i="11"/>
  <c r="I40" i="11"/>
  <c r="B39" i="11"/>
  <c r="C39" i="11"/>
  <c r="D39" i="11"/>
  <c r="E39" i="11"/>
  <c r="F39" i="11"/>
  <c r="G39" i="11"/>
  <c r="H39" i="11"/>
  <c r="K39" i="10"/>
  <c r="L39" i="10"/>
  <c r="M39" i="10"/>
  <c r="N39" i="10"/>
  <c r="O39" i="10"/>
  <c r="P39" i="10"/>
  <c r="Q39" i="10"/>
  <c r="B39" i="10"/>
  <c r="C39" i="10"/>
  <c r="D39" i="10"/>
  <c r="E39" i="10"/>
  <c r="F39" i="10"/>
  <c r="G39" i="10"/>
  <c r="H39" i="10"/>
  <c r="I39" i="10"/>
  <c r="L39" i="9"/>
  <c r="M39" i="9"/>
  <c r="N39" i="9"/>
  <c r="O39" i="9"/>
  <c r="P39" i="9"/>
  <c r="Q39" i="9"/>
  <c r="B39" i="9"/>
  <c r="C39" i="9"/>
  <c r="D39" i="9"/>
  <c r="E39" i="9"/>
  <c r="F39" i="9"/>
  <c r="G39" i="9"/>
  <c r="H39" i="9"/>
  <c r="I39" i="9"/>
  <c r="J39" i="9"/>
  <c r="L40" i="8"/>
  <c r="I39" i="8"/>
  <c r="M39" i="8"/>
  <c r="N39" i="8"/>
  <c r="O39" i="8"/>
  <c r="P39" i="8"/>
  <c r="J39" i="8"/>
  <c r="Q39" i="8"/>
  <c r="B39" i="8"/>
  <c r="C39" i="8"/>
  <c r="D39" i="8"/>
  <c r="E39" i="8"/>
  <c r="F39" i="8"/>
  <c r="G39" i="8"/>
  <c r="H39" i="8"/>
  <c r="L39" i="3"/>
  <c r="M39" i="3"/>
  <c r="N39" i="3"/>
  <c r="O39" i="3"/>
  <c r="Q43" i="39"/>
  <c r="P39" i="3"/>
  <c r="B44" i="39"/>
  <c r="Q39" i="3"/>
  <c r="B39" i="3"/>
  <c r="C39" i="3"/>
  <c r="D39" i="3"/>
  <c r="K39" i="3"/>
  <c r="E39" i="3"/>
  <c r="L46" i="39"/>
  <c r="F39" i="3"/>
  <c r="G39" i="3"/>
  <c r="H39" i="3"/>
  <c r="I39" i="3"/>
  <c r="J39" i="3"/>
  <c r="M42" i="39"/>
  <c r="M46" i="39"/>
  <c r="M41" i="39"/>
  <c r="M43" i="39"/>
  <c r="M40" i="39"/>
  <c r="N46" i="39"/>
  <c r="N41" i="39"/>
  <c r="N43" i="39"/>
  <c r="N40" i="39"/>
  <c r="N42" i="39"/>
  <c r="D40" i="39"/>
  <c r="D42" i="39"/>
  <c r="D44" i="39"/>
  <c r="D46" i="39" s="1"/>
  <c r="D41" i="39"/>
  <c r="D43" i="39"/>
  <c r="E42" i="39"/>
  <c r="E44" i="39"/>
  <c r="E46" i="39" s="1"/>
  <c r="E41" i="39"/>
  <c r="E43" i="39"/>
  <c r="E40" i="39"/>
  <c r="F42" i="39"/>
  <c r="F44" i="39"/>
  <c r="F46" i="39" s="1"/>
  <c r="F41" i="39"/>
  <c r="F43" i="39"/>
  <c r="F40" i="39"/>
  <c r="G42" i="39"/>
  <c r="G44" i="39"/>
  <c r="G46" i="39" s="1"/>
  <c r="G41" i="39"/>
  <c r="G43" i="39"/>
  <c r="G40" i="39"/>
  <c r="J43" i="39"/>
  <c r="J46" i="39"/>
  <c r="K43" i="39"/>
  <c r="K46" i="39"/>
  <c r="H39" i="2"/>
  <c r="L39" i="2"/>
  <c r="J40" i="2"/>
  <c r="O43" i="39"/>
  <c r="O41" i="39"/>
  <c r="O40" i="39"/>
  <c r="O42" i="39"/>
  <c r="B46" i="39"/>
  <c r="B45" i="39"/>
  <c r="C44" i="39"/>
  <c r="C43" i="39"/>
  <c r="C42" i="39"/>
  <c r="C41" i="39"/>
  <c r="C40" i="39"/>
  <c r="P43" i="39"/>
  <c r="P41" i="39"/>
  <c r="P40" i="39"/>
  <c r="P44" i="39"/>
  <c r="P42" i="39"/>
  <c r="H41" i="39"/>
  <c r="H43" i="39"/>
  <c r="H44" i="39"/>
  <c r="H40" i="39"/>
  <c r="H42" i="39"/>
  <c r="I43" i="39"/>
  <c r="I42" i="39"/>
  <c r="I41" i="39"/>
  <c r="I40" i="39"/>
  <c r="I44" i="39"/>
  <c r="I39" i="2"/>
  <c r="Q40" i="39"/>
  <c r="Q41" i="39"/>
  <c r="Q42" i="39"/>
  <c r="N39" i="2"/>
  <c r="Q40" i="2"/>
  <c r="B39" i="2"/>
  <c r="O39" i="2"/>
  <c r="D39" i="2"/>
  <c r="E39" i="2"/>
  <c r="J40" i="39"/>
  <c r="J41" i="39"/>
  <c r="J42" i="39"/>
  <c r="F39" i="2"/>
  <c r="K40" i="39"/>
  <c r="K41" i="39"/>
  <c r="K42" i="39"/>
  <c r="G39" i="2"/>
  <c r="L40" i="39"/>
  <c r="L41" i="39"/>
  <c r="L42" i="39"/>
  <c r="L43" i="39"/>
  <c r="C39" i="2"/>
  <c r="P40" i="2"/>
  <c r="N45" i="39"/>
  <c r="Q44" i="39"/>
  <c r="K39" i="2"/>
  <c r="M39" i="2"/>
  <c r="B40" i="39"/>
  <c r="B41" i="39"/>
  <c r="B42" i="39"/>
  <c r="B43" i="39"/>
  <c r="L45" i="39" l="1"/>
  <c r="M45" i="39"/>
  <c r="K45" i="39"/>
  <c r="E45" i="39"/>
  <c r="J45" i="39"/>
  <c r="G45" i="39"/>
  <c r="F45" i="39"/>
  <c r="D45" i="39"/>
  <c r="P46" i="39"/>
  <c r="P45" i="39"/>
  <c r="Q46" i="39"/>
  <c r="Q45" i="39"/>
  <c r="C46" i="39"/>
  <c r="C45" i="39"/>
  <c r="I46" i="39"/>
  <c r="I45" i="39"/>
  <c r="H46" i="39"/>
  <c r="H45" i="39"/>
  <c r="O46" i="39"/>
  <c r="O45" i="39"/>
</calcChain>
</file>

<file path=xl/sharedStrings.xml><?xml version="1.0" encoding="utf-8"?>
<sst xmlns="http://schemas.openxmlformats.org/spreadsheetml/2006/main" count="3745" uniqueCount="804">
  <si>
    <t>Date:</t>
  </si>
  <si>
    <t>Status</t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</si>
  <si>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</si>
  <si>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</si>
  <si>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</si>
  <si>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</si>
  <si>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</si>
  <si>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</si>
  <si>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</si>
  <si>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</si>
  <si>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</si>
  <si>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</si>
  <si>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</si>
  <si>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</si>
  <si>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</si>
  <si>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</si>
  <si>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</si>
  <si>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</si>
  <si>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</si>
  <si>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</si>
  <si>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</si>
  <si>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</si>
  <si>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</si>
  <si>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</si>
  <si>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</si>
  <si>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</si>
  <si>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</si>
  <si>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</si>
  <si>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</si>
  <si>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</si>
  <si>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</si>
  <si>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</si>
  <si>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</si>
  <si>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</si>
  <si>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</si>
  <si>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</si>
  <si>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</si>
  <si>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</si>
  <si>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Stdev</t>
  </si>
  <si>
    <t xml:space="preserve"> 01 Hour</t>
  </si>
  <si>
    <t>RAHUL</t>
  </si>
  <si>
    <t>RK</t>
  </si>
  <si>
    <t>ppb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</si>
  <si>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</si>
  <si>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</si>
  <si>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</si>
  <si>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</si>
  <si>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</si>
  <si>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</si>
  <si>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</si>
  <si>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</si>
  <si>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</si>
  <si>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</si>
  <si>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</si>
  <si>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</si>
  <si>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</si>
  <si>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</si>
  <si>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</si>
  <si>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</si>
  <si>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RAIPUR</t>
  </si>
  <si>
    <t>01/05/2025 01:00</t>
  </si>
  <si>
    <t>01/05/2025 02:00</t>
  </si>
  <si>
    <t>01/05/2025 03:00</t>
  </si>
  <si>
    <t>01/05/2025 04:00</t>
  </si>
  <si>
    <t>01/05/2025 05:00</t>
  </si>
  <si>
    <t>01/05/2025 06:00</t>
  </si>
  <si>
    <t>01/05/2025 07:00</t>
  </si>
  <si>
    <t>01/05/2025 08:00</t>
  </si>
  <si>
    <t>01/05/2025 09:00</t>
  </si>
  <si>
    <t>01/05/2025 10:00</t>
  </si>
  <si>
    <t>01/05/2025 11:00</t>
  </si>
  <si>
    <t>01/05/2025 12:00</t>
  </si>
  <si>
    <t>01/05/2025 13:00</t>
  </si>
  <si>
    <t>01/05/2025 14:00</t>
  </si>
  <si>
    <t>01/05/2025 15:00</t>
  </si>
  <si>
    <t>01/05/2025 16:00</t>
  </si>
  <si>
    <t>01/05/2025 17:00</t>
  </si>
  <si>
    <t>01/05/2025 18:00</t>
  </si>
  <si>
    <t>01/05/2025 19:00</t>
  </si>
  <si>
    <t>01/05/2025 20:00</t>
  </si>
  <si>
    <t>01/05/2025 21:00</t>
  </si>
  <si>
    <t>01/05/2025 22:00</t>
  </si>
  <si>
    <t>01/05/2025 23:00</t>
  </si>
  <si>
    <t>01/05/2025 24:00</t>
  </si>
  <si>
    <t>02/05/2025 01:00</t>
  </si>
  <si>
    <t>02/05/2025 02:00</t>
  </si>
  <si>
    <t>02/05/2025 03:00</t>
  </si>
  <si>
    <t>02/05/2025 04:00</t>
  </si>
  <si>
    <t>02/05/2025 05:00</t>
  </si>
  <si>
    <t>02/05/2025 06:00</t>
  </si>
  <si>
    <t>02/05/2025 07:00</t>
  </si>
  <si>
    <t>02/05/2025 08:00</t>
  </si>
  <si>
    <t>02/05/2025 09:00</t>
  </si>
  <si>
    <t>02/05/2025 10:00</t>
  </si>
  <si>
    <t>02/05/2025 11:00</t>
  </si>
  <si>
    <t>02/05/2025 12:00</t>
  </si>
  <si>
    <t>02/05/2025 13:00</t>
  </si>
  <si>
    <t>02/05/2025 14:00</t>
  </si>
  <si>
    <t>02/05/2025 15:00</t>
  </si>
  <si>
    <t>02/05/2025 16:00</t>
  </si>
  <si>
    <t>02/05/2025 17:00</t>
  </si>
  <si>
    <t>02/05/2025 18:00</t>
  </si>
  <si>
    <t>02/05/2025 19:00</t>
  </si>
  <si>
    <t>02/05/2025 20:00</t>
  </si>
  <si>
    <t>02/05/2025 21:00</t>
  </si>
  <si>
    <t>02/05/2025 22:00</t>
  </si>
  <si>
    <t>02/05/2025 23:00</t>
  </si>
  <si>
    <t>02/05/2025 24:00</t>
  </si>
  <si>
    <t>03/05/2025 01:00</t>
  </si>
  <si>
    <t>03/05/2025 02:00</t>
  </si>
  <si>
    <t>03/05/2025 03:00</t>
  </si>
  <si>
    <t>03/05/2025 04:00</t>
  </si>
  <si>
    <t>03/05/2025 05:00</t>
  </si>
  <si>
    <t>03/05/2025 06:00</t>
  </si>
  <si>
    <t>03/05/2025 07:00</t>
  </si>
  <si>
    <t>03/05/2025 08:00</t>
  </si>
  <si>
    <t>03/05/2025 09:00</t>
  </si>
  <si>
    <t>03/05/2025 10:00</t>
  </si>
  <si>
    <t>03/05/2025 11:00</t>
  </si>
  <si>
    <t>03/05/2025 12:00</t>
  </si>
  <si>
    <t>03/05/2025 13:00</t>
  </si>
  <si>
    <t>03/05/2025 14:00</t>
  </si>
  <si>
    <t>03/05/2025 15:00</t>
  </si>
  <si>
    <t>03/05/2025 16:00</t>
  </si>
  <si>
    <t>03/05/2025 17:00</t>
  </si>
  <si>
    <t>03/05/2025 18:00</t>
  </si>
  <si>
    <t>03/05/2025 19:00</t>
  </si>
  <si>
    <t>03/05/2025 20:00</t>
  </si>
  <si>
    <t>03/05/2025 21:00</t>
  </si>
  <si>
    <t>03/05/2025 22:00</t>
  </si>
  <si>
    <t>03/05/2025 23:00</t>
  </si>
  <si>
    <t>03/05/2025 24:00</t>
  </si>
  <si>
    <t>04/05/2025 01:00</t>
  </si>
  <si>
    <t>04/05/2025 02:00</t>
  </si>
  <si>
    <t>04/05/2025 03:00</t>
  </si>
  <si>
    <t>04/05/2025 04:00</t>
  </si>
  <si>
    <t>04/05/2025 05:00</t>
  </si>
  <si>
    <t>04/05/2025 06:00</t>
  </si>
  <si>
    <t>04/05/2025 07:00</t>
  </si>
  <si>
    <t>04/05/2025 08:00</t>
  </si>
  <si>
    <t>04/05/2025 09:00</t>
  </si>
  <si>
    <t>04/05/2025 10:00</t>
  </si>
  <si>
    <t>04/05/2025 11:00</t>
  </si>
  <si>
    <t>04/05/2025 12:00</t>
  </si>
  <si>
    <t>04/05/2025 13:00</t>
  </si>
  <si>
    <t>04/05/2025 14:00</t>
  </si>
  <si>
    <t>04/05/2025 15:00</t>
  </si>
  <si>
    <t>04/05/2025 16:00</t>
  </si>
  <si>
    <t>04/05/2025 17:00</t>
  </si>
  <si>
    <t>04/05/2025 18:00</t>
  </si>
  <si>
    <t>04/05/2025 19:00</t>
  </si>
  <si>
    <t>04/05/2025 20:00</t>
  </si>
  <si>
    <t>04/05/2025 21:00</t>
  </si>
  <si>
    <t>04/05/2025 22:00</t>
  </si>
  <si>
    <t>04/05/2025 23:00</t>
  </si>
  <si>
    <t>04/05/2025 24:00</t>
  </si>
  <si>
    <t>05/05/2025 01:00</t>
  </si>
  <si>
    <t>05/05/2025 02:00</t>
  </si>
  <si>
    <t>05/05/2025 03:00</t>
  </si>
  <si>
    <t>05/05/2025 04:00</t>
  </si>
  <si>
    <t>05/05/2025 05:00</t>
  </si>
  <si>
    <t>05/05/2025 06:00</t>
  </si>
  <si>
    <t>05/05/2025 07:00</t>
  </si>
  <si>
    <t>05/05/2025 08:00</t>
  </si>
  <si>
    <t>05/05/2025 09:00</t>
  </si>
  <si>
    <t>05/05/2025 10:00</t>
  </si>
  <si>
    <t>05/05/2025 11:00</t>
  </si>
  <si>
    <t>05/05/2025 12:00</t>
  </si>
  <si>
    <t>05/05/2025 13:00</t>
  </si>
  <si>
    <t>05/05/2025 14:00</t>
  </si>
  <si>
    <t>05/05/2025 15:00</t>
  </si>
  <si>
    <t>05/05/2025 16:00</t>
  </si>
  <si>
    <t>05/05/2025 17:00</t>
  </si>
  <si>
    <t>05/05/2025 18:00</t>
  </si>
  <si>
    <t>05/05/2025 19:00</t>
  </si>
  <si>
    <t>05/05/2025 20:00</t>
  </si>
  <si>
    <t>05/05/2025 21:00</t>
  </si>
  <si>
    <t>05/05/2025 22:00</t>
  </si>
  <si>
    <t>05/05/2025 23:00</t>
  </si>
  <si>
    <t>05/05/2025 24:00</t>
  </si>
  <si>
    <t>06/05/2025 01:00</t>
  </si>
  <si>
    <t>06/05/2025 02:00</t>
  </si>
  <si>
    <t>06/05/2025 03:00</t>
  </si>
  <si>
    <t>06/05/2025 04:00</t>
  </si>
  <si>
    <t>06/05/2025 05:00</t>
  </si>
  <si>
    <t>06/05/2025 06:00</t>
  </si>
  <si>
    <t>06/05/2025 07:00</t>
  </si>
  <si>
    <t>06/05/2025 08:00</t>
  </si>
  <si>
    <t>06/05/2025 09:00</t>
  </si>
  <si>
    <t>06/05/2025 10:00</t>
  </si>
  <si>
    <t>06/05/2025 11:00</t>
  </si>
  <si>
    <t>06/05/2025 12:00</t>
  </si>
  <si>
    <t>06/05/2025 13:00</t>
  </si>
  <si>
    <t>06/05/2025 14:00</t>
  </si>
  <si>
    <t>06/05/2025 15:00</t>
  </si>
  <si>
    <t>06/05/2025 16:00</t>
  </si>
  <si>
    <t>06/05/2025 17:00</t>
  </si>
  <si>
    <t>06/05/2025 18:00</t>
  </si>
  <si>
    <t>06/05/2025 19:00</t>
  </si>
  <si>
    <t>06/05/2025 20:00</t>
  </si>
  <si>
    <t>06/05/2025 21:00</t>
  </si>
  <si>
    <t>06/05/2025 22:00</t>
  </si>
  <si>
    <t>06/05/2025 23:00</t>
  </si>
  <si>
    <t>06/05/2025 24:00</t>
  </si>
  <si>
    <t>07/05/2025 01:00</t>
  </si>
  <si>
    <t>07/05/2025 02:00</t>
  </si>
  <si>
    <t>07/05/2025 03:00</t>
  </si>
  <si>
    <t>07/05/2025 04:00</t>
  </si>
  <si>
    <t>07/05/2025 05:00</t>
  </si>
  <si>
    <t>07/05/2025 06:00</t>
  </si>
  <si>
    <t>07/05/2025 07:00</t>
  </si>
  <si>
    <t>07/05/2025 08:00</t>
  </si>
  <si>
    <t>07/05/2025 09:00</t>
  </si>
  <si>
    <t>07/05/2025 10:00</t>
  </si>
  <si>
    <t>07/05/2025 11:00</t>
  </si>
  <si>
    <t>07/05/2025 12:00</t>
  </si>
  <si>
    <t>07/05/2025 13:00</t>
  </si>
  <si>
    <t>07/05/2025 14:00</t>
  </si>
  <si>
    <t>07/05/2025 15:00</t>
  </si>
  <si>
    <t>07/05/2025 16:00</t>
  </si>
  <si>
    <t>07/05/2025 17:00</t>
  </si>
  <si>
    <t>07/05/2025 18:00</t>
  </si>
  <si>
    <t>07/05/2025 19:00</t>
  </si>
  <si>
    <t>07/05/2025 20:00</t>
  </si>
  <si>
    <t>07/05/2025 21:00</t>
  </si>
  <si>
    <t>07/05/2025 22:00</t>
  </si>
  <si>
    <t>07/05/2025 23:00</t>
  </si>
  <si>
    <t>07/05/2025 24:00</t>
  </si>
  <si>
    <t>08/05/2025 01:00</t>
  </si>
  <si>
    <t>08/05/2025 02:00</t>
  </si>
  <si>
    <t>08/05/2025 03:00</t>
  </si>
  <si>
    <t>08/05/2025 04:00</t>
  </si>
  <si>
    <t>08/05/2025 05:00</t>
  </si>
  <si>
    <t>08/05/2025 06:00</t>
  </si>
  <si>
    <t>08/05/2025 07:00</t>
  </si>
  <si>
    <t>08/05/2025 08:00</t>
  </si>
  <si>
    <t>08/05/2025 09:00</t>
  </si>
  <si>
    <t>08/05/2025 10:00</t>
  </si>
  <si>
    <t>08/05/2025 11:00</t>
  </si>
  <si>
    <t>08/05/2025 12:00</t>
  </si>
  <si>
    <t>08/05/2025 13:00</t>
  </si>
  <si>
    <t>08/05/2025 14:00</t>
  </si>
  <si>
    <t>08/05/2025 15:00</t>
  </si>
  <si>
    <t>08/05/2025 16:00</t>
  </si>
  <si>
    <t>08/05/2025 17:00</t>
  </si>
  <si>
    <t>08/05/2025 18:00</t>
  </si>
  <si>
    <t>08/05/2025 19:00</t>
  </si>
  <si>
    <t>08/05/2025 20:00</t>
  </si>
  <si>
    <t>08/05/2025 21:00</t>
  </si>
  <si>
    <t>08/05/2025 22:00</t>
  </si>
  <si>
    <t>08/05/2025 23:00</t>
  </si>
  <si>
    <t>08/05/2025 24:00</t>
  </si>
  <si>
    <t>09/05/2025 01:00</t>
  </si>
  <si>
    <t>09/05/2025 02:00</t>
  </si>
  <si>
    <t>09/05/2025 03:00</t>
  </si>
  <si>
    <t>09/05/2025 04:00</t>
  </si>
  <si>
    <t>09/05/2025 05:00</t>
  </si>
  <si>
    <t>09/05/2025 06:00</t>
  </si>
  <si>
    <t>09/05/2025 07:00</t>
  </si>
  <si>
    <t>09/05/2025 08:00</t>
  </si>
  <si>
    <t>09/05/2025 09:00</t>
  </si>
  <si>
    <t>09/05/2025 10:00</t>
  </si>
  <si>
    <t>09/05/2025 11:00</t>
  </si>
  <si>
    <t>09/05/2025 12:00</t>
  </si>
  <si>
    <t>09/05/2025 13:00</t>
  </si>
  <si>
    <t>09/05/2025 14:00</t>
  </si>
  <si>
    <t>09/05/2025 15:00</t>
  </si>
  <si>
    <t>09/05/2025 16:00</t>
  </si>
  <si>
    <t>09/05/2025 17:00</t>
  </si>
  <si>
    <t>09/05/2025 18:00</t>
  </si>
  <si>
    <t>09/05/2025 19:00</t>
  </si>
  <si>
    <t>09/05/2025 20:00</t>
  </si>
  <si>
    <t>09/05/2025 21:00</t>
  </si>
  <si>
    <t>09/05/2025 22:00</t>
  </si>
  <si>
    <t>09/05/2025 23:00</t>
  </si>
  <si>
    <t>09/05/2025 24:00</t>
  </si>
  <si>
    <t>10/05/2025 01:00</t>
  </si>
  <si>
    <t>10/05/2025 02:00</t>
  </si>
  <si>
    <t>10/05/2025 03:00</t>
  </si>
  <si>
    <t>10/05/2025 04:00</t>
  </si>
  <si>
    <t>10/05/2025 05:00</t>
  </si>
  <si>
    <t>10/05/2025 06:00</t>
  </si>
  <si>
    <t>10/05/2025 07:00</t>
  </si>
  <si>
    <t>10/05/2025 08:00</t>
  </si>
  <si>
    <t>10/05/2025 09:00</t>
  </si>
  <si>
    <t>10/05/2025 10:00</t>
  </si>
  <si>
    <t>10/05/2025 11:00</t>
  </si>
  <si>
    <t>10/05/2025 12:00</t>
  </si>
  <si>
    <t>10/05/2025 13:00</t>
  </si>
  <si>
    <t>10/05/2025 14:00</t>
  </si>
  <si>
    <t>10/05/2025 15:00</t>
  </si>
  <si>
    <t>10/05/2025 16:00</t>
  </si>
  <si>
    <t>10/05/2025 17:00</t>
  </si>
  <si>
    <t>10/05/2025 18:00</t>
  </si>
  <si>
    <t>10/05/2025 19:00</t>
  </si>
  <si>
    <t>10/05/2025 20:00</t>
  </si>
  <si>
    <t>10/05/2025 21:00</t>
  </si>
  <si>
    <t>10/05/2025 22:00</t>
  </si>
  <si>
    <t>10/05/2025 23:00</t>
  </si>
  <si>
    <t>10/05/2025 24:00</t>
  </si>
  <si>
    <t>11/05/2025 01:00</t>
  </si>
  <si>
    <t>11/05/2025 02:00</t>
  </si>
  <si>
    <t>11/05/2025 03:00</t>
  </si>
  <si>
    <t>11/05/2025 04:00</t>
  </si>
  <si>
    <t>11/05/2025 05:00</t>
  </si>
  <si>
    <t>11/05/2025 06:00</t>
  </si>
  <si>
    <t>11/05/2025 07:00</t>
  </si>
  <si>
    <t>11/05/2025 08:00</t>
  </si>
  <si>
    <t>11/05/2025 09:00</t>
  </si>
  <si>
    <t>11/05/2025 10:00</t>
  </si>
  <si>
    <t>11/05/2025 11:00</t>
  </si>
  <si>
    <t>11/05/2025 12:00</t>
  </si>
  <si>
    <t>11/05/2025 13:00</t>
  </si>
  <si>
    <t>11/05/2025 14:00</t>
  </si>
  <si>
    <t>11/05/2025 15:00</t>
  </si>
  <si>
    <t>11/05/2025 16:00</t>
  </si>
  <si>
    <t>11/05/2025 17:00</t>
  </si>
  <si>
    <t>11/05/2025 18:00</t>
  </si>
  <si>
    <t>11/05/2025 19:00</t>
  </si>
  <si>
    <t>11/05/2025 20:00</t>
  </si>
  <si>
    <t>11/05/2025 21:00</t>
  </si>
  <si>
    <t>11/05/2025 22:00</t>
  </si>
  <si>
    <t>11/05/2025 23:00</t>
  </si>
  <si>
    <t>11/05/2025 24:00</t>
  </si>
  <si>
    <t>12/05/2025 01:00</t>
  </si>
  <si>
    <t>12/05/2025 02:00</t>
  </si>
  <si>
    <t>12/05/2025 03:00</t>
  </si>
  <si>
    <t>12/05/2025 04:00</t>
  </si>
  <si>
    <t>12/05/2025 05:00</t>
  </si>
  <si>
    <t>12/05/2025 06:00</t>
  </si>
  <si>
    <t>12/05/2025 07:00</t>
  </si>
  <si>
    <t>12/05/2025 08:00</t>
  </si>
  <si>
    <t>12/05/2025 09:00</t>
  </si>
  <si>
    <t>12/05/2025 10:00</t>
  </si>
  <si>
    <t>12/05/2025 11:00</t>
  </si>
  <si>
    <t>12/05/2025 12:00</t>
  </si>
  <si>
    <t>12/05/2025 13:00</t>
  </si>
  <si>
    <t>12/05/2025 14:00</t>
  </si>
  <si>
    <t>12/05/2025 15:00</t>
  </si>
  <si>
    <t>12/05/2025 16:00</t>
  </si>
  <si>
    <t>12/05/2025 17:00</t>
  </si>
  <si>
    <t>12/05/2025 18:00</t>
  </si>
  <si>
    <t>12/05/2025 19:00</t>
  </si>
  <si>
    <t>12/05/2025 20:00</t>
  </si>
  <si>
    <t>12/05/2025 21:00</t>
  </si>
  <si>
    <t>12/05/2025 22:00</t>
  </si>
  <si>
    <t>12/05/2025 23:00</t>
  </si>
  <si>
    <t>12/05/2025 24:00</t>
  </si>
  <si>
    <t>13/05/2025 01:00</t>
  </si>
  <si>
    <t>13/05/2025 02:00</t>
  </si>
  <si>
    <t>13/05/2025 03:00</t>
  </si>
  <si>
    <t>13/05/2025 04:00</t>
  </si>
  <si>
    <t>13/05/2025 05:00</t>
  </si>
  <si>
    <t>13/05/2025 06:00</t>
  </si>
  <si>
    <t>13/05/2025 07:00</t>
  </si>
  <si>
    <t>13/05/2025 08:00</t>
  </si>
  <si>
    <t>13/05/2025 09:00</t>
  </si>
  <si>
    <t>13/05/2025 10:00</t>
  </si>
  <si>
    <t>13/05/2025 11:00</t>
  </si>
  <si>
    <t>13/05/2025 12:00</t>
  </si>
  <si>
    <t>13/05/2025 13:00</t>
  </si>
  <si>
    <t>13/05/2025 14:00</t>
  </si>
  <si>
    <t>13/05/2025 15:00</t>
  </si>
  <si>
    <t>13/05/2025 16:00</t>
  </si>
  <si>
    <t>13/05/2025 17:00</t>
  </si>
  <si>
    <t>13/05/2025 18:00</t>
  </si>
  <si>
    <t>13/05/2025 19:00</t>
  </si>
  <si>
    <t>13/05/2025 20:00</t>
  </si>
  <si>
    <t>13/05/2025 21:00</t>
  </si>
  <si>
    <t>13/05/2025 22:00</t>
  </si>
  <si>
    <t>13/05/2025 23:00</t>
  </si>
  <si>
    <t>13/05/2025 24:00</t>
  </si>
  <si>
    <t>14/05/2025 01:00</t>
  </si>
  <si>
    <t>14/05/2025 02:00</t>
  </si>
  <si>
    <t>14/05/2025 03:00</t>
  </si>
  <si>
    <t>14/05/2025 04:00</t>
  </si>
  <si>
    <t>14/05/2025 05:00</t>
  </si>
  <si>
    <t>14/05/2025 06:00</t>
  </si>
  <si>
    <t>14/05/2025 07:00</t>
  </si>
  <si>
    <t>14/05/2025 08:00</t>
  </si>
  <si>
    <t>14/05/2025 09:00</t>
  </si>
  <si>
    <t>14/05/2025 10:00</t>
  </si>
  <si>
    <t>14/05/2025 11:00</t>
  </si>
  <si>
    <t>14/05/2025 12:00</t>
  </si>
  <si>
    <t>14/05/2025 13:00</t>
  </si>
  <si>
    <t>14/05/2025 14:00</t>
  </si>
  <si>
    <t>14/05/2025 15:00</t>
  </si>
  <si>
    <t>14/05/2025 16:00</t>
  </si>
  <si>
    <t>14/05/2025 17:00</t>
  </si>
  <si>
    <t>14/05/2025 18:00</t>
  </si>
  <si>
    <t>14/05/2025 19:00</t>
  </si>
  <si>
    <t>14/05/2025 20:00</t>
  </si>
  <si>
    <t>14/05/2025 21:00</t>
  </si>
  <si>
    <t>14/05/2025 22:00</t>
  </si>
  <si>
    <t>14/05/2025 23:00</t>
  </si>
  <si>
    <t>14/05/2025 24:00</t>
  </si>
  <si>
    <t>15/05/2025 01:00</t>
  </si>
  <si>
    <t>15/05/2025 02:00</t>
  </si>
  <si>
    <t>15/05/2025 03:00</t>
  </si>
  <si>
    <t>15/05/2025 04:00</t>
  </si>
  <si>
    <t>15/05/2025 05:00</t>
  </si>
  <si>
    <t>15/05/2025 06:00</t>
  </si>
  <si>
    <t>15/05/2025 07:00</t>
  </si>
  <si>
    <t>15/05/2025 08:00</t>
  </si>
  <si>
    <t>15/05/2025 09:00</t>
  </si>
  <si>
    <t>15/05/2025 10:00</t>
  </si>
  <si>
    <t>15/05/2025 11:00</t>
  </si>
  <si>
    <t>15/05/2025 12:00</t>
  </si>
  <si>
    <t>15/05/2025 13:00</t>
  </si>
  <si>
    <t>15/05/2025 14:00</t>
  </si>
  <si>
    <t>15/05/2025 15:00</t>
  </si>
  <si>
    <t>15/05/2025 16:00</t>
  </si>
  <si>
    <t>15/05/2025 17:00</t>
  </si>
  <si>
    <t>15/05/2025 18:00</t>
  </si>
  <si>
    <t>15/05/2025 19:00</t>
  </si>
  <si>
    <t>15/05/2025 20:00</t>
  </si>
  <si>
    <t>15/05/2025 21:00</t>
  </si>
  <si>
    <t>15/05/2025 22:00</t>
  </si>
  <si>
    <t>15/05/2025 23:00</t>
  </si>
  <si>
    <t>15/05/2025 24:00</t>
  </si>
  <si>
    <t>16/05/2025 01:00</t>
  </si>
  <si>
    <t>16/05/2025 02:00</t>
  </si>
  <si>
    <t>16/05/2025 03:00</t>
  </si>
  <si>
    <t>16/05/2025 04:00</t>
  </si>
  <si>
    <t>16/05/2025 05:00</t>
  </si>
  <si>
    <t>16/05/2025 06:00</t>
  </si>
  <si>
    <t>16/05/2025 07:00</t>
  </si>
  <si>
    <t>16/05/2025 08:00</t>
  </si>
  <si>
    <t>16/05/2025 09:00</t>
  </si>
  <si>
    <t>16/05/2025 10:00</t>
  </si>
  <si>
    <t>16/05/2025 11:00</t>
  </si>
  <si>
    <t>16/05/2025 12:00</t>
  </si>
  <si>
    <t>16/05/2025 13:00</t>
  </si>
  <si>
    <t>16/05/2025 14:00</t>
  </si>
  <si>
    <t>16/05/2025 15:00</t>
  </si>
  <si>
    <t>16/05/2025 16:00</t>
  </si>
  <si>
    <t>16/05/2025 17:00</t>
  </si>
  <si>
    <t>16/05/2025 18:00</t>
  </si>
  <si>
    <t>16/05/2025 19:00</t>
  </si>
  <si>
    <t>16/05/2025 20:00</t>
  </si>
  <si>
    <t>16/05/2025 21:00</t>
  </si>
  <si>
    <t>16/05/2025 22:00</t>
  </si>
  <si>
    <t>16/05/2025 23:00</t>
  </si>
  <si>
    <t>16/05/2025 24:00</t>
  </si>
  <si>
    <t>17/05/2025 01:00</t>
  </si>
  <si>
    <t>17/05/2025 02:00</t>
  </si>
  <si>
    <t>17/05/2025 03:00</t>
  </si>
  <si>
    <t>17/05/2025 04:00</t>
  </si>
  <si>
    <t>17/05/2025 05:00</t>
  </si>
  <si>
    <t>17/05/2025 06:00</t>
  </si>
  <si>
    <t>17/05/2025 07:00</t>
  </si>
  <si>
    <t>17/05/2025 08:00</t>
  </si>
  <si>
    <t>17/05/2025 09:00</t>
  </si>
  <si>
    <t>17/05/2025 10:00</t>
  </si>
  <si>
    <t>17/05/2025 11:00</t>
  </si>
  <si>
    <t>17/05/2025 12:00</t>
  </si>
  <si>
    <t>17/05/2025 13:00</t>
  </si>
  <si>
    <t>17/05/2025 14:00</t>
  </si>
  <si>
    <t>17/05/2025 15:00</t>
  </si>
  <si>
    <t>17/05/2025 16:00</t>
  </si>
  <si>
    <t>17/05/2025 17:00</t>
  </si>
  <si>
    <t>17/05/2025 18:00</t>
  </si>
  <si>
    <t>17/05/2025 19:00</t>
  </si>
  <si>
    <t>17/05/2025 20:00</t>
  </si>
  <si>
    <t>17/05/2025 21:00</t>
  </si>
  <si>
    <t>17/05/2025 22:00</t>
  </si>
  <si>
    <t>17/05/2025 23:00</t>
  </si>
  <si>
    <t>17/05/2025 24:00</t>
  </si>
  <si>
    <t>18/05/2025 01:00</t>
  </si>
  <si>
    <t>18/05/2025 02:00</t>
  </si>
  <si>
    <t>18/05/2025 03:00</t>
  </si>
  <si>
    <t>18/05/2025 04:00</t>
  </si>
  <si>
    <t>18/05/2025 05:00</t>
  </si>
  <si>
    <t>18/05/2025 06:00</t>
  </si>
  <si>
    <t>18/05/2025 07:00</t>
  </si>
  <si>
    <t>18/05/2025 08:00</t>
  </si>
  <si>
    <t>18/05/2025 09:00</t>
  </si>
  <si>
    <t>18/05/2025 10:00</t>
  </si>
  <si>
    <t>18/05/2025 11:00</t>
  </si>
  <si>
    <t>18/05/2025 12:00</t>
  </si>
  <si>
    <t>18/05/2025 13:00</t>
  </si>
  <si>
    <t>18/05/2025 14:00</t>
  </si>
  <si>
    <t>18/05/2025 15:00</t>
  </si>
  <si>
    <t>18/05/2025 16:00</t>
  </si>
  <si>
    <t>18/05/2025 17:00</t>
  </si>
  <si>
    <t>18/05/2025 18:00</t>
  </si>
  <si>
    <t>18/05/2025 19:00</t>
  </si>
  <si>
    <t>18/05/2025 20:00</t>
  </si>
  <si>
    <t>18/05/2025 21:00</t>
  </si>
  <si>
    <t>18/05/2025 22:00</t>
  </si>
  <si>
    <t>18/05/2025 23:00</t>
  </si>
  <si>
    <t>18/05/2025 24:00</t>
  </si>
  <si>
    <t>19/05/2025 01:00</t>
  </si>
  <si>
    <t>19/05/2025 02:00</t>
  </si>
  <si>
    <t>19/05/2025 03:00</t>
  </si>
  <si>
    <t>19/05/2025 04:00</t>
  </si>
  <si>
    <t>19/05/2025 05:00</t>
  </si>
  <si>
    <t>19/05/2025 06:00</t>
  </si>
  <si>
    <t>19/05/2025 07:00</t>
  </si>
  <si>
    <t>19/05/2025 08:00</t>
  </si>
  <si>
    <t>19/05/2025 09:00</t>
  </si>
  <si>
    <t>19/05/2025 10:00</t>
  </si>
  <si>
    <t>19/05/2025 11:00</t>
  </si>
  <si>
    <t>19/05/2025 12:00</t>
  </si>
  <si>
    <t>19/05/2025 13:00</t>
  </si>
  <si>
    <t>19/05/2025 14:00</t>
  </si>
  <si>
    <t>19/05/2025 15:00</t>
  </si>
  <si>
    <t>19/05/2025 16:00</t>
  </si>
  <si>
    <t>19/05/2025 17:00</t>
  </si>
  <si>
    <t>19/05/2025 18:00</t>
  </si>
  <si>
    <t>19/05/2025 19:00</t>
  </si>
  <si>
    <t>19/05/2025 20:00</t>
  </si>
  <si>
    <t>19/05/2025 21:00</t>
  </si>
  <si>
    <t>19/05/2025 22:00</t>
  </si>
  <si>
    <t>19/05/2025 23:00</t>
  </si>
  <si>
    <t>19/05/2025 24:00</t>
  </si>
  <si>
    <t>20/05/2025 01:00</t>
  </si>
  <si>
    <t>20/05/2025 02:00</t>
  </si>
  <si>
    <t>20/05/2025 03:00</t>
  </si>
  <si>
    <t>20/05/2025 04:00</t>
  </si>
  <si>
    <t>20/05/2025 05:00</t>
  </si>
  <si>
    <t>20/05/2025 06:00</t>
  </si>
  <si>
    <t>20/05/2025 07:00</t>
  </si>
  <si>
    <t>20/05/2025 08:00</t>
  </si>
  <si>
    <t>20/05/2025 09:00</t>
  </si>
  <si>
    <t>20/05/2025 10:00</t>
  </si>
  <si>
    <t>20/05/2025 11:00</t>
  </si>
  <si>
    <t>20/05/2025 12:00</t>
  </si>
  <si>
    <t>20/05/2025 13:00</t>
  </si>
  <si>
    <t>20/05/2025 14:00</t>
  </si>
  <si>
    <t>20/05/2025 15:00</t>
  </si>
  <si>
    <t>20/05/2025 16:00</t>
  </si>
  <si>
    <t>20/05/2025 17:00</t>
  </si>
  <si>
    <t>20/05/2025 18:00</t>
  </si>
  <si>
    <t>20/05/2025 19:00</t>
  </si>
  <si>
    <t>20/05/2025 20:00</t>
  </si>
  <si>
    <t>20/05/2025 21:00</t>
  </si>
  <si>
    <t>20/05/2025 22:00</t>
  </si>
  <si>
    <t>20/05/2025 23:00</t>
  </si>
  <si>
    <t>20/05/2025 24:00</t>
  </si>
  <si>
    <t>21/05/2025 01:00</t>
  </si>
  <si>
    <t>21/05/2025 02:00</t>
  </si>
  <si>
    <t>21/05/2025 03:00</t>
  </si>
  <si>
    <t>21/05/2025 04:00</t>
  </si>
  <si>
    <t>21/05/2025 05:00</t>
  </si>
  <si>
    <t>21/05/2025 06:00</t>
  </si>
  <si>
    <t>21/05/2025 07:00</t>
  </si>
  <si>
    <t>21/05/2025 08:00</t>
  </si>
  <si>
    <t>21/05/2025 09:00</t>
  </si>
  <si>
    <t>21/05/2025 10:00</t>
  </si>
  <si>
    <t>21/05/2025 11:00</t>
  </si>
  <si>
    <t>21/05/2025 12:00</t>
  </si>
  <si>
    <t>21/05/2025 13:00</t>
  </si>
  <si>
    <t>21/05/2025 14:00</t>
  </si>
  <si>
    <t>21/05/2025 15:00</t>
  </si>
  <si>
    <t>21/05/2025 16:00</t>
  </si>
  <si>
    <t>21/05/2025 17:00</t>
  </si>
  <si>
    <t>21/05/2025 18:00</t>
  </si>
  <si>
    <t>21/05/2025 19:00</t>
  </si>
  <si>
    <t>21/05/2025 20:00</t>
  </si>
  <si>
    <t>21/05/2025 21:00</t>
  </si>
  <si>
    <t>21/05/2025 22:00</t>
  </si>
  <si>
    <t>21/05/2025 23:00</t>
  </si>
  <si>
    <t>21/05/2025 24:00</t>
  </si>
  <si>
    <t>22/05/2025 01:00</t>
  </si>
  <si>
    <t>22/05/2025 02:00</t>
  </si>
  <si>
    <t>22/05/2025 03:00</t>
  </si>
  <si>
    <t>22/05/2025 04:00</t>
  </si>
  <si>
    <t>22/05/2025 05:00</t>
  </si>
  <si>
    <t>22/05/2025 06:00</t>
  </si>
  <si>
    <t>22/05/2025 07:00</t>
  </si>
  <si>
    <t>22/05/2025 08:00</t>
  </si>
  <si>
    <t>22/05/2025 09:00</t>
  </si>
  <si>
    <t>22/05/2025 10:00</t>
  </si>
  <si>
    <t>22/05/2025 11:00</t>
  </si>
  <si>
    <t>22/05/2025 12:00</t>
  </si>
  <si>
    <t>22/05/2025 13:00</t>
  </si>
  <si>
    <t>22/05/2025 14:00</t>
  </si>
  <si>
    <t>22/05/2025 15:00</t>
  </si>
  <si>
    <t>22/05/2025 16:00</t>
  </si>
  <si>
    <t>22/05/2025 17:00</t>
  </si>
  <si>
    <t>22/05/2025 18:00</t>
  </si>
  <si>
    <t>22/05/2025 19:00</t>
  </si>
  <si>
    <t>22/05/2025 20:00</t>
  </si>
  <si>
    <t>22/05/2025 21:00</t>
  </si>
  <si>
    <t>22/05/2025 22:00</t>
  </si>
  <si>
    <t>22/05/2025 23:00</t>
  </si>
  <si>
    <t>22/05/2025 24:00</t>
  </si>
  <si>
    <t>23/05/2025 01:00</t>
  </si>
  <si>
    <t>23/05/2025 02:00</t>
  </si>
  <si>
    <t>23/05/2025 03:00</t>
  </si>
  <si>
    <t>23/05/2025 04:00</t>
  </si>
  <si>
    <t>23/05/2025 05:00</t>
  </si>
  <si>
    <t>23/05/2025 06:00</t>
  </si>
  <si>
    <t>23/05/2025 07:00</t>
  </si>
  <si>
    <t>23/05/2025 08:00</t>
  </si>
  <si>
    <t>23/05/2025 09:00</t>
  </si>
  <si>
    <t>23/05/2025 10:00</t>
  </si>
  <si>
    <t>23/05/2025 11:00</t>
  </si>
  <si>
    <t>23/05/2025 12:00</t>
  </si>
  <si>
    <t>23/05/2025 13:00</t>
  </si>
  <si>
    <t>23/05/2025 14:00</t>
  </si>
  <si>
    <t>23/05/2025 15:00</t>
  </si>
  <si>
    <t>23/05/2025 16:00</t>
  </si>
  <si>
    <t>23/05/2025 17:00</t>
  </si>
  <si>
    <t>23/05/2025 18:00</t>
  </si>
  <si>
    <t>23/05/2025 19:00</t>
  </si>
  <si>
    <t>23/05/2025 20:00</t>
  </si>
  <si>
    <t>23/05/2025 21:00</t>
  </si>
  <si>
    <t>23/05/2025 22:00</t>
  </si>
  <si>
    <t>23/05/2025 23:00</t>
  </si>
  <si>
    <t>23/05/2025 24:00</t>
  </si>
  <si>
    <t>24/05/2025 01:00</t>
  </si>
  <si>
    <t>24/05/2025 02:00</t>
  </si>
  <si>
    <t>24/05/2025 03:00</t>
  </si>
  <si>
    <t>24/05/2025 04:00</t>
  </si>
  <si>
    <t>24/05/2025 05:00</t>
  </si>
  <si>
    <t>24/05/2025 06:00</t>
  </si>
  <si>
    <t>24/05/2025 07:00</t>
  </si>
  <si>
    <t>24/05/2025 08:00</t>
  </si>
  <si>
    <t>24/05/2025 09:00</t>
  </si>
  <si>
    <t>24/05/2025 10:00</t>
  </si>
  <si>
    <t>24/05/2025 11:00</t>
  </si>
  <si>
    <t>24/05/2025 12:00</t>
  </si>
  <si>
    <t>24/05/2025 13:00</t>
  </si>
  <si>
    <t>24/05/2025 14:00</t>
  </si>
  <si>
    <t>24/05/2025 15:00</t>
  </si>
  <si>
    <t>24/05/2025 16:00</t>
  </si>
  <si>
    <t>24/05/2025 17:00</t>
  </si>
  <si>
    <t>24/05/2025 18:00</t>
  </si>
  <si>
    <t>24/05/2025 19:00</t>
  </si>
  <si>
    <t>24/05/2025 20:00</t>
  </si>
  <si>
    <t>24/05/2025 21:00</t>
  </si>
  <si>
    <t>24/05/2025 22:00</t>
  </si>
  <si>
    <t>24/05/2025 23:00</t>
  </si>
  <si>
    <t>24/05/2025 24:00</t>
  </si>
  <si>
    <t>25/05/2025 01:00</t>
  </si>
  <si>
    <t>25/05/2025 02:00</t>
  </si>
  <si>
    <t>25/05/2025 03:00</t>
  </si>
  <si>
    <t>25/05/2025 04:00</t>
  </si>
  <si>
    <t>25/05/2025 05:00</t>
  </si>
  <si>
    <t>25/05/2025 06:00</t>
  </si>
  <si>
    <t>25/05/2025 07:00</t>
  </si>
  <si>
    <t>25/05/2025 08:00</t>
  </si>
  <si>
    <t>25/05/2025 09:00</t>
  </si>
  <si>
    <t>25/05/2025 10:00</t>
  </si>
  <si>
    <t>25/05/2025 11:00</t>
  </si>
  <si>
    <t>25/05/2025 12:00</t>
  </si>
  <si>
    <t>25/05/2025 13:00</t>
  </si>
  <si>
    <t>25/05/2025 14:00</t>
  </si>
  <si>
    <t>25/05/2025 15:00</t>
  </si>
  <si>
    <t>25/05/2025 16:00</t>
  </si>
  <si>
    <t>25/05/2025 17:00</t>
  </si>
  <si>
    <t>25/05/2025 18:00</t>
  </si>
  <si>
    <t>25/05/2025 19:00</t>
  </si>
  <si>
    <t>25/05/2025 20:00</t>
  </si>
  <si>
    <t>25/05/2025 21:00</t>
  </si>
  <si>
    <t>25/05/2025 22:00</t>
  </si>
  <si>
    <t>25/05/2025 23:00</t>
  </si>
  <si>
    <t>25/05/2025 24:00</t>
  </si>
  <si>
    <t>26/05/2025 01:00</t>
  </si>
  <si>
    <t>26/05/2025 02:00</t>
  </si>
  <si>
    <t>26/05/2025 03:00</t>
  </si>
  <si>
    <t>26/05/2025 04:00</t>
  </si>
  <si>
    <t>26/05/2025 05:00</t>
  </si>
  <si>
    <t>26/05/2025 06:00</t>
  </si>
  <si>
    <t>26/05/2025 07:00</t>
  </si>
  <si>
    <t>26/05/2025 08:00</t>
  </si>
  <si>
    <t>26/05/2025 09:00</t>
  </si>
  <si>
    <t>26/05/2025 10:00</t>
  </si>
  <si>
    <t>26/05/2025 11:00</t>
  </si>
  <si>
    <t>26/05/2025 12:00</t>
  </si>
  <si>
    <t>26/05/2025 13:00</t>
  </si>
  <si>
    <t>26/05/2025 14:00</t>
  </si>
  <si>
    <t>26/05/2025 15:00</t>
  </si>
  <si>
    <t>26/05/2025 16:00</t>
  </si>
  <si>
    <t>26/05/2025 17:00</t>
  </si>
  <si>
    <t>26/05/2025 18:00</t>
  </si>
  <si>
    <t>26/05/2025 19:00</t>
  </si>
  <si>
    <t>26/05/2025 20:00</t>
  </si>
  <si>
    <t>26/05/2025 21:00</t>
  </si>
  <si>
    <t>26/05/2025 22:00</t>
  </si>
  <si>
    <t>26/05/2025 23:00</t>
  </si>
  <si>
    <t>26/05/2025 24:00</t>
  </si>
  <si>
    <t>27/05/2025 01:00</t>
  </si>
  <si>
    <t>27/05/2025 02:00</t>
  </si>
  <si>
    <t>27/05/2025 03:00</t>
  </si>
  <si>
    <t>27/05/2025 04:00</t>
  </si>
  <si>
    <t>27/05/2025 05:00</t>
  </si>
  <si>
    <t>27/05/2025 06:00</t>
  </si>
  <si>
    <t>27/05/2025 07:00</t>
  </si>
  <si>
    <t>27/05/2025 08:00</t>
  </si>
  <si>
    <t>27/05/2025 09:00</t>
  </si>
  <si>
    <t>27/05/2025 10:00</t>
  </si>
  <si>
    <t>27/05/2025 11:00</t>
  </si>
  <si>
    <t>27/05/2025 12:00</t>
  </si>
  <si>
    <t>27/05/2025 13:00</t>
  </si>
  <si>
    <t>27/05/2025 14:00</t>
  </si>
  <si>
    <t>27/05/2025 15:00</t>
  </si>
  <si>
    <t>27/05/2025 16:00</t>
  </si>
  <si>
    <t>27/05/2025 17:00</t>
  </si>
  <si>
    <t>27/05/2025 18:00</t>
  </si>
  <si>
    <t>27/05/2025 19:00</t>
  </si>
  <si>
    <t>27/05/2025 20:00</t>
  </si>
  <si>
    <t>27/05/2025 21:00</t>
  </si>
  <si>
    <t>27/05/2025 22:00</t>
  </si>
  <si>
    <t>27/05/2025 23:00</t>
  </si>
  <si>
    <t>27/05/2025 24:00</t>
  </si>
  <si>
    <t>28/05/2025 01:00</t>
  </si>
  <si>
    <t>28/05/2025 02:00</t>
  </si>
  <si>
    <t>28/05/2025 03:00</t>
  </si>
  <si>
    <t>28/05/2025 04:00</t>
  </si>
  <si>
    <t>28/05/2025 05:00</t>
  </si>
  <si>
    <t>28/05/2025 06:00</t>
  </si>
  <si>
    <t>28/05/2025 07:00</t>
  </si>
  <si>
    <t>28/05/2025 08:00</t>
  </si>
  <si>
    <t>28/05/2025 09:00</t>
  </si>
  <si>
    <t>28/05/2025 10:00</t>
  </si>
  <si>
    <t>28/05/2025 11:00</t>
  </si>
  <si>
    <t>28/05/2025 12:00</t>
  </si>
  <si>
    <t>28/05/2025 13:00</t>
  </si>
  <si>
    <t>28/05/2025 14:00</t>
  </si>
  <si>
    <t>28/05/2025 15:00</t>
  </si>
  <si>
    <t>28/05/2025 16:00</t>
  </si>
  <si>
    <t>28/05/2025 17:00</t>
  </si>
  <si>
    <t>28/05/2025 18:00</t>
  </si>
  <si>
    <t>28/05/2025 19:00</t>
  </si>
  <si>
    <t>28/05/2025 20:00</t>
  </si>
  <si>
    <t>28/05/2025 21:00</t>
  </si>
  <si>
    <t>28/05/2025 22:00</t>
  </si>
  <si>
    <t>28/05/2025 23:00</t>
  </si>
  <si>
    <t>28/05/2025 24:00</t>
  </si>
  <si>
    <t>29/05/2025 01:00</t>
  </si>
  <si>
    <t>29/05/2025 02:00</t>
  </si>
  <si>
    <t>29/05/2025 03:00</t>
  </si>
  <si>
    <t>29/05/2025 04:00</t>
  </si>
  <si>
    <t>29/05/2025 05:00</t>
  </si>
  <si>
    <t>29/05/2025 06:00</t>
  </si>
  <si>
    <t>29/05/2025 07:00</t>
  </si>
  <si>
    <t>29/05/2025 08:00</t>
  </si>
  <si>
    <t>29/05/2025 09:00</t>
  </si>
  <si>
    <t>29/05/2025 10:00</t>
  </si>
  <si>
    <t>29/05/2025 11:00</t>
  </si>
  <si>
    <t>29/05/2025 12:00</t>
  </si>
  <si>
    <t>29/05/2025 13:00</t>
  </si>
  <si>
    <t>29/05/2025 14:00</t>
  </si>
  <si>
    <t>29/05/2025 15:00</t>
  </si>
  <si>
    <t>29/05/2025 16:00</t>
  </si>
  <si>
    <t>29/05/2025 17:00</t>
  </si>
  <si>
    <t>29/05/2025 18:00</t>
  </si>
  <si>
    <t>29/05/2025 19:00</t>
  </si>
  <si>
    <t>29/05/2025 20:00</t>
  </si>
  <si>
    <t>29/05/2025 21:00</t>
  </si>
  <si>
    <t>29/05/2025 22:00</t>
  </si>
  <si>
    <t>29/05/2025 23:00</t>
  </si>
  <si>
    <t>29/05/2025 24:00</t>
  </si>
  <si>
    <t>30/05/2025 01:00</t>
  </si>
  <si>
    <t>30/05/2025 02:00</t>
  </si>
  <si>
    <t>30/05/2025 03:00</t>
  </si>
  <si>
    <t>30/05/2025 04:00</t>
  </si>
  <si>
    <t>30/05/2025 05:00</t>
  </si>
  <si>
    <t>30/05/2025 06:00</t>
  </si>
  <si>
    <t>30/05/2025 07:00</t>
  </si>
  <si>
    <t>30/05/2025 08:00</t>
  </si>
  <si>
    <t>30/05/2025 09:00</t>
  </si>
  <si>
    <t>30/05/2025 10:00</t>
  </si>
  <si>
    <t>30/05/2025 11:00</t>
  </si>
  <si>
    <t>30/05/2025 12:00</t>
  </si>
  <si>
    <t>30/05/2025 13:00</t>
  </si>
  <si>
    <t>30/05/2025 14:00</t>
  </si>
  <si>
    <t>30/05/2025 15:00</t>
  </si>
  <si>
    <t>30/05/2025 16:00</t>
  </si>
  <si>
    <t>30/05/2025 17:00</t>
  </si>
  <si>
    <t>30/05/2025 18:00</t>
  </si>
  <si>
    <t>30/05/2025 19:00</t>
  </si>
  <si>
    <t>30/05/2025 20:00</t>
  </si>
  <si>
    <t>30/05/2025 21:00</t>
  </si>
  <si>
    <t>30/05/2025 22:00</t>
  </si>
  <si>
    <t>30/05/2025 23:00</t>
  </si>
  <si>
    <t>30/05/2025 24:00</t>
  </si>
  <si>
    <t>31/05/2025 01:00</t>
  </si>
  <si>
    <t>31/05/2025 02:00</t>
  </si>
  <si>
    <t>31/05/2025 03:00</t>
  </si>
  <si>
    <t>31/05/2025 04:00</t>
  </si>
  <si>
    <t>31/05/2025 05:00</t>
  </si>
  <si>
    <t>31/05/2025 06:00</t>
  </si>
  <si>
    <t>31/05/2025 07:00</t>
  </si>
  <si>
    <t>31/05/2025 08:00</t>
  </si>
  <si>
    <t>31/05/2025 09:00</t>
  </si>
  <si>
    <t>31/05/2025 10:00</t>
  </si>
  <si>
    <t>31/05/2025 11:00</t>
  </si>
  <si>
    <t>31/05/2025 12:00</t>
  </si>
  <si>
    <t>31/05/2025 13:00</t>
  </si>
  <si>
    <t>31/05/2025 14:00</t>
  </si>
  <si>
    <t>31/05/2025 15:00</t>
  </si>
  <si>
    <t>31/05/2025 16:00</t>
  </si>
  <si>
    <t>31/05/2025 17:00</t>
  </si>
  <si>
    <t>31/05/2025 18:00</t>
  </si>
  <si>
    <t>31/05/2025 19:00</t>
  </si>
  <si>
    <t>31/05/2025 20:00</t>
  </si>
  <si>
    <t>31/05/2025 21:00</t>
  </si>
  <si>
    <t>31/05/2025 22:00</t>
  </si>
  <si>
    <t>31/05/2025 23:00</t>
  </si>
  <si>
    <t>31/05/2025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</si>
</sst>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4659260841701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465926084170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3" fillId="0" borderId="0" xfId="0" applyFont="1" applyFill="1" applyAlignment="1">
      <alignment horizontal="center"/>
    </xf>
    <xf numFmtId="0" fontId="1" fillId="0" borderId="0" xfId="0" applyFont="1" applyAlignment="1">
      <alignment horizontal="right"/>
    </xf>
    <xf numFmtId="0" fontId="7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7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2" fontId="12" fillId="0" borderId="1" xfId="0" applyNumberFormat="1" applyFont="1" applyFill="1" applyBorder="1" applyAlignment="1">
      <alignment horizontal="center"/>
    </xf>
    <xf numFmtId="0" fontId="12" fillId="0" borderId="0" xfId="0" applyFont="1" applyFill="1"/>
    <xf numFmtId="2" fontId="12" fillId="0" borderId="0" xfId="0" applyNumberFormat="1" applyFont="1" applyFill="1"/>
    <xf numFmtId="14" fontId="4" fillId="0" borderId="1" xfId="0" applyNumberFormat="1" applyFont="1" applyFill="1" applyBorder="1" applyAlignment="1">
      <alignment horizontal="center"/>
    </xf>
    <xf numFmtId="17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13" fillId="9" borderId="0" xfId="0" applyFont="1" applyFill="1" applyAlignment="1">
      <alignment horizontal="center" vertical="center"/>
    </xf>
    <xf numFmtId="0" fontId="14" fillId="9" borderId="0" xfId="0" applyFont="1" applyFill="1" applyAlignment="1"/>
    <xf numFmtId="0" fontId="13" fillId="0" borderId="0" xfId="0" applyFont="1" applyFill="1" applyAlignment="1">
      <alignment vertical="center"/>
    </xf>
    <xf numFmtId="0" fontId="6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2" fillId="0" borderId="0" xfId="0" applyNumberFormat="1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0" fillId="0" borderId="0" xfId="0" applyBorder="1"/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Fill="1" applyBorder="1" applyAlignment="1"/>
    <xf numFmtId="49" fontId="0" fillId="0" borderId="0" xfId="0" applyNumberFormat="1"/>
    <xf numFmtId="0" fontId="7" fillId="2" borderId="1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1" fillId="0" borderId="2" xfId="0" applyFont="1" applyFill="1" applyBorder="1" applyAlignment="1"/>
    <xf numFmtId="0" fontId="1" fillId="0" borderId="2" xfId="0" applyFont="1" applyBorder="1" applyAlignment="1"/>
    <xf numFmtId="0" fontId="14" fillId="9" borderId="0" xfId="0" applyFont="1" applyFill="1" applyAlignment="1">
      <alignment horizontal="left"/>
    </xf>
    <xf numFmtId="0" fontId="7" fillId="7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U32" sqref="A9:U32"/>
      <selection pane="topRight" activeCell="U32" sqref="A9:U32"/>
      <selection pane="bottomLeft" activeCell="U32" sqref="A9:U32"/>
      <selection pane="bottomRight" activeCell="G28" sqref="G28"/>
    </sheetView>
  </sheetViews>
  <sheetFormatPr defaultColWidth="8.85546875" defaultRowHeight="15" x14ac:dyDescent="0.25"/>
  <cols>
    <col min="1" max="1" width="18.28515625" style="26" customWidth="1"/>
    <col min="2" max="2" width="14.285156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01/05/2025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2" t="s">
        <v>60</v>
      </c>
      <c r="B9" s="11">
        <v>5.2</v>
      </c>
      <c r="C9" s="11">
        <v>25.89</v>
      </c>
      <c r="D9" s="11">
        <v>41.56</v>
      </c>
      <c r="E9" s="11">
        <v>3.01</v>
      </c>
      <c r="F9" s="11">
        <v>8.7100000000000009</v>
      </c>
      <c r="G9" s="11">
        <v>21.81</v>
      </c>
      <c r="H9" s="11">
        <v>8.27</v>
      </c>
      <c r="I9" s="11">
        <v>4.13</v>
      </c>
      <c r="J9" s="11">
        <v>3.2</v>
      </c>
      <c r="K9" s="11">
        <v>155.12</v>
      </c>
      <c r="L9" s="11">
        <v>29.24</v>
      </c>
      <c r="M9" s="11">
        <v>62.79</v>
      </c>
      <c r="N9" s="11">
        <v>194.6</v>
      </c>
      <c r="O9" s="11">
        <v>0</v>
      </c>
      <c r="P9" s="11">
        <v>0.37</v>
      </c>
      <c r="Q9" s="11">
        <v>9.52</v>
      </c>
      <c r="R9" s="43"/>
      <c r="S9" s="43"/>
      <c r="T9" s="43"/>
      <c r="U9" s="43"/>
    </row>
    <row r="10" spans="1:21" s="11" customFormat="1" x14ac:dyDescent="0.25">
      <c r="A10" s="52" t="s">
        <v>61</v>
      </c>
      <c r="B10" s="11">
        <v>3.77</v>
      </c>
      <c r="C10" s="11">
        <v>22.69</v>
      </c>
      <c r="D10" s="11">
        <v>37.65</v>
      </c>
      <c r="E10" s="11">
        <v>2.58</v>
      </c>
      <c r="F10" s="11">
        <v>9.34</v>
      </c>
      <c r="G10" s="11">
        <v>21.9</v>
      </c>
      <c r="H10" s="11">
        <v>7.98</v>
      </c>
      <c r="I10" s="11">
        <v>4.1100000000000003</v>
      </c>
      <c r="J10" s="11">
        <v>2</v>
      </c>
      <c r="K10" s="11">
        <v>200.23</v>
      </c>
      <c r="L10" s="11">
        <v>28.79</v>
      </c>
      <c r="M10" s="11">
        <v>63.94</v>
      </c>
      <c r="N10" s="11">
        <v>172</v>
      </c>
      <c r="O10" s="11">
        <v>0</v>
      </c>
      <c r="P10" s="11">
        <v>0.33</v>
      </c>
      <c r="Q10" s="11">
        <v>9.4700000000000006</v>
      </c>
      <c r="R10" s="43"/>
      <c r="S10" s="43"/>
      <c r="T10" s="43"/>
      <c r="U10" s="43"/>
    </row>
    <row r="11" spans="1:21" s="11" customFormat="1" x14ac:dyDescent="0.25">
      <c r="A11" s="52" t="s">
        <v>62</v>
      </c>
      <c r="B11" s="11">
        <v>6.86</v>
      </c>
      <c r="C11" s="11">
        <v>27.22</v>
      </c>
      <c r="D11" s="11">
        <v>41.57</v>
      </c>
      <c r="E11" s="11">
        <v>2.66</v>
      </c>
      <c r="F11" s="11">
        <v>13.36</v>
      </c>
      <c r="G11" s="11">
        <v>17.96</v>
      </c>
      <c r="H11" s="11">
        <v>8.5</v>
      </c>
      <c r="I11" s="11">
        <v>4.1100000000000003</v>
      </c>
      <c r="J11" s="11">
        <v>2.1</v>
      </c>
      <c r="K11" s="11">
        <v>274.68</v>
      </c>
      <c r="L11" s="11">
        <v>28.16</v>
      </c>
      <c r="M11" s="11">
        <v>76.37</v>
      </c>
      <c r="N11" s="11">
        <v>147.6</v>
      </c>
      <c r="O11" s="11">
        <v>0</v>
      </c>
      <c r="P11" s="11">
        <v>0.35</v>
      </c>
      <c r="Q11" s="11">
        <v>9.42</v>
      </c>
      <c r="R11" s="43"/>
      <c r="S11" s="43"/>
      <c r="T11" s="43"/>
      <c r="U11" s="43"/>
    </row>
    <row r="12" spans="1:21" s="11" customFormat="1" x14ac:dyDescent="0.25">
      <c r="A12" s="52" t="s">
        <v>63</v>
      </c>
      <c r="B12" s="11">
        <v>7.33</v>
      </c>
      <c r="C12" s="11">
        <v>30.77</v>
      </c>
      <c r="D12" s="11">
        <v>47.64</v>
      </c>
      <c r="E12" s="11">
        <v>2.61</v>
      </c>
      <c r="F12" s="11">
        <v>13.77</v>
      </c>
      <c r="G12" s="11">
        <v>19.690000000000001</v>
      </c>
      <c r="H12" s="11">
        <v>6.25</v>
      </c>
      <c r="I12" s="11">
        <v>4.01</v>
      </c>
      <c r="J12" s="11">
        <v>2.08</v>
      </c>
      <c r="K12" s="11">
        <v>294.23</v>
      </c>
      <c r="L12" s="11">
        <v>27.25</v>
      </c>
      <c r="M12" s="11">
        <v>77.290000000000006</v>
      </c>
      <c r="N12" s="11">
        <v>103.3</v>
      </c>
      <c r="O12" s="11">
        <v>0</v>
      </c>
      <c r="P12" s="11">
        <v>0.28999999999999998</v>
      </c>
      <c r="Q12" s="11">
        <v>9.4700000000000006</v>
      </c>
      <c r="R12" s="43"/>
      <c r="S12" s="43"/>
      <c r="T12" s="43"/>
      <c r="U12" s="43"/>
    </row>
    <row r="13" spans="1:21" s="11" customFormat="1" x14ac:dyDescent="0.25">
      <c r="A13" s="52" t="s">
        <v>64</v>
      </c>
      <c r="B13" s="11">
        <v>22.55</v>
      </c>
      <c r="C13" s="11">
        <v>41.33</v>
      </c>
      <c r="D13" s="11">
        <v>50.25</v>
      </c>
      <c r="E13" s="11">
        <v>2.7</v>
      </c>
      <c r="F13" s="11">
        <v>8.56</v>
      </c>
      <c r="G13" s="11">
        <v>21.08</v>
      </c>
      <c r="H13" s="11">
        <v>6.27</v>
      </c>
      <c r="I13" s="11">
        <v>4.0999999999999996</v>
      </c>
      <c r="J13" s="11">
        <v>1.27</v>
      </c>
      <c r="K13" s="11">
        <v>349.03</v>
      </c>
      <c r="L13" s="11">
        <v>27.59</v>
      </c>
      <c r="M13" s="11">
        <v>77.91</v>
      </c>
      <c r="N13" s="11">
        <v>117.5</v>
      </c>
      <c r="O13" s="11">
        <v>0</v>
      </c>
      <c r="P13" s="11">
        <v>0.34</v>
      </c>
      <c r="Q13" s="11">
        <v>9.58</v>
      </c>
      <c r="R13" s="43"/>
      <c r="S13" s="43"/>
      <c r="T13" s="43"/>
      <c r="U13" s="43"/>
    </row>
    <row r="14" spans="1:21" s="11" customFormat="1" x14ac:dyDescent="0.25">
      <c r="A14" s="52" t="s">
        <v>65</v>
      </c>
      <c r="B14" s="11">
        <v>13.92</v>
      </c>
      <c r="C14" s="11">
        <v>35.450000000000003</v>
      </c>
      <c r="D14" s="11">
        <v>46.49</v>
      </c>
      <c r="E14" s="11">
        <v>2.69</v>
      </c>
      <c r="F14" s="11">
        <v>7.33</v>
      </c>
      <c r="G14" s="11">
        <v>23.73</v>
      </c>
      <c r="H14" s="11">
        <v>5.18</v>
      </c>
      <c r="I14" s="11">
        <v>4.22</v>
      </c>
      <c r="J14" s="11">
        <v>3.18</v>
      </c>
      <c r="K14" s="11">
        <v>98.36</v>
      </c>
      <c r="L14" s="11">
        <v>27.28</v>
      </c>
      <c r="M14" s="11">
        <v>79.47</v>
      </c>
      <c r="N14" s="11">
        <v>159.80000000000001</v>
      </c>
      <c r="O14" s="11">
        <v>0</v>
      </c>
      <c r="P14" s="11">
        <v>0.37</v>
      </c>
      <c r="Q14" s="11">
        <v>9.6199999999999992</v>
      </c>
      <c r="R14" s="43"/>
      <c r="S14" s="43"/>
      <c r="T14" s="43"/>
      <c r="U14" s="43"/>
    </row>
    <row r="15" spans="1:21" s="11" customFormat="1" x14ac:dyDescent="0.25">
      <c r="A15" s="52" t="s">
        <v>66</v>
      </c>
      <c r="B15" s="11">
        <v>12.8</v>
      </c>
      <c r="C15" s="11">
        <v>32.47</v>
      </c>
      <c r="D15" s="11">
        <v>42.49</v>
      </c>
      <c r="E15" s="11">
        <v>2.41</v>
      </c>
      <c r="F15" s="11">
        <v>8.58</v>
      </c>
      <c r="G15" s="11">
        <v>26.45</v>
      </c>
      <c r="H15" s="11">
        <v>7.77</v>
      </c>
      <c r="I15" s="11">
        <v>4.12</v>
      </c>
      <c r="J15" s="11">
        <v>3.01</v>
      </c>
      <c r="K15" s="11">
        <v>103.29</v>
      </c>
      <c r="L15" s="11">
        <v>28.91</v>
      </c>
      <c r="M15" s="11">
        <v>75.95</v>
      </c>
      <c r="N15" s="11">
        <v>335.1</v>
      </c>
      <c r="O15" s="11">
        <v>0</v>
      </c>
      <c r="P15" s="11">
        <v>0.38</v>
      </c>
      <c r="Q15" s="11">
        <v>9.6199999999999992</v>
      </c>
      <c r="R15" s="43"/>
      <c r="S15" s="43"/>
      <c r="T15" s="43"/>
      <c r="U15" s="43"/>
    </row>
    <row r="16" spans="1:21" s="11" customFormat="1" x14ac:dyDescent="0.25">
      <c r="A16" s="52" t="s">
        <v>67</v>
      </c>
      <c r="B16" s="11">
        <v>11.46</v>
      </c>
      <c r="C16" s="11">
        <v>29.49</v>
      </c>
      <c r="D16" s="11">
        <v>39.42</v>
      </c>
      <c r="E16" s="11">
        <v>2.92</v>
      </c>
      <c r="F16" s="11">
        <v>12.5</v>
      </c>
      <c r="G16" s="11">
        <v>27.04</v>
      </c>
      <c r="H16" s="11">
        <v>8.4700000000000006</v>
      </c>
      <c r="I16" s="11">
        <v>4.0999999999999996</v>
      </c>
      <c r="J16" s="11">
        <v>2.99</v>
      </c>
      <c r="K16" s="11">
        <v>118.2</v>
      </c>
      <c r="L16" s="11">
        <v>31.77</v>
      </c>
      <c r="M16" s="11">
        <v>66.45</v>
      </c>
      <c r="N16" s="11">
        <v>529.6</v>
      </c>
      <c r="O16" s="11">
        <v>0</v>
      </c>
      <c r="P16" s="11">
        <v>0.38</v>
      </c>
      <c r="Q16" s="11">
        <v>9.6300000000000008</v>
      </c>
      <c r="R16" s="43"/>
      <c r="S16" s="43"/>
      <c r="T16" s="43"/>
      <c r="U16" s="43"/>
    </row>
    <row r="17" spans="1:21" s="11" customFormat="1" x14ac:dyDescent="0.25">
      <c r="A17" s="52" t="s">
        <v>68</v>
      </c>
      <c r="B17" s="11">
        <v>9.17</v>
      </c>
      <c r="C17" s="11">
        <v>29.7</v>
      </c>
      <c r="D17" s="11">
        <v>43.81</v>
      </c>
      <c r="E17" s="11">
        <v>3.14</v>
      </c>
      <c r="F17" s="11">
        <v>13.2</v>
      </c>
      <c r="G17" s="11">
        <v>26.26</v>
      </c>
      <c r="H17" s="11">
        <v>6.11</v>
      </c>
      <c r="I17" s="11">
        <v>4.1500000000000004</v>
      </c>
      <c r="J17" s="11">
        <v>2.88</v>
      </c>
      <c r="K17" s="11">
        <v>160.21</v>
      </c>
      <c r="L17" s="11">
        <v>32.99</v>
      </c>
      <c r="M17" s="11">
        <v>52.83</v>
      </c>
      <c r="N17" s="11">
        <v>729.6</v>
      </c>
      <c r="O17" s="11">
        <v>0</v>
      </c>
      <c r="P17" s="11">
        <v>0.37</v>
      </c>
      <c r="Q17" s="11">
        <v>9.6</v>
      </c>
      <c r="R17" s="43"/>
      <c r="S17" s="43"/>
      <c r="T17" s="43"/>
      <c r="U17" s="43"/>
    </row>
    <row r="18" spans="1:21" s="11" customFormat="1" x14ac:dyDescent="0.25">
      <c r="A18" s="52" t="s">
        <v>69</v>
      </c>
      <c r="B18" s="11">
        <v>7.11</v>
      </c>
      <c r="C18" s="11">
        <v>27.31</v>
      </c>
      <c r="D18" s="11">
        <v>41.57</v>
      </c>
      <c r="E18" s="11">
        <v>3.19</v>
      </c>
      <c r="F18" s="11">
        <v>12.5</v>
      </c>
      <c r="G18" s="11">
        <v>25.14</v>
      </c>
      <c r="H18" s="11">
        <v>4.53</v>
      </c>
      <c r="I18" s="11">
        <v>4.09</v>
      </c>
      <c r="J18" s="11">
        <v>2.54</v>
      </c>
      <c r="K18" s="11">
        <v>165.62</v>
      </c>
      <c r="L18" s="11">
        <v>35.79</v>
      </c>
      <c r="M18" s="11">
        <v>45.72</v>
      </c>
      <c r="N18" s="11">
        <v>890.8</v>
      </c>
      <c r="O18" s="11">
        <v>0</v>
      </c>
      <c r="P18" s="11">
        <v>0.36</v>
      </c>
      <c r="Q18" s="11">
        <v>9.5299999999999994</v>
      </c>
      <c r="R18" s="43"/>
      <c r="S18" s="43"/>
      <c r="T18" s="43"/>
      <c r="U18" s="43"/>
    </row>
    <row r="19" spans="1:21" s="11" customFormat="1" x14ac:dyDescent="0.25">
      <c r="A19" s="52" t="s">
        <v>70</v>
      </c>
      <c r="B19" s="11">
        <v>4.21</v>
      </c>
      <c r="C19" s="11">
        <v>26.5</v>
      </c>
      <c r="D19" s="11">
        <v>45.25</v>
      </c>
      <c r="E19" s="11">
        <v>3.54</v>
      </c>
      <c r="F19" s="11">
        <v>12.43</v>
      </c>
      <c r="G19" s="11">
        <v>22.52</v>
      </c>
      <c r="H19" s="11">
        <v>6.12</v>
      </c>
      <c r="I19" s="11">
        <v>4.16</v>
      </c>
      <c r="J19" s="11">
        <v>1.74</v>
      </c>
      <c r="K19" s="11">
        <v>269.23</v>
      </c>
      <c r="L19" s="11">
        <v>38.94</v>
      </c>
      <c r="M19" s="11">
        <v>42.12</v>
      </c>
      <c r="N19" s="11">
        <v>980.1</v>
      </c>
      <c r="O19" s="11">
        <v>0</v>
      </c>
      <c r="P19" s="11">
        <v>0.39</v>
      </c>
      <c r="Q19" s="11">
        <v>9.41</v>
      </c>
      <c r="R19" s="43"/>
      <c r="S19" s="43"/>
      <c r="T19" s="43"/>
      <c r="U19" s="43"/>
    </row>
    <row r="20" spans="1:21" s="11" customFormat="1" x14ac:dyDescent="0.25">
      <c r="A20" s="52" t="s">
        <v>71</v>
      </c>
      <c r="B20" s="11">
        <v>5.55</v>
      </c>
      <c r="C20" s="11">
        <v>27.04</v>
      </c>
      <c r="D20" s="11">
        <v>43.23</v>
      </c>
      <c r="E20" s="11">
        <v>3.79</v>
      </c>
      <c r="F20" s="11">
        <v>20.5</v>
      </c>
      <c r="G20" s="11">
        <v>23.93</v>
      </c>
      <c r="H20" s="11">
        <v>7.66</v>
      </c>
      <c r="I20" s="11">
        <v>4.0199999999999996</v>
      </c>
      <c r="J20" s="11">
        <v>0.99</v>
      </c>
      <c r="K20" s="11">
        <v>233.41</v>
      </c>
      <c r="L20" s="11">
        <v>39.5</v>
      </c>
      <c r="M20" s="11">
        <v>39.74</v>
      </c>
      <c r="N20" s="11">
        <v>980.5</v>
      </c>
      <c r="O20" s="11">
        <v>0</v>
      </c>
      <c r="P20" s="11">
        <v>0.38</v>
      </c>
      <c r="Q20" s="11">
        <v>9.3800000000000008</v>
      </c>
      <c r="R20" s="43"/>
      <c r="S20" s="43"/>
      <c r="T20" s="43"/>
      <c r="U20" s="43"/>
    </row>
    <row r="21" spans="1:21" s="11" customFormat="1" x14ac:dyDescent="0.25">
      <c r="A21" s="52" t="s">
        <v>72</v>
      </c>
      <c r="B21" s="11">
        <v>3.72</v>
      </c>
      <c r="C21" s="11">
        <v>22.28</v>
      </c>
      <c r="D21" s="11">
        <v>36.92</v>
      </c>
      <c r="E21" s="11">
        <v>4.3899999999999997</v>
      </c>
      <c r="F21" s="11">
        <v>24.86</v>
      </c>
      <c r="G21" s="11">
        <v>26.66</v>
      </c>
      <c r="H21" s="11">
        <v>7.99</v>
      </c>
      <c r="I21" s="11">
        <v>4.05</v>
      </c>
      <c r="J21" s="11">
        <v>3.07</v>
      </c>
      <c r="K21" s="11">
        <v>210.17</v>
      </c>
      <c r="L21" s="11">
        <v>38.200000000000003</v>
      </c>
      <c r="M21" s="11">
        <v>40.82</v>
      </c>
      <c r="N21" s="11">
        <v>976.5</v>
      </c>
      <c r="O21" s="11">
        <v>0</v>
      </c>
      <c r="P21" s="11">
        <v>0.37</v>
      </c>
      <c r="Q21" s="11">
        <v>9.34</v>
      </c>
      <c r="R21" s="43"/>
      <c r="S21" s="43"/>
      <c r="T21" s="43"/>
      <c r="U21" s="43"/>
    </row>
    <row r="22" spans="1:21" s="11" customFormat="1" x14ac:dyDescent="0.25">
      <c r="A22" s="52" t="s">
        <v>73</v>
      </c>
      <c r="B22" s="11">
        <v>3.52</v>
      </c>
      <c r="C22" s="11">
        <v>25.23</v>
      </c>
      <c r="D22" s="11">
        <v>42.9</v>
      </c>
      <c r="E22" s="11">
        <v>4.22</v>
      </c>
      <c r="F22" s="11">
        <v>19.850000000000001</v>
      </c>
      <c r="G22" s="11">
        <v>29.29</v>
      </c>
      <c r="H22" s="11">
        <v>8.2200000000000006</v>
      </c>
      <c r="I22" s="11">
        <v>4.04</v>
      </c>
      <c r="J22" s="11">
        <v>2.2599999999999998</v>
      </c>
      <c r="K22" s="11">
        <v>309.18</v>
      </c>
      <c r="L22" s="11">
        <v>40.47</v>
      </c>
      <c r="M22" s="11">
        <v>38.86</v>
      </c>
      <c r="N22" s="11">
        <v>881.5</v>
      </c>
      <c r="O22" s="11">
        <v>0</v>
      </c>
      <c r="P22" s="11">
        <v>0.39</v>
      </c>
      <c r="Q22" s="11">
        <v>9.36</v>
      </c>
      <c r="R22" s="43"/>
      <c r="S22" s="43"/>
      <c r="T22" s="43"/>
      <c r="U22" s="43"/>
    </row>
    <row r="23" spans="1:21" s="11" customFormat="1" x14ac:dyDescent="0.25">
      <c r="A23" s="52" t="s">
        <v>74</v>
      </c>
      <c r="B23" s="11">
        <v>4.24</v>
      </c>
      <c r="C23" s="11">
        <v>22.19</v>
      </c>
      <c r="D23" s="11">
        <v>35.97</v>
      </c>
      <c r="E23" s="11">
        <v>4.1900000000000004</v>
      </c>
      <c r="F23" s="11">
        <v>24.62</v>
      </c>
      <c r="G23" s="11">
        <v>29.84</v>
      </c>
      <c r="H23" s="11">
        <v>8.6999999999999993</v>
      </c>
      <c r="I23" s="11">
        <v>4.2300000000000004</v>
      </c>
      <c r="J23" s="11">
        <v>2.4900000000000002</v>
      </c>
      <c r="K23" s="11">
        <v>261.27</v>
      </c>
      <c r="L23" s="11">
        <v>41.57</v>
      </c>
      <c r="M23" s="11">
        <v>36.32</v>
      </c>
      <c r="N23" s="11">
        <v>434.8</v>
      </c>
      <c r="O23" s="11">
        <v>0</v>
      </c>
      <c r="P23" s="11">
        <v>0.37</v>
      </c>
      <c r="Q23" s="11">
        <v>9.34</v>
      </c>
      <c r="R23" s="43"/>
      <c r="S23" s="43"/>
      <c r="T23" s="43"/>
      <c r="U23" s="43"/>
    </row>
    <row r="24" spans="1:21" s="11" customFormat="1" x14ac:dyDescent="0.25">
      <c r="A24" s="52" t="s">
        <v>75</v>
      </c>
      <c r="B24" s="11">
        <v>4.67</v>
      </c>
      <c r="C24" s="11">
        <v>22.86</v>
      </c>
      <c r="D24" s="11">
        <v>36.86</v>
      </c>
      <c r="E24" s="11">
        <v>4.5999999999999996</v>
      </c>
      <c r="F24" s="11">
        <v>27.97</v>
      </c>
      <c r="G24" s="11">
        <v>27.37</v>
      </c>
      <c r="H24" s="11">
        <v>9.15</v>
      </c>
      <c r="I24" s="11">
        <v>4.07</v>
      </c>
      <c r="J24" s="11">
        <v>2.5</v>
      </c>
      <c r="K24" s="11">
        <v>262.64999999999998</v>
      </c>
      <c r="L24" s="11">
        <v>39.67</v>
      </c>
      <c r="M24" s="11">
        <v>35.58</v>
      </c>
      <c r="N24" s="11">
        <v>231.9</v>
      </c>
      <c r="O24" s="11">
        <v>0</v>
      </c>
      <c r="P24" s="11">
        <v>0.41</v>
      </c>
      <c r="Q24" s="11">
        <v>9.32</v>
      </c>
      <c r="R24" s="43"/>
      <c r="S24" s="43"/>
      <c r="T24" s="43"/>
      <c r="U24" s="43"/>
    </row>
    <row r="25" spans="1:21" s="11" customFormat="1" x14ac:dyDescent="0.25">
      <c r="A25" s="52" t="s">
        <v>76</v>
      </c>
      <c r="B25" s="11">
        <v>12.57</v>
      </c>
      <c r="C25" s="11">
        <v>41.35</v>
      </c>
      <c r="D25" s="11">
        <v>59.84</v>
      </c>
      <c r="E25" s="11">
        <v>4.59</v>
      </c>
      <c r="F25" s="11">
        <v>23.12</v>
      </c>
      <c r="G25" s="11">
        <v>21.9</v>
      </c>
      <c r="H25" s="11">
        <v>11.96</v>
      </c>
      <c r="I25" s="11">
        <v>4.24</v>
      </c>
      <c r="J25" s="11">
        <v>8.0399999999999991</v>
      </c>
      <c r="K25" s="11">
        <v>355.01</v>
      </c>
      <c r="L25" s="11">
        <v>38.200000000000003</v>
      </c>
      <c r="M25" s="11">
        <v>101.87</v>
      </c>
      <c r="N25" s="11">
        <v>64.8</v>
      </c>
      <c r="O25" s="11">
        <v>0.4</v>
      </c>
      <c r="P25" s="11">
        <v>0.53</v>
      </c>
      <c r="Q25" s="11">
        <v>9.33</v>
      </c>
      <c r="R25" s="43"/>
      <c r="S25" s="43"/>
      <c r="T25" s="43"/>
      <c r="U25" s="43"/>
    </row>
    <row r="26" spans="1:21" s="11" customFormat="1" x14ac:dyDescent="0.25">
      <c r="A26" s="52" t="s">
        <v>77</v>
      </c>
      <c r="B26" s="11">
        <v>2.38</v>
      </c>
      <c r="C26" s="11">
        <v>25.64</v>
      </c>
      <c r="D26" s="11">
        <v>45.44</v>
      </c>
      <c r="E26" s="11">
        <v>3.36</v>
      </c>
      <c r="F26" s="11">
        <v>10.050000000000001</v>
      </c>
      <c r="G26" s="11">
        <v>35.11</v>
      </c>
      <c r="H26" s="11">
        <v>12.73</v>
      </c>
      <c r="I26" s="11">
        <v>4.0999999999999996</v>
      </c>
      <c r="J26" s="11">
        <v>4.78</v>
      </c>
      <c r="K26" s="11">
        <v>82.85</v>
      </c>
      <c r="L26" s="11">
        <v>24.2</v>
      </c>
      <c r="M26" s="11">
        <v>100.65</v>
      </c>
      <c r="N26" s="11">
        <v>46.6</v>
      </c>
      <c r="O26" s="11">
        <v>0.4</v>
      </c>
      <c r="P26" s="11">
        <v>0.32</v>
      </c>
      <c r="Q26" s="11">
        <v>9.3699999999999992</v>
      </c>
      <c r="R26" s="43"/>
      <c r="S26" s="43"/>
      <c r="T26" s="43"/>
      <c r="U26" s="43"/>
    </row>
    <row r="27" spans="1:21" s="11" customFormat="1" x14ac:dyDescent="0.25">
      <c r="A27" s="52" t="s">
        <v>78</v>
      </c>
      <c r="B27" s="11">
        <v>3.12</v>
      </c>
      <c r="C27" s="11">
        <v>28.16</v>
      </c>
      <c r="D27" s="11">
        <v>49.67</v>
      </c>
      <c r="E27" s="11">
        <v>3.24</v>
      </c>
      <c r="F27" s="11">
        <v>6.98</v>
      </c>
      <c r="G27" s="11">
        <v>22.14</v>
      </c>
      <c r="H27" s="11">
        <v>12.49</v>
      </c>
      <c r="I27" s="11">
        <v>4.2</v>
      </c>
      <c r="J27" s="11">
        <v>3</v>
      </c>
      <c r="K27" s="11">
        <v>103.03</v>
      </c>
      <c r="L27" s="11">
        <v>25.23</v>
      </c>
      <c r="M27" s="11">
        <v>82.2</v>
      </c>
      <c r="N27" s="11">
        <v>47.7</v>
      </c>
      <c r="O27" s="11">
        <v>0</v>
      </c>
      <c r="P27" s="11">
        <v>0.32</v>
      </c>
      <c r="Q27" s="11">
        <v>9.4600000000000009</v>
      </c>
      <c r="R27" s="43"/>
      <c r="S27" s="43"/>
      <c r="T27" s="43"/>
      <c r="U27" s="43"/>
    </row>
    <row r="28" spans="1:21" s="11" customFormat="1" x14ac:dyDescent="0.25">
      <c r="A28" s="52" t="s">
        <v>79</v>
      </c>
      <c r="B28" s="53" t="s">
        <v>4</v>
      </c>
      <c r="C28" s="53" t="s">
        <v>4</v>
      </c>
      <c r="D28" s="53" t="s">
        <v>4</v>
      </c>
      <c r="E28" s="53" t="s">
        <v>4</v>
      </c>
      <c r="F28" s="53" t="s">
        <v>4</v>
      </c>
      <c r="G28" s="53" t="s">
        <v>4</v>
      </c>
      <c r="H28" s="53" t="s">
        <v>4</v>
      </c>
      <c r="I28" s="53" t="s">
        <v>4</v>
      </c>
      <c r="J28" s="53" t="s">
        <v>4</v>
      </c>
      <c r="K28" s="53" t="s">
        <v>4</v>
      </c>
      <c r="L28" s="53" t="s">
        <v>4</v>
      </c>
      <c r="M28" s="53" t="s">
        <v>4</v>
      </c>
      <c r="N28" s="53" t="s">
        <v>4</v>
      </c>
      <c r="O28" s="53" t="s">
        <v>4</v>
      </c>
      <c r="P28" s="53" t="s">
        <v>4</v>
      </c>
      <c r="Q28" s="53" t="s">
        <v>4</v>
      </c>
      <c r="R28" s="43"/>
      <c r="S28" s="43"/>
      <c r="T28" s="43"/>
      <c r="U28" s="43"/>
    </row>
    <row r="29" spans="1:21" s="11" customFormat="1" x14ac:dyDescent="0.25">
      <c r="A29" s="52" t="s">
        <v>80</v>
      </c>
      <c r="B29" s="53" t="s">
        <v>4</v>
      </c>
      <c r="C29" s="53" t="s">
        <v>4</v>
      </c>
      <c r="D29" s="53" t="s">
        <v>4</v>
      </c>
      <c r="E29" s="53" t="s">
        <v>4</v>
      </c>
      <c r="F29" s="53" t="s">
        <v>4</v>
      </c>
      <c r="G29" s="53" t="s">
        <v>4</v>
      </c>
      <c r="H29" s="53" t="s">
        <v>4</v>
      </c>
      <c r="I29" s="53" t="s">
        <v>4</v>
      </c>
      <c r="J29" s="53" t="s">
        <v>4</v>
      </c>
      <c r="K29" s="53" t="s">
        <v>4</v>
      </c>
      <c r="L29" s="53" t="s">
        <v>4</v>
      </c>
      <c r="M29" s="53" t="s">
        <v>4</v>
      </c>
      <c r="N29" s="53" t="s">
        <v>4</v>
      </c>
      <c r="O29" s="53" t="s">
        <v>4</v>
      </c>
      <c r="P29" s="53" t="s">
        <v>4</v>
      </c>
      <c r="Q29" s="53" t="s">
        <v>4</v>
      </c>
      <c r="R29" s="43"/>
      <c r="S29" s="43"/>
      <c r="T29" s="43"/>
      <c r="U29" s="43"/>
    </row>
    <row r="30" spans="1:21" s="11" customFormat="1" x14ac:dyDescent="0.25">
      <c r="A30" s="52" t="s">
        <v>81</v>
      </c>
      <c r="B30" s="53" t="s">
        <v>4</v>
      </c>
      <c r="C30" s="53" t="s">
        <v>4</v>
      </c>
      <c r="D30" s="53" t="s">
        <v>4</v>
      </c>
      <c r="E30" s="53" t="s">
        <v>4</v>
      </c>
      <c r="F30" s="53" t="s">
        <v>4</v>
      </c>
      <c r="G30" s="53" t="s">
        <v>4</v>
      </c>
      <c r="H30" s="53" t="s">
        <v>4</v>
      </c>
      <c r="I30" s="53" t="s">
        <v>4</v>
      </c>
      <c r="J30" s="53" t="s">
        <v>4</v>
      </c>
      <c r="K30" s="53" t="s">
        <v>4</v>
      </c>
      <c r="L30" s="53" t="s">
        <v>4</v>
      </c>
      <c r="M30" s="53" t="s">
        <v>4</v>
      </c>
      <c r="N30" s="53" t="s">
        <v>4</v>
      </c>
      <c r="O30" s="53" t="s">
        <v>4</v>
      </c>
      <c r="P30" s="53" t="s">
        <v>4</v>
      </c>
      <c r="Q30" s="53" t="s">
        <v>4</v>
      </c>
      <c r="R30" s="43"/>
      <c r="S30" s="43"/>
      <c r="T30" s="43"/>
      <c r="U30" s="43"/>
    </row>
    <row r="31" spans="1:21" s="11" customFormat="1" x14ac:dyDescent="0.25">
      <c r="A31" s="52" t="s">
        <v>82</v>
      </c>
      <c r="B31" s="6" t="s">
        <v>20</v>
      </c>
      <c r="C31" s="6" t="s">
        <v>20</v>
      </c>
      <c r="D31" s="6" t="s">
        <v>20</v>
      </c>
      <c r="E31" s="6" t="s">
        <v>20</v>
      </c>
      <c r="F31" s="11">
        <v>6.29</v>
      </c>
      <c r="G31" s="11">
        <v>0.2</v>
      </c>
      <c r="H31" s="11">
        <v>9.76</v>
      </c>
      <c r="I31" s="11">
        <v>3.95</v>
      </c>
      <c r="J31" s="11">
        <v>1.36</v>
      </c>
      <c r="K31" s="11">
        <v>152.87</v>
      </c>
      <c r="L31" s="11">
        <v>24.47</v>
      </c>
      <c r="M31" s="11">
        <v>91.26</v>
      </c>
      <c r="N31" s="11">
        <v>45.1</v>
      </c>
      <c r="O31" s="11">
        <v>0</v>
      </c>
      <c r="P31" s="11">
        <v>0.13</v>
      </c>
      <c r="Q31" s="6" t="s">
        <v>20</v>
      </c>
      <c r="R31" s="43"/>
      <c r="S31" s="43"/>
      <c r="T31" s="43"/>
      <c r="U31" s="43"/>
    </row>
    <row r="32" spans="1:21" s="11" customFormat="1" x14ac:dyDescent="0.25">
      <c r="A32" s="52" t="s">
        <v>83</v>
      </c>
      <c r="B32" s="11">
        <v>4.53</v>
      </c>
      <c r="C32" s="11">
        <v>23.55</v>
      </c>
      <c r="D32" s="11">
        <v>38.11</v>
      </c>
      <c r="E32" s="11">
        <v>2.1800000000000002</v>
      </c>
      <c r="F32" s="11">
        <v>56.07</v>
      </c>
      <c r="G32" s="11">
        <v>18.04</v>
      </c>
      <c r="H32" s="11">
        <v>8.74</v>
      </c>
      <c r="I32" s="11">
        <v>4.1900000000000004</v>
      </c>
      <c r="J32" s="11">
        <v>1.1399999999999999</v>
      </c>
      <c r="K32" s="11">
        <v>233.56</v>
      </c>
      <c r="L32" s="11">
        <v>24.1</v>
      </c>
      <c r="M32" s="11">
        <v>94.45</v>
      </c>
      <c r="N32" s="11">
        <v>45.3</v>
      </c>
      <c r="O32" s="11">
        <v>0</v>
      </c>
      <c r="P32" s="11">
        <v>0.21</v>
      </c>
      <c r="Q32" s="11">
        <v>9.65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2.38</v>
      </c>
      <c r="C34" s="28">
        <f t="shared" si="0"/>
        <v>22.19</v>
      </c>
      <c r="D34" s="28">
        <f t="shared" si="0"/>
        <v>35.97</v>
      </c>
      <c r="E34" s="28">
        <f t="shared" si="0"/>
        <v>2.1800000000000002</v>
      </c>
      <c r="F34" s="28">
        <f t="shared" si="0"/>
        <v>6.29</v>
      </c>
      <c r="G34" s="28">
        <f t="shared" si="0"/>
        <v>0.2</v>
      </c>
      <c r="H34" s="28">
        <f t="shared" si="0"/>
        <v>4.53</v>
      </c>
      <c r="I34" s="28">
        <f t="shared" si="0"/>
        <v>3.95</v>
      </c>
      <c r="J34" s="28">
        <f t="shared" si="0"/>
        <v>0.99</v>
      </c>
      <c r="K34" s="28">
        <f t="shared" si="0"/>
        <v>82.85</v>
      </c>
      <c r="L34" s="28">
        <f t="shared" si="0"/>
        <v>24.1</v>
      </c>
      <c r="M34" s="28">
        <f t="shared" si="0"/>
        <v>35.58</v>
      </c>
      <c r="N34" s="28">
        <f t="shared" si="0"/>
        <v>45.1</v>
      </c>
      <c r="O34" s="28">
        <f t="shared" si="0"/>
        <v>0</v>
      </c>
      <c r="P34" s="28">
        <f t="shared" si="0"/>
        <v>0.13</v>
      </c>
      <c r="Q34" s="28">
        <f t="shared" si="0"/>
        <v>9.32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22.55</v>
      </c>
      <c r="C35" s="29">
        <f t="shared" si="1"/>
        <v>41.35</v>
      </c>
      <c r="D35" s="29">
        <f t="shared" si="1"/>
        <v>59.84</v>
      </c>
      <c r="E35" s="29">
        <f t="shared" si="1"/>
        <v>4.5999999999999996</v>
      </c>
      <c r="F35" s="29">
        <f t="shared" si="1"/>
        <v>56.07</v>
      </c>
      <c r="G35" s="29">
        <f t="shared" si="1"/>
        <v>35.11</v>
      </c>
      <c r="H35" s="29">
        <f t="shared" si="1"/>
        <v>12.73</v>
      </c>
      <c r="I35" s="29">
        <f t="shared" si="1"/>
        <v>4.24</v>
      </c>
      <c r="J35" s="29">
        <f t="shared" si="1"/>
        <v>8.0399999999999991</v>
      </c>
      <c r="K35" s="29">
        <f t="shared" si="1"/>
        <v>355.01</v>
      </c>
      <c r="L35" s="29">
        <f t="shared" si="1"/>
        <v>41.57</v>
      </c>
      <c r="M35" s="29">
        <f t="shared" si="1"/>
        <v>101.87</v>
      </c>
      <c r="N35" s="29">
        <f t="shared" si="1"/>
        <v>980.5</v>
      </c>
      <c r="O35" s="29">
        <f t="shared" si="1"/>
        <v>0.4</v>
      </c>
      <c r="P35" s="29">
        <f t="shared" si="1"/>
        <v>0.53</v>
      </c>
      <c r="Q35" s="29">
        <f t="shared" si="1"/>
        <v>9.65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7.4340000000000002</v>
      </c>
      <c r="C36" s="28">
        <f t="shared" si="2"/>
        <v>28.356000000000002</v>
      </c>
      <c r="D36" s="28">
        <f t="shared" si="2"/>
        <v>43.332000000000008</v>
      </c>
      <c r="E36" s="28">
        <f t="shared" si="2"/>
        <v>3.3005000000000004</v>
      </c>
      <c r="F36" s="28">
        <f t="shared" si="2"/>
        <v>16.21857142857143</v>
      </c>
      <c r="G36" s="28">
        <f t="shared" si="2"/>
        <v>23.240952380952383</v>
      </c>
      <c r="H36" s="28">
        <f t="shared" si="2"/>
        <v>8.230952380952381</v>
      </c>
      <c r="I36" s="28">
        <f t="shared" si="2"/>
        <v>4.1138095238095227</v>
      </c>
      <c r="J36" s="28">
        <f t="shared" si="2"/>
        <v>2.696190476190476</v>
      </c>
      <c r="K36" s="28">
        <f t="shared" si="2"/>
        <v>209.15238095238095</v>
      </c>
      <c r="L36" s="28">
        <f t="shared" si="2"/>
        <v>32.015238095238104</v>
      </c>
      <c r="M36" s="28">
        <f t="shared" si="2"/>
        <v>65.837619047619071</v>
      </c>
      <c r="N36" s="28">
        <f t="shared" si="2"/>
        <v>386.41428571428577</v>
      </c>
      <c r="O36" s="28">
        <f t="shared" si="2"/>
        <v>3.8095238095238099E-2</v>
      </c>
      <c r="P36" s="28">
        <f t="shared" si="2"/>
        <v>0.3504761904761905</v>
      </c>
      <c r="Q36" s="28">
        <f t="shared" si="2"/>
        <v>9.4710000000000001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5.01210261582691</v>
      </c>
      <c r="C37" s="28">
        <f t="shared" ref="C37:Q37" si="3">STDEV(C9:C32)</f>
        <v>5.6406050440673399</v>
      </c>
      <c r="D37" s="28">
        <f t="shared" si="3"/>
        <v>5.7112019197731696</v>
      </c>
      <c r="E37" s="28">
        <f t="shared" si="3"/>
        <v>0.7586169895554038</v>
      </c>
      <c r="F37" s="28">
        <f t="shared" si="3"/>
        <v>11.264116603495491</v>
      </c>
      <c r="G37" s="28">
        <f t="shared" si="3"/>
        <v>6.702223440591883</v>
      </c>
      <c r="H37" s="28">
        <f t="shared" si="3"/>
        <v>2.1962306453601474</v>
      </c>
      <c r="I37" s="28">
        <f t="shared" si="3"/>
        <v>7.6385613205379982E-2</v>
      </c>
      <c r="J37" s="28">
        <f t="shared" si="3"/>
        <v>1.5069687328888952</v>
      </c>
      <c r="K37" s="28">
        <f t="shared" si="3"/>
        <v>84.313750296423294</v>
      </c>
      <c r="L37" s="28">
        <f t="shared" si="3"/>
        <v>6.1283306201995886</v>
      </c>
      <c r="M37" s="28">
        <f t="shared" si="3"/>
        <v>22.237511754861799</v>
      </c>
      <c r="N37" s="28">
        <f t="shared" si="3"/>
        <v>362.65386153426556</v>
      </c>
      <c r="O37" s="28">
        <f t="shared" si="3"/>
        <v>0.12031704150364768</v>
      </c>
      <c r="P37" s="28">
        <f t="shared" si="3"/>
        <v>7.677735281163256E-2</v>
      </c>
      <c r="Q37" s="28">
        <f t="shared" si="3"/>
        <v>0.1147950118116728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>COUNT(B9:B32)+4</f>
        <v>24</v>
      </c>
      <c r="C38" s="32">
        <f t="shared" ref="C38:E38" si="4">COUNT(C9:C32)+4</f>
        <v>24</v>
      </c>
      <c r="D38" s="32">
        <f t="shared" si="4"/>
        <v>24</v>
      </c>
      <c r="E38" s="32">
        <f t="shared" si="4"/>
        <v>24</v>
      </c>
      <c r="F38" s="32">
        <f>COUNT(F9:F32)+3</f>
        <v>24</v>
      </c>
      <c r="G38" s="32">
        <f t="shared" ref="G38:P38" si="5">COUNT(G9:G32)+3</f>
        <v>24</v>
      </c>
      <c r="H38" s="32">
        <f t="shared" si="5"/>
        <v>24</v>
      </c>
      <c r="I38" s="32">
        <f t="shared" si="5"/>
        <v>24</v>
      </c>
      <c r="J38" s="32">
        <f t="shared" si="5"/>
        <v>24</v>
      </c>
      <c r="K38" s="32">
        <f t="shared" si="5"/>
        <v>24</v>
      </c>
      <c r="L38" s="32">
        <f t="shared" si="5"/>
        <v>24</v>
      </c>
      <c r="M38" s="32">
        <f t="shared" si="5"/>
        <v>24</v>
      </c>
      <c r="N38" s="32">
        <f t="shared" si="5"/>
        <v>24</v>
      </c>
      <c r="O38" s="32">
        <f t="shared" si="5"/>
        <v>24</v>
      </c>
      <c r="P38" s="32">
        <f t="shared" si="5"/>
        <v>24</v>
      </c>
      <c r="Q38" s="32">
        <f>COUNT(Q9:Q32)+4</f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6">IF(C38&gt;=22,"&gt;90%",IF(C38&lt;=22,"&lt;90%"))</f>
        <v>&gt;90%</v>
      </c>
      <c r="D39" s="29" t="str">
        <f t="shared" si="6"/>
        <v>&gt;90%</v>
      </c>
      <c r="E39" s="29" t="str">
        <f t="shared" si="6"/>
        <v>&gt;90%</v>
      </c>
      <c r="F39" s="29" t="str">
        <f t="shared" si="6"/>
        <v>&gt;90%</v>
      </c>
      <c r="G39" s="29" t="str">
        <f t="shared" si="6"/>
        <v>&gt;90%</v>
      </c>
      <c r="H39" s="29" t="str">
        <f t="shared" si="6"/>
        <v>&gt;90%</v>
      </c>
      <c r="I39" s="29" t="str">
        <f t="shared" si="6"/>
        <v>&gt;90%</v>
      </c>
      <c r="J39" s="29" t="str">
        <f t="shared" si="6"/>
        <v>&gt;90%</v>
      </c>
      <c r="K39" s="29" t="str">
        <f t="shared" si="6"/>
        <v>&gt;90%</v>
      </c>
      <c r="L39" s="29" t="str">
        <f t="shared" si="6"/>
        <v>&gt;90%</v>
      </c>
      <c r="M39" s="29" t="str">
        <f t="shared" si="6"/>
        <v>&gt;90%</v>
      </c>
      <c r="N39" s="29" t="str">
        <f t="shared" si="6"/>
        <v>&gt;90%</v>
      </c>
      <c r="O39" s="29" t="str">
        <f t="shared" si="6"/>
        <v>&gt;90%</v>
      </c>
      <c r="P39" s="29" t="str">
        <f t="shared" si="6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7">IF(C38&gt;=22,"OK",IF(C38&lt;=22,"LESS"))</f>
        <v>OK</v>
      </c>
      <c r="D40" s="29" t="str">
        <f t="shared" si="7"/>
        <v>OK</v>
      </c>
      <c r="E40" s="29" t="str">
        <f t="shared" si="7"/>
        <v>OK</v>
      </c>
      <c r="F40" s="29" t="str">
        <f t="shared" si="7"/>
        <v>OK</v>
      </c>
      <c r="G40" s="29" t="str">
        <f t="shared" si="7"/>
        <v>OK</v>
      </c>
      <c r="H40" s="29" t="str">
        <f t="shared" si="7"/>
        <v>OK</v>
      </c>
      <c r="I40" s="29" t="str">
        <f t="shared" si="7"/>
        <v>OK</v>
      </c>
      <c r="J40" s="29" t="str">
        <f t="shared" si="7"/>
        <v>OK</v>
      </c>
      <c r="K40" s="29" t="str">
        <f t="shared" si="7"/>
        <v>OK</v>
      </c>
      <c r="L40" s="29" t="str">
        <f t="shared" si="7"/>
        <v>OK</v>
      </c>
      <c r="M40" s="29" t="str">
        <f t="shared" si="7"/>
        <v>OK</v>
      </c>
      <c r="N40" s="29" t="str">
        <f t="shared" si="7"/>
        <v>OK</v>
      </c>
      <c r="O40" s="29" t="str">
        <f t="shared" si="7"/>
        <v>OK</v>
      </c>
      <c r="P40" s="29" t="str">
        <f t="shared" si="7"/>
        <v>OK</v>
      </c>
      <c r="Q40" s="29" t="str">
        <f t="shared" si="7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3" width="11" style="20" customWidth="1"/>
    <col min="4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02/05/2025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4" t="s">
        <v>84</v>
      </c>
      <c r="B9" s="55">
        <v>5.58</v>
      </c>
      <c r="C9" s="55">
        <v>24.37</v>
      </c>
      <c r="D9" s="55">
        <v>39.56</v>
      </c>
      <c r="E9" s="56" t="s">
        <v>14</v>
      </c>
      <c r="F9" s="55">
        <v>5.71</v>
      </c>
      <c r="G9" s="55">
        <v>29.24</v>
      </c>
      <c r="H9" s="55">
        <v>6.12</v>
      </c>
      <c r="I9" s="55">
        <v>4.01</v>
      </c>
      <c r="J9" s="55">
        <v>0.74</v>
      </c>
      <c r="K9" s="55">
        <v>325.20999999999998</v>
      </c>
      <c r="L9" s="55">
        <v>23.78</v>
      </c>
      <c r="M9" s="55">
        <v>98.42</v>
      </c>
      <c r="N9" s="55">
        <v>45.4</v>
      </c>
      <c r="O9" s="55">
        <v>0</v>
      </c>
      <c r="P9" s="55">
        <v>0.15</v>
      </c>
      <c r="Q9" s="55">
        <v>9.67</v>
      </c>
      <c r="R9" s="43"/>
      <c r="S9" s="43"/>
      <c r="T9" s="43"/>
      <c r="U9" s="43"/>
    </row>
    <row r="10" spans="1:21" s="11" customFormat="1" x14ac:dyDescent="0.25">
      <c r="A10" s="54" t="s">
        <v>85</v>
      </c>
      <c r="B10" s="55">
        <v>7.1</v>
      </c>
      <c r="C10" s="55">
        <v>25.8</v>
      </c>
      <c r="D10" s="55">
        <v>38.5</v>
      </c>
      <c r="E10" s="56" t="s">
        <v>14</v>
      </c>
      <c r="F10" s="55">
        <v>6.03</v>
      </c>
      <c r="G10" s="55">
        <v>31.05</v>
      </c>
      <c r="H10" s="55">
        <v>6.41</v>
      </c>
      <c r="I10" s="55">
        <v>4.13</v>
      </c>
      <c r="J10" s="55">
        <v>0.8</v>
      </c>
      <c r="K10" s="55">
        <v>96.26</v>
      </c>
      <c r="L10" s="55">
        <v>24.19</v>
      </c>
      <c r="M10" s="55">
        <v>97.5</v>
      </c>
      <c r="N10" s="55">
        <v>45.1</v>
      </c>
      <c r="O10" s="55">
        <v>0</v>
      </c>
      <c r="P10" s="55">
        <v>0.33</v>
      </c>
      <c r="Q10" s="55">
        <v>9.64</v>
      </c>
      <c r="R10" s="43"/>
      <c r="S10" s="43"/>
      <c r="T10" s="43"/>
      <c r="U10" s="43"/>
    </row>
    <row r="11" spans="1:21" s="11" customFormat="1" x14ac:dyDescent="0.25">
      <c r="A11" s="54" t="s">
        <v>86</v>
      </c>
      <c r="B11" s="55">
        <v>7.18</v>
      </c>
      <c r="C11" s="55">
        <v>25.28</v>
      </c>
      <c r="D11" s="55">
        <v>37.54</v>
      </c>
      <c r="E11" s="56" t="s">
        <v>14</v>
      </c>
      <c r="F11" s="55">
        <v>6.21</v>
      </c>
      <c r="G11" s="55">
        <v>18.309999999999999</v>
      </c>
      <c r="H11" s="55">
        <v>6.93</v>
      </c>
      <c r="I11" s="55">
        <v>4.04</v>
      </c>
      <c r="J11" s="55">
        <v>1.91</v>
      </c>
      <c r="K11" s="55">
        <v>109.42</v>
      </c>
      <c r="L11" s="55">
        <v>24.12</v>
      </c>
      <c r="M11" s="55">
        <v>97.23</v>
      </c>
      <c r="N11" s="55">
        <v>45.6</v>
      </c>
      <c r="O11" s="55">
        <v>0</v>
      </c>
      <c r="P11" s="55">
        <v>0.31</v>
      </c>
      <c r="Q11" s="55">
        <v>9.67</v>
      </c>
      <c r="R11" s="43"/>
      <c r="S11" s="43"/>
      <c r="T11" s="43"/>
      <c r="U11" s="43"/>
    </row>
    <row r="12" spans="1:21" s="11" customFormat="1" x14ac:dyDescent="0.25">
      <c r="A12" s="54" t="s">
        <v>87</v>
      </c>
      <c r="B12" s="55">
        <v>7.92</v>
      </c>
      <c r="C12" s="55">
        <v>23.56</v>
      </c>
      <c r="D12" s="55">
        <v>32.93</v>
      </c>
      <c r="E12" s="56" t="s">
        <v>14</v>
      </c>
      <c r="F12" s="55">
        <v>5.94</v>
      </c>
      <c r="G12" s="55">
        <v>19.059999999999999</v>
      </c>
      <c r="H12" s="55">
        <v>5.55</v>
      </c>
      <c r="I12" s="55">
        <v>4.03</v>
      </c>
      <c r="J12" s="55">
        <v>1.33</v>
      </c>
      <c r="K12" s="55">
        <v>101.06</v>
      </c>
      <c r="L12" s="55">
        <v>23.73</v>
      </c>
      <c r="M12" s="55">
        <v>96.61</v>
      </c>
      <c r="N12" s="55">
        <v>45.5</v>
      </c>
      <c r="O12" s="55">
        <v>0</v>
      </c>
      <c r="P12" s="55">
        <v>0.28999999999999998</v>
      </c>
      <c r="Q12" s="55">
        <v>9.6300000000000008</v>
      </c>
      <c r="R12" s="43"/>
      <c r="S12" s="43"/>
      <c r="T12" s="43"/>
      <c r="U12" s="43"/>
    </row>
    <row r="13" spans="1:21" s="11" customFormat="1" x14ac:dyDescent="0.25">
      <c r="A13" s="54" t="s">
        <v>88</v>
      </c>
      <c r="B13" s="55">
        <v>8.74</v>
      </c>
      <c r="C13" s="55">
        <v>28.12</v>
      </c>
      <c r="D13" s="55">
        <v>40.92</v>
      </c>
      <c r="E13" s="56" t="s">
        <v>14</v>
      </c>
      <c r="F13" s="55">
        <v>5.63</v>
      </c>
      <c r="G13" s="55">
        <v>20.66</v>
      </c>
      <c r="H13" s="55">
        <v>5.62</v>
      </c>
      <c r="I13" s="55">
        <v>3.98</v>
      </c>
      <c r="J13" s="55">
        <v>1.36</v>
      </c>
      <c r="K13" s="55">
        <v>105.58</v>
      </c>
      <c r="L13" s="55">
        <v>23.63</v>
      </c>
      <c r="M13" s="55">
        <v>96.77</v>
      </c>
      <c r="N13" s="55">
        <v>45.5</v>
      </c>
      <c r="O13" s="55">
        <v>0</v>
      </c>
      <c r="P13" s="55">
        <v>0.28000000000000003</v>
      </c>
      <c r="Q13" s="55">
        <v>9.6300000000000008</v>
      </c>
      <c r="R13" s="43"/>
      <c r="S13" s="43"/>
      <c r="T13" s="43"/>
      <c r="U13" s="43"/>
    </row>
    <row r="14" spans="1:21" s="11" customFormat="1" x14ac:dyDescent="0.25">
      <c r="A14" s="54" t="s">
        <v>89</v>
      </c>
      <c r="B14" s="55">
        <v>10.41</v>
      </c>
      <c r="C14" s="55">
        <v>28.11</v>
      </c>
      <c r="D14" s="55">
        <v>38.14</v>
      </c>
      <c r="E14" s="56" t="s">
        <v>14</v>
      </c>
      <c r="F14" s="55">
        <v>5.45</v>
      </c>
      <c r="G14" s="55">
        <v>18.11</v>
      </c>
      <c r="H14" s="55">
        <v>5.68</v>
      </c>
      <c r="I14" s="55">
        <v>4.07</v>
      </c>
      <c r="J14" s="55">
        <v>1.44</v>
      </c>
      <c r="K14" s="55">
        <v>104.95</v>
      </c>
      <c r="L14" s="55">
        <v>23.61</v>
      </c>
      <c r="M14" s="55">
        <v>97.46</v>
      </c>
      <c r="N14" s="55">
        <v>74.599999999999994</v>
      </c>
      <c r="O14" s="55">
        <v>0</v>
      </c>
      <c r="P14" s="55">
        <v>0.28999999999999998</v>
      </c>
      <c r="Q14" s="55">
        <v>9.6300000000000008</v>
      </c>
      <c r="R14" s="43"/>
      <c r="S14" s="43"/>
      <c r="T14" s="43"/>
      <c r="U14" s="43"/>
    </row>
    <row r="15" spans="1:21" s="11" customFormat="1" x14ac:dyDescent="0.25">
      <c r="A15" s="54" t="s">
        <v>90</v>
      </c>
      <c r="B15" s="55">
        <v>11.13</v>
      </c>
      <c r="C15" s="55">
        <v>29.09</v>
      </c>
      <c r="D15" s="55">
        <v>39.28</v>
      </c>
      <c r="E15" s="56" t="s">
        <v>14</v>
      </c>
      <c r="F15" s="55">
        <v>6.05</v>
      </c>
      <c r="G15" s="55">
        <v>18.579999999999998</v>
      </c>
      <c r="H15" s="55">
        <v>6.78</v>
      </c>
      <c r="I15" s="55">
        <v>4.05</v>
      </c>
      <c r="J15" s="55">
        <v>1.75</v>
      </c>
      <c r="K15" s="55">
        <v>140.34</v>
      </c>
      <c r="L15" s="55">
        <v>25.9</v>
      </c>
      <c r="M15" s="55">
        <v>94.54</v>
      </c>
      <c r="N15" s="55">
        <v>238.1</v>
      </c>
      <c r="O15" s="55">
        <v>0</v>
      </c>
      <c r="P15" s="55">
        <v>0.28999999999999998</v>
      </c>
      <c r="Q15" s="55">
        <v>9.67</v>
      </c>
      <c r="R15" s="43"/>
      <c r="S15" s="43"/>
      <c r="T15" s="43"/>
      <c r="U15" s="43"/>
    </row>
    <row r="16" spans="1:21" s="11" customFormat="1" x14ac:dyDescent="0.25">
      <c r="A16" s="54" t="s">
        <v>91</v>
      </c>
      <c r="B16" s="55">
        <v>11.69</v>
      </c>
      <c r="C16" s="55">
        <v>29.73</v>
      </c>
      <c r="D16" s="55">
        <v>38.96</v>
      </c>
      <c r="E16" s="55">
        <v>1.95</v>
      </c>
      <c r="F16" s="55">
        <v>6.97</v>
      </c>
      <c r="G16" s="55">
        <v>12.9</v>
      </c>
      <c r="H16" s="55">
        <v>6.99</v>
      </c>
      <c r="I16" s="55">
        <v>4.16</v>
      </c>
      <c r="J16" s="55">
        <v>1.32</v>
      </c>
      <c r="K16" s="55">
        <v>98.28</v>
      </c>
      <c r="L16" s="55">
        <v>28.45</v>
      </c>
      <c r="M16" s="55">
        <v>82.59</v>
      </c>
      <c r="N16" s="55">
        <v>440.7</v>
      </c>
      <c r="O16" s="55">
        <v>0</v>
      </c>
      <c r="P16" s="55">
        <v>0.3</v>
      </c>
      <c r="Q16" s="55">
        <v>9.65</v>
      </c>
      <c r="R16" s="43"/>
      <c r="S16" s="43"/>
      <c r="T16" s="43"/>
      <c r="U16" s="43"/>
    </row>
    <row r="17" spans="1:21" s="11" customFormat="1" x14ac:dyDescent="0.25">
      <c r="A17" s="54" t="s">
        <v>92</v>
      </c>
      <c r="B17" s="55">
        <v>13.13</v>
      </c>
      <c r="C17" s="55">
        <v>31.99</v>
      </c>
      <c r="D17" s="55">
        <v>41.08</v>
      </c>
      <c r="E17" s="55">
        <v>2.64</v>
      </c>
      <c r="F17" s="55">
        <v>6.89</v>
      </c>
      <c r="G17" s="55">
        <v>11.3</v>
      </c>
      <c r="H17" s="55">
        <v>5.61</v>
      </c>
      <c r="I17" s="55">
        <v>3.99</v>
      </c>
      <c r="J17" s="55">
        <v>0.69</v>
      </c>
      <c r="K17" s="55">
        <v>347.84</v>
      </c>
      <c r="L17" s="55">
        <v>32.93</v>
      </c>
      <c r="M17" s="55">
        <v>71.540000000000006</v>
      </c>
      <c r="N17" s="55">
        <v>665.2</v>
      </c>
      <c r="O17" s="55">
        <v>0</v>
      </c>
      <c r="P17" s="55">
        <v>0.35</v>
      </c>
      <c r="Q17" s="55">
        <v>9.65</v>
      </c>
      <c r="R17" s="43"/>
      <c r="S17" s="43"/>
      <c r="T17" s="43"/>
      <c r="U17" s="43"/>
    </row>
    <row r="18" spans="1:21" s="11" customFormat="1" x14ac:dyDescent="0.25">
      <c r="A18" s="54" t="s">
        <v>93</v>
      </c>
      <c r="B18" s="55">
        <v>12.57</v>
      </c>
      <c r="C18" s="55">
        <v>34.46</v>
      </c>
      <c r="D18" s="55">
        <v>46.75</v>
      </c>
      <c r="E18" s="55">
        <v>2.4</v>
      </c>
      <c r="F18" s="55">
        <v>7.75</v>
      </c>
      <c r="G18" s="55">
        <v>28.91</v>
      </c>
      <c r="H18" s="55">
        <v>7.8</v>
      </c>
      <c r="I18" s="55">
        <v>4.16</v>
      </c>
      <c r="J18" s="55">
        <v>1.28</v>
      </c>
      <c r="K18" s="55">
        <v>341.29</v>
      </c>
      <c r="L18" s="55">
        <v>35.26</v>
      </c>
      <c r="M18" s="55">
        <v>61.7</v>
      </c>
      <c r="N18" s="55">
        <v>812.6</v>
      </c>
      <c r="O18" s="55">
        <v>0</v>
      </c>
      <c r="P18" s="55">
        <v>0.43</v>
      </c>
      <c r="Q18" s="55">
        <v>9.65</v>
      </c>
      <c r="R18" s="43"/>
      <c r="S18" s="43"/>
      <c r="T18" s="43"/>
      <c r="U18" s="43"/>
    </row>
    <row r="19" spans="1:21" s="11" customFormat="1" x14ac:dyDescent="0.25">
      <c r="A19" s="54" t="s">
        <v>94</v>
      </c>
      <c r="B19" s="55">
        <v>10.17</v>
      </c>
      <c r="C19" s="55">
        <v>31.01</v>
      </c>
      <c r="D19" s="55">
        <v>45.95</v>
      </c>
      <c r="E19" s="55">
        <v>2.89</v>
      </c>
      <c r="F19" s="55">
        <v>20.440000000000001</v>
      </c>
      <c r="G19" s="55">
        <v>34.21</v>
      </c>
      <c r="H19" s="55">
        <v>8.4</v>
      </c>
      <c r="I19" s="55">
        <v>4.2</v>
      </c>
      <c r="J19" s="55">
        <v>1.2</v>
      </c>
      <c r="K19" s="55">
        <v>276.51</v>
      </c>
      <c r="L19" s="55">
        <v>36.700000000000003</v>
      </c>
      <c r="M19" s="55">
        <v>48.08</v>
      </c>
      <c r="N19" s="55">
        <v>919.3</v>
      </c>
      <c r="O19" s="55">
        <v>0</v>
      </c>
      <c r="P19" s="55">
        <v>0.53</v>
      </c>
      <c r="Q19" s="55">
        <v>9.67</v>
      </c>
      <c r="R19" s="43"/>
      <c r="S19" s="43"/>
      <c r="T19" s="43"/>
      <c r="U19" s="43"/>
    </row>
    <row r="20" spans="1:21" s="11" customFormat="1" x14ac:dyDescent="0.25">
      <c r="A20" s="54" t="s">
        <v>95</v>
      </c>
      <c r="B20" s="55">
        <v>5.0599999999999996</v>
      </c>
      <c r="C20" s="55">
        <v>55.94</v>
      </c>
      <c r="D20" s="55">
        <v>74.430000000000007</v>
      </c>
      <c r="E20" s="55">
        <v>3.88</v>
      </c>
      <c r="F20" s="55">
        <v>23.03</v>
      </c>
      <c r="G20" s="18" t="s">
        <v>12</v>
      </c>
      <c r="H20" s="18" t="s">
        <v>12</v>
      </c>
      <c r="I20" s="55">
        <v>4.16</v>
      </c>
      <c r="J20" s="55">
        <v>0.65</v>
      </c>
      <c r="K20" s="55">
        <v>312.39999999999998</v>
      </c>
      <c r="L20" s="55">
        <v>36.85</v>
      </c>
      <c r="M20" s="55">
        <v>47.79</v>
      </c>
      <c r="N20" s="55">
        <v>916.2</v>
      </c>
      <c r="O20" s="55">
        <v>0</v>
      </c>
      <c r="P20" s="55">
        <v>0.86</v>
      </c>
      <c r="Q20" s="55">
        <v>9.56</v>
      </c>
      <c r="R20" s="43"/>
      <c r="S20" s="43"/>
      <c r="T20" s="43"/>
      <c r="U20" s="43"/>
    </row>
    <row r="21" spans="1:21" s="11" customFormat="1" x14ac:dyDescent="0.25">
      <c r="A21" s="54" t="s">
        <v>96</v>
      </c>
      <c r="B21" s="55">
        <v>6.21</v>
      </c>
      <c r="C21" s="55">
        <v>41.64</v>
      </c>
      <c r="D21" s="55">
        <v>74.72</v>
      </c>
      <c r="E21" s="18" t="s">
        <v>12</v>
      </c>
      <c r="F21" s="55">
        <v>22.07</v>
      </c>
      <c r="G21" s="55">
        <v>89.87</v>
      </c>
      <c r="H21" s="55">
        <v>27.85</v>
      </c>
      <c r="I21" s="55">
        <v>4.1100000000000003</v>
      </c>
      <c r="J21" s="55">
        <v>1.42</v>
      </c>
      <c r="K21" s="55">
        <v>288.08999999999997</v>
      </c>
      <c r="L21" s="55">
        <v>38.159999999999997</v>
      </c>
      <c r="M21" s="55">
        <v>46.13</v>
      </c>
      <c r="N21" s="55">
        <v>858.6</v>
      </c>
      <c r="O21" s="55">
        <v>0</v>
      </c>
      <c r="P21" s="55">
        <v>0.83</v>
      </c>
      <c r="Q21" s="55">
        <v>9.5399999999999991</v>
      </c>
      <c r="R21" s="43"/>
      <c r="S21" s="43"/>
      <c r="T21" s="43"/>
      <c r="U21" s="43"/>
    </row>
    <row r="22" spans="1:21" s="11" customFormat="1" x14ac:dyDescent="0.25">
      <c r="A22" s="54" t="s">
        <v>97</v>
      </c>
      <c r="B22" s="55">
        <v>2.02</v>
      </c>
      <c r="C22" s="55">
        <v>36.51</v>
      </c>
      <c r="D22" s="55">
        <v>66.77</v>
      </c>
      <c r="E22" s="55">
        <v>12.25</v>
      </c>
      <c r="F22" s="55">
        <v>21.44</v>
      </c>
      <c r="G22" s="55">
        <v>97.6</v>
      </c>
      <c r="H22" s="55">
        <v>30.96</v>
      </c>
      <c r="I22" s="55">
        <v>4.08</v>
      </c>
      <c r="J22" s="55">
        <v>1.1399999999999999</v>
      </c>
      <c r="K22" s="55">
        <v>254.66</v>
      </c>
      <c r="L22" s="55">
        <v>39.369999999999997</v>
      </c>
      <c r="M22" s="55">
        <v>38.78</v>
      </c>
      <c r="N22" s="55">
        <v>795.9</v>
      </c>
      <c r="O22" s="55">
        <v>0</v>
      </c>
      <c r="P22" s="55">
        <v>0.7</v>
      </c>
      <c r="Q22" s="55">
        <v>9.58</v>
      </c>
      <c r="R22" s="43"/>
      <c r="S22" s="43"/>
      <c r="T22" s="43"/>
      <c r="U22" s="43"/>
    </row>
    <row r="23" spans="1:21" s="11" customFormat="1" x14ac:dyDescent="0.25">
      <c r="A23" s="54" t="s">
        <v>98</v>
      </c>
      <c r="B23" s="55">
        <v>1.73</v>
      </c>
      <c r="C23" s="55">
        <v>23.6</v>
      </c>
      <c r="D23" s="55">
        <v>44.66</v>
      </c>
      <c r="E23" s="55">
        <v>4.9000000000000004</v>
      </c>
      <c r="F23" s="55">
        <v>16.57</v>
      </c>
      <c r="G23" s="55">
        <v>94.94</v>
      </c>
      <c r="H23" s="55">
        <v>26.42</v>
      </c>
      <c r="I23" s="55">
        <v>4.22</v>
      </c>
      <c r="J23" s="55">
        <v>0.87</v>
      </c>
      <c r="K23" s="55">
        <v>280.36</v>
      </c>
      <c r="L23" s="55">
        <v>39.78</v>
      </c>
      <c r="M23" s="55">
        <v>31.06</v>
      </c>
      <c r="N23" s="55">
        <v>473.3</v>
      </c>
      <c r="O23" s="55">
        <v>0</v>
      </c>
      <c r="P23" s="55">
        <v>0.6</v>
      </c>
      <c r="Q23" s="55">
        <v>9.58</v>
      </c>
      <c r="R23" s="43"/>
      <c r="S23" s="43"/>
      <c r="T23" s="43"/>
      <c r="U23" s="43"/>
    </row>
    <row r="24" spans="1:21" s="11" customFormat="1" x14ac:dyDescent="0.25">
      <c r="A24" s="54" t="s">
        <v>99</v>
      </c>
      <c r="B24" s="55">
        <v>8.5500000000000007</v>
      </c>
      <c r="C24" s="55">
        <v>30.91</v>
      </c>
      <c r="D24" s="55">
        <v>42.99</v>
      </c>
      <c r="E24" s="55">
        <v>7.95</v>
      </c>
      <c r="F24" s="55">
        <v>32.21</v>
      </c>
      <c r="G24" s="55">
        <v>2.0699999999999998</v>
      </c>
      <c r="H24" s="55">
        <v>24.82</v>
      </c>
      <c r="I24" s="55">
        <v>4.12</v>
      </c>
      <c r="J24" s="55">
        <v>0.69</v>
      </c>
      <c r="K24" s="55">
        <v>275.91000000000003</v>
      </c>
      <c r="L24" s="55">
        <v>39.08</v>
      </c>
      <c r="M24" s="55">
        <v>31.03</v>
      </c>
      <c r="N24" s="55">
        <v>423.5</v>
      </c>
      <c r="O24" s="55">
        <v>0</v>
      </c>
      <c r="P24" s="55">
        <v>0.41</v>
      </c>
      <c r="Q24" s="55">
        <v>9.6199999999999992</v>
      </c>
      <c r="R24" s="43"/>
      <c r="S24" s="43"/>
      <c r="T24" s="43"/>
      <c r="U24" s="43"/>
    </row>
    <row r="25" spans="1:21" s="11" customFormat="1" x14ac:dyDescent="0.25">
      <c r="A25" s="54" t="s">
        <v>100</v>
      </c>
      <c r="B25" s="55">
        <v>13.88</v>
      </c>
      <c r="C25" s="55">
        <v>45.13</v>
      </c>
      <c r="D25" s="55">
        <v>62.03</v>
      </c>
      <c r="E25" s="55">
        <v>11.05</v>
      </c>
      <c r="F25" s="55">
        <v>33.299999999999997</v>
      </c>
      <c r="G25" s="55">
        <v>20.51</v>
      </c>
      <c r="H25" s="55">
        <v>17.43</v>
      </c>
      <c r="I25" s="55">
        <v>4.05</v>
      </c>
      <c r="J25" s="55">
        <v>0.4</v>
      </c>
      <c r="K25" s="55">
        <v>299.48</v>
      </c>
      <c r="L25" s="55">
        <v>38.14</v>
      </c>
      <c r="M25" s="55">
        <v>33.770000000000003</v>
      </c>
      <c r="N25" s="55">
        <v>292.3</v>
      </c>
      <c r="O25" s="55">
        <v>0</v>
      </c>
      <c r="P25" s="55">
        <v>0.63</v>
      </c>
      <c r="Q25" s="55">
        <v>9.61</v>
      </c>
      <c r="R25" s="43"/>
      <c r="S25" s="43"/>
      <c r="T25" s="43"/>
      <c r="U25" s="43"/>
    </row>
    <row r="26" spans="1:21" s="11" customFormat="1" x14ac:dyDescent="0.25">
      <c r="A26" s="54" t="s">
        <v>101</v>
      </c>
      <c r="B26" s="55">
        <v>14.38</v>
      </c>
      <c r="C26" s="55">
        <v>39.17</v>
      </c>
      <c r="D26" s="55">
        <v>54.98</v>
      </c>
      <c r="E26" s="55">
        <v>11.52</v>
      </c>
      <c r="F26" s="55">
        <v>31.5</v>
      </c>
      <c r="G26" s="55">
        <v>55.68</v>
      </c>
      <c r="H26" s="55">
        <v>16.760000000000002</v>
      </c>
      <c r="I26" s="55">
        <v>4.2300000000000004</v>
      </c>
      <c r="J26" s="55">
        <v>0.72</v>
      </c>
      <c r="K26" s="55">
        <v>276.52</v>
      </c>
      <c r="L26" s="55">
        <v>37.43</v>
      </c>
      <c r="M26" s="55">
        <v>36.450000000000003</v>
      </c>
      <c r="N26" s="55">
        <v>120.5</v>
      </c>
      <c r="O26" s="55">
        <v>0</v>
      </c>
      <c r="P26" s="55">
        <v>0.73</v>
      </c>
      <c r="Q26" s="55">
        <v>9.6199999999999992</v>
      </c>
      <c r="R26" s="43"/>
      <c r="S26" s="43"/>
      <c r="T26" s="43"/>
      <c r="U26" s="43"/>
    </row>
    <row r="27" spans="1:21" s="11" customFormat="1" x14ac:dyDescent="0.25">
      <c r="A27" s="54" t="s">
        <v>102</v>
      </c>
      <c r="B27" s="55">
        <v>12.84</v>
      </c>
      <c r="C27" s="55">
        <v>79.900000000000006</v>
      </c>
      <c r="D27" s="55">
        <v>130.18</v>
      </c>
      <c r="E27" s="55">
        <v>13.37</v>
      </c>
      <c r="F27" s="55">
        <v>29.02</v>
      </c>
      <c r="G27" s="55">
        <v>50.92</v>
      </c>
      <c r="H27" s="55">
        <v>18.07</v>
      </c>
      <c r="I27" s="55">
        <v>4.04</v>
      </c>
      <c r="J27" s="55">
        <v>0.45</v>
      </c>
      <c r="K27" s="55">
        <v>241.77</v>
      </c>
      <c r="L27" s="55">
        <v>35.909999999999997</v>
      </c>
      <c r="M27" s="55">
        <v>41.7</v>
      </c>
      <c r="N27" s="55">
        <v>67.599999999999994</v>
      </c>
      <c r="O27" s="55">
        <v>0</v>
      </c>
      <c r="P27" s="55">
        <v>1.4</v>
      </c>
      <c r="Q27" s="55">
        <v>9.6300000000000008</v>
      </c>
      <c r="R27" s="43"/>
      <c r="S27" s="43"/>
      <c r="T27" s="43"/>
      <c r="U27" s="43"/>
    </row>
    <row r="28" spans="1:21" s="11" customFormat="1" x14ac:dyDescent="0.25">
      <c r="A28" s="54" t="s">
        <v>103</v>
      </c>
      <c r="B28" s="55">
        <v>13.56</v>
      </c>
      <c r="C28" s="55">
        <v>83.87</v>
      </c>
      <c r="D28" s="55">
        <v>139.47</v>
      </c>
      <c r="E28" s="55">
        <v>11.09</v>
      </c>
      <c r="F28" s="55">
        <v>18.809999999999999</v>
      </c>
      <c r="G28" s="55">
        <v>60.48</v>
      </c>
      <c r="H28" s="55">
        <v>18.52</v>
      </c>
      <c r="I28" s="55">
        <v>4.1399999999999997</v>
      </c>
      <c r="J28" s="55">
        <v>0.98</v>
      </c>
      <c r="K28" s="55">
        <v>230.81</v>
      </c>
      <c r="L28" s="55">
        <v>34.39</v>
      </c>
      <c r="M28" s="55">
        <v>49.74</v>
      </c>
      <c r="N28" s="55">
        <v>57.5</v>
      </c>
      <c r="O28" s="55">
        <v>0</v>
      </c>
      <c r="P28" s="55">
        <v>1.44</v>
      </c>
      <c r="Q28" s="55">
        <v>9.61</v>
      </c>
      <c r="R28" s="43"/>
      <c r="S28" s="43"/>
      <c r="T28" s="43"/>
      <c r="U28" s="43"/>
    </row>
    <row r="29" spans="1:21" s="11" customFormat="1" x14ac:dyDescent="0.25">
      <c r="A29" s="54" t="s">
        <v>104</v>
      </c>
      <c r="B29" s="55">
        <v>12.03</v>
      </c>
      <c r="C29" s="55">
        <v>42.75</v>
      </c>
      <c r="D29" s="55">
        <v>60.31</v>
      </c>
      <c r="E29" s="55">
        <v>4.67</v>
      </c>
      <c r="F29" s="55">
        <v>13.84</v>
      </c>
      <c r="G29" s="55">
        <v>69.31</v>
      </c>
      <c r="H29" s="55">
        <v>17.07</v>
      </c>
      <c r="I29" s="55">
        <v>4.0999999999999996</v>
      </c>
      <c r="J29" s="55">
        <v>1.34</v>
      </c>
      <c r="K29" s="55">
        <v>163.32</v>
      </c>
      <c r="L29" s="55">
        <v>33.44</v>
      </c>
      <c r="M29" s="55">
        <v>55.35</v>
      </c>
      <c r="N29" s="55">
        <v>57.4</v>
      </c>
      <c r="O29" s="55">
        <v>0</v>
      </c>
      <c r="P29" s="55">
        <v>0.77</v>
      </c>
      <c r="Q29" s="55">
        <v>9.6</v>
      </c>
      <c r="R29" s="43"/>
      <c r="S29" s="43"/>
      <c r="T29" s="43"/>
      <c r="U29" s="43"/>
    </row>
    <row r="30" spans="1:21" s="11" customFormat="1" x14ac:dyDescent="0.25">
      <c r="A30" s="54" t="s">
        <v>105</v>
      </c>
      <c r="B30" s="55">
        <v>25.36</v>
      </c>
      <c r="C30" s="55">
        <v>78.25</v>
      </c>
      <c r="D30" s="55">
        <v>107.79</v>
      </c>
      <c r="E30" s="55">
        <v>4.04</v>
      </c>
      <c r="F30" s="55">
        <v>15.56</v>
      </c>
      <c r="G30" s="55">
        <v>40.700000000000003</v>
      </c>
      <c r="H30" s="55">
        <v>15.57</v>
      </c>
      <c r="I30" s="55">
        <v>4.07</v>
      </c>
      <c r="J30" s="55">
        <v>0.61</v>
      </c>
      <c r="K30" s="55">
        <v>224.42</v>
      </c>
      <c r="L30" s="55">
        <v>32.61</v>
      </c>
      <c r="M30" s="55">
        <v>56.2</v>
      </c>
      <c r="N30" s="55">
        <v>57.7</v>
      </c>
      <c r="O30" s="55">
        <v>0</v>
      </c>
      <c r="P30" s="55">
        <v>0.72</v>
      </c>
      <c r="Q30" s="55">
        <v>9.61</v>
      </c>
      <c r="R30" s="43"/>
      <c r="S30" s="43"/>
      <c r="T30" s="43"/>
      <c r="U30" s="43"/>
    </row>
    <row r="31" spans="1:21" s="11" customFormat="1" x14ac:dyDescent="0.25">
      <c r="A31" s="54" t="s">
        <v>106</v>
      </c>
      <c r="B31" s="55">
        <v>14.56</v>
      </c>
      <c r="C31" s="55">
        <v>49.06</v>
      </c>
      <c r="D31" s="55">
        <v>72.41</v>
      </c>
      <c r="E31" s="55">
        <v>3.69</v>
      </c>
      <c r="F31" s="55">
        <v>14.5</v>
      </c>
      <c r="G31" s="55">
        <v>28.79</v>
      </c>
      <c r="H31" s="55">
        <v>15.3</v>
      </c>
      <c r="I31" s="55">
        <v>4.17</v>
      </c>
      <c r="J31" s="55">
        <v>0.56000000000000005</v>
      </c>
      <c r="K31" s="55">
        <v>199.41</v>
      </c>
      <c r="L31" s="55">
        <v>32.17</v>
      </c>
      <c r="M31" s="55">
        <v>54.34</v>
      </c>
      <c r="N31" s="55">
        <v>57.5</v>
      </c>
      <c r="O31" s="55">
        <v>0</v>
      </c>
      <c r="P31" s="55">
        <v>0.74</v>
      </c>
      <c r="Q31" s="55">
        <v>9.64</v>
      </c>
      <c r="R31" s="43"/>
      <c r="S31" s="43"/>
      <c r="T31" s="43"/>
      <c r="U31" s="43"/>
    </row>
    <row r="32" spans="1:21" s="11" customFormat="1" x14ac:dyDescent="0.25">
      <c r="A32" s="54" t="s">
        <v>107</v>
      </c>
      <c r="B32" s="55">
        <v>14.09</v>
      </c>
      <c r="C32" s="55">
        <v>42.38</v>
      </c>
      <c r="D32" s="55">
        <v>61.71</v>
      </c>
      <c r="E32" s="55">
        <v>3.48</v>
      </c>
      <c r="F32" s="55">
        <v>16.45</v>
      </c>
      <c r="G32" s="55">
        <v>28.17</v>
      </c>
      <c r="H32" s="55">
        <v>15.27</v>
      </c>
      <c r="I32" s="55">
        <v>4.12</v>
      </c>
      <c r="J32" s="55">
        <v>0.53</v>
      </c>
      <c r="K32" s="55">
        <v>216.07</v>
      </c>
      <c r="L32" s="55">
        <v>31.77</v>
      </c>
      <c r="M32" s="55">
        <v>52.18</v>
      </c>
      <c r="N32" s="55">
        <v>57.8</v>
      </c>
      <c r="O32" s="55">
        <v>0</v>
      </c>
      <c r="P32" s="55">
        <v>0.65</v>
      </c>
      <c r="Q32" s="55">
        <v>9.65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1.73</v>
      </c>
      <c r="C34" s="28">
        <f t="shared" si="0"/>
        <v>23.56</v>
      </c>
      <c r="D34" s="28">
        <f t="shared" si="0"/>
        <v>32.93</v>
      </c>
      <c r="E34" s="28">
        <f t="shared" si="0"/>
        <v>1.95</v>
      </c>
      <c r="F34" s="28">
        <f t="shared" si="0"/>
        <v>5.45</v>
      </c>
      <c r="G34" s="28">
        <f t="shared" si="0"/>
        <v>2.0699999999999998</v>
      </c>
      <c r="H34" s="28">
        <f t="shared" si="0"/>
        <v>5.55</v>
      </c>
      <c r="I34" s="28">
        <f t="shared" si="0"/>
        <v>3.98</v>
      </c>
      <c r="J34" s="28">
        <f t="shared" si="0"/>
        <v>0.4</v>
      </c>
      <c r="K34" s="28">
        <f t="shared" si="0"/>
        <v>96.26</v>
      </c>
      <c r="L34" s="28">
        <f t="shared" si="0"/>
        <v>23.61</v>
      </c>
      <c r="M34" s="28">
        <f t="shared" si="0"/>
        <v>31.03</v>
      </c>
      <c r="N34" s="28">
        <f t="shared" si="0"/>
        <v>45.1</v>
      </c>
      <c r="O34" s="28">
        <f t="shared" si="0"/>
        <v>0</v>
      </c>
      <c r="P34" s="28">
        <f t="shared" si="0"/>
        <v>0.15</v>
      </c>
      <c r="Q34" s="28">
        <f t="shared" si="0"/>
        <v>9.5399999999999991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25.36</v>
      </c>
      <c r="C35" s="29">
        <f t="shared" si="1"/>
        <v>83.87</v>
      </c>
      <c r="D35" s="29">
        <f t="shared" si="1"/>
        <v>139.47</v>
      </c>
      <c r="E35" s="29">
        <f t="shared" si="1"/>
        <v>13.37</v>
      </c>
      <c r="F35" s="29">
        <f t="shared" si="1"/>
        <v>33.299999999999997</v>
      </c>
      <c r="G35" s="29">
        <f t="shared" si="1"/>
        <v>97.6</v>
      </c>
      <c r="H35" s="29">
        <f t="shared" si="1"/>
        <v>30.96</v>
      </c>
      <c r="I35" s="29">
        <f t="shared" si="1"/>
        <v>4.2300000000000004</v>
      </c>
      <c r="J35" s="29">
        <f t="shared" si="1"/>
        <v>1.91</v>
      </c>
      <c r="K35" s="29">
        <f t="shared" si="1"/>
        <v>347.84</v>
      </c>
      <c r="L35" s="29">
        <f t="shared" si="1"/>
        <v>39.78</v>
      </c>
      <c r="M35" s="29">
        <f t="shared" si="1"/>
        <v>98.42</v>
      </c>
      <c r="N35" s="29">
        <f t="shared" si="1"/>
        <v>919.3</v>
      </c>
      <c r="O35" s="29">
        <f t="shared" si="1"/>
        <v>0</v>
      </c>
      <c r="P35" s="29">
        <f t="shared" si="1"/>
        <v>1.44</v>
      </c>
      <c r="Q35" s="29">
        <f t="shared" si="1"/>
        <v>9.67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10.412083333333333</v>
      </c>
      <c r="C36" s="28">
        <f t="shared" si="2"/>
        <v>40.026249999999997</v>
      </c>
      <c r="D36" s="28">
        <f t="shared" si="2"/>
        <v>59.669166666666662</v>
      </c>
      <c r="E36" s="28">
        <f t="shared" si="2"/>
        <v>6.3606250000000015</v>
      </c>
      <c r="F36" s="28">
        <f t="shared" si="2"/>
        <v>15.473749999999997</v>
      </c>
      <c r="G36" s="28">
        <f t="shared" si="2"/>
        <v>38.320434782608693</v>
      </c>
      <c r="H36" s="28">
        <f t="shared" si="2"/>
        <v>13.73608695652174</v>
      </c>
      <c r="I36" s="28">
        <f t="shared" si="2"/>
        <v>4.1012500000000012</v>
      </c>
      <c r="J36" s="28">
        <f t="shared" si="2"/>
        <v>1.0074999999999998</v>
      </c>
      <c r="K36" s="28">
        <f t="shared" si="2"/>
        <v>221.24833333333333</v>
      </c>
      <c r="L36" s="28">
        <f t="shared" si="2"/>
        <v>32.141666666666659</v>
      </c>
      <c r="M36" s="28">
        <f t="shared" si="2"/>
        <v>63.206666666666671</v>
      </c>
      <c r="N36" s="28">
        <f t="shared" si="2"/>
        <v>317.22500000000002</v>
      </c>
      <c r="O36" s="28">
        <f t="shared" si="2"/>
        <v>0</v>
      </c>
      <c r="P36" s="28">
        <f t="shared" si="2"/>
        <v>0.58458333333333334</v>
      </c>
      <c r="Q36" s="28">
        <f t="shared" si="2"/>
        <v>9.6254166666666681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4.9517796354412829</v>
      </c>
      <c r="C37" s="28">
        <f t="shared" ref="C37:Q37" si="3">STDEV(C9:C32)</f>
        <v>17.861859733862378</v>
      </c>
      <c r="D37" s="28">
        <f t="shared" si="3"/>
        <v>28.942093298390748</v>
      </c>
      <c r="E37" s="28">
        <f t="shared" si="3"/>
        <v>4.0849944410406867</v>
      </c>
      <c r="F37" s="28">
        <f t="shared" si="3"/>
        <v>9.4846644241707647</v>
      </c>
      <c r="G37" s="28">
        <f t="shared" si="3"/>
        <v>27.483894701882953</v>
      </c>
      <c r="H37" s="28">
        <f t="shared" si="3"/>
        <v>8.0981444222120373</v>
      </c>
      <c r="I37" s="28">
        <f t="shared" si="3"/>
        <v>7.0483578105887179E-2</v>
      </c>
      <c r="J37" s="28">
        <f t="shared" si="3"/>
        <v>0.42225327244079119</v>
      </c>
      <c r="K37" s="28">
        <f t="shared" si="3"/>
        <v>85.814288192415901</v>
      </c>
      <c r="L37" s="28">
        <f t="shared" si="3"/>
        <v>5.8960787755538346</v>
      </c>
      <c r="M37" s="28">
        <f t="shared" si="3"/>
        <v>25.003683148978098</v>
      </c>
      <c r="N37" s="28">
        <f t="shared" si="3"/>
        <v>331.930768384011</v>
      </c>
      <c r="O37" s="28">
        <f t="shared" si="3"/>
        <v>0</v>
      </c>
      <c r="P37" s="28">
        <f t="shared" si="3"/>
        <v>0.33141303753665946</v>
      </c>
      <c r="Q37" s="28">
        <f t="shared" si="3"/>
        <v>3.4888538876363791E-2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>COUNT(E9:E32)+8</f>
        <v>24</v>
      </c>
      <c r="F38" s="32">
        <f t="shared" si="4"/>
        <v>24</v>
      </c>
      <c r="G38" s="32">
        <f>COUNT(G9:G32)+1</f>
        <v>24</v>
      </c>
      <c r="H38" s="32">
        <f>COUNT(H9:H32)+1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3.285156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03/05/2025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49" t="s">
        <v>108</v>
      </c>
      <c r="B9" s="50">
        <v>10.88</v>
      </c>
      <c r="C9" s="50">
        <v>36.47</v>
      </c>
      <c r="D9" s="50">
        <v>50.04</v>
      </c>
      <c r="E9" s="50">
        <v>3.31</v>
      </c>
      <c r="F9" s="50">
        <v>16.059999999999999</v>
      </c>
      <c r="G9" s="50">
        <v>23.18</v>
      </c>
      <c r="H9" s="50">
        <v>11.45</v>
      </c>
      <c r="I9" s="50">
        <v>4.16</v>
      </c>
      <c r="J9" s="50">
        <v>0.43</v>
      </c>
      <c r="K9" s="50">
        <v>213.52</v>
      </c>
      <c r="L9" s="50">
        <v>31.41</v>
      </c>
      <c r="M9" s="50">
        <v>55.39</v>
      </c>
      <c r="N9" s="50">
        <v>58.3</v>
      </c>
      <c r="O9" s="50">
        <v>0</v>
      </c>
      <c r="P9" s="50">
        <v>0.47</v>
      </c>
      <c r="Q9" s="50">
        <v>9.67</v>
      </c>
      <c r="R9" s="43"/>
      <c r="S9" s="43"/>
      <c r="T9" s="43"/>
      <c r="U9" s="43"/>
    </row>
    <row r="10" spans="1:21" s="11" customFormat="1" x14ac:dyDescent="0.25">
      <c r="A10" s="49" t="s">
        <v>109</v>
      </c>
      <c r="B10" s="50">
        <v>8.9499999999999993</v>
      </c>
      <c r="C10" s="50">
        <v>28.54</v>
      </c>
      <c r="D10" s="50">
        <v>38.049999999999997</v>
      </c>
      <c r="E10" s="50">
        <v>2.88</v>
      </c>
      <c r="F10" s="50">
        <v>14.31</v>
      </c>
      <c r="G10" s="50">
        <v>30.6</v>
      </c>
      <c r="H10" s="50">
        <v>12.09</v>
      </c>
      <c r="I10" s="50">
        <v>4.0999999999999996</v>
      </c>
      <c r="J10" s="50">
        <v>0.33</v>
      </c>
      <c r="K10" s="50">
        <v>243.26</v>
      </c>
      <c r="L10" s="50">
        <v>30.61</v>
      </c>
      <c r="M10" s="50">
        <v>64.23</v>
      </c>
      <c r="N10" s="50">
        <v>58.3</v>
      </c>
      <c r="O10" s="50">
        <v>0</v>
      </c>
      <c r="P10" s="50">
        <v>0.46</v>
      </c>
      <c r="Q10" s="50">
        <v>9.66</v>
      </c>
      <c r="R10" s="43"/>
      <c r="S10" s="43"/>
      <c r="T10" s="43"/>
      <c r="U10" s="43"/>
    </row>
    <row r="11" spans="1:21" s="11" customFormat="1" x14ac:dyDescent="0.25">
      <c r="A11" s="49" t="s">
        <v>110</v>
      </c>
      <c r="B11" s="50">
        <v>12.02</v>
      </c>
      <c r="C11" s="50">
        <v>30.69</v>
      </c>
      <c r="D11" s="50">
        <v>37.24</v>
      </c>
      <c r="E11" s="50">
        <v>2.8</v>
      </c>
      <c r="F11" s="50">
        <v>10.06</v>
      </c>
      <c r="G11" s="50">
        <v>32.130000000000003</v>
      </c>
      <c r="H11" s="50">
        <v>11.19</v>
      </c>
      <c r="I11" s="50">
        <v>4.0599999999999996</v>
      </c>
      <c r="J11" s="50">
        <v>0.28000000000000003</v>
      </c>
      <c r="K11" s="50">
        <v>261.04000000000002</v>
      </c>
      <c r="L11" s="50">
        <v>29.47</v>
      </c>
      <c r="M11" s="50">
        <v>70.510000000000005</v>
      </c>
      <c r="N11" s="50">
        <v>58.5</v>
      </c>
      <c r="O11" s="50">
        <v>0</v>
      </c>
      <c r="P11" s="50">
        <v>0.52</v>
      </c>
      <c r="Q11" s="50">
        <v>9.65</v>
      </c>
      <c r="R11" s="43"/>
      <c r="S11" s="43"/>
      <c r="T11" s="43"/>
      <c r="U11" s="43"/>
    </row>
    <row r="12" spans="1:21" s="11" customFormat="1" x14ac:dyDescent="0.25">
      <c r="A12" s="49" t="s">
        <v>111</v>
      </c>
      <c r="B12" s="50">
        <v>13.92</v>
      </c>
      <c r="C12" s="50">
        <v>30.13</v>
      </c>
      <c r="D12" s="50">
        <v>33.93</v>
      </c>
      <c r="E12" s="50">
        <v>2.82</v>
      </c>
      <c r="F12" s="50">
        <v>8.3800000000000008</v>
      </c>
      <c r="G12" s="50">
        <v>22.18</v>
      </c>
      <c r="H12" s="50">
        <v>12.48</v>
      </c>
      <c r="I12" s="50">
        <v>4.1500000000000004</v>
      </c>
      <c r="J12" s="50">
        <v>0.57999999999999996</v>
      </c>
      <c r="K12" s="50">
        <v>211.09</v>
      </c>
      <c r="L12" s="50">
        <v>29.14</v>
      </c>
      <c r="M12" s="50">
        <v>71.430000000000007</v>
      </c>
      <c r="N12" s="50">
        <v>58.1</v>
      </c>
      <c r="O12" s="50">
        <v>0</v>
      </c>
      <c r="P12" s="50">
        <v>0.51</v>
      </c>
      <c r="Q12" s="50">
        <v>9.65</v>
      </c>
      <c r="R12" s="43"/>
      <c r="S12" s="43"/>
      <c r="T12" s="43"/>
      <c r="U12" s="43"/>
    </row>
    <row r="13" spans="1:21" s="11" customFormat="1" x14ac:dyDescent="0.25">
      <c r="A13" s="49" t="s">
        <v>112</v>
      </c>
      <c r="B13" s="50">
        <v>12.88</v>
      </c>
      <c r="C13" s="50">
        <v>33</v>
      </c>
      <c r="D13" s="50">
        <v>41.5</v>
      </c>
      <c r="E13" s="50">
        <v>2.78</v>
      </c>
      <c r="F13" s="50">
        <v>7.82</v>
      </c>
      <c r="G13" s="50">
        <v>29.16</v>
      </c>
      <c r="H13" s="50">
        <v>12.38</v>
      </c>
      <c r="I13" s="50">
        <v>4.12</v>
      </c>
      <c r="J13" s="50">
        <v>0.48</v>
      </c>
      <c r="K13" s="50">
        <v>267.67</v>
      </c>
      <c r="L13" s="50">
        <v>28.98</v>
      </c>
      <c r="M13" s="50">
        <v>76.239999999999995</v>
      </c>
      <c r="N13" s="50">
        <v>58.6</v>
      </c>
      <c r="O13" s="50">
        <v>0</v>
      </c>
      <c r="P13" s="50">
        <v>0.45</v>
      </c>
      <c r="Q13" s="50">
        <v>9.65</v>
      </c>
      <c r="R13" s="43"/>
      <c r="S13" s="43"/>
      <c r="T13" s="43"/>
      <c r="U13" s="43"/>
    </row>
    <row r="14" spans="1:21" s="11" customFormat="1" x14ac:dyDescent="0.25">
      <c r="A14" s="49" t="s">
        <v>113</v>
      </c>
      <c r="B14" s="50">
        <v>18.77</v>
      </c>
      <c r="C14" s="50">
        <v>33.79</v>
      </c>
      <c r="D14" s="50">
        <v>36.369999999999997</v>
      </c>
      <c r="E14" s="50">
        <v>2.7</v>
      </c>
      <c r="F14" s="50">
        <v>7.59</v>
      </c>
      <c r="G14" s="50">
        <v>29.86</v>
      </c>
      <c r="H14" s="50">
        <v>10.29</v>
      </c>
      <c r="I14" s="50">
        <v>4.2</v>
      </c>
      <c r="J14" s="50">
        <v>1.39</v>
      </c>
      <c r="K14" s="50">
        <v>282.23</v>
      </c>
      <c r="L14" s="50">
        <v>28.94</v>
      </c>
      <c r="M14" s="50">
        <v>79.53</v>
      </c>
      <c r="N14" s="50">
        <v>84.7</v>
      </c>
      <c r="O14" s="50">
        <v>0</v>
      </c>
      <c r="P14" s="50">
        <v>0.52</v>
      </c>
      <c r="Q14" s="50">
        <v>9.65</v>
      </c>
      <c r="R14" s="43"/>
      <c r="S14" s="43"/>
      <c r="T14" s="43"/>
      <c r="U14" s="43"/>
    </row>
    <row r="15" spans="1:21" s="11" customFormat="1" x14ac:dyDescent="0.25">
      <c r="A15" s="49" t="s">
        <v>114</v>
      </c>
      <c r="B15" s="50">
        <v>19.72</v>
      </c>
      <c r="C15" s="50">
        <v>34.81</v>
      </c>
      <c r="D15" s="50">
        <v>36.380000000000003</v>
      </c>
      <c r="E15" s="50">
        <v>2.78</v>
      </c>
      <c r="F15" s="50">
        <v>7.29</v>
      </c>
      <c r="G15" s="50">
        <v>33.19</v>
      </c>
      <c r="H15" s="50">
        <v>10.31</v>
      </c>
      <c r="I15" s="50">
        <v>3.96</v>
      </c>
      <c r="J15" s="50">
        <v>1.37</v>
      </c>
      <c r="K15" s="50">
        <v>271.04000000000002</v>
      </c>
      <c r="L15" s="50">
        <v>30.65</v>
      </c>
      <c r="M15" s="50">
        <v>76.73</v>
      </c>
      <c r="N15" s="50">
        <v>147.19999999999999</v>
      </c>
      <c r="O15" s="50">
        <v>0</v>
      </c>
      <c r="P15" s="50">
        <v>0.51</v>
      </c>
      <c r="Q15" s="50">
        <v>9.66</v>
      </c>
      <c r="R15" s="43"/>
      <c r="S15" s="43"/>
      <c r="T15" s="43"/>
      <c r="U15" s="43"/>
    </row>
    <row r="16" spans="1:21" s="11" customFormat="1" x14ac:dyDescent="0.25">
      <c r="A16" s="49" t="s">
        <v>115</v>
      </c>
      <c r="B16" s="50">
        <v>19.77</v>
      </c>
      <c r="C16" s="50">
        <v>39.159999999999997</v>
      </c>
      <c r="D16" s="50">
        <v>41.56</v>
      </c>
      <c r="E16" s="50">
        <v>3.07</v>
      </c>
      <c r="F16" s="50">
        <v>8</v>
      </c>
      <c r="G16" s="50">
        <v>42.08</v>
      </c>
      <c r="H16" s="50">
        <v>15.68</v>
      </c>
      <c r="I16" s="50">
        <v>4.04</v>
      </c>
      <c r="J16" s="50">
        <v>0.56000000000000005</v>
      </c>
      <c r="K16" s="50">
        <v>258.86</v>
      </c>
      <c r="L16" s="50">
        <v>34.72</v>
      </c>
      <c r="M16" s="50">
        <v>72.52</v>
      </c>
      <c r="N16" s="50">
        <v>472.7</v>
      </c>
      <c r="O16" s="50">
        <v>0</v>
      </c>
      <c r="P16" s="50">
        <v>0.65</v>
      </c>
      <c r="Q16" s="50">
        <v>9.64</v>
      </c>
      <c r="R16" s="43"/>
      <c r="S16" s="43"/>
      <c r="T16" s="43"/>
      <c r="U16" s="43"/>
    </row>
    <row r="17" spans="1:21" s="11" customFormat="1" x14ac:dyDescent="0.25">
      <c r="A17" s="49" t="s">
        <v>116</v>
      </c>
      <c r="B17" s="50">
        <v>17.14</v>
      </c>
      <c r="C17" s="50">
        <v>36.229999999999997</v>
      </c>
      <c r="D17" s="50">
        <v>41.21</v>
      </c>
      <c r="E17" s="50">
        <v>3.2</v>
      </c>
      <c r="F17" s="50">
        <v>8.82</v>
      </c>
      <c r="G17" s="50">
        <v>45.19</v>
      </c>
      <c r="H17" s="50">
        <v>14.09</v>
      </c>
      <c r="I17" s="50">
        <v>4.1100000000000003</v>
      </c>
      <c r="J17" s="50">
        <v>0.94</v>
      </c>
      <c r="K17" s="50">
        <v>261.94</v>
      </c>
      <c r="L17" s="50">
        <v>36.549999999999997</v>
      </c>
      <c r="M17" s="50">
        <v>56.87</v>
      </c>
      <c r="N17" s="50">
        <v>667.7</v>
      </c>
      <c r="O17" s="50">
        <v>0</v>
      </c>
      <c r="P17" s="50">
        <v>0.65</v>
      </c>
      <c r="Q17" s="50">
        <v>9.65</v>
      </c>
      <c r="R17" s="43"/>
      <c r="S17" s="43"/>
      <c r="T17" s="43"/>
      <c r="U17" s="43"/>
    </row>
    <row r="18" spans="1:21" s="11" customFormat="1" x14ac:dyDescent="0.25">
      <c r="A18" s="49" t="s">
        <v>117</v>
      </c>
      <c r="B18" s="50">
        <v>11.16</v>
      </c>
      <c r="C18" s="50">
        <v>29.4</v>
      </c>
      <c r="D18" s="50">
        <v>36.090000000000003</v>
      </c>
      <c r="E18" s="50">
        <v>3.01</v>
      </c>
      <c r="F18" s="50">
        <v>12.44</v>
      </c>
      <c r="G18" s="50">
        <v>44.62</v>
      </c>
      <c r="H18" s="50">
        <v>13.61</v>
      </c>
      <c r="I18" s="50">
        <v>4.12</v>
      </c>
      <c r="J18" s="50">
        <v>1.08</v>
      </c>
      <c r="K18" s="50">
        <v>256.42</v>
      </c>
      <c r="L18" s="50">
        <v>38.770000000000003</v>
      </c>
      <c r="M18" s="50">
        <v>57.49</v>
      </c>
      <c r="N18" s="50">
        <v>817.9</v>
      </c>
      <c r="O18" s="50">
        <v>0</v>
      </c>
      <c r="P18" s="50">
        <v>0.5</v>
      </c>
      <c r="Q18" s="50">
        <v>9.65</v>
      </c>
      <c r="R18" s="43"/>
      <c r="S18" s="43"/>
      <c r="T18" s="43"/>
      <c r="U18" s="43"/>
    </row>
    <row r="19" spans="1:21" s="11" customFormat="1" x14ac:dyDescent="0.25">
      <c r="A19" s="49" t="s">
        <v>118</v>
      </c>
      <c r="B19" s="50">
        <v>8.6300000000000008</v>
      </c>
      <c r="C19" s="50">
        <v>26.32</v>
      </c>
      <c r="D19" s="50">
        <v>34.270000000000003</v>
      </c>
      <c r="E19" s="50">
        <v>3.25</v>
      </c>
      <c r="F19" s="50">
        <v>18.09</v>
      </c>
      <c r="G19" s="50">
        <v>37.369999999999997</v>
      </c>
      <c r="H19" s="50">
        <v>13.77</v>
      </c>
      <c r="I19" s="50">
        <v>4.03</v>
      </c>
      <c r="J19" s="50">
        <v>0.96</v>
      </c>
      <c r="K19" s="50">
        <v>252.78</v>
      </c>
      <c r="L19" s="50">
        <v>39.85</v>
      </c>
      <c r="M19" s="50">
        <v>49.24</v>
      </c>
      <c r="N19" s="50">
        <v>1014.8</v>
      </c>
      <c r="O19" s="50">
        <v>0</v>
      </c>
      <c r="P19" s="50">
        <v>0.45</v>
      </c>
      <c r="Q19" s="50">
        <v>9.58</v>
      </c>
      <c r="R19" s="43"/>
      <c r="S19" s="43"/>
      <c r="T19" s="43"/>
      <c r="U19" s="43"/>
    </row>
    <row r="20" spans="1:21" s="11" customFormat="1" x14ac:dyDescent="0.25">
      <c r="A20" s="49" t="s">
        <v>119</v>
      </c>
      <c r="B20" s="50">
        <v>10.14</v>
      </c>
      <c r="C20" s="50">
        <v>27.32</v>
      </c>
      <c r="D20" s="50">
        <v>35.799999999999997</v>
      </c>
      <c r="E20" s="50">
        <v>3.27</v>
      </c>
      <c r="F20" s="50">
        <v>13.33</v>
      </c>
      <c r="G20" s="50">
        <v>31.1</v>
      </c>
      <c r="H20" s="50">
        <v>17.670000000000002</v>
      </c>
      <c r="I20" s="50">
        <v>4.3</v>
      </c>
      <c r="J20" s="50">
        <v>0.9</v>
      </c>
      <c r="K20" s="50">
        <v>228.83</v>
      </c>
      <c r="L20" s="50">
        <v>40.07</v>
      </c>
      <c r="M20" s="50">
        <v>45.11</v>
      </c>
      <c r="N20" s="50">
        <v>1024.0999999999999</v>
      </c>
      <c r="O20" s="50">
        <v>0</v>
      </c>
      <c r="P20" s="50">
        <v>0.41</v>
      </c>
      <c r="Q20" s="50">
        <v>9.5500000000000007</v>
      </c>
      <c r="R20" s="43"/>
      <c r="S20" s="43"/>
      <c r="T20" s="43"/>
      <c r="U20" s="43"/>
    </row>
    <row r="21" spans="1:21" s="11" customFormat="1" x14ac:dyDescent="0.25">
      <c r="A21" s="49" t="s">
        <v>120</v>
      </c>
      <c r="B21" s="50">
        <v>9.7100000000000009</v>
      </c>
      <c r="C21" s="50">
        <v>24.83</v>
      </c>
      <c r="D21" s="50">
        <v>30.51</v>
      </c>
      <c r="E21" s="50">
        <v>3.04</v>
      </c>
      <c r="F21" s="50">
        <v>15.23</v>
      </c>
      <c r="G21" s="50">
        <v>31.43</v>
      </c>
      <c r="H21" s="50">
        <v>14.5</v>
      </c>
      <c r="I21" s="50">
        <v>4.09</v>
      </c>
      <c r="J21" s="50">
        <v>0.79</v>
      </c>
      <c r="K21" s="50">
        <v>249.67</v>
      </c>
      <c r="L21" s="50">
        <v>41.57</v>
      </c>
      <c r="M21" s="50">
        <v>40.01</v>
      </c>
      <c r="N21" s="50">
        <v>983.3</v>
      </c>
      <c r="O21" s="50">
        <v>0</v>
      </c>
      <c r="P21" s="50">
        <v>0.39</v>
      </c>
      <c r="Q21" s="50">
        <v>9.5399999999999991</v>
      </c>
      <c r="R21" s="43"/>
      <c r="S21" s="43"/>
      <c r="T21" s="43"/>
      <c r="U21" s="43"/>
    </row>
    <row r="22" spans="1:21" s="11" customFormat="1" x14ac:dyDescent="0.25">
      <c r="A22" s="49" t="s">
        <v>121</v>
      </c>
      <c r="B22" s="50">
        <v>7.32</v>
      </c>
      <c r="C22" s="50">
        <v>21.1</v>
      </c>
      <c r="D22" s="50">
        <v>26.17</v>
      </c>
      <c r="E22" s="50">
        <v>3.42</v>
      </c>
      <c r="F22" s="50">
        <v>21.04</v>
      </c>
      <c r="G22" s="50">
        <v>33.74</v>
      </c>
      <c r="H22" s="50">
        <v>13.13</v>
      </c>
      <c r="I22" s="50">
        <v>4.1399999999999997</v>
      </c>
      <c r="J22" s="50">
        <v>1.1599999999999999</v>
      </c>
      <c r="K22" s="50">
        <v>218.84</v>
      </c>
      <c r="L22" s="50">
        <v>41.17</v>
      </c>
      <c r="M22" s="50">
        <v>35.9</v>
      </c>
      <c r="N22" s="50">
        <v>907.8</v>
      </c>
      <c r="O22" s="50">
        <v>0</v>
      </c>
      <c r="P22" s="50">
        <v>0.4</v>
      </c>
      <c r="Q22" s="50">
        <v>9.52</v>
      </c>
      <c r="R22" s="43"/>
      <c r="S22" s="43"/>
      <c r="T22" s="43"/>
      <c r="U22" s="43"/>
    </row>
    <row r="23" spans="1:21" s="11" customFormat="1" x14ac:dyDescent="0.25">
      <c r="A23" s="49" t="s">
        <v>122</v>
      </c>
      <c r="B23" s="50">
        <v>12.59</v>
      </c>
      <c r="C23" s="50">
        <v>34.46</v>
      </c>
      <c r="D23" s="50">
        <v>43.58</v>
      </c>
      <c r="E23" s="50">
        <v>4.49</v>
      </c>
      <c r="F23" s="50">
        <v>26.67</v>
      </c>
      <c r="G23" s="50">
        <v>28.62</v>
      </c>
      <c r="H23" s="50">
        <v>12.9</v>
      </c>
      <c r="I23" s="50">
        <v>4.04</v>
      </c>
      <c r="J23" s="50">
        <v>1.36</v>
      </c>
      <c r="K23" s="50">
        <v>254.62</v>
      </c>
      <c r="L23" s="50">
        <v>40.36</v>
      </c>
      <c r="M23" s="50">
        <v>34.229999999999997</v>
      </c>
      <c r="N23" s="50">
        <v>374.9</v>
      </c>
      <c r="O23" s="50">
        <v>0</v>
      </c>
      <c r="P23" s="50">
        <v>0.48</v>
      </c>
      <c r="Q23" s="50">
        <v>9.4700000000000006</v>
      </c>
      <c r="R23" s="43"/>
      <c r="S23" s="43"/>
      <c r="T23" s="43"/>
      <c r="U23" s="43"/>
    </row>
    <row r="24" spans="1:21" s="11" customFormat="1" x14ac:dyDescent="0.25">
      <c r="A24" s="49" t="s">
        <v>123</v>
      </c>
      <c r="B24" s="50">
        <v>13.8</v>
      </c>
      <c r="C24" s="50">
        <v>31.99</v>
      </c>
      <c r="D24" s="50">
        <v>37</v>
      </c>
      <c r="E24" s="50">
        <v>3.99</v>
      </c>
      <c r="F24" s="50">
        <v>18.12</v>
      </c>
      <c r="G24" s="50">
        <v>29.88</v>
      </c>
      <c r="H24" s="50">
        <v>13.82</v>
      </c>
      <c r="I24" s="50">
        <v>4.13</v>
      </c>
      <c r="J24" s="50">
        <v>4.93</v>
      </c>
      <c r="K24" s="50">
        <v>275.20999999999998</v>
      </c>
      <c r="L24" s="50">
        <v>38.78</v>
      </c>
      <c r="M24" s="50">
        <v>102.43</v>
      </c>
      <c r="N24" s="50">
        <v>91.9</v>
      </c>
      <c r="O24" s="50">
        <v>5.6</v>
      </c>
      <c r="P24" s="50">
        <v>0.52</v>
      </c>
      <c r="Q24" s="50">
        <v>9.51</v>
      </c>
      <c r="R24" s="43"/>
      <c r="S24" s="43"/>
      <c r="T24" s="43"/>
      <c r="U24" s="43"/>
    </row>
    <row r="25" spans="1:21" s="11" customFormat="1" x14ac:dyDescent="0.25">
      <c r="A25" s="49" t="s">
        <v>124</v>
      </c>
      <c r="B25" s="50">
        <v>7.06</v>
      </c>
      <c r="C25" s="50">
        <v>23.8</v>
      </c>
      <c r="D25" s="50">
        <v>32.11</v>
      </c>
      <c r="E25" s="50">
        <v>2.21</v>
      </c>
      <c r="F25" s="50">
        <v>7.28</v>
      </c>
      <c r="G25" s="50">
        <v>30.46</v>
      </c>
      <c r="H25" s="50">
        <v>9.7200000000000006</v>
      </c>
      <c r="I25" s="50">
        <v>4.0199999999999996</v>
      </c>
      <c r="J25" s="50">
        <v>4.55</v>
      </c>
      <c r="K25" s="50">
        <v>322.04000000000002</v>
      </c>
      <c r="L25" s="50">
        <v>23.34</v>
      </c>
      <c r="M25" s="50">
        <v>102.55</v>
      </c>
      <c r="N25" s="50">
        <v>73</v>
      </c>
      <c r="O25" s="50">
        <v>4.8</v>
      </c>
      <c r="P25" s="50">
        <v>0.28999999999999998</v>
      </c>
      <c r="Q25" s="50">
        <v>9.5500000000000007</v>
      </c>
      <c r="R25" s="43"/>
      <c r="S25" s="43"/>
      <c r="T25" s="43"/>
      <c r="U25" s="43"/>
    </row>
    <row r="26" spans="1:21" s="11" customFormat="1" x14ac:dyDescent="0.25">
      <c r="A26" s="49" t="s">
        <v>125</v>
      </c>
      <c r="B26" s="50">
        <v>10.24</v>
      </c>
      <c r="C26" s="50">
        <v>22.67</v>
      </c>
      <c r="D26" s="50">
        <v>28.98</v>
      </c>
      <c r="E26" s="50">
        <v>2.2400000000000002</v>
      </c>
      <c r="F26" s="50">
        <v>5.87</v>
      </c>
      <c r="G26" s="50">
        <v>21.3</v>
      </c>
      <c r="H26" s="50">
        <v>6.77</v>
      </c>
      <c r="I26" s="50">
        <v>4.12</v>
      </c>
      <c r="J26" s="50">
        <v>1.2</v>
      </c>
      <c r="K26" s="50">
        <v>105.42</v>
      </c>
      <c r="L26" s="50">
        <v>23.41</v>
      </c>
      <c r="M26" s="50">
        <v>102.08</v>
      </c>
      <c r="N26" s="50">
        <v>81.2</v>
      </c>
      <c r="O26" s="50">
        <v>0.4</v>
      </c>
      <c r="P26" s="50">
        <v>0.32</v>
      </c>
      <c r="Q26" s="50">
        <v>9.64</v>
      </c>
      <c r="R26" s="43"/>
      <c r="S26" s="43"/>
      <c r="T26" s="43"/>
      <c r="U26" s="43"/>
    </row>
    <row r="27" spans="1:21" s="11" customFormat="1" x14ac:dyDescent="0.25">
      <c r="A27" s="49" t="s">
        <v>126</v>
      </c>
      <c r="B27" s="50">
        <v>11.51</v>
      </c>
      <c r="C27" s="50">
        <v>25.24</v>
      </c>
      <c r="D27" s="50">
        <v>27.87</v>
      </c>
      <c r="E27" s="50">
        <v>2.0699999999999998</v>
      </c>
      <c r="F27" s="50">
        <v>5.77</v>
      </c>
      <c r="G27" s="50">
        <v>16.43</v>
      </c>
      <c r="H27" s="50">
        <v>8.0399999999999991</v>
      </c>
      <c r="I27" s="50">
        <v>4.0199999999999996</v>
      </c>
      <c r="J27" s="50">
        <v>2.12</v>
      </c>
      <c r="K27" s="50">
        <v>115.56</v>
      </c>
      <c r="L27" s="50">
        <v>24.22</v>
      </c>
      <c r="M27" s="50">
        <v>101.74</v>
      </c>
      <c r="N27" s="50">
        <v>72.7</v>
      </c>
      <c r="O27" s="50">
        <v>0</v>
      </c>
      <c r="P27" s="50">
        <v>0.36</v>
      </c>
      <c r="Q27" s="50">
        <v>9.65</v>
      </c>
      <c r="R27" s="43"/>
      <c r="S27" s="43"/>
      <c r="T27" s="43"/>
      <c r="U27" s="43"/>
    </row>
    <row r="28" spans="1:21" s="11" customFormat="1" x14ac:dyDescent="0.25">
      <c r="A28" s="49" t="s">
        <v>127</v>
      </c>
      <c r="B28" s="50">
        <v>12.92</v>
      </c>
      <c r="C28" s="50">
        <v>24.48</v>
      </c>
      <c r="D28" s="50">
        <v>23.96</v>
      </c>
      <c r="E28" s="50">
        <v>2.2400000000000002</v>
      </c>
      <c r="F28" s="50">
        <v>5.95</v>
      </c>
      <c r="G28" s="50">
        <v>17.22</v>
      </c>
      <c r="H28" s="50">
        <v>6.57</v>
      </c>
      <c r="I28" s="50">
        <v>4.2</v>
      </c>
      <c r="J28" s="50">
        <v>0.79</v>
      </c>
      <c r="K28" s="50">
        <v>200.2</v>
      </c>
      <c r="L28" s="50">
        <v>24.9</v>
      </c>
      <c r="M28" s="50">
        <v>98.7</v>
      </c>
      <c r="N28" s="50">
        <v>70.8</v>
      </c>
      <c r="O28" s="50">
        <v>0</v>
      </c>
      <c r="P28" s="50">
        <v>0.42</v>
      </c>
      <c r="Q28" s="50">
        <v>9.65</v>
      </c>
      <c r="R28" s="43"/>
      <c r="S28" s="43"/>
      <c r="T28" s="43"/>
      <c r="U28" s="43"/>
    </row>
    <row r="29" spans="1:21" s="11" customFormat="1" x14ac:dyDescent="0.25">
      <c r="A29" s="49" t="s">
        <v>128</v>
      </c>
      <c r="B29" s="50">
        <v>13.87</v>
      </c>
      <c r="C29" s="50">
        <v>26.36</v>
      </c>
      <c r="D29" s="50">
        <v>26.62</v>
      </c>
      <c r="E29" s="50">
        <v>1.99</v>
      </c>
      <c r="F29" s="50">
        <v>5.16</v>
      </c>
      <c r="G29" s="50">
        <v>18.68</v>
      </c>
      <c r="H29" s="50">
        <v>4.75</v>
      </c>
      <c r="I29" s="50">
        <v>4.0599999999999996</v>
      </c>
      <c r="J29" s="50">
        <v>0.9</v>
      </c>
      <c r="K29" s="50">
        <v>211.04</v>
      </c>
      <c r="L29" s="50">
        <v>24.87</v>
      </c>
      <c r="M29" s="50">
        <v>98.94</v>
      </c>
      <c r="N29" s="50">
        <v>69.599999999999994</v>
      </c>
      <c r="O29" s="50">
        <v>0</v>
      </c>
      <c r="P29" s="50">
        <v>0.44</v>
      </c>
      <c r="Q29" s="50">
        <v>9.69</v>
      </c>
      <c r="R29" s="43"/>
      <c r="S29" s="43"/>
      <c r="T29" s="43"/>
      <c r="U29" s="43"/>
    </row>
    <row r="30" spans="1:21" s="11" customFormat="1" x14ac:dyDescent="0.25">
      <c r="A30" s="49" t="s">
        <v>129</v>
      </c>
      <c r="B30" s="50">
        <v>18.86</v>
      </c>
      <c r="C30" s="50">
        <v>30.68</v>
      </c>
      <c r="D30" s="50">
        <v>26.72</v>
      </c>
      <c r="E30" s="50">
        <v>1.88</v>
      </c>
      <c r="F30" s="50">
        <v>5.7</v>
      </c>
      <c r="G30" s="50">
        <v>18.37</v>
      </c>
      <c r="H30" s="50">
        <v>5.97</v>
      </c>
      <c r="I30" s="50">
        <v>4.05</v>
      </c>
      <c r="J30" s="50">
        <v>1.02</v>
      </c>
      <c r="K30" s="50">
        <v>349.8</v>
      </c>
      <c r="L30" s="50">
        <v>24.88</v>
      </c>
      <c r="M30" s="50">
        <v>100.43</v>
      </c>
      <c r="N30" s="50">
        <v>69.599999999999994</v>
      </c>
      <c r="O30" s="50">
        <v>0</v>
      </c>
      <c r="P30" s="50">
        <v>0.54</v>
      </c>
      <c r="Q30" s="50">
        <v>9.69</v>
      </c>
      <c r="R30" s="43"/>
      <c r="S30" s="43"/>
      <c r="T30" s="43"/>
      <c r="U30" s="43"/>
    </row>
    <row r="31" spans="1:21" s="11" customFormat="1" x14ac:dyDescent="0.25">
      <c r="A31" s="49" t="s">
        <v>130</v>
      </c>
      <c r="B31" s="50">
        <v>22.61</v>
      </c>
      <c r="C31" s="50">
        <v>33.61</v>
      </c>
      <c r="D31" s="50">
        <v>28.44</v>
      </c>
      <c r="E31" s="50">
        <v>2.0099999999999998</v>
      </c>
      <c r="F31" s="50">
        <v>5.28</v>
      </c>
      <c r="G31" s="50">
        <v>25.14</v>
      </c>
      <c r="H31" s="50">
        <v>7.33</v>
      </c>
      <c r="I31" s="50">
        <v>4.01</v>
      </c>
      <c r="J31" s="50">
        <v>1.04</v>
      </c>
      <c r="K31" s="50">
        <v>284.95999999999998</v>
      </c>
      <c r="L31" s="50">
        <v>24.7</v>
      </c>
      <c r="M31" s="50">
        <v>102.13</v>
      </c>
      <c r="N31" s="50">
        <v>70</v>
      </c>
      <c r="O31" s="50">
        <v>0</v>
      </c>
      <c r="P31" s="50">
        <v>0.62</v>
      </c>
      <c r="Q31" s="50">
        <v>9.7100000000000009</v>
      </c>
      <c r="R31" s="43"/>
      <c r="S31" s="43"/>
      <c r="T31" s="43"/>
      <c r="U31" s="43"/>
    </row>
    <row r="32" spans="1:21" s="11" customFormat="1" x14ac:dyDescent="0.25">
      <c r="A32" s="49" t="s">
        <v>131</v>
      </c>
      <c r="B32" s="50">
        <v>24.45</v>
      </c>
      <c r="C32" s="50">
        <v>33.94</v>
      </c>
      <c r="D32" s="50">
        <v>26.92</v>
      </c>
      <c r="E32" s="50">
        <v>3.11</v>
      </c>
      <c r="F32" s="50">
        <v>5.5</v>
      </c>
      <c r="G32" s="50">
        <v>47.97</v>
      </c>
      <c r="H32" s="50">
        <v>9.7100000000000009</v>
      </c>
      <c r="I32" s="50">
        <v>4.12</v>
      </c>
      <c r="J32" s="50">
        <v>0.73</v>
      </c>
      <c r="K32" s="50">
        <v>308.8</v>
      </c>
      <c r="L32" s="50">
        <v>24.28</v>
      </c>
      <c r="M32" s="50">
        <v>101.19</v>
      </c>
      <c r="N32" s="50">
        <v>69.8</v>
      </c>
      <c r="O32" s="50">
        <v>0</v>
      </c>
      <c r="P32" s="50">
        <v>0.63</v>
      </c>
      <c r="Q32" s="50">
        <v>9.68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7.06</v>
      </c>
      <c r="C34" s="28">
        <f t="shared" si="0"/>
        <v>21.1</v>
      </c>
      <c r="D34" s="28">
        <f t="shared" si="0"/>
        <v>23.96</v>
      </c>
      <c r="E34" s="28">
        <f t="shared" si="0"/>
        <v>1.88</v>
      </c>
      <c r="F34" s="28">
        <f t="shared" si="0"/>
        <v>5.16</v>
      </c>
      <c r="G34" s="28">
        <f t="shared" si="0"/>
        <v>16.43</v>
      </c>
      <c r="H34" s="28">
        <f t="shared" si="0"/>
        <v>4.75</v>
      </c>
      <c r="I34" s="28">
        <f t="shared" si="0"/>
        <v>3.96</v>
      </c>
      <c r="J34" s="28">
        <f t="shared" si="0"/>
        <v>0.28000000000000003</v>
      </c>
      <c r="K34" s="28">
        <f t="shared" si="0"/>
        <v>105.42</v>
      </c>
      <c r="L34" s="28">
        <f t="shared" si="0"/>
        <v>23.34</v>
      </c>
      <c r="M34" s="28">
        <f t="shared" si="0"/>
        <v>34.229999999999997</v>
      </c>
      <c r="N34" s="28">
        <f t="shared" si="0"/>
        <v>58.1</v>
      </c>
      <c r="O34" s="28">
        <f t="shared" si="0"/>
        <v>0</v>
      </c>
      <c r="P34" s="28">
        <f t="shared" si="0"/>
        <v>0.28999999999999998</v>
      </c>
      <c r="Q34" s="28">
        <f t="shared" si="0"/>
        <v>9.4700000000000006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24.45</v>
      </c>
      <c r="C35" s="29">
        <f t="shared" si="1"/>
        <v>39.159999999999997</v>
      </c>
      <c r="D35" s="29">
        <f t="shared" si="1"/>
        <v>50.04</v>
      </c>
      <c r="E35" s="29">
        <f t="shared" si="1"/>
        <v>4.49</v>
      </c>
      <c r="F35" s="29">
        <f t="shared" si="1"/>
        <v>26.67</v>
      </c>
      <c r="G35" s="29">
        <f t="shared" si="1"/>
        <v>47.97</v>
      </c>
      <c r="H35" s="29">
        <f t="shared" si="1"/>
        <v>17.670000000000002</v>
      </c>
      <c r="I35" s="29">
        <f t="shared" si="1"/>
        <v>4.3</v>
      </c>
      <c r="J35" s="29">
        <f t="shared" si="1"/>
        <v>4.93</v>
      </c>
      <c r="K35" s="29">
        <f t="shared" si="1"/>
        <v>349.8</v>
      </c>
      <c r="L35" s="29">
        <f t="shared" si="1"/>
        <v>41.57</v>
      </c>
      <c r="M35" s="29">
        <f t="shared" si="1"/>
        <v>102.55</v>
      </c>
      <c r="N35" s="29">
        <f t="shared" si="1"/>
        <v>1024.0999999999999</v>
      </c>
      <c r="O35" s="29">
        <f t="shared" si="1"/>
        <v>5.6</v>
      </c>
      <c r="P35" s="29">
        <f t="shared" si="1"/>
        <v>0.65</v>
      </c>
      <c r="Q35" s="29">
        <f t="shared" si="1"/>
        <v>9.7100000000000009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13.705</v>
      </c>
      <c r="C36" s="28">
        <f t="shared" si="2"/>
        <v>29.959166666666665</v>
      </c>
      <c r="D36" s="28">
        <f t="shared" si="2"/>
        <v>34.221666666666671</v>
      </c>
      <c r="E36" s="28">
        <f t="shared" si="2"/>
        <v>2.8566666666666674</v>
      </c>
      <c r="F36" s="28">
        <f t="shared" si="2"/>
        <v>10.823333333333332</v>
      </c>
      <c r="G36" s="28">
        <f t="shared" si="2"/>
        <v>29.995833333333334</v>
      </c>
      <c r="H36" s="28">
        <f t="shared" si="2"/>
        <v>11.175833333333332</v>
      </c>
      <c r="I36" s="28">
        <f t="shared" si="2"/>
        <v>4.0979166666666673</v>
      </c>
      <c r="J36" s="28">
        <f t="shared" si="2"/>
        <v>1.2454166666666666</v>
      </c>
      <c r="K36" s="28">
        <f t="shared" si="2"/>
        <v>246.03500000000005</v>
      </c>
      <c r="L36" s="28">
        <f t="shared" si="2"/>
        <v>31.484999999999999</v>
      </c>
      <c r="M36" s="28">
        <f t="shared" si="2"/>
        <v>74.81750000000001</v>
      </c>
      <c r="N36" s="28">
        <f t="shared" si="2"/>
        <v>310.64583333333331</v>
      </c>
      <c r="O36" s="28">
        <f t="shared" si="2"/>
        <v>0.44999999999999996</v>
      </c>
      <c r="P36" s="28">
        <f t="shared" si="2"/>
        <v>0.47958333333333325</v>
      </c>
      <c r="Q36" s="28">
        <f t="shared" si="2"/>
        <v>9.6233333333333331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4.8023943303676919</v>
      </c>
      <c r="C37" s="28">
        <f t="shared" ref="C37:Q37" si="3">STDEV(C9:C32)</f>
        <v>4.899441775360204</v>
      </c>
      <c r="D37" s="28">
        <f t="shared" si="3"/>
        <v>6.5848196084146462</v>
      </c>
      <c r="E37" s="28">
        <f t="shared" si="3"/>
        <v>0.63745872273300952</v>
      </c>
      <c r="F37" s="28">
        <f t="shared" si="3"/>
        <v>5.8372817279119316</v>
      </c>
      <c r="G37" s="28">
        <f t="shared" si="3"/>
        <v>8.897147523671336</v>
      </c>
      <c r="H37" s="28">
        <f t="shared" si="3"/>
        <v>3.3097194372972489</v>
      </c>
      <c r="I37" s="28">
        <f t="shared" si="3"/>
        <v>7.4773813520548821E-2</v>
      </c>
      <c r="J37" s="28">
        <f t="shared" si="3"/>
        <v>1.1509503791920479</v>
      </c>
      <c r="K37" s="28">
        <f t="shared" si="3"/>
        <v>55.001753489834229</v>
      </c>
      <c r="L37" s="28">
        <f t="shared" si="3"/>
        <v>6.5844236484758838</v>
      </c>
      <c r="M37" s="28">
        <f t="shared" si="3"/>
        <v>24.078363957494371</v>
      </c>
      <c r="N37" s="28">
        <f t="shared" si="3"/>
        <v>368.80161036520843</v>
      </c>
      <c r="O37" s="28">
        <f t="shared" si="3"/>
        <v>1.4699896479966756</v>
      </c>
      <c r="P37" s="28">
        <f t="shared" si="3"/>
        <v>9.6345355550913739E-2</v>
      </c>
      <c r="Q37" s="28">
        <f t="shared" si="3"/>
        <v>6.5052932739201069E-2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30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3" sqref="G53"/>
    </sheetView>
  </sheetViews>
  <sheetFormatPr defaultColWidth="8.85546875" defaultRowHeight="15" x14ac:dyDescent="0.25"/>
  <cols>
    <col min="1" max="1" width="18.28515625" style="26" customWidth="1"/>
    <col min="2" max="2" width="18.42578125" style="20" customWidth="1"/>
    <col min="3" max="3" width="10.140625" style="20" customWidth="1"/>
    <col min="4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04/05/2025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4" t="s">
        <v>132</v>
      </c>
      <c r="B9" s="55">
        <v>24.56</v>
      </c>
      <c r="C9" s="55">
        <v>34.92</v>
      </c>
      <c r="D9" s="55">
        <v>26.08</v>
      </c>
      <c r="E9" s="55">
        <v>3.63</v>
      </c>
      <c r="F9" s="55">
        <v>6.01</v>
      </c>
      <c r="G9" s="55">
        <v>59.94</v>
      </c>
      <c r="H9" s="55">
        <v>6.8</v>
      </c>
      <c r="I9" s="55">
        <v>4.25</v>
      </c>
      <c r="J9" s="55">
        <v>1.53</v>
      </c>
      <c r="K9" s="55">
        <v>159.93</v>
      </c>
      <c r="L9" s="55">
        <v>24.23</v>
      </c>
      <c r="M9" s="55">
        <v>101.35</v>
      </c>
      <c r="N9" s="55">
        <v>70.099999999999994</v>
      </c>
      <c r="O9" s="55">
        <v>0</v>
      </c>
      <c r="P9" s="55">
        <v>0.65</v>
      </c>
      <c r="Q9" s="55">
        <v>9.69</v>
      </c>
      <c r="R9" s="43"/>
      <c r="S9" s="43"/>
      <c r="T9" s="43"/>
      <c r="U9" s="43"/>
    </row>
    <row r="10" spans="1:21" s="11" customFormat="1" x14ac:dyDescent="0.25">
      <c r="A10" s="54" t="s">
        <v>133</v>
      </c>
      <c r="B10" s="55">
        <v>24.22</v>
      </c>
      <c r="C10" s="55">
        <v>33.6</v>
      </c>
      <c r="D10" s="55">
        <v>24.73</v>
      </c>
      <c r="E10" s="55">
        <v>3.64</v>
      </c>
      <c r="F10" s="55">
        <v>5.93</v>
      </c>
      <c r="G10" s="55">
        <v>63.14</v>
      </c>
      <c r="H10" s="55">
        <v>17.22</v>
      </c>
      <c r="I10" s="55">
        <v>4.1500000000000004</v>
      </c>
      <c r="J10" s="55">
        <v>1.6</v>
      </c>
      <c r="K10" s="55">
        <v>169.09</v>
      </c>
      <c r="L10" s="55">
        <v>23.82</v>
      </c>
      <c r="M10" s="55">
        <v>101.61</v>
      </c>
      <c r="N10" s="55">
        <v>70.599999999999994</v>
      </c>
      <c r="O10" s="55">
        <v>0</v>
      </c>
      <c r="P10" s="55">
        <v>0.64</v>
      </c>
      <c r="Q10" s="55">
        <v>9.7100000000000009</v>
      </c>
      <c r="R10" s="43"/>
      <c r="S10" s="43"/>
      <c r="T10" s="43"/>
      <c r="U10" s="43"/>
    </row>
    <row r="11" spans="1:21" s="11" customFormat="1" x14ac:dyDescent="0.25">
      <c r="A11" s="54" t="s">
        <v>134</v>
      </c>
      <c r="B11" s="55">
        <v>22.23</v>
      </c>
      <c r="C11" s="55">
        <v>32.01</v>
      </c>
      <c r="D11" s="55">
        <v>25.67</v>
      </c>
      <c r="E11" s="55">
        <v>3.68</v>
      </c>
      <c r="F11" s="55">
        <v>5.86</v>
      </c>
      <c r="G11" s="55">
        <v>51.83</v>
      </c>
      <c r="H11" s="55">
        <v>13.61</v>
      </c>
      <c r="I11" s="55">
        <v>4.09</v>
      </c>
      <c r="J11" s="55">
        <v>0.97</v>
      </c>
      <c r="K11" s="55">
        <v>206.3</v>
      </c>
      <c r="L11" s="55">
        <v>23.55</v>
      </c>
      <c r="M11" s="55">
        <v>100.34</v>
      </c>
      <c r="N11" s="55">
        <v>70.900000000000006</v>
      </c>
      <c r="O11" s="55">
        <v>0</v>
      </c>
      <c r="P11" s="55">
        <v>0.57999999999999996</v>
      </c>
      <c r="Q11" s="55">
        <v>9.74</v>
      </c>
      <c r="R11" s="43"/>
      <c r="S11" s="43"/>
      <c r="T11" s="43"/>
      <c r="U11" s="43"/>
    </row>
    <row r="12" spans="1:21" s="11" customFormat="1" x14ac:dyDescent="0.25">
      <c r="A12" s="54" t="s">
        <v>135</v>
      </c>
      <c r="B12" s="55">
        <v>19.22</v>
      </c>
      <c r="C12" s="55">
        <v>27.55</v>
      </c>
      <c r="D12" s="55">
        <v>20.18</v>
      </c>
      <c r="E12" s="55">
        <v>3.36</v>
      </c>
      <c r="F12" s="55">
        <v>5.44</v>
      </c>
      <c r="G12" s="55">
        <v>34.24</v>
      </c>
      <c r="H12" s="55">
        <v>19.170000000000002</v>
      </c>
      <c r="I12" s="55">
        <v>4.0999999999999996</v>
      </c>
      <c r="J12" s="55">
        <v>1.68</v>
      </c>
      <c r="K12" s="55">
        <v>254.46</v>
      </c>
      <c r="L12" s="55">
        <v>23.64</v>
      </c>
      <c r="M12" s="55">
        <v>99.42</v>
      </c>
      <c r="N12" s="55">
        <v>71.599999999999994</v>
      </c>
      <c r="O12" s="55">
        <v>0</v>
      </c>
      <c r="P12" s="55">
        <v>0.52</v>
      </c>
      <c r="Q12" s="55">
        <v>9.6999999999999993</v>
      </c>
      <c r="R12" s="43"/>
      <c r="S12" s="43"/>
      <c r="T12" s="43"/>
      <c r="U12" s="43"/>
    </row>
    <row r="13" spans="1:21" s="11" customFormat="1" x14ac:dyDescent="0.25">
      <c r="A13" s="54" t="s">
        <v>136</v>
      </c>
      <c r="B13" s="55">
        <v>17.309999999999999</v>
      </c>
      <c r="C13" s="55">
        <v>25.17</v>
      </c>
      <c r="D13" s="55">
        <v>18.8</v>
      </c>
      <c r="E13" s="55">
        <v>3.38</v>
      </c>
      <c r="F13" s="55">
        <v>5.69</v>
      </c>
      <c r="G13" s="55">
        <v>28.38</v>
      </c>
      <c r="H13" s="55">
        <v>12.24</v>
      </c>
      <c r="I13" s="55">
        <v>4.1100000000000003</v>
      </c>
      <c r="J13" s="55">
        <v>0.95</v>
      </c>
      <c r="K13" s="55">
        <v>240.99</v>
      </c>
      <c r="L13" s="55">
        <v>24.43</v>
      </c>
      <c r="M13" s="55">
        <v>98.64</v>
      </c>
      <c r="N13" s="55">
        <v>72.5</v>
      </c>
      <c r="O13" s="55">
        <v>0</v>
      </c>
      <c r="P13" s="55">
        <v>0.44</v>
      </c>
      <c r="Q13" s="55">
        <v>9.68</v>
      </c>
      <c r="R13" s="43"/>
      <c r="S13" s="43"/>
      <c r="T13" s="43"/>
      <c r="U13" s="43"/>
    </row>
    <row r="14" spans="1:21" s="11" customFormat="1" x14ac:dyDescent="0.25">
      <c r="A14" s="54" t="s">
        <v>137</v>
      </c>
      <c r="B14" s="55">
        <v>17.91</v>
      </c>
      <c r="C14" s="55">
        <v>28.16</v>
      </c>
      <c r="D14" s="55">
        <v>23.37</v>
      </c>
      <c r="E14" s="55">
        <v>3.29</v>
      </c>
      <c r="F14" s="55">
        <v>5.71</v>
      </c>
      <c r="G14" s="55">
        <v>23.06</v>
      </c>
      <c r="H14" s="55">
        <v>11.67</v>
      </c>
      <c r="I14" s="55">
        <v>4.04</v>
      </c>
      <c r="J14" s="55">
        <v>0.84</v>
      </c>
      <c r="K14" s="55">
        <v>186.49</v>
      </c>
      <c r="L14" s="55">
        <v>24.44</v>
      </c>
      <c r="M14" s="55">
        <v>98.3</v>
      </c>
      <c r="N14" s="55">
        <v>108.9</v>
      </c>
      <c r="O14" s="55">
        <v>0</v>
      </c>
      <c r="P14" s="55">
        <v>0.43</v>
      </c>
      <c r="Q14" s="55">
        <v>9.7200000000000006</v>
      </c>
      <c r="R14" s="43"/>
      <c r="S14" s="43"/>
      <c r="T14" s="43"/>
      <c r="U14" s="43"/>
    </row>
    <row r="15" spans="1:21" s="11" customFormat="1" x14ac:dyDescent="0.25">
      <c r="A15" s="54" t="s">
        <v>138</v>
      </c>
      <c r="B15" s="55">
        <v>19.29</v>
      </c>
      <c r="C15" s="55">
        <v>29.69</v>
      </c>
      <c r="D15" s="55">
        <v>24.17</v>
      </c>
      <c r="E15" s="55">
        <v>3.37</v>
      </c>
      <c r="F15" s="55">
        <v>5.67</v>
      </c>
      <c r="G15" s="55">
        <v>21.92</v>
      </c>
      <c r="H15" s="55">
        <v>10.61</v>
      </c>
      <c r="I15" s="55">
        <v>4.03</v>
      </c>
      <c r="J15" s="55">
        <v>1.18</v>
      </c>
      <c r="K15" s="55">
        <v>174.35</v>
      </c>
      <c r="L15" s="55">
        <v>25.57</v>
      </c>
      <c r="M15" s="55">
        <v>97.93</v>
      </c>
      <c r="N15" s="55">
        <v>176</v>
      </c>
      <c r="O15" s="55">
        <v>0</v>
      </c>
      <c r="P15" s="55">
        <v>0.41</v>
      </c>
      <c r="Q15" s="55">
        <v>9.69</v>
      </c>
      <c r="R15" s="43"/>
      <c r="S15" s="43"/>
      <c r="T15" s="43"/>
      <c r="U15" s="43"/>
    </row>
    <row r="16" spans="1:21" s="11" customFormat="1" x14ac:dyDescent="0.25">
      <c r="A16" s="54" t="s">
        <v>139</v>
      </c>
      <c r="B16" s="55">
        <v>21.26</v>
      </c>
      <c r="C16" s="55">
        <v>32.619999999999997</v>
      </c>
      <c r="D16" s="55">
        <v>26.75</v>
      </c>
      <c r="E16" s="55">
        <v>3.52</v>
      </c>
      <c r="F16" s="55">
        <v>6.34</v>
      </c>
      <c r="G16" s="55">
        <v>22.6</v>
      </c>
      <c r="H16" s="55">
        <v>8.94</v>
      </c>
      <c r="I16" s="55">
        <v>4.09</v>
      </c>
      <c r="J16" s="55">
        <v>0.85</v>
      </c>
      <c r="K16" s="55">
        <v>126.15</v>
      </c>
      <c r="L16" s="55">
        <v>28.07</v>
      </c>
      <c r="M16" s="55">
        <v>94.95</v>
      </c>
      <c r="N16" s="55">
        <v>506</v>
      </c>
      <c r="O16" s="55">
        <v>0</v>
      </c>
      <c r="P16" s="55">
        <v>0.39</v>
      </c>
      <c r="Q16" s="55">
        <v>9.7200000000000006</v>
      </c>
      <c r="R16" s="43"/>
      <c r="S16" s="43"/>
      <c r="T16" s="43"/>
      <c r="U16" s="43"/>
    </row>
    <row r="17" spans="1:21" s="11" customFormat="1" x14ac:dyDescent="0.25">
      <c r="A17" s="54" t="s">
        <v>140</v>
      </c>
      <c r="B17" s="55">
        <v>20.149999999999999</v>
      </c>
      <c r="C17" s="55">
        <v>31.66</v>
      </c>
      <c r="D17" s="55">
        <v>26.61</v>
      </c>
      <c r="E17" s="55">
        <v>2.85</v>
      </c>
      <c r="F17" s="55">
        <v>7.18</v>
      </c>
      <c r="G17" s="55">
        <v>25.37</v>
      </c>
      <c r="H17" s="55">
        <v>8.24</v>
      </c>
      <c r="I17" s="55">
        <v>4.05</v>
      </c>
      <c r="J17" s="55">
        <v>0.63</v>
      </c>
      <c r="K17" s="55">
        <v>170.47</v>
      </c>
      <c r="L17" s="55">
        <v>31.81</v>
      </c>
      <c r="M17" s="55">
        <v>80.41</v>
      </c>
      <c r="N17" s="55">
        <v>827.8</v>
      </c>
      <c r="O17" s="55">
        <v>0</v>
      </c>
      <c r="P17" s="55">
        <v>0.4</v>
      </c>
      <c r="Q17" s="55">
        <v>9.68</v>
      </c>
      <c r="R17" s="43"/>
      <c r="S17" s="43"/>
      <c r="T17" s="43"/>
      <c r="U17" s="43"/>
    </row>
    <row r="18" spans="1:21" s="11" customFormat="1" x14ac:dyDescent="0.25">
      <c r="A18" s="54" t="s">
        <v>141</v>
      </c>
      <c r="B18" s="55">
        <v>19.739999999999998</v>
      </c>
      <c r="C18" s="55">
        <v>30.31</v>
      </c>
      <c r="D18" s="55">
        <v>26</v>
      </c>
      <c r="E18" s="55">
        <v>2.98</v>
      </c>
      <c r="F18" s="55">
        <v>6.22</v>
      </c>
      <c r="G18" s="55">
        <v>27.27</v>
      </c>
      <c r="H18" s="55">
        <v>6.5</v>
      </c>
      <c r="I18" s="55">
        <v>4.21</v>
      </c>
      <c r="J18" s="55">
        <v>0.54</v>
      </c>
      <c r="K18" s="55">
        <v>254.7</v>
      </c>
      <c r="L18" s="55">
        <v>34.72</v>
      </c>
      <c r="M18" s="55">
        <v>66.09</v>
      </c>
      <c r="N18" s="55">
        <v>980.1</v>
      </c>
      <c r="O18" s="55">
        <v>0</v>
      </c>
      <c r="P18" s="55">
        <v>0.39</v>
      </c>
      <c r="Q18" s="55">
        <v>9.67</v>
      </c>
      <c r="R18" s="43"/>
      <c r="S18" s="43"/>
      <c r="T18" s="43"/>
      <c r="U18" s="43"/>
    </row>
    <row r="19" spans="1:21" s="11" customFormat="1" x14ac:dyDescent="0.25">
      <c r="A19" s="54" t="s">
        <v>142</v>
      </c>
      <c r="B19" s="55">
        <v>16.489999999999998</v>
      </c>
      <c r="C19" s="55">
        <v>28.41</v>
      </c>
      <c r="D19" s="55">
        <v>28.1</v>
      </c>
      <c r="E19" s="55">
        <v>2.75</v>
      </c>
      <c r="F19" s="55">
        <v>5.99</v>
      </c>
      <c r="G19" s="55">
        <v>22.16</v>
      </c>
      <c r="H19" s="55">
        <v>4.55</v>
      </c>
      <c r="I19" s="55">
        <v>4.13</v>
      </c>
      <c r="J19" s="55">
        <v>0.85</v>
      </c>
      <c r="K19" s="55">
        <v>264.52999999999997</v>
      </c>
      <c r="L19" s="55">
        <v>36.840000000000003</v>
      </c>
      <c r="M19" s="55">
        <v>54.69</v>
      </c>
      <c r="N19" s="55">
        <v>1093</v>
      </c>
      <c r="O19" s="55">
        <v>0</v>
      </c>
      <c r="P19" s="55">
        <v>0.41</v>
      </c>
      <c r="Q19" s="55">
        <v>9.67</v>
      </c>
      <c r="R19" s="43"/>
      <c r="S19" s="43"/>
      <c r="T19" s="43"/>
      <c r="U19" s="43"/>
    </row>
    <row r="20" spans="1:21" s="11" customFormat="1" x14ac:dyDescent="0.25">
      <c r="A20" s="54" t="s">
        <v>143</v>
      </c>
      <c r="B20" s="55">
        <v>13.33</v>
      </c>
      <c r="C20" s="55">
        <v>33.729999999999997</v>
      </c>
      <c r="D20" s="55">
        <v>41.34</v>
      </c>
      <c r="E20" s="55">
        <v>3.8</v>
      </c>
      <c r="F20" s="55">
        <v>11.42</v>
      </c>
      <c r="G20" s="55">
        <v>23.65</v>
      </c>
      <c r="H20" s="55">
        <v>13.21</v>
      </c>
      <c r="I20" s="55">
        <v>4.09</v>
      </c>
      <c r="J20" s="55">
        <v>1.07</v>
      </c>
      <c r="K20" s="55">
        <v>279.92</v>
      </c>
      <c r="L20" s="55">
        <v>38.270000000000003</v>
      </c>
      <c r="M20" s="55">
        <v>48.25</v>
      </c>
      <c r="N20" s="55">
        <v>1093.2</v>
      </c>
      <c r="O20" s="55">
        <v>0</v>
      </c>
      <c r="P20" s="55">
        <v>0.7</v>
      </c>
      <c r="Q20" s="55">
        <v>9.6300000000000008</v>
      </c>
      <c r="R20" s="43"/>
      <c r="S20" s="43"/>
      <c r="T20" s="43"/>
      <c r="U20" s="43"/>
    </row>
    <row r="21" spans="1:21" s="11" customFormat="1" x14ac:dyDescent="0.25">
      <c r="A21" s="54" t="s">
        <v>144</v>
      </c>
      <c r="B21" s="55">
        <v>13.89</v>
      </c>
      <c r="C21" s="55">
        <v>30.75</v>
      </c>
      <c r="D21" s="55">
        <v>35.700000000000003</v>
      </c>
      <c r="E21" s="55">
        <v>4</v>
      </c>
      <c r="F21" s="55">
        <v>15.57</v>
      </c>
      <c r="G21" s="55">
        <v>44.27</v>
      </c>
      <c r="H21" s="55">
        <v>8.85</v>
      </c>
      <c r="I21" s="55">
        <v>4.04</v>
      </c>
      <c r="J21" s="55">
        <v>1.21</v>
      </c>
      <c r="K21" s="55">
        <v>307.7</v>
      </c>
      <c r="L21" s="55">
        <v>39.42</v>
      </c>
      <c r="M21" s="55">
        <v>44.14</v>
      </c>
      <c r="N21" s="55">
        <v>1065.3</v>
      </c>
      <c r="O21" s="55">
        <v>0</v>
      </c>
      <c r="P21" s="55">
        <v>0.66</v>
      </c>
      <c r="Q21" s="55">
        <v>9.6199999999999992</v>
      </c>
      <c r="R21" s="43"/>
      <c r="S21" s="43"/>
      <c r="T21" s="43"/>
      <c r="U21" s="43"/>
    </row>
    <row r="22" spans="1:21" s="11" customFormat="1" x14ac:dyDescent="0.25">
      <c r="A22" s="54" t="s">
        <v>145</v>
      </c>
      <c r="B22" s="55">
        <v>11.25</v>
      </c>
      <c r="C22" s="55">
        <v>31.08</v>
      </c>
      <c r="D22" s="55">
        <v>39.17</v>
      </c>
      <c r="E22" s="55">
        <v>4.1100000000000003</v>
      </c>
      <c r="F22" s="55">
        <v>16.3</v>
      </c>
      <c r="G22" s="55">
        <v>43.16</v>
      </c>
      <c r="H22" s="55">
        <v>6.11</v>
      </c>
      <c r="I22" s="55">
        <v>4.12</v>
      </c>
      <c r="J22" s="55">
        <v>0.68</v>
      </c>
      <c r="K22" s="55">
        <v>274.54000000000002</v>
      </c>
      <c r="L22" s="55">
        <v>39.5</v>
      </c>
      <c r="M22" s="55">
        <v>38.83</v>
      </c>
      <c r="N22" s="55">
        <v>1014.5</v>
      </c>
      <c r="O22" s="55">
        <v>0</v>
      </c>
      <c r="P22" s="55">
        <v>0.6</v>
      </c>
      <c r="Q22" s="55">
        <v>9.56</v>
      </c>
      <c r="R22" s="43"/>
      <c r="S22" s="43"/>
      <c r="T22" s="43"/>
      <c r="U22" s="43"/>
    </row>
    <row r="23" spans="1:21" s="11" customFormat="1" x14ac:dyDescent="0.25">
      <c r="A23" s="54" t="s">
        <v>146</v>
      </c>
      <c r="B23" s="55">
        <v>10.74</v>
      </c>
      <c r="C23" s="55">
        <v>28.77</v>
      </c>
      <c r="D23" s="55">
        <v>35.520000000000003</v>
      </c>
      <c r="E23" s="55">
        <v>3.87</v>
      </c>
      <c r="F23" s="55">
        <v>20.58</v>
      </c>
      <c r="G23" s="55">
        <v>39.71</v>
      </c>
      <c r="H23" s="55">
        <v>14.64</v>
      </c>
      <c r="I23" s="55">
        <v>4.0999999999999996</v>
      </c>
      <c r="J23" s="55">
        <v>0.49</v>
      </c>
      <c r="K23" s="55">
        <v>262.37</v>
      </c>
      <c r="L23" s="55">
        <v>39.450000000000003</v>
      </c>
      <c r="M23" s="55">
        <v>34.549999999999997</v>
      </c>
      <c r="N23" s="55">
        <v>633.29999999999995</v>
      </c>
      <c r="O23" s="55">
        <v>0</v>
      </c>
      <c r="P23" s="55">
        <v>0.56000000000000005</v>
      </c>
      <c r="Q23" s="55">
        <v>9.52</v>
      </c>
      <c r="R23" s="43"/>
      <c r="S23" s="43"/>
      <c r="T23" s="43"/>
      <c r="U23" s="43"/>
    </row>
    <row r="24" spans="1:21" s="11" customFormat="1" x14ac:dyDescent="0.25">
      <c r="A24" s="54" t="s">
        <v>147</v>
      </c>
      <c r="B24" s="55">
        <v>10.029999999999999</v>
      </c>
      <c r="C24" s="55">
        <v>27.01</v>
      </c>
      <c r="D24" s="55">
        <v>33.85</v>
      </c>
      <c r="E24" s="55">
        <v>3.21</v>
      </c>
      <c r="F24" s="55">
        <v>16.11</v>
      </c>
      <c r="G24" s="55">
        <v>34.15</v>
      </c>
      <c r="H24" s="55">
        <v>17.55</v>
      </c>
      <c r="I24" s="55">
        <v>4.1500000000000004</v>
      </c>
      <c r="J24" s="55">
        <v>0.95</v>
      </c>
      <c r="K24" s="55">
        <v>263.63</v>
      </c>
      <c r="L24" s="55">
        <v>38.53</v>
      </c>
      <c r="M24" s="55">
        <v>32.520000000000003</v>
      </c>
      <c r="N24" s="55">
        <v>575.70000000000005</v>
      </c>
      <c r="O24" s="55">
        <v>0</v>
      </c>
      <c r="P24" s="55">
        <v>0.51</v>
      </c>
      <c r="Q24" s="55">
        <v>9.51</v>
      </c>
      <c r="R24" s="43"/>
      <c r="S24" s="43"/>
      <c r="T24" s="43"/>
      <c r="U24" s="43"/>
    </row>
    <row r="25" spans="1:21" s="11" customFormat="1" x14ac:dyDescent="0.25">
      <c r="A25" s="54" t="s">
        <v>148</v>
      </c>
      <c r="B25" s="55">
        <v>9.69</v>
      </c>
      <c r="C25" s="55">
        <v>27.21</v>
      </c>
      <c r="D25" s="55">
        <v>35.049999999999997</v>
      </c>
      <c r="E25" s="55">
        <v>2.87</v>
      </c>
      <c r="F25" s="55">
        <v>23.86</v>
      </c>
      <c r="G25" s="55">
        <v>24.79</v>
      </c>
      <c r="H25" s="55">
        <v>11.69</v>
      </c>
      <c r="I25" s="55">
        <v>4.09</v>
      </c>
      <c r="J25" s="55">
        <v>1.04</v>
      </c>
      <c r="K25" s="55">
        <v>156.41</v>
      </c>
      <c r="L25" s="55">
        <v>36.96</v>
      </c>
      <c r="M25" s="55">
        <v>30.75</v>
      </c>
      <c r="N25" s="55">
        <v>427.1</v>
      </c>
      <c r="O25" s="55">
        <v>0</v>
      </c>
      <c r="P25" s="55">
        <v>0.4</v>
      </c>
      <c r="Q25" s="55">
        <v>9.5299999999999994</v>
      </c>
      <c r="R25" s="43"/>
      <c r="S25" s="43"/>
      <c r="T25" s="43"/>
      <c r="U25" s="43"/>
    </row>
    <row r="26" spans="1:21" s="11" customFormat="1" x14ac:dyDescent="0.25">
      <c r="A26" s="54" t="s">
        <v>149</v>
      </c>
      <c r="B26" s="55">
        <v>8.5399999999999991</v>
      </c>
      <c r="C26" s="55">
        <v>37.57</v>
      </c>
      <c r="D26" s="55">
        <v>56.65</v>
      </c>
      <c r="E26" s="55">
        <v>3.97</v>
      </c>
      <c r="F26" s="55">
        <v>24.1</v>
      </c>
      <c r="G26" s="55">
        <v>23.56</v>
      </c>
      <c r="H26" s="55">
        <v>12.33</v>
      </c>
      <c r="I26" s="55">
        <v>4.05</v>
      </c>
      <c r="J26" s="55">
        <v>1.1499999999999999</v>
      </c>
      <c r="K26" s="55">
        <v>174.29</v>
      </c>
      <c r="L26" s="55">
        <v>36.75</v>
      </c>
      <c r="M26" s="55">
        <v>33.33</v>
      </c>
      <c r="N26" s="55">
        <v>180.9</v>
      </c>
      <c r="O26" s="55">
        <v>0</v>
      </c>
      <c r="P26" s="55">
        <v>0.52</v>
      </c>
      <c r="Q26" s="55">
        <v>9.48</v>
      </c>
      <c r="R26" s="43"/>
      <c r="S26" s="43"/>
      <c r="T26" s="43"/>
      <c r="U26" s="43"/>
    </row>
    <row r="27" spans="1:21" s="11" customFormat="1" x14ac:dyDescent="0.25">
      <c r="A27" s="54" t="s">
        <v>150</v>
      </c>
      <c r="B27" s="55">
        <v>26.29</v>
      </c>
      <c r="C27" s="55">
        <v>82.05</v>
      </c>
      <c r="D27" s="55">
        <v>113.64</v>
      </c>
      <c r="E27" s="55">
        <v>4.71</v>
      </c>
      <c r="F27" s="55">
        <v>22.24</v>
      </c>
      <c r="G27" s="55">
        <v>27.74</v>
      </c>
      <c r="H27" s="55">
        <v>8.68</v>
      </c>
      <c r="I27" s="55">
        <v>4.1399999999999997</v>
      </c>
      <c r="J27" s="55">
        <v>0.24</v>
      </c>
      <c r="K27" s="55">
        <v>247.48</v>
      </c>
      <c r="L27" s="55">
        <v>35.15</v>
      </c>
      <c r="M27" s="55">
        <v>41.46</v>
      </c>
      <c r="N27" s="55">
        <v>122.4</v>
      </c>
      <c r="O27" s="55">
        <v>0</v>
      </c>
      <c r="P27" s="55">
        <v>1.08</v>
      </c>
      <c r="Q27" s="55">
        <v>9.5500000000000007</v>
      </c>
      <c r="R27" s="43"/>
      <c r="S27" s="43"/>
      <c r="T27" s="43"/>
      <c r="U27" s="43"/>
    </row>
    <row r="28" spans="1:21" s="11" customFormat="1" x14ac:dyDescent="0.25">
      <c r="A28" s="54" t="s">
        <v>151</v>
      </c>
      <c r="B28" s="55">
        <v>16.96</v>
      </c>
      <c r="C28" s="55">
        <v>62.19</v>
      </c>
      <c r="D28" s="55">
        <v>89.95</v>
      </c>
      <c r="E28" s="55">
        <v>2.82</v>
      </c>
      <c r="F28" s="55">
        <v>13.34</v>
      </c>
      <c r="G28" s="55">
        <v>35.53</v>
      </c>
      <c r="H28" s="55">
        <v>10.96</v>
      </c>
      <c r="I28" s="55">
        <v>4.18</v>
      </c>
      <c r="J28" s="55">
        <v>0.6</v>
      </c>
      <c r="K28" s="55">
        <v>253.09</v>
      </c>
      <c r="L28" s="55">
        <v>33.799999999999997</v>
      </c>
      <c r="M28" s="55">
        <v>52.79</v>
      </c>
      <c r="N28" s="55">
        <v>111.5</v>
      </c>
      <c r="O28" s="55">
        <v>0</v>
      </c>
      <c r="P28" s="55">
        <v>0.77</v>
      </c>
      <c r="Q28" s="55">
        <v>9.5500000000000007</v>
      </c>
      <c r="R28" s="43"/>
      <c r="S28" s="43"/>
      <c r="T28" s="43"/>
      <c r="U28" s="43"/>
    </row>
    <row r="29" spans="1:21" s="11" customFormat="1" x14ac:dyDescent="0.25">
      <c r="A29" s="54" t="s">
        <v>152</v>
      </c>
      <c r="B29" s="55">
        <v>15.01</v>
      </c>
      <c r="C29" s="55">
        <v>62.22</v>
      </c>
      <c r="D29" s="55">
        <v>93</v>
      </c>
      <c r="E29" s="55">
        <v>2.34</v>
      </c>
      <c r="F29" s="55">
        <v>14.62</v>
      </c>
      <c r="G29" s="55">
        <v>35.729999999999997</v>
      </c>
      <c r="H29" s="55">
        <v>9.66</v>
      </c>
      <c r="I29" s="55">
        <v>4.05</v>
      </c>
      <c r="J29" s="55">
        <v>0.67</v>
      </c>
      <c r="K29" s="55">
        <v>235.82</v>
      </c>
      <c r="L29" s="55">
        <v>32.979999999999997</v>
      </c>
      <c r="M29" s="55">
        <v>55.25</v>
      </c>
      <c r="N29" s="55">
        <v>112.2</v>
      </c>
      <c r="O29" s="55">
        <v>0</v>
      </c>
      <c r="P29" s="55">
        <v>0.95</v>
      </c>
      <c r="Q29" s="55">
        <v>9.59</v>
      </c>
      <c r="R29" s="43"/>
      <c r="S29" s="43"/>
      <c r="T29" s="43"/>
      <c r="U29" s="43"/>
    </row>
    <row r="30" spans="1:21" s="11" customFormat="1" x14ac:dyDescent="0.25">
      <c r="A30" s="54" t="s">
        <v>153</v>
      </c>
      <c r="B30" s="55">
        <v>37.46</v>
      </c>
      <c r="C30" s="55">
        <v>79.89</v>
      </c>
      <c r="D30" s="55">
        <v>92.36</v>
      </c>
      <c r="E30" s="55">
        <v>2.37</v>
      </c>
      <c r="F30" s="55">
        <v>10.86</v>
      </c>
      <c r="G30" s="55">
        <v>38.700000000000003</v>
      </c>
      <c r="H30" s="55">
        <v>6.79</v>
      </c>
      <c r="I30" s="55">
        <v>4.2300000000000004</v>
      </c>
      <c r="J30" s="55">
        <v>0.76</v>
      </c>
      <c r="K30" s="55">
        <v>205.35</v>
      </c>
      <c r="L30" s="55">
        <v>31.81</v>
      </c>
      <c r="M30" s="55">
        <v>64.58</v>
      </c>
      <c r="N30" s="55">
        <v>114.7</v>
      </c>
      <c r="O30" s="55">
        <v>0</v>
      </c>
      <c r="P30" s="55">
        <v>1.03</v>
      </c>
      <c r="Q30" s="55">
        <v>9.58</v>
      </c>
      <c r="R30" s="43"/>
      <c r="S30" s="43"/>
      <c r="T30" s="43"/>
      <c r="U30" s="43"/>
    </row>
    <row r="31" spans="1:21" s="11" customFormat="1" x14ac:dyDescent="0.25">
      <c r="A31" s="54" t="s">
        <v>154</v>
      </c>
      <c r="B31" s="55">
        <v>16.04</v>
      </c>
      <c r="C31" s="55">
        <v>34.58</v>
      </c>
      <c r="D31" s="55">
        <v>40.119999999999997</v>
      </c>
      <c r="E31" s="55">
        <v>2.44</v>
      </c>
      <c r="F31" s="55">
        <v>9.9600000000000009</v>
      </c>
      <c r="G31" s="55">
        <v>51.47</v>
      </c>
      <c r="H31" s="55">
        <v>8.44</v>
      </c>
      <c r="I31" s="55">
        <v>4.16</v>
      </c>
      <c r="J31" s="55">
        <v>0.81</v>
      </c>
      <c r="K31" s="55">
        <v>237.79</v>
      </c>
      <c r="L31" s="55">
        <v>30.83</v>
      </c>
      <c r="M31" s="55">
        <v>65.97</v>
      </c>
      <c r="N31" s="55">
        <v>118.8</v>
      </c>
      <c r="O31" s="55">
        <v>0</v>
      </c>
      <c r="P31" s="55">
        <v>0.71</v>
      </c>
      <c r="Q31" s="55">
        <v>9.59</v>
      </c>
      <c r="R31" s="43"/>
      <c r="S31" s="43"/>
      <c r="T31" s="43"/>
      <c r="U31" s="43"/>
    </row>
    <row r="32" spans="1:21" s="11" customFormat="1" x14ac:dyDescent="0.25">
      <c r="A32" s="54" t="s">
        <v>155</v>
      </c>
      <c r="B32" s="55">
        <v>15.37</v>
      </c>
      <c r="C32" s="55">
        <v>36.26</v>
      </c>
      <c r="D32" s="55">
        <v>43.44</v>
      </c>
      <c r="E32" s="55">
        <v>2.38</v>
      </c>
      <c r="F32" s="55">
        <v>7.93</v>
      </c>
      <c r="G32" s="55">
        <v>47.76</v>
      </c>
      <c r="H32" s="55">
        <v>15.8</v>
      </c>
      <c r="I32" s="55">
        <v>4.1399999999999997</v>
      </c>
      <c r="J32" s="55">
        <v>1.9</v>
      </c>
      <c r="K32" s="55">
        <v>258.14999999999998</v>
      </c>
      <c r="L32" s="55">
        <v>30.77</v>
      </c>
      <c r="M32" s="55">
        <v>64.89</v>
      </c>
      <c r="N32" s="55">
        <v>148.19999999999999</v>
      </c>
      <c r="O32" s="55">
        <v>0</v>
      </c>
      <c r="P32" s="55">
        <v>0.67</v>
      </c>
      <c r="Q32" s="55">
        <v>9.6199999999999992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8.5399999999999991</v>
      </c>
      <c r="C34" s="28">
        <f t="shared" si="0"/>
        <v>25.17</v>
      </c>
      <c r="D34" s="28">
        <f t="shared" si="0"/>
        <v>18.8</v>
      </c>
      <c r="E34" s="28">
        <f t="shared" si="0"/>
        <v>2.34</v>
      </c>
      <c r="F34" s="28">
        <f t="shared" si="0"/>
        <v>5.44</v>
      </c>
      <c r="G34" s="28">
        <f t="shared" si="0"/>
        <v>21.92</v>
      </c>
      <c r="H34" s="28">
        <f t="shared" si="0"/>
        <v>4.55</v>
      </c>
      <c r="I34" s="28">
        <f t="shared" si="0"/>
        <v>4.03</v>
      </c>
      <c r="J34" s="28">
        <f t="shared" si="0"/>
        <v>0.24</v>
      </c>
      <c r="K34" s="28">
        <f t="shared" si="0"/>
        <v>126.15</v>
      </c>
      <c r="L34" s="28">
        <f t="shared" si="0"/>
        <v>23.55</v>
      </c>
      <c r="M34" s="28">
        <f t="shared" si="0"/>
        <v>30.75</v>
      </c>
      <c r="N34" s="28">
        <f t="shared" si="0"/>
        <v>70.099999999999994</v>
      </c>
      <c r="O34" s="28">
        <f t="shared" si="0"/>
        <v>0</v>
      </c>
      <c r="P34" s="28">
        <f t="shared" si="0"/>
        <v>0.39</v>
      </c>
      <c r="Q34" s="28">
        <f t="shared" si="0"/>
        <v>9.48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37.46</v>
      </c>
      <c r="C35" s="29">
        <f t="shared" si="1"/>
        <v>82.05</v>
      </c>
      <c r="D35" s="29">
        <f t="shared" si="1"/>
        <v>113.64</v>
      </c>
      <c r="E35" s="29">
        <f t="shared" si="1"/>
        <v>4.71</v>
      </c>
      <c r="F35" s="29">
        <f t="shared" si="1"/>
        <v>24.1</v>
      </c>
      <c r="G35" s="29">
        <f t="shared" si="1"/>
        <v>63.14</v>
      </c>
      <c r="H35" s="29">
        <f t="shared" si="1"/>
        <v>19.170000000000002</v>
      </c>
      <c r="I35" s="29">
        <f t="shared" si="1"/>
        <v>4.25</v>
      </c>
      <c r="J35" s="29">
        <f t="shared" si="1"/>
        <v>1.9</v>
      </c>
      <c r="K35" s="29">
        <f t="shared" si="1"/>
        <v>307.7</v>
      </c>
      <c r="L35" s="29">
        <f t="shared" si="1"/>
        <v>39.5</v>
      </c>
      <c r="M35" s="29">
        <f t="shared" si="1"/>
        <v>101.61</v>
      </c>
      <c r="N35" s="29">
        <f t="shared" si="1"/>
        <v>1093.2</v>
      </c>
      <c r="O35" s="29">
        <f t="shared" si="1"/>
        <v>0</v>
      </c>
      <c r="P35" s="29">
        <f t="shared" si="1"/>
        <v>1.08</v>
      </c>
      <c r="Q35" s="29">
        <f t="shared" si="1"/>
        <v>9.74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17.790833333333335</v>
      </c>
      <c r="C36" s="28">
        <f t="shared" si="2"/>
        <v>37.808750000000003</v>
      </c>
      <c r="D36" s="28">
        <f t="shared" si="2"/>
        <v>42.510416666666679</v>
      </c>
      <c r="E36" s="28">
        <f t="shared" si="2"/>
        <v>3.3058333333333323</v>
      </c>
      <c r="F36" s="28">
        <f t="shared" si="2"/>
        <v>11.372083333333334</v>
      </c>
      <c r="G36" s="28">
        <f t="shared" si="2"/>
        <v>35.422083333333333</v>
      </c>
      <c r="H36" s="28">
        <f t="shared" si="2"/>
        <v>11.010833333333336</v>
      </c>
      <c r="I36" s="28">
        <f t="shared" si="2"/>
        <v>4.11625</v>
      </c>
      <c r="J36" s="28">
        <f t="shared" si="2"/>
        <v>0.96624999999999994</v>
      </c>
      <c r="K36" s="28">
        <f t="shared" si="2"/>
        <v>223.49999999999997</v>
      </c>
      <c r="L36" s="28">
        <f t="shared" si="2"/>
        <v>31.889166666666664</v>
      </c>
      <c r="M36" s="28">
        <f t="shared" si="2"/>
        <v>66.709999999999994</v>
      </c>
      <c r="N36" s="28">
        <f t="shared" si="2"/>
        <v>406.88750000000005</v>
      </c>
      <c r="O36" s="28">
        <f t="shared" si="2"/>
        <v>0</v>
      </c>
      <c r="P36" s="28">
        <f t="shared" si="2"/>
        <v>0.60083333333333333</v>
      </c>
      <c r="Q36" s="28">
        <f t="shared" si="2"/>
        <v>9.6250000000000018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6.4268289000209862</v>
      </c>
      <c r="C37" s="28">
        <f t="shared" ref="C37:Q37" si="3">STDEV(C9:C32)</f>
        <v>16.214208560368597</v>
      </c>
      <c r="D37" s="28">
        <f t="shared" si="3"/>
        <v>26.705951539777171</v>
      </c>
      <c r="E37" s="28">
        <f t="shared" si="3"/>
        <v>0.62529239537208003</v>
      </c>
      <c r="F37" s="28">
        <f t="shared" si="3"/>
        <v>6.3688583231674825</v>
      </c>
      <c r="G37" s="28">
        <f t="shared" si="3"/>
        <v>12.445811231500528</v>
      </c>
      <c r="H37" s="28">
        <f t="shared" si="3"/>
        <v>3.9123660323408456</v>
      </c>
      <c r="I37" s="28">
        <f t="shared" si="3"/>
        <v>6.0706886651816762E-2</v>
      </c>
      <c r="J37" s="28">
        <f t="shared" si="3"/>
        <v>0.40212276407995667</v>
      </c>
      <c r="K37" s="28">
        <f t="shared" si="3"/>
        <v>48.252950168876005</v>
      </c>
      <c r="L37" s="28">
        <f t="shared" si="3"/>
        <v>5.8360148081186427</v>
      </c>
      <c r="M37" s="28">
        <f t="shared" si="3"/>
        <v>26.334099566911377</v>
      </c>
      <c r="N37" s="28">
        <f t="shared" si="3"/>
        <v>394.9316587136916</v>
      </c>
      <c r="O37" s="28">
        <f t="shared" si="3"/>
        <v>0</v>
      </c>
      <c r="P37" s="28">
        <f t="shared" si="3"/>
        <v>0.19991121217586363</v>
      </c>
      <c r="Q37" s="28">
        <f t="shared" si="3"/>
        <v>7.7178505680859336E-2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546875" defaultRowHeight="15" x14ac:dyDescent="0.25"/>
  <cols>
    <col min="1" max="1" width="18.28515625" style="26" customWidth="1"/>
    <col min="2" max="2" width="13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05/05/2025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4" t="s">
        <v>156</v>
      </c>
      <c r="B9" s="55">
        <v>10.42</v>
      </c>
      <c r="C9" s="55">
        <v>28.23</v>
      </c>
      <c r="D9" s="55">
        <v>34.99</v>
      </c>
      <c r="E9" s="55">
        <v>3.05</v>
      </c>
      <c r="F9" s="55">
        <v>10.7</v>
      </c>
      <c r="G9" s="55">
        <v>47.23</v>
      </c>
      <c r="H9" s="55">
        <v>15.55</v>
      </c>
      <c r="I9" s="55">
        <v>4.1399999999999997</v>
      </c>
      <c r="J9" s="55">
        <v>1.52</v>
      </c>
      <c r="K9" s="55">
        <v>355.55</v>
      </c>
      <c r="L9" s="55">
        <v>29.63</v>
      </c>
      <c r="M9" s="55">
        <v>55.47</v>
      </c>
      <c r="N9" s="55">
        <v>155.30000000000001</v>
      </c>
      <c r="O9" s="55">
        <v>0</v>
      </c>
      <c r="P9" s="55">
        <v>0.55000000000000004</v>
      </c>
      <c r="Q9" s="55">
        <v>9.61</v>
      </c>
      <c r="R9" s="43"/>
      <c r="S9" s="43"/>
      <c r="T9" s="43"/>
      <c r="U9" s="43"/>
    </row>
    <row r="10" spans="1:21" s="11" customFormat="1" x14ac:dyDescent="0.25">
      <c r="A10" s="54" t="s">
        <v>157</v>
      </c>
      <c r="B10" s="55">
        <v>9.6</v>
      </c>
      <c r="C10" s="55">
        <v>26.1</v>
      </c>
      <c r="D10" s="55">
        <v>32.61</v>
      </c>
      <c r="E10" s="55">
        <v>3.42</v>
      </c>
      <c r="F10" s="55">
        <v>14.79</v>
      </c>
      <c r="G10" s="55">
        <v>35.049999999999997</v>
      </c>
      <c r="H10" s="55">
        <v>10.17</v>
      </c>
      <c r="I10" s="55">
        <v>4.1500000000000004</v>
      </c>
      <c r="J10" s="55">
        <v>0.79</v>
      </c>
      <c r="K10" s="55">
        <v>140.25</v>
      </c>
      <c r="L10" s="55">
        <v>30.06</v>
      </c>
      <c r="M10" s="55">
        <v>46.63</v>
      </c>
      <c r="N10" s="55">
        <v>175</v>
      </c>
      <c r="O10" s="55">
        <v>0</v>
      </c>
      <c r="P10" s="55">
        <v>0.42</v>
      </c>
      <c r="Q10" s="55">
        <v>9.58</v>
      </c>
      <c r="R10" s="43"/>
      <c r="S10" s="43"/>
      <c r="T10" s="43"/>
      <c r="U10" s="43"/>
    </row>
    <row r="11" spans="1:21" s="11" customFormat="1" x14ac:dyDescent="0.25">
      <c r="A11" s="54" t="s">
        <v>158</v>
      </c>
      <c r="B11" s="55">
        <v>11.14</v>
      </c>
      <c r="C11" s="55">
        <v>26.76</v>
      </c>
      <c r="D11" s="55">
        <v>33.78</v>
      </c>
      <c r="E11" s="55">
        <v>3.27</v>
      </c>
      <c r="F11" s="55">
        <v>10.54</v>
      </c>
      <c r="G11" s="55">
        <v>38.1</v>
      </c>
      <c r="H11" s="55">
        <v>13.71</v>
      </c>
      <c r="I11" s="55">
        <v>4.13</v>
      </c>
      <c r="J11" s="55">
        <v>0.64</v>
      </c>
      <c r="K11" s="55">
        <v>345.68</v>
      </c>
      <c r="L11" s="55">
        <v>29.34</v>
      </c>
      <c r="M11" s="55">
        <v>58.17</v>
      </c>
      <c r="N11" s="55">
        <v>180.3</v>
      </c>
      <c r="O11" s="55">
        <v>0</v>
      </c>
      <c r="P11" s="55">
        <v>0.42</v>
      </c>
      <c r="Q11" s="55">
        <v>9.58</v>
      </c>
      <c r="R11" s="43"/>
      <c r="S11" s="43"/>
      <c r="T11" s="43"/>
      <c r="U11" s="43"/>
    </row>
    <row r="12" spans="1:21" s="11" customFormat="1" x14ac:dyDescent="0.25">
      <c r="A12" s="54" t="s">
        <v>159</v>
      </c>
      <c r="B12" s="55">
        <v>11.74</v>
      </c>
      <c r="C12" s="55">
        <v>26.67</v>
      </c>
      <c r="D12" s="55">
        <v>30.22</v>
      </c>
      <c r="E12" s="55">
        <v>2.86</v>
      </c>
      <c r="F12" s="55">
        <v>6.25</v>
      </c>
      <c r="G12" s="55">
        <v>35.42</v>
      </c>
      <c r="H12" s="55">
        <v>12.68</v>
      </c>
      <c r="I12" s="55">
        <v>4.13</v>
      </c>
      <c r="J12" s="55">
        <v>0.67</v>
      </c>
      <c r="K12" s="55">
        <v>302.02</v>
      </c>
      <c r="L12" s="55">
        <v>27.94</v>
      </c>
      <c r="M12" s="55">
        <v>73.959999999999994</v>
      </c>
      <c r="N12" s="55">
        <v>115.2</v>
      </c>
      <c r="O12" s="55">
        <v>0</v>
      </c>
      <c r="P12" s="55">
        <v>0.42</v>
      </c>
      <c r="Q12" s="55">
        <v>9.61</v>
      </c>
      <c r="R12" s="43"/>
      <c r="S12" s="43"/>
      <c r="T12" s="43"/>
      <c r="U12" s="43"/>
    </row>
    <row r="13" spans="1:21" s="11" customFormat="1" x14ac:dyDescent="0.25">
      <c r="A13" s="54" t="s">
        <v>160</v>
      </c>
      <c r="B13" s="55">
        <v>12.36</v>
      </c>
      <c r="C13" s="55">
        <v>26.53</v>
      </c>
      <c r="D13" s="55">
        <v>29.24</v>
      </c>
      <c r="E13" s="55">
        <v>3</v>
      </c>
      <c r="F13" s="55">
        <v>5.79</v>
      </c>
      <c r="G13" s="55">
        <v>30.87</v>
      </c>
      <c r="H13" s="55">
        <v>11.97</v>
      </c>
      <c r="I13" s="55">
        <v>4.12</v>
      </c>
      <c r="J13" s="55">
        <v>0.77</v>
      </c>
      <c r="K13" s="55">
        <v>256.77999999999997</v>
      </c>
      <c r="L13" s="55">
        <v>27.78</v>
      </c>
      <c r="M13" s="55">
        <v>73.11</v>
      </c>
      <c r="N13" s="55">
        <v>110.7</v>
      </c>
      <c r="O13" s="55">
        <v>0</v>
      </c>
      <c r="P13" s="55">
        <v>0.38</v>
      </c>
      <c r="Q13" s="55">
        <v>9.61</v>
      </c>
      <c r="R13" s="43"/>
      <c r="S13" s="43"/>
      <c r="T13" s="43"/>
      <c r="U13" s="43"/>
    </row>
    <row r="14" spans="1:21" s="11" customFormat="1" x14ac:dyDescent="0.25">
      <c r="A14" s="54" t="s">
        <v>161</v>
      </c>
      <c r="B14" s="55">
        <v>14.5</v>
      </c>
      <c r="C14" s="55">
        <v>28.3</v>
      </c>
      <c r="D14" s="55">
        <v>30.54</v>
      </c>
      <c r="E14" s="55">
        <v>2.79</v>
      </c>
      <c r="F14" s="55">
        <v>6.35</v>
      </c>
      <c r="G14" s="55">
        <v>27.43</v>
      </c>
      <c r="H14" s="55">
        <v>8.44</v>
      </c>
      <c r="I14" s="55">
        <v>4.0599999999999996</v>
      </c>
      <c r="J14" s="55">
        <v>0.85</v>
      </c>
      <c r="K14" s="55">
        <v>286.39</v>
      </c>
      <c r="L14" s="55">
        <v>27.48</v>
      </c>
      <c r="M14" s="55">
        <v>65.150000000000006</v>
      </c>
      <c r="N14" s="55">
        <v>157.69999999999999</v>
      </c>
      <c r="O14" s="55">
        <v>0</v>
      </c>
      <c r="P14" s="55">
        <v>0.36</v>
      </c>
      <c r="Q14" s="55">
        <v>9.6199999999999992</v>
      </c>
      <c r="R14" s="43"/>
      <c r="S14" s="43"/>
      <c r="T14" s="43"/>
      <c r="U14" s="43"/>
    </row>
    <row r="15" spans="1:21" s="11" customFormat="1" x14ac:dyDescent="0.25">
      <c r="A15" s="54" t="s">
        <v>162</v>
      </c>
      <c r="B15" s="55">
        <v>18.28</v>
      </c>
      <c r="C15" s="55">
        <v>37.78</v>
      </c>
      <c r="D15" s="55">
        <v>41.35</v>
      </c>
      <c r="E15" s="55">
        <v>3.05</v>
      </c>
      <c r="F15" s="55">
        <v>9.44</v>
      </c>
      <c r="G15" s="55">
        <v>29.01</v>
      </c>
      <c r="H15" s="55">
        <v>8.34</v>
      </c>
      <c r="I15" s="55">
        <v>4.09</v>
      </c>
      <c r="J15" s="55">
        <v>0.4</v>
      </c>
      <c r="K15" s="55">
        <v>346.16</v>
      </c>
      <c r="L15" s="55">
        <v>32.99</v>
      </c>
      <c r="M15" s="55">
        <v>61.96</v>
      </c>
      <c r="N15" s="55">
        <v>429.3</v>
      </c>
      <c r="O15" s="55">
        <v>0</v>
      </c>
      <c r="P15" s="55">
        <v>0.46</v>
      </c>
      <c r="Q15" s="55">
        <v>9.61</v>
      </c>
      <c r="R15" s="43"/>
      <c r="S15" s="43"/>
      <c r="T15" s="43"/>
      <c r="U15" s="43"/>
    </row>
    <row r="16" spans="1:21" s="11" customFormat="1" x14ac:dyDescent="0.25">
      <c r="A16" s="54" t="s">
        <v>163</v>
      </c>
      <c r="B16" s="55">
        <v>19.87</v>
      </c>
      <c r="C16" s="55">
        <v>36.64</v>
      </c>
      <c r="D16" s="55">
        <v>37.69</v>
      </c>
      <c r="E16" s="55">
        <v>3.09</v>
      </c>
      <c r="F16" s="55">
        <v>6.89</v>
      </c>
      <c r="G16" s="55">
        <v>32.630000000000003</v>
      </c>
      <c r="H16" s="55">
        <v>11.56</v>
      </c>
      <c r="I16" s="55">
        <v>4.0999999999999996</v>
      </c>
      <c r="J16" s="55">
        <v>1.5</v>
      </c>
      <c r="K16" s="55">
        <v>107.39</v>
      </c>
      <c r="L16" s="55">
        <v>32.450000000000003</v>
      </c>
      <c r="M16" s="55">
        <v>48.74</v>
      </c>
      <c r="N16" s="55">
        <v>568.29999999999995</v>
      </c>
      <c r="O16" s="55">
        <v>0</v>
      </c>
      <c r="P16" s="55">
        <v>0.51</v>
      </c>
      <c r="Q16" s="55">
        <v>9.6199999999999992</v>
      </c>
      <c r="R16" s="43"/>
      <c r="S16" s="43"/>
      <c r="T16" s="43"/>
      <c r="U16" s="43"/>
    </row>
    <row r="17" spans="1:21" s="11" customFormat="1" x14ac:dyDescent="0.25">
      <c r="A17" s="54" t="s">
        <v>164</v>
      </c>
      <c r="B17" s="55">
        <v>19.22</v>
      </c>
      <c r="C17" s="55">
        <v>39.659999999999997</v>
      </c>
      <c r="D17" s="55">
        <v>44.05</v>
      </c>
      <c r="E17" s="55">
        <v>3.76</v>
      </c>
      <c r="F17" s="55">
        <v>7.81</v>
      </c>
      <c r="G17" s="55">
        <v>46.36</v>
      </c>
      <c r="H17" s="55">
        <v>15.33</v>
      </c>
      <c r="I17" s="55">
        <v>4.03</v>
      </c>
      <c r="J17" s="55">
        <v>1</v>
      </c>
      <c r="K17" s="55">
        <v>171.22</v>
      </c>
      <c r="L17" s="55">
        <v>34.17</v>
      </c>
      <c r="M17" s="55">
        <v>43.06</v>
      </c>
      <c r="N17" s="55">
        <v>710.1</v>
      </c>
      <c r="O17" s="55">
        <v>0</v>
      </c>
      <c r="P17" s="55">
        <v>0.53</v>
      </c>
      <c r="Q17" s="55">
        <v>9.61</v>
      </c>
      <c r="R17" s="43"/>
      <c r="S17" s="43"/>
      <c r="T17" s="43"/>
      <c r="U17" s="43"/>
    </row>
    <row r="18" spans="1:21" s="11" customFormat="1" x14ac:dyDescent="0.25">
      <c r="A18" s="54" t="s">
        <v>165</v>
      </c>
      <c r="B18" s="55">
        <v>17.34</v>
      </c>
      <c r="C18" s="55">
        <v>36.880000000000003</v>
      </c>
      <c r="D18" s="55">
        <v>40.93</v>
      </c>
      <c r="E18" s="55">
        <v>4.32</v>
      </c>
      <c r="F18" s="55">
        <v>13.58</v>
      </c>
      <c r="G18" s="55">
        <v>55.99</v>
      </c>
      <c r="H18" s="55">
        <v>13.23</v>
      </c>
      <c r="I18" s="55">
        <v>4.1100000000000003</v>
      </c>
      <c r="J18" s="55">
        <v>0.97</v>
      </c>
      <c r="K18" s="55">
        <v>263.14</v>
      </c>
      <c r="L18" s="55">
        <v>34.5</v>
      </c>
      <c r="M18" s="55">
        <v>42.99</v>
      </c>
      <c r="N18" s="55">
        <v>942.5</v>
      </c>
      <c r="O18" s="55">
        <v>0</v>
      </c>
      <c r="P18" s="55">
        <v>0.55000000000000004</v>
      </c>
      <c r="Q18" s="55">
        <v>9.61</v>
      </c>
      <c r="R18" s="43"/>
      <c r="S18" s="43"/>
      <c r="T18" s="43"/>
      <c r="U18" s="43"/>
    </row>
    <row r="19" spans="1:21" s="11" customFormat="1" x14ac:dyDescent="0.25">
      <c r="A19" s="54" t="s">
        <v>166</v>
      </c>
      <c r="B19" s="55">
        <v>13.18</v>
      </c>
      <c r="C19" s="55">
        <v>31.27</v>
      </c>
      <c r="D19" s="55">
        <v>40.049999999999997</v>
      </c>
      <c r="E19" s="55">
        <v>6.35</v>
      </c>
      <c r="F19" s="55">
        <v>16.25</v>
      </c>
      <c r="G19" s="55">
        <v>44</v>
      </c>
      <c r="H19" s="55">
        <v>9.2899999999999991</v>
      </c>
      <c r="I19" s="55">
        <v>4.1399999999999997</v>
      </c>
      <c r="J19" s="55">
        <v>0.86</v>
      </c>
      <c r="K19" s="55">
        <v>168.88</v>
      </c>
      <c r="L19" s="55">
        <v>36.450000000000003</v>
      </c>
      <c r="M19" s="55">
        <v>37.25</v>
      </c>
      <c r="N19" s="55">
        <v>1024.5</v>
      </c>
      <c r="O19" s="55">
        <v>0</v>
      </c>
      <c r="P19" s="55">
        <v>0.53</v>
      </c>
      <c r="Q19" s="55">
        <v>9.59</v>
      </c>
      <c r="R19" s="43"/>
      <c r="S19" s="43"/>
      <c r="T19" s="43"/>
      <c r="U19" s="43"/>
    </row>
    <row r="20" spans="1:21" s="11" customFormat="1" x14ac:dyDescent="0.25">
      <c r="A20" s="54" t="s">
        <v>167</v>
      </c>
      <c r="B20" s="55">
        <v>8.4499999999999993</v>
      </c>
      <c r="C20" s="55">
        <v>29.54</v>
      </c>
      <c r="D20" s="55">
        <v>40.58</v>
      </c>
      <c r="E20" s="55">
        <v>7.24</v>
      </c>
      <c r="F20" s="55">
        <v>16.71</v>
      </c>
      <c r="G20" s="55">
        <v>22.9</v>
      </c>
      <c r="H20" s="55">
        <v>16.829999999999998</v>
      </c>
      <c r="I20" s="55">
        <v>4</v>
      </c>
      <c r="J20" s="55">
        <v>0.6</v>
      </c>
      <c r="K20" s="55">
        <v>205.14</v>
      </c>
      <c r="L20" s="55">
        <v>38.19</v>
      </c>
      <c r="M20" s="55">
        <v>33.39</v>
      </c>
      <c r="N20" s="55">
        <v>1082.8</v>
      </c>
      <c r="O20" s="55">
        <v>0</v>
      </c>
      <c r="P20" s="55">
        <v>0.47</v>
      </c>
      <c r="Q20" s="55">
        <v>9.5500000000000007</v>
      </c>
      <c r="R20" s="43"/>
      <c r="S20" s="43"/>
      <c r="T20" s="43"/>
      <c r="U20" s="43"/>
    </row>
    <row r="21" spans="1:21" s="11" customFormat="1" x14ac:dyDescent="0.25">
      <c r="A21" s="54" t="s">
        <v>168</v>
      </c>
      <c r="B21" s="55">
        <v>7.65</v>
      </c>
      <c r="C21" s="55">
        <v>27.25</v>
      </c>
      <c r="D21" s="55">
        <v>37.369999999999997</v>
      </c>
      <c r="E21" s="55">
        <v>4.9800000000000004</v>
      </c>
      <c r="F21" s="55">
        <v>17.04</v>
      </c>
      <c r="G21" s="55">
        <v>45.73</v>
      </c>
      <c r="H21" s="55">
        <v>17.12</v>
      </c>
      <c r="I21" s="55">
        <v>4.2</v>
      </c>
      <c r="J21" s="55">
        <v>1.23</v>
      </c>
      <c r="K21" s="55">
        <v>189.56</v>
      </c>
      <c r="L21" s="55">
        <v>37.56</v>
      </c>
      <c r="M21" s="55">
        <v>31.31</v>
      </c>
      <c r="N21" s="55">
        <v>1056.2</v>
      </c>
      <c r="O21" s="55">
        <v>0</v>
      </c>
      <c r="P21" s="55">
        <v>0.47</v>
      </c>
      <c r="Q21" s="55">
        <v>9.4600000000000009</v>
      </c>
      <c r="R21" s="43"/>
      <c r="S21" s="43"/>
      <c r="T21" s="43"/>
      <c r="U21" s="43"/>
    </row>
    <row r="22" spans="1:21" s="11" customFormat="1" x14ac:dyDescent="0.25">
      <c r="A22" s="54" t="s">
        <v>169</v>
      </c>
      <c r="B22" s="55">
        <v>8.2200000000000006</v>
      </c>
      <c r="C22" s="55">
        <v>27.52</v>
      </c>
      <c r="D22" s="55">
        <v>37.44</v>
      </c>
      <c r="E22" s="55">
        <v>4.62</v>
      </c>
      <c r="F22" s="55">
        <v>16.77</v>
      </c>
      <c r="G22" s="55">
        <v>18.809999999999999</v>
      </c>
      <c r="H22" s="55">
        <v>11.2</v>
      </c>
      <c r="I22" s="55">
        <v>4.08</v>
      </c>
      <c r="J22" s="55">
        <v>0.75</v>
      </c>
      <c r="K22" s="55">
        <v>260.35000000000002</v>
      </c>
      <c r="L22" s="55">
        <v>39.44</v>
      </c>
      <c r="M22" s="55">
        <v>28.03</v>
      </c>
      <c r="N22" s="55">
        <v>980.3</v>
      </c>
      <c r="O22" s="55">
        <v>0</v>
      </c>
      <c r="P22" s="55">
        <v>0.44</v>
      </c>
      <c r="Q22" s="55">
        <v>9.44</v>
      </c>
      <c r="R22" s="43"/>
      <c r="S22" s="43"/>
      <c r="T22" s="43"/>
      <c r="U22" s="43"/>
    </row>
    <row r="23" spans="1:21" s="11" customFormat="1" x14ac:dyDescent="0.25">
      <c r="A23" s="54" t="s">
        <v>170</v>
      </c>
      <c r="B23" s="55">
        <v>9.86</v>
      </c>
      <c r="C23" s="55">
        <v>30.33</v>
      </c>
      <c r="D23" s="55">
        <v>39.85</v>
      </c>
      <c r="E23" s="55">
        <v>4.93</v>
      </c>
      <c r="F23" s="55">
        <v>25.05</v>
      </c>
      <c r="G23" s="55">
        <v>16.53</v>
      </c>
      <c r="H23" s="55">
        <v>10.3</v>
      </c>
      <c r="I23" s="55">
        <v>4.0999999999999996</v>
      </c>
      <c r="J23" s="55">
        <v>0.83</v>
      </c>
      <c r="K23" s="55">
        <v>262.12</v>
      </c>
      <c r="L23" s="55">
        <v>39.61</v>
      </c>
      <c r="M23" s="55">
        <v>25.79</v>
      </c>
      <c r="N23" s="55">
        <v>676.8</v>
      </c>
      <c r="O23" s="55">
        <v>0</v>
      </c>
      <c r="P23" s="55">
        <v>0.43</v>
      </c>
      <c r="Q23" s="55">
        <v>9.5</v>
      </c>
      <c r="R23" s="43"/>
      <c r="S23" s="43"/>
      <c r="T23" s="43"/>
      <c r="U23" s="43"/>
    </row>
    <row r="24" spans="1:21" s="11" customFormat="1" x14ac:dyDescent="0.25">
      <c r="A24" s="54" t="s">
        <v>171</v>
      </c>
      <c r="B24" s="55">
        <v>10.25</v>
      </c>
      <c r="C24" s="55">
        <v>26.99</v>
      </c>
      <c r="D24" s="55">
        <v>32.869999999999997</v>
      </c>
      <c r="E24" s="55">
        <v>4.28</v>
      </c>
      <c r="F24" s="55">
        <v>24.88</v>
      </c>
      <c r="G24" s="55">
        <v>24.69</v>
      </c>
      <c r="H24" s="55">
        <v>10.09</v>
      </c>
      <c r="I24" s="55">
        <v>4.0199999999999996</v>
      </c>
      <c r="J24" s="55">
        <v>1.0900000000000001</v>
      </c>
      <c r="K24" s="55">
        <v>214.8</v>
      </c>
      <c r="L24" s="55">
        <v>38.159999999999997</v>
      </c>
      <c r="M24" s="55">
        <v>26.56</v>
      </c>
      <c r="N24" s="55">
        <v>446.2</v>
      </c>
      <c r="O24" s="55">
        <v>0</v>
      </c>
      <c r="P24" s="55">
        <v>0.36</v>
      </c>
      <c r="Q24" s="55">
        <v>9.49</v>
      </c>
      <c r="R24" s="43"/>
      <c r="S24" s="43"/>
      <c r="T24" s="43"/>
      <c r="U24" s="43"/>
    </row>
    <row r="25" spans="1:21" s="11" customFormat="1" x14ac:dyDescent="0.25">
      <c r="A25" s="54" t="s">
        <v>172</v>
      </c>
      <c r="B25" s="55">
        <v>8.85</v>
      </c>
      <c r="C25" s="55">
        <v>27.44</v>
      </c>
      <c r="D25" s="55">
        <v>35.869999999999997</v>
      </c>
      <c r="E25" s="55">
        <v>4.1100000000000003</v>
      </c>
      <c r="F25" s="55">
        <v>18.649999999999999</v>
      </c>
      <c r="G25" s="55">
        <v>24.01</v>
      </c>
      <c r="H25" s="55">
        <v>7.94</v>
      </c>
      <c r="I25" s="55">
        <v>4.13</v>
      </c>
      <c r="J25" s="55">
        <v>0.6</v>
      </c>
      <c r="K25" s="55">
        <v>199.89</v>
      </c>
      <c r="L25" s="55">
        <v>38.299999999999997</v>
      </c>
      <c r="M25" s="55">
        <v>26.13</v>
      </c>
      <c r="N25" s="55">
        <v>303.39999999999998</v>
      </c>
      <c r="O25" s="55">
        <v>0</v>
      </c>
      <c r="P25" s="55">
        <v>0.38</v>
      </c>
      <c r="Q25" s="55">
        <v>9.51</v>
      </c>
      <c r="R25" s="43"/>
      <c r="S25" s="43"/>
      <c r="T25" s="43"/>
      <c r="U25" s="43"/>
    </row>
    <row r="26" spans="1:21" s="11" customFormat="1" x14ac:dyDescent="0.25">
      <c r="A26" s="54" t="s">
        <v>173</v>
      </c>
      <c r="B26" s="55">
        <v>14.03</v>
      </c>
      <c r="C26" s="55">
        <v>43.47</v>
      </c>
      <c r="D26" s="55">
        <v>58.62</v>
      </c>
      <c r="E26" s="55">
        <v>7.02</v>
      </c>
      <c r="F26" s="55">
        <v>24.66</v>
      </c>
      <c r="G26" s="55">
        <v>12.07</v>
      </c>
      <c r="H26" s="55">
        <v>6.92</v>
      </c>
      <c r="I26" s="55">
        <v>4.05</v>
      </c>
      <c r="J26" s="55">
        <v>0.33</v>
      </c>
      <c r="K26" s="55">
        <v>199.07</v>
      </c>
      <c r="L26" s="55">
        <v>37.54</v>
      </c>
      <c r="M26" s="55">
        <v>29.83</v>
      </c>
      <c r="N26" s="55">
        <v>115.6</v>
      </c>
      <c r="O26" s="55">
        <v>0</v>
      </c>
      <c r="P26" s="55">
        <v>0.76</v>
      </c>
      <c r="Q26" s="55">
        <v>9.5</v>
      </c>
      <c r="R26" s="43"/>
      <c r="S26" s="43"/>
      <c r="T26" s="43"/>
      <c r="U26" s="43"/>
    </row>
    <row r="27" spans="1:21" s="11" customFormat="1" x14ac:dyDescent="0.25">
      <c r="A27" s="54" t="s">
        <v>174</v>
      </c>
      <c r="B27" s="55">
        <v>188.78</v>
      </c>
      <c r="C27" s="55">
        <v>220.33</v>
      </c>
      <c r="D27" s="55">
        <v>128.91</v>
      </c>
      <c r="E27" s="55">
        <v>8.01</v>
      </c>
      <c r="F27" s="55">
        <v>17.03</v>
      </c>
      <c r="G27" s="55">
        <v>33.04</v>
      </c>
      <c r="H27" s="55">
        <v>9.5299999999999994</v>
      </c>
      <c r="I27" s="55">
        <v>4.05</v>
      </c>
      <c r="J27" s="55">
        <v>0.23</v>
      </c>
      <c r="K27" s="55">
        <v>328.52</v>
      </c>
      <c r="L27" s="55">
        <v>36.06</v>
      </c>
      <c r="M27" s="55">
        <v>45.36</v>
      </c>
      <c r="N27" s="55">
        <v>61.5</v>
      </c>
      <c r="O27" s="55">
        <v>0</v>
      </c>
      <c r="P27" s="55">
        <v>2.5299999999999998</v>
      </c>
      <c r="Q27" s="55">
        <v>9.51</v>
      </c>
      <c r="R27" s="43"/>
      <c r="S27" s="43"/>
      <c r="T27" s="43"/>
      <c r="U27" s="43"/>
    </row>
    <row r="28" spans="1:21" s="11" customFormat="1" x14ac:dyDescent="0.25">
      <c r="A28" s="54" t="s">
        <v>175</v>
      </c>
      <c r="B28" s="55">
        <v>241.02</v>
      </c>
      <c r="C28" s="55">
        <v>264.98</v>
      </c>
      <c r="D28" s="55">
        <v>134.19</v>
      </c>
      <c r="E28" s="55">
        <v>8.8699999999999992</v>
      </c>
      <c r="F28" s="55">
        <v>5.85</v>
      </c>
      <c r="G28" s="55">
        <v>53.14</v>
      </c>
      <c r="H28" s="55">
        <v>7.37</v>
      </c>
      <c r="I28" s="55">
        <v>4.07</v>
      </c>
      <c r="J28" s="55">
        <v>0.17</v>
      </c>
      <c r="K28" s="55">
        <v>358.37</v>
      </c>
      <c r="L28" s="55">
        <v>33.450000000000003</v>
      </c>
      <c r="M28" s="55">
        <v>51.99</v>
      </c>
      <c r="N28" s="55">
        <v>50.3</v>
      </c>
      <c r="O28" s="55">
        <v>0</v>
      </c>
      <c r="P28" s="55">
        <v>3.22</v>
      </c>
      <c r="Q28" s="55">
        <v>9.5299999999999994</v>
      </c>
      <c r="R28" s="43"/>
      <c r="S28" s="43"/>
      <c r="T28" s="43"/>
      <c r="U28" s="43"/>
    </row>
    <row r="29" spans="1:21" s="11" customFormat="1" x14ac:dyDescent="0.25">
      <c r="A29" s="54" t="s">
        <v>176</v>
      </c>
      <c r="B29" s="55">
        <v>171.67</v>
      </c>
      <c r="C29" s="55">
        <v>203.44</v>
      </c>
      <c r="D29" s="55">
        <v>122.84</v>
      </c>
      <c r="E29" s="55">
        <v>7.96</v>
      </c>
      <c r="F29" s="55">
        <v>7.56</v>
      </c>
      <c r="G29" s="55">
        <v>86.44</v>
      </c>
      <c r="H29" s="55">
        <v>25.21</v>
      </c>
      <c r="I29" s="55">
        <v>4.04</v>
      </c>
      <c r="J29" s="55">
        <v>0.35</v>
      </c>
      <c r="K29" s="55">
        <v>284.51</v>
      </c>
      <c r="L29" s="55">
        <v>34.04</v>
      </c>
      <c r="M29" s="55">
        <v>40.97</v>
      </c>
      <c r="N29" s="55">
        <v>50</v>
      </c>
      <c r="O29" s="55">
        <v>0</v>
      </c>
      <c r="P29" s="55">
        <v>2.54</v>
      </c>
      <c r="Q29" s="55">
        <v>9.69</v>
      </c>
      <c r="R29" s="43"/>
      <c r="S29" s="43"/>
      <c r="T29" s="43"/>
      <c r="U29" s="43"/>
    </row>
    <row r="30" spans="1:21" s="11" customFormat="1" x14ac:dyDescent="0.25">
      <c r="A30" s="54" t="s">
        <v>177</v>
      </c>
      <c r="B30" s="55">
        <v>162.30000000000001</v>
      </c>
      <c r="C30" s="55">
        <v>191.1</v>
      </c>
      <c r="D30" s="55">
        <v>113.6</v>
      </c>
      <c r="E30" s="55">
        <v>7.97</v>
      </c>
      <c r="F30" s="55">
        <v>6.93</v>
      </c>
      <c r="G30" s="55">
        <v>81.819999999999993</v>
      </c>
      <c r="H30" s="55">
        <v>24.08</v>
      </c>
      <c r="I30" s="55">
        <v>4.1100000000000003</v>
      </c>
      <c r="J30" s="55">
        <v>0.63</v>
      </c>
      <c r="K30" s="55">
        <v>302.24</v>
      </c>
      <c r="L30" s="55">
        <v>33.340000000000003</v>
      </c>
      <c r="M30" s="55">
        <v>49.63</v>
      </c>
      <c r="N30" s="55">
        <v>50.6</v>
      </c>
      <c r="O30" s="55">
        <v>0</v>
      </c>
      <c r="P30" s="55">
        <v>3.45</v>
      </c>
      <c r="Q30" s="55">
        <v>9.73</v>
      </c>
      <c r="R30" s="43"/>
      <c r="S30" s="43"/>
      <c r="T30" s="43"/>
      <c r="U30" s="43"/>
    </row>
    <row r="31" spans="1:21" s="11" customFormat="1" x14ac:dyDescent="0.25">
      <c r="A31" s="54" t="s">
        <v>178</v>
      </c>
      <c r="B31" s="55">
        <v>79.14</v>
      </c>
      <c r="C31" s="55">
        <v>87.08</v>
      </c>
      <c r="D31" s="55">
        <v>62.97</v>
      </c>
      <c r="E31" s="55">
        <v>6.16</v>
      </c>
      <c r="F31" s="55">
        <v>6.52</v>
      </c>
      <c r="G31" s="55">
        <v>93.56</v>
      </c>
      <c r="H31" s="55">
        <v>26.93</v>
      </c>
      <c r="I31" s="55">
        <v>4.09</v>
      </c>
      <c r="J31" s="55">
        <v>3.17</v>
      </c>
      <c r="K31" s="55">
        <v>266.05</v>
      </c>
      <c r="L31" s="55">
        <v>32.74</v>
      </c>
      <c r="M31" s="55">
        <v>73.680000000000007</v>
      </c>
      <c r="N31" s="55">
        <v>60.9</v>
      </c>
      <c r="O31" s="55">
        <v>0.8</v>
      </c>
      <c r="P31" s="55">
        <v>1.5</v>
      </c>
      <c r="Q31" s="55">
        <v>9.82</v>
      </c>
      <c r="R31" s="43"/>
      <c r="S31" s="43"/>
      <c r="T31" s="43"/>
      <c r="U31" s="43"/>
    </row>
    <row r="32" spans="1:21" s="11" customFormat="1" x14ac:dyDescent="0.25">
      <c r="A32" s="54" t="s">
        <v>179</v>
      </c>
      <c r="B32" s="55">
        <v>40.49</v>
      </c>
      <c r="C32" s="55">
        <v>56.89</v>
      </c>
      <c r="D32" s="55">
        <v>43.68</v>
      </c>
      <c r="E32" s="55">
        <v>5.34</v>
      </c>
      <c r="F32" s="55">
        <v>8.2799999999999994</v>
      </c>
      <c r="G32" s="55">
        <v>81.48</v>
      </c>
      <c r="H32" s="55">
        <v>23.92</v>
      </c>
      <c r="I32" s="55">
        <v>4.04</v>
      </c>
      <c r="J32" s="55">
        <v>1.99</v>
      </c>
      <c r="K32" s="55">
        <v>347.63</v>
      </c>
      <c r="L32" s="55">
        <v>28.35</v>
      </c>
      <c r="M32" s="55">
        <v>74.73</v>
      </c>
      <c r="N32" s="55">
        <v>53</v>
      </c>
      <c r="O32" s="55">
        <v>0</v>
      </c>
      <c r="P32" s="55">
        <v>1.01</v>
      </c>
      <c r="Q32" s="55">
        <v>9.74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7.65</v>
      </c>
      <c r="C34" s="28">
        <f t="shared" si="0"/>
        <v>26.1</v>
      </c>
      <c r="D34" s="28">
        <f t="shared" si="0"/>
        <v>29.24</v>
      </c>
      <c r="E34" s="28">
        <f t="shared" si="0"/>
        <v>2.79</v>
      </c>
      <c r="F34" s="28">
        <f t="shared" si="0"/>
        <v>5.79</v>
      </c>
      <c r="G34" s="28">
        <f t="shared" si="0"/>
        <v>12.07</v>
      </c>
      <c r="H34" s="28">
        <f t="shared" si="0"/>
        <v>6.92</v>
      </c>
      <c r="I34" s="28">
        <f t="shared" si="0"/>
        <v>4</v>
      </c>
      <c r="J34" s="28">
        <f t="shared" si="0"/>
        <v>0.17</v>
      </c>
      <c r="K34" s="28">
        <f t="shared" si="0"/>
        <v>107.39</v>
      </c>
      <c r="L34" s="28">
        <f t="shared" si="0"/>
        <v>27.48</v>
      </c>
      <c r="M34" s="28">
        <f t="shared" si="0"/>
        <v>25.79</v>
      </c>
      <c r="N34" s="28">
        <f t="shared" si="0"/>
        <v>50</v>
      </c>
      <c r="O34" s="28">
        <f t="shared" si="0"/>
        <v>0</v>
      </c>
      <c r="P34" s="28">
        <f t="shared" si="0"/>
        <v>0.36</v>
      </c>
      <c r="Q34" s="28">
        <f t="shared" si="0"/>
        <v>9.44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241.02</v>
      </c>
      <c r="C35" s="29">
        <f t="shared" si="1"/>
        <v>264.98</v>
      </c>
      <c r="D35" s="29">
        <f t="shared" si="1"/>
        <v>134.19</v>
      </c>
      <c r="E35" s="29">
        <f t="shared" si="1"/>
        <v>8.8699999999999992</v>
      </c>
      <c r="F35" s="29">
        <f t="shared" si="1"/>
        <v>25.05</v>
      </c>
      <c r="G35" s="29">
        <f t="shared" si="1"/>
        <v>93.56</v>
      </c>
      <c r="H35" s="29">
        <f t="shared" si="1"/>
        <v>26.93</v>
      </c>
      <c r="I35" s="29">
        <f t="shared" si="1"/>
        <v>4.2</v>
      </c>
      <c r="J35" s="29">
        <f t="shared" si="1"/>
        <v>3.17</v>
      </c>
      <c r="K35" s="29">
        <f t="shared" si="1"/>
        <v>358.37</v>
      </c>
      <c r="L35" s="29">
        <f t="shared" si="1"/>
        <v>39.61</v>
      </c>
      <c r="M35" s="29">
        <f t="shared" si="1"/>
        <v>74.73</v>
      </c>
      <c r="N35" s="29">
        <f t="shared" si="1"/>
        <v>1082.8</v>
      </c>
      <c r="O35" s="29">
        <f t="shared" si="1"/>
        <v>0.8</v>
      </c>
      <c r="P35" s="29">
        <f t="shared" si="1"/>
        <v>3.45</v>
      </c>
      <c r="Q35" s="29">
        <f t="shared" si="1"/>
        <v>9.82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46.181666666666672</v>
      </c>
      <c r="C36" s="28">
        <f t="shared" si="2"/>
        <v>65.882500000000007</v>
      </c>
      <c r="D36" s="28">
        <f t="shared" si="2"/>
        <v>53.509999999999991</v>
      </c>
      <c r="E36" s="28">
        <f t="shared" si="2"/>
        <v>5.0187499999999998</v>
      </c>
      <c r="F36" s="28">
        <f t="shared" si="2"/>
        <v>12.68</v>
      </c>
      <c r="G36" s="28">
        <f t="shared" si="2"/>
        <v>42.346249999999998</v>
      </c>
      <c r="H36" s="28">
        <f t="shared" si="2"/>
        <v>13.654583333333335</v>
      </c>
      <c r="I36" s="28">
        <f t="shared" si="2"/>
        <v>4.0908333333333333</v>
      </c>
      <c r="J36" s="28">
        <f t="shared" si="2"/>
        <v>0.91416666666666668</v>
      </c>
      <c r="K36" s="28">
        <f t="shared" si="2"/>
        <v>256.73791666666665</v>
      </c>
      <c r="L36" s="28">
        <f t="shared" si="2"/>
        <v>33.732083333333328</v>
      </c>
      <c r="M36" s="28">
        <f t="shared" si="2"/>
        <v>47.662083333333328</v>
      </c>
      <c r="N36" s="28">
        <f t="shared" si="2"/>
        <v>398.1875</v>
      </c>
      <c r="O36" s="28">
        <f t="shared" si="2"/>
        <v>3.3333333333333333E-2</v>
      </c>
      <c r="P36" s="28">
        <f t="shared" si="2"/>
        <v>0.94541666666666668</v>
      </c>
      <c r="Q36" s="28">
        <f t="shared" si="2"/>
        <v>9.5883333333333329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68.945621020997521</v>
      </c>
      <c r="C37" s="28">
        <f t="shared" ref="C37:Q37" si="3">STDEV(C9:C32)</f>
        <v>72.552376657802554</v>
      </c>
      <c r="D37" s="28">
        <f t="shared" si="3"/>
        <v>33.67945122448716</v>
      </c>
      <c r="E37" s="28">
        <f t="shared" si="3"/>
        <v>1.9522457803659141</v>
      </c>
      <c r="F37" s="28">
        <f t="shared" si="3"/>
        <v>6.3870868368035802</v>
      </c>
      <c r="G37" s="28">
        <f t="shared" si="3"/>
        <v>22.850216593493496</v>
      </c>
      <c r="H37" s="28">
        <f t="shared" si="3"/>
        <v>5.9410692780564869</v>
      </c>
      <c r="I37" s="28">
        <f t="shared" si="3"/>
        <v>4.8267071020806095E-2</v>
      </c>
      <c r="J37" s="28">
        <f t="shared" si="3"/>
        <v>0.64381955794182399</v>
      </c>
      <c r="K37" s="28">
        <f t="shared" si="3"/>
        <v>72.757175470379138</v>
      </c>
      <c r="L37" s="28">
        <f t="shared" si="3"/>
        <v>3.9582373977695675</v>
      </c>
      <c r="M37" s="28">
        <f t="shared" si="3"/>
        <v>16.442988721023621</v>
      </c>
      <c r="N37" s="28">
        <f t="shared" si="3"/>
        <v>379.42975097363285</v>
      </c>
      <c r="O37" s="28">
        <f t="shared" si="3"/>
        <v>0.16329931618554525</v>
      </c>
      <c r="P37" s="28">
        <f t="shared" si="3"/>
        <v>0.95679709886986852</v>
      </c>
      <c r="Q37" s="28">
        <f t="shared" si="3"/>
        <v>9.1588240495717815E-2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2" sqref="G52"/>
    </sheetView>
  </sheetViews>
  <sheetFormatPr defaultColWidth="8.85546875" defaultRowHeight="15" x14ac:dyDescent="0.25"/>
  <cols>
    <col min="1" max="1" width="18.28515625" style="26" customWidth="1"/>
    <col min="2" max="2" width="13.5703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06/05/2025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4" t="s">
        <v>180</v>
      </c>
      <c r="B9" s="55">
        <v>31.44</v>
      </c>
      <c r="C9" s="55">
        <v>45.92</v>
      </c>
      <c r="D9" s="55">
        <v>36.58</v>
      </c>
      <c r="E9" s="55">
        <v>5.15</v>
      </c>
      <c r="F9" s="55">
        <v>7.27</v>
      </c>
      <c r="G9" s="55">
        <v>57.07</v>
      </c>
      <c r="H9" s="55">
        <v>17.579999999999998</v>
      </c>
      <c r="I9" s="55">
        <v>4.13</v>
      </c>
      <c r="J9" s="55">
        <v>1.87</v>
      </c>
      <c r="K9" s="55">
        <v>103.32</v>
      </c>
      <c r="L9" s="55">
        <v>28.3</v>
      </c>
      <c r="M9" s="55">
        <v>75.47</v>
      </c>
      <c r="N9" s="55">
        <v>50.4</v>
      </c>
      <c r="O9" s="55">
        <v>0</v>
      </c>
      <c r="P9" s="55">
        <v>0.84</v>
      </c>
      <c r="Q9" s="55">
        <v>9.64</v>
      </c>
      <c r="R9" s="43"/>
      <c r="S9" s="43"/>
      <c r="T9" s="43"/>
      <c r="U9" s="43"/>
    </row>
    <row r="10" spans="1:21" s="11" customFormat="1" x14ac:dyDescent="0.25">
      <c r="A10" s="54" t="s">
        <v>181</v>
      </c>
      <c r="B10" s="55">
        <v>23.59</v>
      </c>
      <c r="C10" s="55">
        <v>38.39</v>
      </c>
      <c r="D10" s="55">
        <v>34.74</v>
      </c>
      <c r="E10" s="55">
        <v>5.34</v>
      </c>
      <c r="F10" s="55">
        <v>8.99</v>
      </c>
      <c r="G10" s="55">
        <v>52.39</v>
      </c>
      <c r="H10" s="55">
        <v>18.989999999999998</v>
      </c>
      <c r="I10" s="55">
        <v>4.0599999999999996</v>
      </c>
      <c r="J10" s="55">
        <v>0.43</v>
      </c>
      <c r="K10" s="55">
        <v>289.68</v>
      </c>
      <c r="L10" s="55">
        <v>27.67</v>
      </c>
      <c r="M10" s="55">
        <v>79.77</v>
      </c>
      <c r="N10" s="55">
        <v>50.5</v>
      </c>
      <c r="O10" s="55">
        <v>0</v>
      </c>
      <c r="P10" s="55">
        <v>0.69</v>
      </c>
      <c r="Q10" s="55">
        <v>9.67</v>
      </c>
      <c r="R10" s="43"/>
      <c r="S10" s="43"/>
      <c r="T10" s="43"/>
      <c r="U10" s="43"/>
    </row>
    <row r="11" spans="1:21" s="11" customFormat="1" x14ac:dyDescent="0.25">
      <c r="A11" s="54" t="s">
        <v>182</v>
      </c>
      <c r="B11" s="55">
        <v>21.16</v>
      </c>
      <c r="C11" s="55">
        <v>35.89</v>
      </c>
      <c r="D11" s="55">
        <v>34.67</v>
      </c>
      <c r="E11" s="55">
        <v>4.91</v>
      </c>
      <c r="F11" s="55">
        <v>7.64</v>
      </c>
      <c r="G11" s="55">
        <v>37.659999999999997</v>
      </c>
      <c r="H11" s="55">
        <v>16.16</v>
      </c>
      <c r="I11" s="55">
        <v>4</v>
      </c>
      <c r="J11" s="55">
        <v>0.87</v>
      </c>
      <c r="K11" s="55">
        <v>240.12</v>
      </c>
      <c r="L11" s="55">
        <v>28.33</v>
      </c>
      <c r="M11" s="55">
        <v>76.33</v>
      </c>
      <c r="N11" s="55">
        <v>50.6</v>
      </c>
      <c r="O11" s="55">
        <v>0</v>
      </c>
      <c r="P11" s="55">
        <v>0.62</v>
      </c>
      <c r="Q11" s="55">
        <v>9.65</v>
      </c>
      <c r="R11" s="43"/>
      <c r="S11" s="43"/>
      <c r="T11" s="43"/>
      <c r="U11" s="43"/>
    </row>
    <row r="12" spans="1:21" s="11" customFormat="1" x14ac:dyDescent="0.25">
      <c r="A12" s="54" t="s">
        <v>183</v>
      </c>
      <c r="B12" s="55">
        <v>18.5</v>
      </c>
      <c r="C12" s="55">
        <v>32.979999999999997</v>
      </c>
      <c r="D12" s="55">
        <v>31.68</v>
      </c>
      <c r="E12" s="55">
        <v>4.8099999999999996</v>
      </c>
      <c r="F12" s="55">
        <v>10.72</v>
      </c>
      <c r="G12" s="55">
        <v>34.729999999999997</v>
      </c>
      <c r="H12" s="55">
        <v>11.55</v>
      </c>
      <c r="I12" s="55">
        <v>4.0999999999999996</v>
      </c>
      <c r="J12" s="55">
        <v>0.48</v>
      </c>
      <c r="K12" s="55">
        <v>232.86</v>
      </c>
      <c r="L12" s="55">
        <v>27.85</v>
      </c>
      <c r="M12" s="55">
        <v>71.010000000000005</v>
      </c>
      <c r="N12" s="55">
        <v>50.5</v>
      </c>
      <c r="O12" s="55">
        <v>0</v>
      </c>
      <c r="P12" s="55">
        <v>0.56999999999999995</v>
      </c>
      <c r="Q12" s="55">
        <v>9.65</v>
      </c>
      <c r="R12" s="43"/>
      <c r="S12" s="43"/>
      <c r="T12" s="43"/>
      <c r="U12" s="43"/>
    </row>
    <row r="13" spans="1:21" s="11" customFormat="1" x14ac:dyDescent="0.25">
      <c r="A13" s="54" t="s">
        <v>184</v>
      </c>
      <c r="B13" s="55">
        <v>13.59</v>
      </c>
      <c r="C13" s="55">
        <v>28.5</v>
      </c>
      <c r="D13" s="55">
        <v>30.77</v>
      </c>
      <c r="E13" s="55">
        <v>4.8</v>
      </c>
      <c r="F13" s="55">
        <v>9.2799999999999994</v>
      </c>
      <c r="G13" s="55">
        <v>33.68</v>
      </c>
      <c r="H13" s="55">
        <v>8.84</v>
      </c>
      <c r="I13" s="55">
        <v>4.07</v>
      </c>
      <c r="J13" s="55">
        <v>0.82</v>
      </c>
      <c r="K13" s="55">
        <v>190.23</v>
      </c>
      <c r="L13" s="55">
        <v>27.86</v>
      </c>
      <c r="M13" s="55">
        <v>67.739999999999995</v>
      </c>
      <c r="N13" s="55">
        <v>50.3</v>
      </c>
      <c r="O13" s="55">
        <v>0</v>
      </c>
      <c r="P13" s="55">
        <v>0.32</v>
      </c>
      <c r="Q13" s="55">
        <v>9.6300000000000008</v>
      </c>
      <c r="R13" s="43"/>
      <c r="S13" s="43"/>
      <c r="T13" s="43"/>
      <c r="U13" s="43"/>
    </row>
    <row r="14" spans="1:21" s="11" customFormat="1" x14ac:dyDescent="0.25">
      <c r="A14" s="54" t="s">
        <v>185</v>
      </c>
      <c r="B14" s="55">
        <v>17.989999999999998</v>
      </c>
      <c r="C14" s="55">
        <v>32.630000000000003</v>
      </c>
      <c r="D14" s="55">
        <v>31.8</v>
      </c>
      <c r="E14" s="55">
        <v>5.07</v>
      </c>
      <c r="F14" s="55">
        <v>8.3000000000000007</v>
      </c>
      <c r="G14" s="55">
        <v>28.31</v>
      </c>
      <c r="H14" s="55">
        <v>7.9</v>
      </c>
      <c r="I14" s="55">
        <v>4.01</v>
      </c>
      <c r="J14" s="55">
        <v>0.86</v>
      </c>
      <c r="K14" s="55">
        <v>272.31</v>
      </c>
      <c r="L14" s="55">
        <v>28.22</v>
      </c>
      <c r="M14" s="55">
        <v>66.23</v>
      </c>
      <c r="N14" s="55">
        <v>69.599999999999994</v>
      </c>
      <c r="O14" s="55">
        <v>0</v>
      </c>
      <c r="P14" s="55">
        <v>0.44</v>
      </c>
      <c r="Q14" s="55">
        <v>9.6300000000000008</v>
      </c>
      <c r="R14" s="43"/>
      <c r="S14" s="43"/>
      <c r="T14" s="43"/>
      <c r="U14" s="43"/>
    </row>
    <row r="15" spans="1:21" s="11" customFormat="1" x14ac:dyDescent="0.25">
      <c r="A15" s="54" t="s">
        <v>186</v>
      </c>
      <c r="B15" s="55">
        <v>20.85</v>
      </c>
      <c r="C15" s="55">
        <v>34.450000000000003</v>
      </c>
      <c r="D15" s="55">
        <v>30.91</v>
      </c>
      <c r="E15" s="55">
        <v>4.8899999999999997</v>
      </c>
      <c r="F15" s="55">
        <v>5.83</v>
      </c>
      <c r="G15" s="55">
        <v>33.68</v>
      </c>
      <c r="H15" s="55">
        <v>10.46</v>
      </c>
      <c r="I15" s="55">
        <v>4.05</v>
      </c>
      <c r="J15" s="55">
        <v>0.61</v>
      </c>
      <c r="K15" s="55">
        <v>255.28</v>
      </c>
      <c r="L15" s="55">
        <v>28.2</v>
      </c>
      <c r="M15" s="55">
        <v>65.430000000000007</v>
      </c>
      <c r="N15" s="55">
        <v>126</v>
      </c>
      <c r="O15" s="55">
        <v>0</v>
      </c>
      <c r="P15" s="55">
        <v>0.41</v>
      </c>
      <c r="Q15" s="55">
        <v>9.65</v>
      </c>
      <c r="R15" s="43"/>
      <c r="S15" s="43"/>
      <c r="T15" s="43"/>
      <c r="U15" s="43"/>
    </row>
    <row r="16" spans="1:21" s="11" customFormat="1" x14ac:dyDescent="0.25">
      <c r="A16" s="54" t="s">
        <v>187</v>
      </c>
      <c r="B16" s="55">
        <v>21.22</v>
      </c>
      <c r="C16" s="55">
        <v>39.07</v>
      </c>
      <c r="D16" s="55">
        <v>39.159999999999997</v>
      </c>
      <c r="E16" s="55">
        <v>5.38</v>
      </c>
      <c r="F16" s="55">
        <v>6.72</v>
      </c>
      <c r="G16" s="55">
        <v>33.35</v>
      </c>
      <c r="H16" s="55">
        <v>8.9600000000000009</v>
      </c>
      <c r="I16" s="55">
        <v>4.07</v>
      </c>
      <c r="J16" s="55">
        <v>0.63</v>
      </c>
      <c r="K16" s="55">
        <v>258.25</v>
      </c>
      <c r="L16" s="55">
        <v>30.58</v>
      </c>
      <c r="M16" s="55">
        <v>61.62</v>
      </c>
      <c r="N16" s="55">
        <v>248.9</v>
      </c>
      <c r="O16" s="55">
        <v>0</v>
      </c>
      <c r="P16" s="55">
        <v>0.48</v>
      </c>
      <c r="Q16" s="55">
        <v>9.6199999999999992</v>
      </c>
      <c r="R16" s="43"/>
      <c r="S16" s="43"/>
      <c r="T16" s="43"/>
      <c r="U16" s="43"/>
    </row>
    <row r="17" spans="1:21" s="11" customFormat="1" x14ac:dyDescent="0.25">
      <c r="A17" s="54" t="s">
        <v>188</v>
      </c>
      <c r="B17" s="55">
        <v>22.3</v>
      </c>
      <c r="C17" s="55">
        <v>40.15</v>
      </c>
      <c r="D17" s="55">
        <v>39.58</v>
      </c>
      <c r="E17" s="55">
        <v>4.99</v>
      </c>
      <c r="F17" s="55">
        <v>7.89</v>
      </c>
      <c r="G17" s="55">
        <v>36.19</v>
      </c>
      <c r="H17" s="55">
        <v>10.029999999999999</v>
      </c>
      <c r="I17" s="55">
        <v>4.07</v>
      </c>
      <c r="J17" s="55">
        <v>0.76</v>
      </c>
      <c r="K17" s="55">
        <v>265.02</v>
      </c>
      <c r="L17" s="55">
        <v>34.72</v>
      </c>
      <c r="M17" s="55">
        <v>52.42</v>
      </c>
      <c r="N17" s="55">
        <v>477.4</v>
      </c>
      <c r="O17" s="55">
        <v>0</v>
      </c>
      <c r="P17" s="55">
        <v>0.48</v>
      </c>
      <c r="Q17" s="55">
        <v>9.64</v>
      </c>
      <c r="R17" s="43"/>
      <c r="S17" s="43"/>
      <c r="T17" s="43"/>
      <c r="U17" s="43"/>
    </row>
    <row r="18" spans="1:21" s="11" customFormat="1" x14ac:dyDescent="0.25">
      <c r="A18" s="54" t="s">
        <v>189</v>
      </c>
      <c r="B18" s="55">
        <v>20.43</v>
      </c>
      <c r="C18" s="55">
        <v>37.31</v>
      </c>
      <c r="D18" s="55">
        <v>36.99</v>
      </c>
      <c r="E18" s="55">
        <v>5.4</v>
      </c>
      <c r="F18" s="55">
        <v>10.87</v>
      </c>
      <c r="G18" s="55">
        <v>38.85</v>
      </c>
      <c r="H18" s="55">
        <v>8.23</v>
      </c>
      <c r="I18" s="55">
        <v>4.16</v>
      </c>
      <c r="J18" s="55">
        <v>0.65</v>
      </c>
      <c r="K18" s="55">
        <v>283.22000000000003</v>
      </c>
      <c r="L18" s="55">
        <v>39.22</v>
      </c>
      <c r="M18" s="55">
        <v>43.35</v>
      </c>
      <c r="N18" s="55">
        <v>941.6</v>
      </c>
      <c r="O18" s="55">
        <v>0</v>
      </c>
      <c r="P18" s="55">
        <v>0.49</v>
      </c>
      <c r="Q18" s="55">
        <v>9.61</v>
      </c>
      <c r="R18" s="43"/>
      <c r="S18" s="43"/>
      <c r="T18" s="43"/>
      <c r="U18" s="43"/>
    </row>
    <row r="19" spans="1:21" s="11" customFormat="1" x14ac:dyDescent="0.25">
      <c r="A19" s="54" t="s">
        <v>190</v>
      </c>
      <c r="B19" s="55">
        <v>18.36</v>
      </c>
      <c r="C19" s="55">
        <v>34.74</v>
      </c>
      <c r="D19" s="55">
        <v>37.94</v>
      </c>
      <c r="E19" s="55">
        <v>5.44</v>
      </c>
      <c r="F19" s="55">
        <v>8.75</v>
      </c>
      <c r="G19" s="55">
        <v>36.29</v>
      </c>
      <c r="H19" s="55">
        <v>5.76</v>
      </c>
      <c r="I19" s="55">
        <v>4.21</v>
      </c>
      <c r="J19" s="55">
        <v>0.76</v>
      </c>
      <c r="K19" s="55">
        <v>263.36</v>
      </c>
      <c r="L19" s="55">
        <v>39.53</v>
      </c>
      <c r="M19" s="55">
        <v>32.979999999999997</v>
      </c>
      <c r="N19" s="55">
        <v>1032.4000000000001</v>
      </c>
      <c r="O19" s="55">
        <v>0</v>
      </c>
      <c r="P19" s="55">
        <v>0.51</v>
      </c>
      <c r="Q19" s="55">
        <v>9.6199999999999992</v>
      </c>
      <c r="R19" s="43"/>
      <c r="S19" s="43"/>
      <c r="T19" s="43"/>
      <c r="U19" s="43"/>
    </row>
    <row r="20" spans="1:21" s="11" customFormat="1" x14ac:dyDescent="0.25">
      <c r="A20" s="54" t="s">
        <v>191</v>
      </c>
      <c r="B20" s="55">
        <v>12.24</v>
      </c>
      <c r="C20" s="55">
        <v>33.99</v>
      </c>
      <c r="D20" s="55">
        <v>43.22</v>
      </c>
      <c r="E20" s="55">
        <v>5.28</v>
      </c>
      <c r="F20" s="55">
        <v>10.61</v>
      </c>
      <c r="G20" s="55">
        <v>36.58</v>
      </c>
      <c r="H20" s="55">
        <v>4.03</v>
      </c>
      <c r="I20" s="55">
        <v>4.0999999999999996</v>
      </c>
      <c r="J20" s="55">
        <v>0.82</v>
      </c>
      <c r="K20" s="55">
        <v>268.83</v>
      </c>
      <c r="L20" s="55">
        <v>39.590000000000003</v>
      </c>
      <c r="M20" s="55">
        <v>31.24</v>
      </c>
      <c r="N20" s="55">
        <v>1081.7</v>
      </c>
      <c r="O20" s="55">
        <v>0</v>
      </c>
      <c r="P20" s="55">
        <v>0.52</v>
      </c>
      <c r="Q20" s="55">
        <v>9.58</v>
      </c>
      <c r="R20" s="43"/>
      <c r="S20" s="43"/>
      <c r="T20" s="43"/>
      <c r="U20" s="43"/>
    </row>
    <row r="21" spans="1:21" s="11" customFormat="1" x14ac:dyDescent="0.25">
      <c r="A21" s="54" t="s">
        <v>192</v>
      </c>
      <c r="B21" s="55">
        <v>10.23</v>
      </c>
      <c r="C21" s="55">
        <v>29.02</v>
      </c>
      <c r="D21" s="55">
        <v>36.79</v>
      </c>
      <c r="E21" s="55">
        <v>5.87</v>
      </c>
      <c r="F21" s="55">
        <v>14.12</v>
      </c>
      <c r="G21" s="55">
        <v>33.61</v>
      </c>
      <c r="H21" s="55">
        <v>4.03</v>
      </c>
      <c r="I21" s="55">
        <v>4.17</v>
      </c>
      <c r="J21" s="55">
        <v>0.93</v>
      </c>
      <c r="K21" s="55">
        <v>265.74</v>
      </c>
      <c r="L21" s="55">
        <v>41.24</v>
      </c>
      <c r="M21" s="55">
        <v>28.77</v>
      </c>
      <c r="N21" s="55">
        <v>1061.5</v>
      </c>
      <c r="O21" s="55">
        <v>0</v>
      </c>
      <c r="P21" s="55">
        <v>0.47</v>
      </c>
      <c r="Q21" s="55">
        <v>9.57</v>
      </c>
      <c r="R21" s="43"/>
      <c r="S21" s="43"/>
      <c r="T21" s="43"/>
      <c r="U21" s="43"/>
    </row>
    <row r="22" spans="1:21" s="11" customFormat="1" x14ac:dyDescent="0.25">
      <c r="A22" s="54" t="s">
        <v>193</v>
      </c>
      <c r="B22" s="55">
        <v>9.57</v>
      </c>
      <c r="C22" s="55">
        <v>28.96</v>
      </c>
      <c r="D22" s="55">
        <v>38.76</v>
      </c>
      <c r="E22" s="55">
        <v>10.43</v>
      </c>
      <c r="F22" s="55">
        <v>19.16</v>
      </c>
      <c r="G22" s="55">
        <v>32.549999999999997</v>
      </c>
      <c r="H22" s="55">
        <v>33.4</v>
      </c>
      <c r="I22" s="55">
        <v>4.0599999999999996</v>
      </c>
      <c r="J22" s="55">
        <v>0.73</v>
      </c>
      <c r="K22" s="55">
        <v>270.86</v>
      </c>
      <c r="L22" s="55">
        <v>41.13</v>
      </c>
      <c r="M22" s="55">
        <v>27.48</v>
      </c>
      <c r="N22" s="55">
        <v>970.8</v>
      </c>
      <c r="O22" s="55">
        <v>0</v>
      </c>
      <c r="P22" s="55">
        <v>0.57999999999999996</v>
      </c>
      <c r="Q22" s="55">
        <v>9.56</v>
      </c>
      <c r="R22" s="43"/>
      <c r="S22" s="43"/>
      <c r="T22" s="43"/>
      <c r="U22" s="43"/>
    </row>
    <row r="23" spans="1:21" s="11" customFormat="1" x14ac:dyDescent="0.25">
      <c r="A23" s="54" t="s">
        <v>194</v>
      </c>
      <c r="B23" s="55">
        <v>9.32</v>
      </c>
      <c r="C23" s="55">
        <v>28.59</v>
      </c>
      <c r="D23" s="55">
        <v>39.07</v>
      </c>
      <c r="E23" s="55">
        <v>14.12</v>
      </c>
      <c r="F23" s="55">
        <v>25.12</v>
      </c>
      <c r="G23" s="55">
        <v>32.15</v>
      </c>
      <c r="H23" s="55">
        <v>30.52</v>
      </c>
      <c r="I23" s="55">
        <v>4.04</v>
      </c>
      <c r="J23" s="55">
        <v>0.92</v>
      </c>
      <c r="K23" s="55">
        <v>262.06</v>
      </c>
      <c r="L23" s="55">
        <v>40.520000000000003</v>
      </c>
      <c r="M23" s="55">
        <v>26.41</v>
      </c>
      <c r="N23" s="55">
        <v>566.70000000000005</v>
      </c>
      <c r="O23" s="55">
        <v>0</v>
      </c>
      <c r="P23" s="55">
        <v>0.59</v>
      </c>
      <c r="Q23" s="55">
        <v>9.5500000000000007</v>
      </c>
      <c r="R23" s="43"/>
      <c r="S23" s="43"/>
      <c r="T23" s="43"/>
      <c r="U23" s="43"/>
    </row>
    <row r="24" spans="1:21" s="11" customFormat="1" x14ac:dyDescent="0.25">
      <c r="A24" s="54" t="s">
        <v>195</v>
      </c>
      <c r="B24" s="55">
        <v>9.1999999999999993</v>
      </c>
      <c r="C24" s="55">
        <v>29.41</v>
      </c>
      <c r="D24" s="55">
        <v>40.340000000000003</v>
      </c>
      <c r="E24" s="55">
        <v>9.84</v>
      </c>
      <c r="F24" s="55">
        <v>19.91</v>
      </c>
      <c r="G24" s="55">
        <v>36.44</v>
      </c>
      <c r="H24" s="55">
        <v>13.95</v>
      </c>
      <c r="I24" s="55">
        <v>4.08</v>
      </c>
      <c r="J24" s="55">
        <v>0.73</v>
      </c>
      <c r="K24" s="55">
        <v>261.51</v>
      </c>
      <c r="L24" s="55">
        <v>40.130000000000003</v>
      </c>
      <c r="M24" s="55">
        <v>24.14</v>
      </c>
      <c r="N24" s="55">
        <v>427.9</v>
      </c>
      <c r="O24" s="55">
        <v>0</v>
      </c>
      <c r="P24" s="55">
        <v>0.56999999999999995</v>
      </c>
      <c r="Q24" s="55">
        <v>9.5299999999999994</v>
      </c>
      <c r="R24" s="43"/>
      <c r="S24" s="43"/>
      <c r="T24" s="43"/>
      <c r="U24" s="43"/>
    </row>
    <row r="25" spans="1:21" s="11" customFormat="1" x14ac:dyDescent="0.25">
      <c r="A25" s="54" t="s">
        <v>196</v>
      </c>
      <c r="B25" s="55">
        <v>12.16</v>
      </c>
      <c r="C25" s="55">
        <v>36.64</v>
      </c>
      <c r="D25" s="55">
        <v>48.4</v>
      </c>
      <c r="E25" s="55">
        <v>14.77</v>
      </c>
      <c r="F25" s="55">
        <v>23.88</v>
      </c>
      <c r="G25" s="55">
        <v>36.729999999999997</v>
      </c>
      <c r="H25" s="55">
        <v>14.16</v>
      </c>
      <c r="I25" s="55">
        <v>4.0599999999999996</v>
      </c>
      <c r="J25" s="55">
        <v>0.8</v>
      </c>
      <c r="K25" s="55">
        <v>271.87</v>
      </c>
      <c r="L25" s="55">
        <v>39.380000000000003</v>
      </c>
      <c r="M25" s="55">
        <v>25.83</v>
      </c>
      <c r="N25" s="55">
        <v>338</v>
      </c>
      <c r="O25" s="55">
        <v>0</v>
      </c>
      <c r="P25" s="55">
        <v>0.6</v>
      </c>
      <c r="Q25" s="55">
        <v>9.5399999999999991</v>
      </c>
      <c r="R25" s="43"/>
      <c r="S25" s="43"/>
      <c r="T25" s="43"/>
      <c r="U25" s="43"/>
    </row>
    <row r="26" spans="1:21" s="11" customFormat="1" x14ac:dyDescent="0.25">
      <c r="A26" s="54" t="s">
        <v>197</v>
      </c>
      <c r="B26" s="55">
        <v>13.8</v>
      </c>
      <c r="C26" s="55">
        <v>52.5</v>
      </c>
      <c r="D26" s="55">
        <v>76.260000000000005</v>
      </c>
      <c r="E26" s="55">
        <v>20.18</v>
      </c>
      <c r="F26" s="55">
        <v>24.3</v>
      </c>
      <c r="G26" s="55">
        <v>38.869999999999997</v>
      </c>
      <c r="H26" s="55">
        <v>14.47</v>
      </c>
      <c r="I26" s="55">
        <v>4.01</v>
      </c>
      <c r="J26" s="55">
        <v>0.54</v>
      </c>
      <c r="K26" s="55">
        <v>247.76</v>
      </c>
      <c r="L26" s="55">
        <v>38.47</v>
      </c>
      <c r="M26" s="55">
        <v>26.47</v>
      </c>
      <c r="N26" s="55">
        <v>125.9</v>
      </c>
      <c r="O26" s="55">
        <v>0</v>
      </c>
      <c r="P26" s="55">
        <v>0.85</v>
      </c>
      <c r="Q26" s="55">
        <v>9.5299999999999994</v>
      </c>
      <c r="R26" s="43"/>
      <c r="S26" s="43"/>
      <c r="T26" s="43"/>
      <c r="U26" s="43"/>
    </row>
    <row r="27" spans="1:21" s="11" customFormat="1" x14ac:dyDescent="0.25">
      <c r="A27" s="54" t="s">
        <v>198</v>
      </c>
      <c r="B27" s="55">
        <v>114.92</v>
      </c>
      <c r="C27" s="55">
        <v>153.15</v>
      </c>
      <c r="D27" s="55">
        <v>113.69</v>
      </c>
      <c r="E27" s="55">
        <v>14.31</v>
      </c>
      <c r="F27" s="55">
        <v>23.98</v>
      </c>
      <c r="G27" s="55">
        <v>39.08</v>
      </c>
      <c r="H27" s="55">
        <v>9.1999999999999993</v>
      </c>
      <c r="I27" s="55">
        <v>4.0599999999999996</v>
      </c>
      <c r="J27" s="55">
        <v>0.38</v>
      </c>
      <c r="K27" s="55">
        <v>273.70999999999998</v>
      </c>
      <c r="L27" s="55">
        <v>37.07</v>
      </c>
      <c r="M27" s="55">
        <v>42.86</v>
      </c>
      <c r="N27" s="55">
        <v>73.099999999999994</v>
      </c>
      <c r="O27" s="55">
        <v>0</v>
      </c>
      <c r="P27" s="55">
        <v>2.78</v>
      </c>
      <c r="Q27" s="55">
        <v>9.5299999999999994</v>
      </c>
      <c r="R27" s="43"/>
      <c r="S27" s="43"/>
      <c r="T27" s="43"/>
      <c r="U27" s="43"/>
    </row>
    <row r="28" spans="1:21" s="11" customFormat="1" x14ac:dyDescent="0.25">
      <c r="A28" s="54" t="s">
        <v>199</v>
      </c>
      <c r="B28" s="55">
        <v>188.45</v>
      </c>
      <c r="C28" s="55">
        <v>216.16</v>
      </c>
      <c r="D28" s="55">
        <v>121.43</v>
      </c>
      <c r="E28" s="55">
        <v>7.77</v>
      </c>
      <c r="F28" s="55">
        <v>5.32</v>
      </c>
      <c r="G28" s="55">
        <v>53.5</v>
      </c>
      <c r="H28" s="55">
        <v>21.65</v>
      </c>
      <c r="I28" s="55">
        <v>4.18</v>
      </c>
      <c r="J28" s="55">
        <v>0.19</v>
      </c>
      <c r="K28" s="55">
        <v>281.18</v>
      </c>
      <c r="L28" s="55">
        <v>34.14</v>
      </c>
      <c r="M28" s="55">
        <v>46.54</v>
      </c>
      <c r="N28" s="55">
        <v>60.7</v>
      </c>
      <c r="O28" s="55">
        <v>0</v>
      </c>
      <c r="P28" s="55">
        <v>2.21</v>
      </c>
      <c r="Q28" s="55">
        <v>9.52</v>
      </c>
      <c r="R28" s="43"/>
      <c r="S28" s="43"/>
      <c r="T28" s="43"/>
      <c r="U28" s="43"/>
    </row>
    <row r="29" spans="1:21" s="11" customFormat="1" x14ac:dyDescent="0.25">
      <c r="A29" s="54" t="s">
        <v>200</v>
      </c>
      <c r="B29" s="55">
        <v>72.400000000000006</v>
      </c>
      <c r="C29" s="55">
        <v>116.39</v>
      </c>
      <c r="D29" s="55">
        <v>108.59</v>
      </c>
      <c r="E29" s="55">
        <v>6.5</v>
      </c>
      <c r="F29" s="55">
        <v>10.58</v>
      </c>
      <c r="G29" s="55">
        <v>72.58</v>
      </c>
      <c r="H29" s="55">
        <v>24.47</v>
      </c>
      <c r="I29" s="55">
        <v>4.07</v>
      </c>
      <c r="J29" s="55">
        <v>0.94</v>
      </c>
      <c r="K29" s="55">
        <v>214.33</v>
      </c>
      <c r="L29" s="55">
        <v>33.909999999999997</v>
      </c>
      <c r="M29" s="55">
        <v>45.35</v>
      </c>
      <c r="N29" s="55">
        <v>60.2</v>
      </c>
      <c r="O29" s="55">
        <v>0</v>
      </c>
      <c r="P29" s="55">
        <v>1.72</v>
      </c>
      <c r="Q29" s="55">
        <v>9.73</v>
      </c>
      <c r="R29" s="43"/>
      <c r="S29" s="43"/>
      <c r="T29" s="43"/>
      <c r="U29" s="43"/>
    </row>
    <row r="30" spans="1:21" s="11" customFormat="1" x14ac:dyDescent="0.25">
      <c r="A30" s="54" t="s">
        <v>201</v>
      </c>
      <c r="B30" s="55">
        <v>26.37</v>
      </c>
      <c r="C30" s="55">
        <v>60.55</v>
      </c>
      <c r="D30" s="55">
        <v>82.9</v>
      </c>
      <c r="E30" s="55">
        <v>5.6</v>
      </c>
      <c r="F30" s="55">
        <v>11.92</v>
      </c>
      <c r="G30" s="55">
        <v>70.22</v>
      </c>
      <c r="H30" s="55">
        <v>18.97</v>
      </c>
      <c r="I30" s="55">
        <v>4.1100000000000003</v>
      </c>
      <c r="J30" s="55">
        <v>0.7</v>
      </c>
      <c r="K30" s="55">
        <v>221.32</v>
      </c>
      <c r="L30" s="55">
        <v>33.32</v>
      </c>
      <c r="M30" s="55">
        <v>45.58</v>
      </c>
      <c r="N30" s="55">
        <v>60.6</v>
      </c>
      <c r="O30" s="55">
        <v>0</v>
      </c>
      <c r="P30" s="55">
        <v>0.74</v>
      </c>
      <c r="Q30" s="55">
        <v>9.73</v>
      </c>
      <c r="R30" s="43"/>
      <c r="S30" s="43"/>
      <c r="T30" s="43"/>
      <c r="U30" s="43"/>
    </row>
    <row r="31" spans="1:21" s="11" customFormat="1" x14ac:dyDescent="0.25">
      <c r="A31" s="54" t="s">
        <v>202</v>
      </c>
      <c r="B31" s="55">
        <v>25.16</v>
      </c>
      <c r="C31" s="55">
        <v>61.95</v>
      </c>
      <c r="D31" s="55">
        <v>76.91</v>
      </c>
      <c r="E31" s="55">
        <v>5.54</v>
      </c>
      <c r="F31" s="55">
        <v>10.7</v>
      </c>
      <c r="G31" s="55">
        <v>61.2</v>
      </c>
      <c r="H31" s="55">
        <v>17.27</v>
      </c>
      <c r="I31" s="55">
        <v>4.2</v>
      </c>
      <c r="J31" s="55">
        <v>0.43</v>
      </c>
      <c r="K31" s="55">
        <v>246.31</v>
      </c>
      <c r="L31" s="55">
        <v>31.88</v>
      </c>
      <c r="M31" s="55">
        <v>47.36</v>
      </c>
      <c r="N31" s="55">
        <v>60.7</v>
      </c>
      <c r="O31" s="55">
        <v>0</v>
      </c>
      <c r="P31" s="55">
        <v>0.63</v>
      </c>
      <c r="Q31" s="55">
        <v>9.69</v>
      </c>
      <c r="R31" s="43"/>
      <c r="S31" s="43"/>
      <c r="T31" s="43"/>
      <c r="U31" s="43"/>
    </row>
    <row r="32" spans="1:21" s="11" customFormat="1" x14ac:dyDescent="0.25">
      <c r="A32" s="54" t="s">
        <v>203</v>
      </c>
      <c r="B32" s="55">
        <v>25.34</v>
      </c>
      <c r="C32" s="55">
        <v>51.84</v>
      </c>
      <c r="D32" s="55">
        <v>64.47</v>
      </c>
      <c r="E32" s="55">
        <v>4.91</v>
      </c>
      <c r="F32" s="55">
        <v>9.9499999999999993</v>
      </c>
      <c r="G32" s="55">
        <v>58.8</v>
      </c>
      <c r="H32" s="55">
        <v>18.66</v>
      </c>
      <c r="I32" s="55">
        <v>4.12</v>
      </c>
      <c r="J32" s="55">
        <v>0.34</v>
      </c>
      <c r="K32" s="55">
        <v>252.44</v>
      </c>
      <c r="L32" s="55">
        <v>31.07</v>
      </c>
      <c r="M32" s="55">
        <v>50.79</v>
      </c>
      <c r="N32" s="55">
        <v>60.7</v>
      </c>
      <c r="O32" s="55">
        <v>0</v>
      </c>
      <c r="P32" s="55">
        <v>0.61</v>
      </c>
      <c r="Q32" s="55">
        <v>9.69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9.1999999999999993</v>
      </c>
      <c r="C34" s="28">
        <f t="shared" si="0"/>
        <v>28.5</v>
      </c>
      <c r="D34" s="28">
        <f t="shared" si="0"/>
        <v>30.77</v>
      </c>
      <c r="E34" s="28">
        <f t="shared" si="0"/>
        <v>4.8</v>
      </c>
      <c r="F34" s="28">
        <f t="shared" si="0"/>
        <v>5.32</v>
      </c>
      <c r="G34" s="28">
        <f t="shared" si="0"/>
        <v>28.31</v>
      </c>
      <c r="H34" s="28">
        <f t="shared" si="0"/>
        <v>4.03</v>
      </c>
      <c r="I34" s="28">
        <f t="shared" si="0"/>
        <v>4</v>
      </c>
      <c r="J34" s="28">
        <f t="shared" si="0"/>
        <v>0.19</v>
      </c>
      <c r="K34" s="28">
        <f t="shared" si="0"/>
        <v>103.32</v>
      </c>
      <c r="L34" s="28">
        <f t="shared" si="0"/>
        <v>27.67</v>
      </c>
      <c r="M34" s="28">
        <f t="shared" si="0"/>
        <v>24.14</v>
      </c>
      <c r="N34" s="28">
        <f t="shared" si="0"/>
        <v>50.3</v>
      </c>
      <c r="O34" s="28">
        <f t="shared" si="0"/>
        <v>0</v>
      </c>
      <c r="P34" s="28">
        <f t="shared" si="0"/>
        <v>0.32</v>
      </c>
      <c r="Q34" s="28">
        <f t="shared" si="0"/>
        <v>9.52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188.45</v>
      </c>
      <c r="C35" s="29">
        <f t="shared" si="1"/>
        <v>216.16</v>
      </c>
      <c r="D35" s="29">
        <f t="shared" si="1"/>
        <v>121.43</v>
      </c>
      <c r="E35" s="29">
        <f t="shared" si="1"/>
        <v>20.18</v>
      </c>
      <c r="F35" s="29">
        <f t="shared" si="1"/>
        <v>25.12</v>
      </c>
      <c r="G35" s="29">
        <f t="shared" si="1"/>
        <v>72.58</v>
      </c>
      <c r="H35" s="29">
        <f t="shared" si="1"/>
        <v>33.4</v>
      </c>
      <c r="I35" s="29">
        <f t="shared" si="1"/>
        <v>4.21</v>
      </c>
      <c r="J35" s="29">
        <f t="shared" si="1"/>
        <v>1.87</v>
      </c>
      <c r="K35" s="29">
        <f t="shared" si="1"/>
        <v>289.68</v>
      </c>
      <c r="L35" s="29">
        <f t="shared" si="1"/>
        <v>41.24</v>
      </c>
      <c r="M35" s="29">
        <f t="shared" si="1"/>
        <v>79.77</v>
      </c>
      <c r="N35" s="29">
        <f t="shared" si="1"/>
        <v>1081.7</v>
      </c>
      <c r="O35" s="29">
        <f t="shared" si="1"/>
        <v>0</v>
      </c>
      <c r="P35" s="29">
        <f t="shared" si="1"/>
        <v>2.78</v>
      </c>
      <c r="Q35" s="29">
        <f t="shared" si="1"/>
        <v>9.73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31.607916666666668</v>
      </c>
      <c r="C36" s="28">
        <f t="shared" si="2"/>
        <v>54.132499999999993</v>
      </c>
      <c r="D36" s="28">
        <f t="shared" si="2"/>
        <v>53.152083333333337</v>
      </c>
      <c r="E36" s="28">
        <f t="shared" si="2"/>
        <v>7.5541666666666663</v>
      </c>
      <c r="F36" s="28">
        <f t="shared" si="2"/>
        <v>12.575416666666667</v>
      </c>
      <c r="G36" s="28">
        <f t="shared" si="2"/>
        <v>42.687916666666673</v>
      </c>
      <c r="H36" s="28">
        <f t="shared" si="2"/>
        <v>14.551666666666669</v>
      </c>
      <c r="I36" s="28">
        <f t="shared" si="2"/>
        <v>4.0912500000000014</v>
      </c>
      <c r="J36" s="28">
        <f t="shared" si="2"/>
        <v>0.71625000000000016</v>
      </c>
      <c r="K36" s="28">
        <f t="shared" si="2"/>
        <v>249.64875000000004</v>
      </c>
      <c r="L36" s="28">
        <f t="shared" si="2"/>
        <v>34.263750000000009</v>
      </c>
      <c r="M36" s="28">
        <f t="shared" si="2"/>
        <v>48.382083333333327</v>
      </c>
      <c r="N36" s="28">
        <f t="shared" si="2"/>
        <v>337.36249999999995</v>
      </c>
      <c r="O36" s="28">
        <f t="shared" si="2"/>
        <v>0</v>
      </c>
      <c r="P36" s="28">
        <f t="shared" si="2"/>
        <v>0.7799999999999998</v>
      </c>
      <c r="Q36" s="28">
        <f t="shared" si="2"/>
        <v>9.6150000000000002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40.534881273032497</v>
      </c>
      <c r="C37" s="28">
        <f t="shared" ref="C37:Q37" si="3">STDEV(C9:C32)</f>
        <v>45.18894576735795</v>
      </c>
      <c r="D37" s="28">
        <f t="shared" si="3"/>
        <v>28.138255868072235</v>
      </c>
      <c r="E37" s="28">
        <f t="shared" si="3"/>
        <v>4.1922868270884939</v>
      </c>
      <c r="F37" s="28">
        <f t="shared" si="3"/>
        <v>6.3955786216570774</v>
      </c>
      <c r="G37" s="28">
        <f t="shared" si="3"/>
        <v>12.769004925026907</v>
      </c>
      <c r="H37" s="28">
        <f t="shared" si="3"/>
        <v>7.6794891511863153</v>
      </c>
      <c r="I37" s="28">
        <f t="shared" si="3"/>
        <v>5.8704306930360037E-2</v>
      </c>
      <c r="J37" s="28">
        <f t="shared" si="3"/>
        <v>0.31972559566249753</v>
      </c>
      <c r="K37" s="28">
        <f t="shared" si="3"/>
        <v>38.78550707724596</v>
      </c>
      <c r="L37" s="28">
        <f t="shared" si="3"/>
        <v>5.1167345331381213</v>
      </c>
      <c r="M37" s="28">
        <f t="shared" si="3"/>
        <v>18.276155046866439</v>
      </c>
      <c r="N37" s="28">
        <f t="shared" si="3"/>
        <v>386.82632752056003</v>
      </c>
      <c r="O37" s="28">
        <f t="shared" si="3"/>
        <v>0</v>
      </c>
      <c r="P37" s="28">
        <f t="shared" si="3"/>
        <v>0.59655532926088706</v>
      </c>
      <c r="Q37" s="28">
        <f t="shared" si="3"/>
        <v>6.3588350040471961E-2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07/05/2025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4" t="s">
        <v>204</v>
      </c>
      <c r="B9" s="55">
        <v>22.02</v>
      </c>
      <c r="C9" s="55">
        <v>35.75</v>
      </c>
      <c r="D9" s="55">
        <v>38.450000000000003</v>
      </c>
      <c r="E9" s="55">
        <v>4.84</v>
      </c>
      <c r="F9" s="55">
        <v>13.65</v>
      </c>
      <c r="G9" s="55">
        <v>48.27</v>
      </c>
      <c r="H9" s="55">
        <v>9.4</v>
      </c>
      <c r="I9" s="55">
        <v>4.0599999999999996</v>
      </c>
      <c r="J9" s="55">
        <v>0.34</v>
      </c>
      <c r="K9" s="55">
        <v>277.75</v>
      </c>
      <c r="L9" s="55">
        <v>30.08</v>
      </c>
      <c r="M9" s="55">
        <v>54.92</v>
      </c>
      <c r="N9" s="55">
        <v>60.8</v>
      </c>
      <c r="O9" s="55">
        <v>0</v>
      </c>
      <c r="P9" s="55">
        <v>0.5</v>
      </c>
      <c r="Q9" s="55">
        <v>9.65</v>
      </c>
      <c r="R9" s="43"/>
      <c r="S9" s="43"/>
      <c r="T9" s="43"/>
      <c r="U9" s="43"/>
    </row>
    <row r="10" spans="1:21" s="11" customFormat="1" x14ac:dyDescent="0.25">
      <c r="A10" s="54" t="s">
        <v>205</v>
      </c>
      <c r="B10" s="55">
        <v>26.46</v>
      </c>
      <c r="C10" s="55">
        <v>46.66</v>
      </c>
      <c r="D10" s="55">
        <v>47.18</v>
      </c>
      <c r="E10" s="55">
        <v>4.37</v>
      </c>
      <c r="F10" s="55">
        <v>10.54</v>
      </c>
      <c r="G10" s="55">
        <v>42.26</v>
      </c>
      <c r="H10" s="55">
        <v>14.33</v>
      </c>
      <c r="I10" s="55">
        <v>4.26</v>
      </c>
      <c r="J10" s="55">
        <v>0.35</v>
      </c>
      <c r="K10" s="55">
        <v>246.31</v>
      </c>
      <c r="L10" s="55">
        <v>29.76</v>
      </c>
      <c r="M10" s="55">
        <v>65.489999999999995</v>
      </c>
      <c r="N10" s="55">
        <v>61.2</v>
      </c>
      <c r="O10" s="55">
        <v>0</v>
      </c>
      <c r="P10" s="55">
        <v>0.52</v>
      </c>
      <c r="Q10" s="55">
        <v>9.65</v>
      </c>
      <c r="R10" s="43"/>
      <c r="S10" s="43"/>
      <c r="T10" s="43"/>
      <c r="U10" s="43"/>
    </row>
    <row r="11" spans="1:21" s="11" customFormat="1" x14ac:dyDescent="0.25">
      <c r="A11" s="54" t="s">
        <v>206</v>
      </c>
      <c r="B11" s="55">
        <v>20</v>
      </c>
      <c r="C11" s="55">
        <v>38.869999999999997</v>
      </c>
      <c r="D11" s="55">
        <v>40.65</v>
      </c>
      <c r="E11" s="55">
        <v>4.42</v>
      </c>
      <c r="F11" s="55">
        <v>10.61</v>
      </c>
      <c r="G11" s="55">
        <v>38.76</v>
      </c>
      <c r="H11" s="55">
        <v>13.31</v>
      </c>
      <c r="I11" s="55">
        <v>4.0599999999999996</v>
      </c>
      <c r="J11" s="55">
        <v>0.23</v>
      </c>
      <c r="K11" s="55">
        <v>292.19</v>
      </c>
      <c r="L11" s="55">
        <v>29.31</v>
      </c>
      <c r="M11" s="55">
        <v>68.84</v>
      </c>
      <c r="N11" s="55">
        <v>61.3</v>
      </c>
      <c r="O11" s="55">
        <v>0</v>
      </c>
      <c r="P11" s="55">
        <v>0.33</v>
      </c>
      <c r="Q11" s="55">
        <v>9.65</v>
      </c>
      <c r="R11" s="43"/>
      <c r="S11" s="43"/>
      <c r="T11" s="43"/>
      <c r="U11" s="43"/>
    </row>
    <row r="12" spans="1:21" s="11" customFormat="1" x14ac:dyDescent="0.25">
      <c r="A12" s="54" t="s">
        <v>207</v>
      </c>
      <c r="B12" s="55">
        <v>25.48</v>
      </c>
      <c r="C12" s="55">
        <v>38.450000000000003</v>
      </c>
      <c r="D12" s="55">
        <v>33.020000000000003</v>
      </c>
      <c r="E12" s="55">
        <v>4.7699999999999996</v>
      </c>
      <c r="F12" s="55">
        <v>8.69</v>
      </c>
      <c r="G12" s="55">
        <v>35.630000000000003</v>
      </c>
      <c r="H12" s="55">
        <v>9.83</v>
      </c>
      <c r="I12" s="55">
        <v>4.12</v>
      </c>
      <c r="J12" s="55">
        <v>0.87</v>
      </c>
      <c r="K12" s="55">
        <v>259.17</v>
      </c>
      <c r="L12" s="55">
        <v>29.28</v>
      </c>
      <c r="M12" s="55">
        <v>70.77</v>
      </c>
      <c r="N12" s="55">
        <v>60.7</v>
      </c>
      <c r="O12" s="55">
        <v>0</v>
      </c>
      <c r="P12" s="55">
        <v>0.46</v>
      </c>
      <c r="Q12" s="55">
        <v>9.65</v>
      </c>
      <c r="R12" s="43"/>
      <c r="S12" s="43"/>
      <c r="T12" s="43"/>
      <c r="U12" s="43"/>
    </row>
    <row r="13" spans="1:21" s="11" customFormat="1" x14ac:dyDescent="0.25">
      <c r="A13" s="54" t="s">
        <v>208</v>
      </c>
      <c r="B13" s="55">
        <v>23.81</v>
      </c>
      <c r="C13" s="55">
        <v>37.71</v>
      </c>
      <c r="D13" s="55">
        <v>35.58</v>
      </c>
      <c r="E13" s="55">
        <v>4.88</v>
      </c>
      <c r="F13" s="55">
        <v>6.87</v>
      </c>
      <c r="G13" s="55">
        <v>28.41</v>
      </c>
      <c r="H13" s="55">
        <v>3.03</v>
      </c>
      <c r="I13" s="55">
        <v>4.09</v>
      </c>
      <c r="J13" s="55">
        <v>0.5</v>
      </c>
      <c r="K13" s="55">
        <v>219.32</v>
      </c>
      <c r="L13" s="55">
        <v>28.82</v>
      </c>
      <c r="M13" s="55">
        <v>64.25</v>
      </c>
      <c r="N13" s="55">
        <v>61.3</v>
      </c>
      <c r="O13" s="55">
        <v>0</v>
      </c>
      <c r="P13" s="55">
        <v>0.43</v>
      </c>
      <c r="Q13" s="55">
        <v>9.66</v>
      </c>
      <c r="R13" s="43"/>
      <c r="S13" s="43"/>
      <c r="T13" s="43"/>
      <c r="U13" s="43"/>
    </row>
    <row r="14" spans="1:21" s="11" customFormat="1" x14ac:dyDescent="0.25">
      <c r="A14" s="54" t="s">
        <v>209</v>
      </c>
      <c r="B14" s="55">
        <v>21.13</v>
      </c>
      <c r="C14" s="55">
        <v>35.39</v>
      </c>
      <c r="D14" s="55">
        <v>33.76</v>
      </c>
      <c r="E14" s="55">
        <v>4.3099999999999996</v>
      </c>
      <c r="F14" s="55">
        <v>6.27</v>
      </c>
      <c r="G14" s="55">
        <v>28.07</v>
      </c>
      <c r="H14" s="55">
        <v>7.37</v>
      </c>
      <c r="I14" s="55">
        <v>4.1100000000000003</v>
      </c>
      <c r="J14" s="55">
        <v>0.39</v>
      </c>
      <c r="K14" s="55">
        <v>243.43</v>
      </c>
      <c r="L14" s="55">
        <v>27.95</v>
      </c>
      <c r="M14" s="55">
        <v>68.78</v>
      </c>
      <c r="N14" s="55">
        <v>97.9</v>
      </c>
      <c r="O14" s="55">
        <v>0</v>
      </c>
      <c r="P14" s="55">
        <v>0.41</v>
      </c>
      <c r="Q14" s="55">
        <v>9.64</v>
      </c>
      <c r="R14" s="43"/>
      <c r="S14" s="43"/>
      <c r="T14" s="43"/>
      <c r="U14" s="43"/>
    </row>
    <row r="15" spans="1:21" s="11" customFormat="1" x14ac:dyDescent="0.25">
      <c r="A15" s="54" t="s">
        <v>210</v>
      </c>
      <c r="B15" s="55">
        <v>18.59</v>
      </c>
      <c r="C15" s="55">
        <v>34.6</v>
      </c>
      <c r="D15" s="55">
        <v>35.630000000000003</v>
      </c>
      <c r="E15" s="55">
        <v>4.51</v>
      </c>
      <c r="F15" s="55">
        <v>7.86</v>
      </c>
      <c r="G15" s="55">
        <v>30.43</v>
      </c>
      <c r="H15" s="55">
        <v>8.86</v>
      </c>
      <c r="I15" s="55">
        <v>4.12</v>
      </c>
      <c r="J15" s="55">
        <v>0.67</v>
      </c>
      <c r="K15" s="55">
        <v>232.31</v>
      </c>
      <c r="L15" s="55">
        <v>29.92</v>
      </c>
      <c r="M15" s="55">
        <v>66.77</v>
      </c>
      <c r="N15" s="55">
        <v>279.89999999999998</v>
      </c>
      <c r="O15" s="55">
        <v>0</v>
      </c>
      <c r="P15" s="55">
        <v>0.4</v>
      </c>
      <c r="Q15" s="55">
        <v>9.67</v>
      </c>
      <c r="R15" s="43"/>
      <c r="S15" s="43"/>
      <c r="T15" s="43"/>
      <c r="U15" s="43"/>
    </row>
    <row r="16" spans="1:21" s="11" customFormat="1" x14ac:dyDescent="0.25">
      <c r="A16" s="54" t="s">
        <v>211</v>
      </c>
      <c r="B16" s="55">
        <v>19.02</v>
      </c>
      <c r="C16" s="55">
        <v>36</v>
      </c>
      <c r="D16" s="55">
        <v>36.67</v>
      </c>
      <c r="E16" s="55">
        <v>5.32</v>
      </c>
      <c r="F16" s="55">
        <v>9.4600000000000009</v>
      </c>
      <c r="G16" s="55">
        <v>31.89</v>
      </c>
      <c r="H16" s="55">
        <v>3.19</v>
      </c>
      <c r="I16" s="55">
        <v>4.1500000000000004</v>
      </c>
      <c r="J16" s="55">
        <v>0.6</v>
      </c>
      <c r="K16" s="55">
        <v>260.18</v>
      </c>
      <c r="L16" s="55">
        <v>34.880000000000003</v>
      </c>
      <c r="M16" s="55">
        <v>58.26</v>
      </c>
      <c r="N16" s="55">
        <v>515.1</v>
      </c>
      <c r="O16" s="55">
        <v>0</v>
      </c>
      <c r="P16" s="55">
        <v>0.5</v>
      </c>
      <c r="Q16" s="55">
        <v>9.61</v>
      </c>
      <c r="R16" s="43"/>
      <c r="S16" s="43"/>
      <c r="T16" s="43"/>
      <c r="U16" s="43"/>
    </row>
    <row r="17" spans="1:21" s="11" customFormat="1" x14ac:dyDescent="0.25">
      <c r="A17" s="54" t="s">
        <v>212</v>
      </c>
      <c r="B17" s="55">
        <v>18.84</v>
      </c>
      <c r="C17" s="55">
        <v>37.07</v>
      </c>
      <c r="D17" s="55">
        <v>41.29</v>
      </c>
      <c r="E17" s="55">
        <v>6.25</v>
      </c>
      <c r="F17" s="55">
        <v>9.3000000000000007</v>
      </c>
      <c r="G17" s="55">
        <v>28.11</v>
      </c>
      <c r="H17" s="55">
        <v>3.44</v>
      </c>
      <c r="I17" s="55">
        <v>4.12</v>
      </c>
      <c r="J17" s="55">
        <v>0.64</v>
      </c>
      <c r="K17" s="55">
        <v>256.74</v>
      </c>
      <c r="L17" s="55">
        <v>38.51</v>
      </c>
      <c r="M17" s="55">
        <v>43.35</v>
      </c>
      <c r="N17" s="55">
        <v>732.8</v>
      </c>
      <c r="O17" s="55">
        <v>0</v>
      </c>
      <c r="P17" s="55">
        <v>0.54</v>
      </c>
      <c r="Q17" s="55">
        <v>9.61</v>
      </c>
      <c r="R17" s="43"/>
      <c r="S17" s="43"/>
      <c r="T17" s="43"/>
      <c r="U17" s="43"/>
    </row>
    <row r="18" spans="1:21" s="11" customFormat="1" x14ac:dyDescent="0.25">
      <c r="A18" s="54" t="s">
        <v>213</v>
      </c>
      <c r="B18" s="55">
        <v>13.47</v>
      </c>
      <c r="C18" s="55">
        <v>33.630000000000003</v>
      </c>
      <c r="D18" s="55">
        <v>42.53</v>
      </c>
      <c r="E18" s="55">
        <v>6.44</v>
      </c>
      <c r="F18" s="55">
        <v>9.84</v>
      </c>
      <c r="G18" s="55">
        <v>32.25</v>
      </c>
      <c r="H18" s="55">
        <v>5.47</v>
      </c>
      <c r="I18" s="55">
        <v>4.09</v>
      </c>
      <c r="J18" s="55">
        <v>0.78</v>
      </c>
      <c r="K18" s="55">
        <v>260.82</v>
      </c>
      <c r="L18" s="55">
        <v>39.64</v>
      </c>
      <c r="M18" s="55">
        <v>35.79</v>
      </c>
      <c r="N18" s="55">
        <v>839.2</v>
      </c>
      <c r="O18" s="55">
        <v>0</v>
      </c>
      <c r="P18" s="55">
        <v>0.56999999999999995</v>
      </c>
      <c r="Q18" s="55">
        <v>9.6</v>
      </c>
      <c r="R18" s="43"/>
      <c r="S18" s="43"/>
      <c r="T18" s="43"/>
      <c r="U18" s="43"/>
    </row>
    <row r="19" spans="1:21" s="11" customFormat="1" x14ac:dyDescent="0.25">
      <c r="A19" s="54" t="s">
        <v>214</v>
      </c>
      <c r="B19" s="55">
        <v>10.41</v>
      </c>
      <c r="C19" s="55">
        <v>33.33</v>
      </c>
      <c r="D19" s="55">
        <v>46.46</v>
      </c>
      <c r="E19" s="55">
        <v>7.6</v>
      </c>
      <c r="F19" s="55">
        <v>13.29</v>
      </c>
      <c r="G19" s="55">
        <v>34.6</v>
      </c>
      <c r="H19" s="55">
        <v>19.09</v>
      </c>
      <c r="I19" s="55">
        <v>4.04</v>
      </c>
      <c r="J19" s="55">
        <v>0.86</v>
      </c>
      <c r="K19" s="55">
        <v>257.70999999999998</v>
      </c>
      <c r="L19" s="55">
        <v>40.43</v>
      </c>
      <c r="M19" s="55">
        <v>35.729999999999997</v>
      </c>
      <c r="N19" s="55">
        <v>1018.3</v>
      </c>
      <c r="O19" s="55">
        <v>0</v>
      </c>
      <c r="P19" s="55">
        <v>0.68</v>
      </c>
      <c r="Q19" s="55">
        <v>9.57</v>
      </c>
      <c r="R19" s="43"/>
      <c r="S19" s="43"/>
      <c r="T19" s="43"/>
      <c r="U19" s="43"/>
    </row>
    <row r="20" spans="1:21" s="11" customFormat="1" x14ac:dyDescent="0.25">
      <c r="A20" s="54" t="s">
        <v>215</v>
      </c>
      <c r="B20" s="55">
        <v>8.2200000000000006</v>
      </c>
      <c r="C20" s="55">
        <v>31.82</v>
      </c>
      <c r="D20" s="55">
        <v>45.24</v>
      </c>
      <c r="E20" s="55">
        <v>8.2100000000000009</v>
      </c>
      <c r="F20" s="55">
        <v>14.54</v>
      </c>
      <c r="G20" s="55">
        <v>38.18</v>
      </c>
      <c r="H20" s="55">
        <v>16.96</v>
      </c>
      <c r="I20" s="55">
        <v>4.05</v>
      </c>
      <c r="J20" s="55">
        <v>0.95</v>
      </c>
      <c r="K20" s="55">
        <v>254.55</v>
      </c>
      <c r="L20" s="55">
        <v>41.05</v>
      </c>
      <c r="M20" s="55">
        <v>32.71</v>
      </c>
      <c r="N20" s="55">
        <v>1069.3</v>
      </c>
      <c r="O20" s="55">
        <v>0</v>
      </c>
      <c r="P20" s="55">
        <v>0.68</v>
      </c>
      <c r="Q20" s="55">
        <v>9.52</v>
      </c>
      <c r="R20" s="43"/>
      <c r="S20" s="43"/>
      <c r="T20" s="43"/>
      <c r="U20" s="43"/>
    </row>
    <row r="21" spans="1:21" s="11" customFormat="1" x14ac:dyDescent="0.25">
      <c r="A21" s="54" t="s">
        <v>216</v>
      </c>
      <c r="B21" s="55">
        <v>8.9</v>
      </c>
      <c r="C21" s="55">
        <v>28.92</v>
      </c>
      <c r="D21" s="55">
        <v>38.65</v>
      </c>
      <c r="E21" s="55">
        <v>9.67</v>
      </c>
      <c r="F21" s="55">
        <v>17.27</v>
      </c>
      <c r="G21" s="55">
        <v>40.090000000000003</v>
      </c>
      <c r="H21" s="55">
        <v>14.17</v>
      </c>
      <c r="I21" s="55">
        <v>4.0999999999999996</v>
      </c>
      <c r="J21" s="55">
        <v>0.91</v>
      </c>
      <c r="K21" s="55">
        <v>255.57</v>
      </c>
      <c r="L21" s="55">
        <v>40.770000000000003</v>
      </c>
      <c r="M21" s="55">
        <v>30.27</v>
      </c>
      <c r="N21" s="55">
        <v>1035.0999999999999</v>
      </c>
      <c r="O21" s="55">
        <v>0</v>
      </c>
      <c r="P21" s="55">
        <v>0.61</v>
      </c>
      <c r="Q21" s="55">
        <v>9.5500000000000007</v>
      </c>
      <c r="R21" s="43"/>
      <c r="S21" s="43"/>
      <c r="T21" s="43"/>
      <c r="U21" s="43"/>
    </row>
    <row r="22" spans="1:21" s="11" customFormat="1" x14ac:dyDescent="0.25">
      <c r="A22" s="54" t="s">
        <v>217</v>
      </c>
      <c r="B22" s="55">
        <v>8.0299999999999994</v>
      </c>
      <c r="C22" s="55">
        <v>25.66</v>
      </c>
      <c r="D22" s="55">
        <v>33.74</v>
      </c>
      <c r="E22" s="55">
        <v>6.56</v>
      </c>
      <c r="F22" s="55">
        <v>21.09</v>
      </c>
      <c r="G22" s="55">
        <v>36.07</v>
      </c>
      <c r="H22" s="55">
        <v>9.6</v>
      </c>
      <c r="I22" s="55">
        <v>4.0199999999999996</v>
      </c>
      <c r="J22" s="55">
        <v>1.94</v>
      </c>
      <c r="K22" s="55">
        <v>198.28</v>
      </c>
      <c r="L22" s="55">
        <v>39.69</v>
      </c>
      <c r="M22" s="55">
        <v>30.45</v>
      </c>
      <c r="N22" s="55">
        <v>985.8</v>
      </c>
      <c r="O22" s="55">
        <v>0</v>
      </c>
      <c r="P22" s="55">
        <v>0.46</v>
      </c>
      <c r="Q22" s="55">
        <v>9.5299999999999994</v>
      </c>
      <c r="R22" s="43"/>
      <c r="S22" s="43"/>
      <c r="T22" s="43"/>
      <c r="U22" s="43"/>
    </row>
    <row r="23" spans="1:21" s="11" customFormat="1" x14ac:dyDescent="0.25">
      <c r="A23" s="54" t="s">
        <v>218</v>
      </c>
      <c r="B23" s="55">
        <v>8.76</v>
      </c>
      <c r="C23" s="55">
        <v>24.34</v>
      </c>
      <c r="D23" s="55">
        <v>31.87</v>
      </c>
      <c r="E23" s="55">
        <v>7.45</v>
      </c>
      <c r="F23" s="55">
        <v>22.26</v>
      </c>
      <c r="G23" s="55">
        <v>35.03</v>
      </c>
      <c r="H23" s="55">
        <v>8.8000000000000007</v>
      </c>
      <c r="I23" s="55">
        <v>3.99</v>
      </c>
      <c r="J23" s="55">
        <v>1.48</v>
      </c>
      <c r="K23" s="55">
        <v>190.22</v>
      </c>
      <c r="L23" s="55">
        <v>39.659999999999997</v>
      </c>
      <c r="M23" s="55">
        <v>28.26</v>
      </c>
      <c r="N23" s="55">
        <v>495.3</v>
      </c>
      <c r="O23" s="55">
        <v>0</v>
      </c>
      <c r="P23" s="55">
        <v>0.38</v>
      </c>
      <c r="Q23" s="55">
        <v>9.51</v>
      </c>
      <c r="R23" s="43"/>
      <c r="S23" s="43"/>
      <c r="T23" s="43"/>
      <c r="U23" s="43"/>
    </row>
    <row r="24" spans="1:21" s="11" customFormat="1" x14ac:dyDescent="0.25">
      <c r="A24" s="54" t="s">
        <v>219</v>
      </c>
      <c r="B24" s="55">
        <v>8.17</v>
      </c>
      <c r="C24" s="55">
        <v>26.46</v>
      </c>
      <c r="D24" s="55">
        <v>37.22</v>
      </c>
      <c r="E24" s="55">
        <v>7.99</v>
      </c>
      <c r="F24" s="55">
        <v>24.44</v>
      </c>
      <c r="G24" s="55">
        <v>22.77</v>
      </c>
      <c r="H24" s="55">
        <v>6.95</v>
      </c>
      <c r="I24" s="55">
        <v>4.1399999999999997</v>
      </c>
      <c r="J24" s="55">
        <v>1.26</v>
      </c>
      <c r="K24" s="55">
        <v>180.03</v>
      </c>
      <c r="L24" s="55">
        <v>39.5</v>
      </c>
      <c r="M24" s="55">
        <v>27.87</v>
      </c>
      <c r="N24" s="55">
        <v>457.4</v>
      </c>
      <c r="O24" s="55">
        <v>0</v>
      </c>
      <c r="P24" s="55">
        <v>0.23</v>
      </c>
      <c r="Q24" s="55">
        <v>9.48</v>
      </c>
      <c r="R24" s="43"/>
      <c r="S24" s="43"/>
      <c r="T24" s="43"/>
      <c r="U24" s="43"/>
    </row>
    <row r="25" spans="1:21" s="11" customFormat="1" x14ac:dyDescent="0.25">
      <c r="A25" s="54" t="s">
        <v>220</v>
      </c>
      <c r="B25" s="55">
        <v>7.64</v>
      </c>
      <c r="C25" s="55">
        <v>26.11</v>
      </c>
      <c r="D25" s="55">
        <v>36.33</v>
      </c>
      <c r="E25" s="55">
        <v>6.28</v>
      </c>
      <c r="F25" s="55">
        <v>22.12</v>
      </c>
      <c r="G25" s="55">
        <v>29.15</v>
      </c>
      <c r="H25" s="55">
        <v>4.43</v>
      </c>
      <c r="I25" s="55">
        <v>4.05</v>
      </c>
      <c r="J25" s="55">
        <v>1.29</v>
      </c>
      <c r="K25" s="55">
        <v>163.04</v>
      </c>
      <c r="L25" s="55">
        <v>39.270000000000003</v>
      </c>
      <c r="M25" s="55">
        <v>28.05</v>
      </c>
      <c r="N25" s="55">
        <v>386.7</v>
      </c>
      <c r="O25" s="55">
        <v>0</v>
      </c>
      <c r="P25" s="55">
        <v>0.2</v>
      </c>
      <c r="Q25" s="55">
        <v>9.49</v>
      </c>
      <c r="R25" s="43"/>
      <c r="S25" s="43"/>
      <c r="T25" s="43"/>
      <c r="U25" s="43"/>
    </row>
    <row r="26" spans="1:21" s="11" customFormat="1" x14ac:dyDescent="0.25">
      <c r="A26" s="54" t="s">
        <v>221</v>
      </c>
      <c r="B26" s="55">
        <v>7.31</v>
      </c>
      <c r="C26" s="55">
        <v>28.98</v>
      </c>
      <c r="D26" s="55">
        <v>41.29</v>
      </c>
      <c r="E26" s="55">
        <v>6.55</v>
      </c>
      <c r="F26" s="55">
        <v>22.84</v>
      </c>
      <c r="G26" s="55">
        <v>28.61</v>
      </c>
      <c r="H26" s="55">
        <v>5.33</v>
      </c>
      <c r="I26" s="55">
        <v>4.0599999999999996</v>
      </c>
      <c r="J26" s="55">
        <v>1.43</v>
      </c>
      <c r="K26" s="55">
        <v>185.03</v>
      </c>
      <c r="L26" s="55">
        <v>38.659999999999997</v>
      </c>
      <c r="M26" s="55">
        <v>30.11</v>
      </c>
      <c r="N26" s="55">
        <v>152.5</v>
      </c>
      <c r="O26" s="55">
        <v>0</v>
      </c>
      <c r="P26" s="55">
        <v>0.24</v>
      </c>
      <c r="Q26" s="55">
        <v>9.51</v>
      </c>
      <c r="R26" s="43"/>
      <c r="S26" s="43"/>
      <c r="T26" s="43"/>
      <c r="U26" s="43"/>
    </row>
    <row r="27" spans="1:21" s="11" customFormat="1" x14ac:dyDescent="0.25">
      <c r="A27" s="54" t="s">
        <v>222</v>
      </c>
      <c r="B27" s="55">
        <v>15.91</v>
      </c>
      <c r="C27" s="55">
        <v>51.81</v>
      </c>
      <c r="D27" s="55">
        <v>71.7</v>
      </c>
      <c r="E27" s="55">
        <v>7.07</v>
      </c>
      <c r="F27" s="55">
        <v>23.84</v>
      </c>
      <c r="G27" s="55">
        <v>32.6</v>
      </c>
      <c r="H27" s="55">
        <v>8.91</v>
      </c>
      <c r="I27" s="55">
        <v>4.1100000000000003</v>
      </c>
      <c r="J27" s="55">
        <v>0.91</v>
      </c>
      <c r="K27" s="55">
        <v>232.17</v>
      </c>
      <c r="L27" s="55">
        <v>37.549999999999997</v>
      </c>
      <c r="M27" s="55">
        <v>32.67</v>
      </c>
      <c r="N27" s="55">
        <v>73.900000000000006</v>
      </c>
      <c r="O27" s="55">
        <v>0</v>
      </c>
      <c r="P27" s="55">
        <v>0.84</v>
      </c>
      <c r="Q27" s="55">
        <v>9.52</v>
      </c>
      <c r="R27" s="43"/>
      <c r="S27" s="43"/>
      <c r="T27" s="43"/>
      <c r="U27" s="43"/>
    </row>
    <row r="28" spans="1:21" s="11" customFormat="1" x14ac:dyDescent="0.25">
      <c r="A28" s="54" t="s">
        <v>223</v>
      </c>
      <c r="B28" s="55">
        <v>46.4</v>
      </c>
      <c r="C28" s="55">
        <v>88.81</v>
      </c>
      <c r="D28" s="55">
        <v>95.71</v>
      </c>
      <c r="E28" s="55">
        <v>7.66</v>
      </c>
      <c r="F28" s="55">
        <v>14.61</v>
      </c>
      <c r="G28" s="55">
        <v>35.22</v>
      </c>
      <c r="H28" s="55">
        <v>7.29</v>
      </c>
      <c r="I28" s="55">
        <v>4.12</v>
      </c>
      <c r="J28" s="55">
        <v>0.55000000000000004</v>
      </c>
      <c r="K28" s="55">
        <v>261.68</v>
      </c>
      <c r="L28" s="55">
        <v>35.83</v>
      </c>
      <c r="M28" s="55">
        <v>36.85</v>
      </c>
      <c r="N28" s="55">
        <v>55.2</v>
      </c>
      <c r="O28" s="55">
        <v>0</v>
      </c>
      <c r="P28" s="55">
        <v>1.37</v>
      </c>
      <c r="Q28" s="55">
        <v>9.51</v>
      </c>
      <c r="R28" s="43"/>
      <c r="S28" s="43"/>
      <c r="T28" s="43"/>
      <c r="U28" s="43"/>
    </row>
    <row r="29" spans="1:21" s="11" customFormat="1" x14ac:dyDescent="0.25">
      <c r="A29" s="54" t="s">
        <v>224</v>
      </c>
      <c r="B29" s="55">
        <v>16.829999999999998</v>
      </c>
      <c r="C29" s="55">
        <v>55.83</v>
      </c>
      <c r="D29" s="55">
        <v>83.34</v>
      </c>
      <c r="E29" s="55">
        <v>7.06</v>
      </c>
      <c r="F29" s="55">
        <v>15.4</v>
      </c>
      <c r="G29" s="55">
        <v>38.9</v>
      </c>
      <c r="H29" s="55">
        <v>7.07</v>
      </c>
      <c r="I29" s="55">
        <v>4.13</v>
      </c>
      <c r="J29" s="55">
        <v>0.65</v>
      </c>
      <c r="K29" s="55">
        <v>241.16</v>
      </c>
      <c r="L29" s="55">
        <v>34.659999999999997</v>
      </c>
      <c r="M29" s="55">
        <v>37.450000000000003</v>
      </c>
      <c r="N29" s="55">
        <v>54.7</v>
      </c>
      <c r="O29" s="55">
        <v>0</v>
      </c>
      <c r="P29" s="55">
        <v>0.67</v>
      </c>
      <c r="Q29" s="55">
        <v>9.52</v>
      </c>
      <c r="R29" s="43"/>
      <c r="S29" s="43"/>
      <c r="T29" s="43"/>
      <c r="U29" s="43"/>
    </row>
    <row r="30" spans="1:21" s="11" customFormat="1" x14ac:dyDescent="0.25">
      <c r="A30" s="54" t="s">
        <v>225</v>
      </c>
      <c r="B30" s="55">
        <v>13.62</v>
      </c>
      <c r="C30" s="55">
        <v>51.29</v>
      </c>
      <c r="D30" s="55">
        <v>76.540000000000006</v>
      </c>
      <c r="E30" s="55">
        <v>6.93</v>
      </c>
      <c r="F30" s="55">
        <v>16.760000000000002</v>
      </c>
      <c r="G30" s="55">
        <v>41.63</v>
      </c>
      <c r="H30" s="55">
        <v>12.41</v>
      </c>
      <c r="I30" s="55">
        <v>4.05</v>
      </c>
      <c r="J30" s="55">
        <v>0.71</v>
      </c>
      <c r="K30" s="55">
        <v>221.69</v>
      </c>
      <c r="L30" s="55">
        <v>33.979999999999997</v>
      </c>
      <c r="M30" s="55">
        <v>39</v>
      </c>
      <c r="N30" s="55">
        <v>54.5</v>
      </c>
      <c r="O30" s="55">
        <v>0</v>
      </c>
      <c r="P30" s="55">
        <v>0.6</v>
      </c>
      <c r="Q30" s="55">
        <v>9.5399999999999991</v>
      </c>
      <c r="R30" s="43"/>
      <c r="S30" s="43"/>
      <c r="T30" s="43"/>
      <c r="U30" s="43"/>
    </row>
    <row r="31" spans="1:21" s="11" customFormat="1" x14ac:dyDescent="0.25">
      <c r="A31" s="54" t="s">
        <v>226</v>
      </c>
      <c r="B31" s="55">
        <v>84.57</v>
      </c>
      <c r="C31" s="55">
        <v>117.38</v>
      </c>
      <c r="D31" s="55">
        <v>91.81</v>
      </c>
      <c r="E31" s="55">
        <v>6.64</v>
      </c>
      <c r="F31" s="55">
        <v>11.03</v>
      </c>
      <c r="G31" s="55">
        <v>39.909999999999997</v>
      </c>
      <c r="H31" s="55">
        <v>11.34</v>
      </c>
      <c r="I31" s="55">
        <v>4.0599999999999996</v>
      </c>
      <c r="J31" s="55">
        <v>0.87</v>
      </c>
      <c r="K31" s="55">
        <v>278.26</v>
      </c>
      <c r="L31" s="55">
        <v>33.020000000000003</v>
      </c>
      <c r="M31" s="55">
        <v>42.25</v>
      </c>
      <c r="N31" s="55">
        <v>35.6</v>
      </c>
      <c r="O31" s="55">
        <v>0</v>
      </c>
      <c r="P31" s="55">
        <v>1.21</v>
      </c>
      <c r="Q31" s="55">
        <v>9.52</v>
      </c>
      <c r="R31" s="43"/>
      <c r="S31" s="43"/>
      <c r="T31" s="43"/>
      <c r="U31" s="43"/>
    </row>
    <row r="32" spans="1:21" s="11" customFormat="1" x14ac:dyDescent="0.25">
      <c r="A32" s="54" t="s">
        <v>227</v>
      </c>
      <c r="B32" s="55">
        <v>15.6</v>
      </c>
      <c r="C32" s="55">
        <v>36.85</v>
      </c>
      <c r="D32" s="55">
        <v>43.54</v>
      </c>
      <c r="E32" s="55">
        <v>6.3</v>
      </c>
      <c r="F32" s="55">
        <v>15.71</v>
      </c>
      <c r="G32" s="55">
        <v>43.02</v>
      </c>
      <c r="H32" s="55">
        <v>12.05</v>
      </c>
      <c r="I32" s="55">
        <v>4.03</v>
      </c>
      <c r="J32" s="55">
        <v>0.93</v>
      </c>
      <c r="K32" s="55">
        <v>170.34</v>
      </c>
      <c r="L32" s="55">
        <v>32.85</v>
      </c>
      <c r="M32" s="55">
        <v>43.03</v>
      </c>
      <c r="N32" s="55">
        <v>28.4</v>
      </c>
      <c r="O32" s="55">
        <v>0</v>
      </c>
      <c r="P32" s="55">
        <v>0.48</v>
      </c>
      <c r="Q32" s="55">
        <v>9.56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7.31</v>
      </c>
      <c r="C34" s="28">
        <f t="shared" si="0"/>
        <v>24.34</v>
      </c>
      <c r="D34" s="28">
        <f t="shared" si="0"/>
        <v>31.87</v>
      </c>
      <c r="E34" s="28">
        <f t="shared" si="0"/>
        <v>4.3099999999999996</v>
      </c>
      <c r="F34" s="28">
        <f t="shared" si="0"/>
        <v>6.27</v>
      </c>
      <c r="G34" s="28">
        <f t="shared" si="0"/>
        <v>22.77</v>
      </c>
      <c r="H34" s="28">
        <f t="shared" si="0"/>
        <v>3.03</v>
      </c>
      <c r="I34" s="28">
        <f t="shared" si="0"/>
        <v>3.99</v>
      </c>
      <c r="J34" s="28">
        <f t="shared" si="0"/>
        <v>0.23</v>
      </c>
      <c r="K34" s="28">
        <f t="shared" si="0"/>
        <v>163.04</v>
      </c>
      <c r="L34" s="28">
        <f t="shared" si="0"/>
        <v>27.95</v>
      </c>
      <c r="M34" s="28">
        <f t="shared" si="0"/>
        <v>27.87</v>
      </c>
      <c r="N34" s="28">
        <f t="shared" si="0"/>
        <v>28.4</v>
      </c>
      <c r="O34" s="28">
        <f t="shared" si="0"/>
        <v>0</v>
      </c>
      <c r="P34" s="28">
        <f t="shared" si="0"/>
        <v>0.2</v>
      </c>
      <c r="Q34" s="28">
        <f t="shared" si="0"/>
        <v>9.48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84.57</v>
      </c>
      <c r="C35" s="29">
        <f t="shared" si="1"/>
        <v>117.38</v>
      </c>
      <c r="D35" s="29">
        <f t="shared" si="1"/>
        <v>95.71</v>
      </c>
      <c r="E35" s="29">
        <f t="shared" si="1"/>
        <v>9.67</v>
      </c>
      <c r="F35" s="29">
        <f t="shared" si="1"/>
        <v>24.44</v>
      </c>
      <c r="G35" s="29">
        <f t="shared" si="1"/>
        <v>48.27</v>
      </c>
      <c r="H35" s="29">
        <f t="shared" si="1"/>
        <v>19.09</v>
      </c>
      <c r="I35" s="29">
        <f t="shared" si="1"/>
        <v>4.26</v>
      </c>
      <c r="J35" s="29">
        <f t="shared" si="1"/>
        <v>1.94</v>
      </c>
      <c r="K35" s="29">
        <f t="shared" si="1"/>
        <v>292.19</v>
      </c>
      <c r="L35" s="29">
        <f t="shared" si="1"/>
        <v>41.05</v>
      </c>
      <c r="M35" s="29">
        <f t="shared" si="1"/>
        <v>70.77</v>
      </c>
      <c r="N35" s="29">
        <f t="shared" si="1"/>
        <v>1069.3</v>
      </c>
      <c r="O35" s="29">
        <f t="shared" si="1"/>
        <v>0</v>
      </c>
      <c r="P35" s="29">
        <f t="shared" si="1"/>
        <v>1.37</v>
      </c>
      <c r="Q35" s="29">
        <f t="shared" si="1"/>
        <v>9.67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19.549583333333334</v>
      </c>
      <c r="C36" s="28">
        <f t="shared" si="2"/>
        <v>41.738333333333337</v>
      </c>
      <c r="D36" s="28">
        <f t="shared" si="2"/>
        <v>48.258333333333333</v>
      </c>
      <c r="E36" s="28">
        <f t="shared" si="2"/>
        <v>6.336666666666666</v>
      </c>
      <c r="F36" s="28">
        <f t="shared" si="2"/>
        <v>14.512083333333329</v>
      </c>
      <c r="G36" s="28">
        <f t="shared" si="2"/>
        <v>34.994166666666665</v>
      </c>
      <c r="H36" s="28">
        <f t="shared" si="2"/>
        <v>9.2762499999999992</v>
      </c>
      <c r="I36" s="28">
        <f t="shared" si="2"/>
        <v>4.0887499999999992</v>
      </c>
      <c r="J36" s="28">
        <f t="shared" si="2"/>
        <v>0.83791666666666664</v>
      </c>
      <c r="K36" s="28">
        <f t="shared" si="2"/>
        <v>234.91458333333335</v>
      </c>
      <c r="L36" s="28">
        <f t="shared" si="2"/>
        <v>35.21125</v>
      </c>
      <c r="M36" s="28">
        <f t="shared" si="2"/>
        <v>44.663333333333327</v>
      </c>
      <c r="N36" s="28">
        <f t="shared" si="2"/>
        <v>361.37083333333339</v>
      </c>
      <c r="O36" s="28">
        <f t="shared" si="2"/>
        <v>0</v>
      </c>
      <c r="P36" s="28">
        <f t="shared" si="2"/>
        <v>0.55458333333333343</v>
      </c>
      <c r="Q36" s="28">
        <f t="shared" si="2"/>
        <v>9.5716666666666672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16.370848024345953</v>
      </c>
      <c r="C37" s="28">
        <f t="shared" ref="C37:Q37" si="3">STDEV(C9:C32)</f>
        <v>21.053417912469733</v>
      </c>
      <c r="D37" s="28">
        <f t="shared" si="3"/>
        <v>19.539266522361679</v>
      </c>
      <c r="E37" s="28">
        <f t="shared" si="3"/>
        <v>1.420338804243763</v>
      </c>
      <c r="F37" s="28">
        <f t="shared" si="3"/>
        <v>5.7307848913577777</v>
      </c>
      <c r="G37" s="28">
        <f t="shared" si="3"/>
        <v>6.0279652033462972</v>
      </c>
      <c r="H37" s="28">
        <f t="shared" si="3"/>
        <v>4.3004982648626831</v>
      </c>
      <c r="I37" s="28">
        <f t="shared" si="3"/>
        <v>5.5349678919771009E-2</v>
      </c>
      <c r="J37" s="28">
        <f t="shared" si="3"/>
        <v>0.40786804309691893</v>
      </c>
      <c r="K37" s="28">
        <f t="shared" si="3"/>
        <v>36.275864653244987</v>
      </c>
      <c r="L37" s="28">
        <f t="shared" si="3"/>
        <v>4.5450099846831709</v>
      </c>
      <c r="M37" s="28">
        <f t="shared" si="3"/>
        <v>15.45336818967948</v>
      </c>
      <c r="N37" s="28">
        <f t="shared" si="3"/>
        <v>381.44253026495016</v>
      </c>
      <c r="O37" s="28">
        <f t="shared" si="3"/>
        <v>0</v>
      </c>
      <c r="P37" s="28">
        <f t="shared" si="3"/>
        <v>0.27411484687145676</v>
      </c>
      <c r="Q37" s="28">
        <f t="shared" si="3"/>
        <v>6.2877843382274298E-2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24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1" sqref="G51"/>
    </sheetView>
  </sheetViews>
  <sheetFormatPr defaultColWidth="8.85546875" defaultRowHeight="15" x14ac:dyDescent="0.25"/>
  <cols>
    <col min="1" max="1" width="18.28515625" style="26" customWidth="1"/>
    <col min="2" max="2" width="13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08/05/2025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4" t="s">
        <v>228</v>
      </c>
      <c r="B9" s="55">
        <v>13.74</v>
      </c>
      <c r="C9" s="55">
        <v>30</v>
      </c>
      <c r="D9" s="55">
        <v>33.56</v>
      </c>
      <c r="E9" s="55">
        <v>6.72</v>
      </c>
      <c r="F9" s="55">
        <v>13.55</v>
      </c>
      <c r="G9" s="55">
        <v>39.67</v>
      </c>
      <c r="H9" s="55">
        <v>12.53</v>
      </c>
      <c r="I9" s="55">
        <v>4.07</v>
      </c>
      <c r="J9" s="55">
        <v>1.21</v>
      </c>
      <c r="K9" s="55">
        <v>166.29</v>
      </c>
      <c r="L9" s="55">
        <v>32.17</v>
      </c>
      <c r="M9" s="55">
        <v>47.19</v>
      </c>
      <c r="N9" s="55">
        <v>28.5</v>
      </c>
      <c r="O9" s="55">
        <v>0</v>
      </c>
      <c r="P9" s="55">
        <v>0.48</v>
      </c>
      <c r="Q9" s="55">
        <v>9.56</v>
      </c>
      <c r="R9" s="43"/>
      <c r="S9" s="43"/>
      <c r="T9" s="43"/>
      <c r="U9" s="43"/>
    </row>
    <row r="10" spans="1:21" s="11" customFormat="1" x14ac:dyDescent="0.25">
      <c r="A10" s="54" t="s">
        <v>229</v>
      </c>
      <c r="B10" s="55">
        <v>11.36</v>
      </c>
      <c r="C10" s="55">
        <v>26.68</v>
      </c>
      <c r="D10" s="55">
        <v>30.76</v>
      </c>
      <c r="E10" s="55">
        <v>7.1</v>
      </c>
      <c r="F10" s="55">
        <v>13.56</v>
      </c>
      <c r="G10" s="55">
        <v>37.590000000000003</v>
      </c>
      <c r="H10" s="55">
        <v>10.59</v>
      </c>
      <c r="I10" s="55">
        <v>4.0999999999999996</v>
      </c>
      <c r="J10" s="55">
        <v>0.98</v>
      </c>
      <c r="K10" s="55">
        <v>226.08</v>
      </c>
      <c r="L10" s="55">
        <v>30.94</v>
      </c>
      <c r="M10" s="55">
        <v>51.89</v>
      </c>
      <c r="N10" s="55">
        <v>28.7</v>
      </c>
      <c r="O10" s="55">
        <v>0</v>
      </c>
      <c r="P10" s="55">
        <v>0.28000000000000003</v>
      </c>
      <c r="Q10" s="55">
        <v>9.56</v>
      </c>
      <c r="R10" s="43"/>
      <c r="S10" s="43"/>
      <c r="T10" s="43"/>
      <c r="U10" s="43"/>
    </row>
    <row r="11" spans="1:21" s="11" customFormat="1" x14ac:dyDescent="0.25">
      <c r="A11" s="54" t="s">
        <v>230</v>
      </c>
      <c r="B11" s="55">
        <v>9.64</v>
      </c>
      <c r="C11" s="55">
        <v>25.88</v>
      </c>
      <c r="D11" s="55">
        <v>31.69</v>
      </c>
      <c r="E11" s="55">
        <v>6.95</v>
      </c>
      <c r="F11" s="55">
        <v>14.75</v>
      </c>
      <c r="G11" s="55">
        <v>32.06</v>
      </c>
      <c r="H11" s="55">
        <v>11.32</v>
      </c>
      <c r="I11" s="55">
        <v>4.0999999999999996</v>
      </c>
      <c r="J11" s="55">
        <v>0.44</v>
      </c>
      <c r="K11" s="55">
        <v>239.99</v>
      </c>
      <c r="L11" s="55">
        <v>30.13</v>
      </c>
      <c r="M11" s="55">
        <v>56.03</v>
      </c>
      <c r="N11" s="55">
        <v>28.7</v>
      </c>
      <c r="O11" s="55">
        <v>0</v>
      </c>
      <c r="P11" s="55">
        <v>0.23</v>
      </c>
      <c r="Q11" s="55">
        <v>9.56</v>
      </c>
      <c r="R11" s="43"/>
      <c r="S11" s="43"/>
      <c r="T11" s="43"/>
      <c r="U11" s="43"/>
    </row>
    <row r="12" spans="1:21" s="11" customFormat="1" x14ac:dyDescent="0.25">
      <c r="A12" s="54" t="s">
        <v>231</v>
      </c>
      <c r="B12" s="55">
        <v>8.0500000000000007</v>
      </c>
      <c r="C12" s="55">
        <v>21.48</v>
      </c>
      <c r="D12" s="55">
        <v>26.29</v>
      </c>
      <c r="E12" s="55">
        <v>6.87</v>
      </c>
      <c r="F12" s="55">
        <v>13.75</v>
      </c>
      <c r="G12" s="55">
        <v>31.78</v>
      </c>
      <c r="H12" s="55">
        <v>9.44</v>
      </c>
      <c r="I12" s="55">
        <v>4.1500000000000004</v>
      </c>
      <c r="J12" s="55">
        <v>0.56999999999999995</v>
      </c>
      <c r="K12" s="55">
        <v>241.82</v>
      </c>
      <c r="L12" s="55">
        <v>29.42</v>
      </c>
      <c r="M12" s="55">
        <v>59.46</v>
      </c>
      <c r="N12" s="55">
        <v>28.7</v>
      </c>
      <c r="O12" s="55">
        <v>0</v>
      </c>
      <c r="P12" s="55">
        <v>0.21</v>
      </c>
      <c r="Q12" s="55">
        <v>9.57</v>
      </c>
      <c r="R12" s="43"/>
      <c r="S12" s="43"/>
      <c r="T12" s="43"/>
      <c r="U12" s="43"/>
    </row>
    <row r="13" spans="1:21" s="11" customFormat="1" x14ac:dyDescent="0.25">
      <c r="A13" s="54" t="s">
        <v>232</v>
      </c>
      <c r="B13" s="55">
        <v>10.29</v>
      </c>
      <c r="C13" s="55">
        <v>28.87</v>
      </c>
      <c r="D13" s="55">
        <v>36.409999999999997</v>
      </c>
      <c r="E13" s="55">
        <v>6.76</v>
      </c>
      <c r="F13" s="55">
        <v>10.17</v>
      </c>
      <c r="G13" s="55">
        <v>30.15</v>
      </c>
      <c r="H13" s="55">
        <v>7.71</v>
      </c>
      <c r="I13" s="55">
        <v>4.0999999999999996</v>
      </c>
      <c r="J13" s="55">
        <v>0.81</v>
      </c>
      <c r="K13" s="55">
        <v>205.17</v>
      </c>
      <c r="L13" s="55">
        <v>29.1</v>
      </c>
      <c r="M13" s="55">
        <v>61.88</v>
      </c>
      <c r="N13" s="55">
        <v>28.6</v>
      </c>
      <c r="O13" s="55">
        <v>0</v>
      </c>
      <c r="P13" s="55">
        <v>0.26</v>
      </c>
      <c r="Q13" s="55">
        <v>9.57</v>
      </c>
      <c r="R13" s="43"/>
      <c r="S13" s="43"/>
      <c r="T13" s="43"/>
      <c r="U13" s="43"/>
    </row>
    <row r="14" spans="1:21" s="11" customFormat="1" x14ac:dyDescent="0.25">
      <c r="A14" s="54" t="s">
        <v>233</v>
      </c>
      <c r="B14" s="55">
        <v>12.44</v>
      </c>
      <c r="C14" s="55">
        <v>32.049999999999997</v>
      </c>
      <c r="D14" s="55">
        <v>39.21</v>
      </c>
      <c r="E14" s="55">
        <v>6.81</v>
      </c>
      <c r="F14" s="55">
        <v>9.9700000000000006</v>
      </c>
      <c r="G14" s="55">
        <v>28.38</v>
      </c>
      <c r="H14" s="55">
        <v>8.61</v>
      </c>
      <c r="I14" s="55">
        <v>4.12</v>
      </c>
      <c r="J14" s="55">
        <v>0.69</v>
      </c>
      <c r="K14" s="55">
        <v>214.17</v>
      </c>
      <c r="L14" s="55">
        <v>28.69</v>
      </c>
      <c r="M14" s="55">
        <v>64.400000000000006</v>
      </c>
      <c r="N14" s="55">
        <v>60.6</v>
      </c>
      <c r="O14" s="55">
        <v>0</v>
      </c>
      <c r="P14" s="55">
        <v>0.28000000000000003</v>
      </c>
      <c r="Q14" s="55">
        <v>9.56</v>
      </c>
      <c r="R14" s="43"/>
      <c r="S14" s="43"/>
      <c r="T14" s="43"/>
      <c r="U14" s="43"/>
    </row>
    <row r="15" spans="1:21" s="11" customFormat="1" x14ac:dyDescent="0.25">
      <c r="A15" s="54" t="s">
        <v>234</v>
      </c>
      <c r="B15" s="55">
        <v>14.48</v>
      </c>
      <c r="C15" s="55">
        <v>32.61</v>
      </c>
      <c r="D15" s="55">
        <v>37.799999999999997</v>
      </c>
      <c r="E15" s="55">
        <v>6.43</v>
      </c>
      <c r="F15" s="55">
        <v>8.86</v>
      </c>
      <c r="G15" s="55">
        <v>29.1</v>
      </c>
      <c r="H15" s="55">
        <v>10.87</v>
      </c>
      <c r="I15" s="55">
        <v>4.1100000000000003</v>
      </c>
      <c r="J15" s="55">
        <v>0.83</v>
      </c>
      <c r="K15" s="55">
        <v>208.88</v>
      </c>
      <c r="L15" s="55">
        <v>30.94</v>
      </c>
      <c r="M15" s="55">
        <v>62.69</v>
      </c>
      <c r="N15" s="55">
        <v>227.1</v>
      </c>
      <c r="O15" s="55">
        <v>0</v>
      </c>
      <c r="P15" s="55">
        <v>0.28000000000000003</v>
      </c>
      <c r="Q15" s="55">
        <v>9.57</v>
      </c>
      <c r="R15" s="43"/>
      <c r="S15" s="43"/>
      <c r="T15" s="43"/>
      <c r="U15" s="43"/>
    </row>
    <row r="16" spans="1:21" s="11" customFormat="1" x14ac:dyDescent="0.25">
      <c r="A16" s="54" t="s">
        <v>235</v>
      </c>
      <c r="B16" s="55">
        <v>12.96</v>
      </c>
      <c r="C16" s="55">
        <v>29.75</v>
      </c>
      <c r="D16" s="55">
        <v>35.19</v>
      </c>
      <c r="E16" s="55">
        <v>6.29</v>
      </c>
      <c r="F16" s="55">
        <v>9.67</v>
      </c>
      <c r="G16" s="55">
        <v>31</v>
      </c>
      <c r="H16" s="55">
        <v>10</v>
      </c>
      <c r="I16" s="55">
        <v>4.1500000000000004</v>
      </c>
      <c r="J16" s="55">
        <v>1.1499999999999999</v>
      </c>
      <c r="K16" s="55">
        <v>236.8</v>
      </c>
      <c r="L16" s="55">
        <v>34.229999999999997</v>
      </c>
      <c r="M16" s="55">
        <v>55.75</v>
      </c>
      <c r="N16" s="55">
        <v>439.7</v>
      </c>
      <c r="O16" s="55">
        <v>0</v>
      </c>
      <c r="P16" s="55">
        <v>0.35</v>
      </c>
      <c r="Q16" s="55">
        <v>9.57</v>
      </c>
      <c r="R16" s="43"/>
      <c r="S16" s="43"/>
      <c r="T16" s="43"/>
      <c r="U16" s="43"/>
    </row>
    <row r="17" spans="1:21" s="11" customFormat="1" x14ac:dyDescent="0.25">
      <c r="A17" s="54" t="s">
        <v>236</v>
      </c>
      <c r="B17" s="55">
        <v>10.58</v>
      </c>
      <c r="C17" s="55">
        <v>26.87</v>
      </c>
      <c r="D17" s="55">
        <v>32.61</v>
      </c>
      <c r="E17" s="55">
        <v>5.61</v>
      </c>
      <c r="F17" s="55">
        <v>12.89</v>
      </c>
      <c r="G17" s="55">
        <v>30.54</v>
      </c>
      <c r="H17" s="55">
        <v>8.3000000000000007</v>
      </c>
      <c r="I17" s="55">
        <v>4.13</v>
      </c>
      <c r="J17" s="55">
        <v>0.95</v>
      </c>
      <c r="K17" s="55">
        <v>242.05</v>
      </c>
      <c r="L17" s="55">
        <v>36.32</v>
      </c>
      <c r="M17" s="55">
        <v>50.59</v>
      </c>
      <c r="N17" s="55">
        <v>642</v>
      </c>
      <c r="O17" s="55">
        <v>0</v>
      </c>
      <c r="P17" s="55">
        <v>0.33</v>
      </c>
      <c r="Q17" s="55">
        <v>9.59</v>
      </c>
      <c r="R17" s="43"/>
      <c r="S17" s="43"/>
      <c r="T17" s="43"/>
      <c r="U17" s="43"/>
    </row>
    <row r="18" spans="1:21" s="11" customFormat="1" x14ac:dyDescent="0.25">
      <c r="A18" s="54" t="s">
        <v>237</v>
      </c>
      <c r="B18" s="55">
        <v>9.2100000000000009</v>
      </c>
      <c r="C18" s="55">
        <v>28.42</v>
      </c>
      <c r="D18" s="55">
        <v>37.22</v>
      </c>
      <c r="E18" s="55">
        <v>5.53</v>
      </c>
      <c r="F18" s="55">
        <v>9.2799999999999994</v>
      </c>
      <c r="G18" s="55">
        <v>30.08</v>
      </c>
      <c r="H18" s="55">
        <v>12.37</v>
      </c>
      <c r="I18" s="55">
        <v>4</v>
      </c>
      <c r="J18" s="55">
        <v>1</v>
      </c>
      <c r="K18" s="55">
        <v>254.65</v>
      </c>
      <c r="L18" s="55">
        <v>38.07</v>
      </c>
      <c r="M18" s="55">
        <v>38.44</v>
      </c>
      <c r="N18" s="55">
        <v>804.3</v>
      </c>
      <c r="O18" s="55">
        <v>0</v>
      </c>
      <c r="P18" s="55">
        <v>0.36</v>
      </c>
      <c r="Q18" s="55">
        <v>9.5500000000000007</v>
      </c>
      <c r="R18" s="43"/>
      <c r="S18" s="43"/>
      <c r="T18" s="43"/>
      <c r="U18" s="43"/>
    </row>
    <row r="19" spans="1:21" s="11" customFormat="1" x14ac:dyDescent="0.25">
      <c r="A19" s="54" t="s">
        <v>238</v>
      </c>
      <c r="B19" s="55">
        <v>8.9600000000000009</v>
      </c>
      <c r="C19" s="55">
        <v>27.65</v>
      </c>
      <c r="D19" s="55">
        <v>38.47</v>
      </c>
      <c r="E19" s="55">
        <v>5.55</v>
      </c>
      <c r="F19" s="55">
        <v>9.85</v>
      </c>
      <c r="G19" s="55">
        <v>30.12</v>
      </c>
      <c r="H19" s="55">
        <v>13.43</v>
      </c>
      <c r="I19" s="55">
        <v>4.0599999999999996</v>
      </c>
      <c r="J19" s="55">
        <v>0.99</v>
      </c>
      <c r="K19" s="55">
        <v>254.91</v>
      </c>
      <c r="L19" s="55">
        <v>40.020000000000003</v>
      </c>
      <c r="M19" s="55">
        <v>37.54</v>
      </c>
      <c r="N19" s="55">
        <v>873.9</v>
      </c>
      <c r="O19" s="55">
        <v>0</v>
      </c>
      <c r="P19" s="55">
        <v>0.37</v>
      </c>
      <c r="Q19" s="55">
        <v>9.5299999999999994</v>
      </c>
      <c r="R19" s="43"/>
      <c r="S19" s="43"/>
      <c r="T19" s="43"/>
      <c r="U19" s="43"/>
    </row>
    <row r="20" spans="1:21" s="11" customFormat="1" x14ac:dyDescent="0.25">
      <c r="A20" s="54" t="s">
        <v>239</v>
      </c>
      <c r="B20" s="55">
        <v>7.4</v>
      </c>
      <c r="C20" s="55">
        <v>30.27</v>
      </c>
      <c r="D20" s="55">
        <v>43.52</v>
      </c>
      <c r="E20" s="55">
        <v>5.87</v>
      </c>
      <c r="F20" s="55">
        <v>13.52</v>
      </c>
      <c r="G20" s="55">
        <v>21.99</v>
      </c>
      <c r="H20" s="55">
        <v>15.3</v>
      </c>
      <c r="I20" s="55">
        <v>4.12</v>
      </c>
      <c r="J20" s="55">
        <v>0.76</v>
      </c>
      <c r="K20" s="55">
        <v>259.97000000000003</v>
      </c>
      <c r="L20" s="55">
        <v>41.1</v>
      </c>
      <c r="M20" s="55">
        <v>33.619999999999997</v>
      </c>
      <c r="N20" s="55">
        <v>919.2</v>
      </c>
      <c r="O20" s="55">
        <v>0</v>
      </c>
      <c r="P20" s="55">
        <v>0.4</v>
      </c>
      <c r="Q20" s="55">
        <v>9.52</v>
      </c>
      <c r="R20" s="43"/>
      <c r="S20" s="43"/>
      <c r="T20" s="43"/>
      <c r="U20" s="43"/>
    </row>
    <row r="21" spans="1:21" s="11" customFormat="1" x14ac:dyDescent="0.25">
      <c r="A21" s="54" t="s">
        <v>240</v>
      </c>
      <c r="B21" s="55">
        <v>7.87</v>
      </c>
      <c r="C21" s="55">
        <v>27.87</v>
      </c>
      <c r="D21" s="55">
        <v>39.97</v>
      </c>
      <c r="E21" s="55">
        <v>7.85</v>
      </c>
      <c r="F21" s="55">
        <v>19.43</v>
      </c>
      <c r="G21" s="55">
        <v>45.94</v>
      </c>
      <c r="H21" s="55">
        <v>16.09</v>
      </c>
      <c r="I21" s="55">
        <v>4.17</v>
      </c>
      <c r="J21" s="55">
        <v>1.08</v>
      </c>
      <c r="K21" s="55">
        <v>258.79000000000002</v>
      </c>
      <c r="L21" s="55">
        <v>42.05</v>
      </c>
      <c r="M21" s="55">
        <v>30.59</v>
      </c>
      <c r="N21" s="55">
        <v>908.7</v>
      </c>
      <c r="O21" s="55">
        <v>0</v>
      </c>
      <c r="P21" s="55">
        <v>0.36</v>
      </c>
      <c r="Q21" s="55">
        <v>9.56</v>
      </c>
      <c r="R21" s="43"/>
      <c r="S21" s="43"/>
      <c r="T21" s="43"/>
      <c r="U21" s="43"/>
    </row>
    <row r="22" spans="1:21" s="11" customFormat="1" x14ac:dyDescent="0.25">
      <c r="A22" s="54" t="s">
        <v>241</v>
      </c>
      <c r="B22" s="55">
        <v>2.81</v>
      </c>
      <c r="C22" s="55">
        <v>26.79</v>
      </c>
      <c r="D22" s="55">
        <v>48.17</v>
      </c>
      <c r="E22" s="55">
        <v>7.85</v>
      </c>
      <c r="F22" s="55">
        <v>24.19</v>
      </c>
      <c r="G22" s="18" t="s">
        <v>12</v>
      </c>
      <c r="H22" s="18" t="s">
        <v>12</v>
      </c>
      <c r="I22" s="55">
        <v>4.2</v>
      </c>
      <c r="J22" s="55">
        <v>0.77</v>
      </c>
      <c r="K22" s="55">
        <v>270.01</v>
      </c>
      <c r="L22" s="55">
        <v>42</v>
      </c>
      <c r="M22" s="55">
        <v>30.89</v>
      </c>
      <c r="N22" s="55">
        <v>836.8</v>
      </c>
      <c r="O22" s="55">
        <v>0</v>
      </c>
      <c r="P22" s="55">
        <v>0.31</v>
      </c>
      <c r="Q22" s="55">
        <v>9.56</v>
      </c>
      <c r="R22" s="43"/>
      <c r="S22" s="43"/>
      <c r="T22" s="43"/>
      <c r="U22" s="43"/>
    </row>
    <row r="23" spans="1:21" s="11" customFormat="1" x14ac:dyDescent="0.25">
      <c r="A23" s="54" t="s">
        <v>242</v>
      </c>
      <c r="B23" s="55">
        <v>1.45</v>
      </c>
      <c r="C23" s="55">
        <v>22.58</v>
      </c>
      <c r="D23" s="55">
        <v>42.03</v>
      </c>
      <c r="E23" s="18" t="s">
        <v>12</v>
      </c>
      <c r="F23" s="55">
        <v>20.64</v>
      </c>
      <c r="G23" s="55">
        <v>49.64</v>
      </c>
      <c r="H23" s="55">
        <v>11.74</v>
      </c>
      <c r="I23" s="55">
        <v>4.16</v>
      </c>
      <c r="J23" s="55">
        <v>0.51</v>
      </c>
      <c r="K23" s="55">
        <v>252.81</v>
      </c>
      <c r="L23" s="55">
        <v>40.6</v>
      </c>
      <c r="M23" s="55">
        <v>29.36</v>
      </c>
      <c r="N23" s="55">
        <v>405.5</v>
      </c>
      <c r="O23" s="55">
        <v>0</v>
      </c>
      <c r="P23" s="55">
        <v>0.34</v>
      </c>
      <c r="Q23" s="55">
        <v>9.5399999999999991</v>
      </c>
      <c r="R23" s="43"/>
      <c r="S23" s="43"/>
      <c r="T23" s="43"/>
      <c r="U23" s="43"/>
    </row>
    <row r="24" spans="1:21" s="11" customFormat="1" x14ac:dyDescent="0.25">
      <c r="A24" s="54" t="s">
        <v>243</v>
      </c>
      <c r="B24" s="55">
        <v>3.9</v>
      </c>
      <c r="C24" s="55">
        <v>23.63</v>
      </c>
      <c r="D24" s="55">
        <v>43.35</v>
      </c>
      <c r="E24" s="55">
        <v>3.33</v>
      </c>
      <c r="F24" s="55">
        <v>17.03</v>
      </c>
      <c r="G24" s="55">
        <v>41.7</v>
      </c>
      <c r="H24" s="55">
        <v>10.64</v>
      </c>
      <c r="I24" s="55">
        <v>4.0999999999999996</v>
      </c>
      <c r="J24" s="55">
        <v>2.71</v>
      </c>
      <c r="K24" s="55">
        <v>160.83000000000001</v>
      </c>
      <c r="L24" s="55">
        <v>40.15</v>
      </c>
      <c r="M24" s="55">
        <v>46.76</v>
      </c>
      <c r="N24" s="55">
        <v>338.5</v>
      </c>
      <c r="O24" s="55">
        <v>0</v>
      </c>
      <c r="P24" s="55">
        <v>0.33</v>
      </c>
      <c r="Q24" s="55">
        <v>9.52</v>
      </c>
      <c r="R24" s="43"/>
      <c r="S24" s="43"/>
      <c r="T24" s="43"/>
      <c r="U24" s="43"/>
    </row>
    <row r="25" spans="1:21" s="11" customFormat="1" x14ac:dyDescent="0.25">
      <c r="A25" s="54" t="s">
        <v>244</v>
      </c>
      <c r="B25" s="55">
        <v>4.3099999999999996</v>
      </c>
      <c r="C25" s="55">
        <v>21.44</v>
      </c>
      <c r="D25" s="55">
        <v>34.409999999999997</v>
      </c>
      <c r="E25" s="55">
        <v>5.79</v>
      </c>
      <c r="F25" s="55">
        <v>4.5</v>
      </c>
      <c r="G25" s="55">
        <v>41.33</v>
      </c>
      <c r="H25" s="55">
        <v>11.76</v>
      </c>
      <c r="I25" s="55">
        <v>4.12</v>
      </c>
      <c r="J25" s="55">
        <v>1.66</v>
      </c>
      <c r="K25" s="55">
        <v>165.41</v>
      </c>
      <c r="L25" s="55">
        <v>34.71</v>
      </c>
      <c r="M25" s="55">
        <v>43.76</v>
      </c>
      <c r="N25" s="55">
        <v>304.8</v>
      </c>
      <c r="O25" s="55">
        <v>0</v>
      </c>
      <c r="P25" s="55">
        <v>0.23</v>
      </c>
      <c r="Q25" s="55">
        <v>9.4499999999999993</v>
      </c>
      <c r="R25" s="43"/>
      <c r="S25" s="43"/>
      <c r="T25" s="43"/>
      <c r="U25" s="43"/>
    </row>
    <row r="26" spans="1:21" s="11" customFormat="1" x14ac:dyDescent="0.25">
      <c r="A26" s="54" t="s">
        <v>245</v>
      </c>
      <c r="B26" s="55">
        <v>5.16</v>
      </c>
      <c r="C26" s="55">
        <v>21.77</v>
      </c>
      <c r="D26" s="55">
        <v>34.42</v>
      </c>
      <c r="E26" s="55">
        <v>5.79</v>
      </c>
      <c r="F26" s="55">
        <v>3.62</v>
      </c>
      <c r="G26" s="55">
        <v>43.26</v>
      </c>
      <c r="H26" s="55">
        <v>11.26</v>
      </c>
      <c r="I26" s="55">
        <v>4.1500000000000004</v>
      </c>
      <c r="J26" s="55">
        <v>2.42</v>
      </c>
      <c r="K26" s="55">
        <v>167.1</v>
      </c>
      <c r="L26" s="55">
        <v>32.75</v>
      </c>
      <c r="M26" s="55">
        <v>46.52</v>
      </c>
      <c r="N26" s="55">
        <v>136.30000000000001</v>
      </c>
      <c r="O26" s="55">
        <v>0</v>
      </c>
      <c r="P26" s="55">
        <v>0.2</v>
      </c>
      <c r="Q26" s="55">
        <v>9.48</v>
      </c>
      <c r="R26" s="43"/>
      <c r="S26" s="43"/>
      <c r="T26" s="43"/>
      <c r="U26" s="43"/>
    </row>
    <row r="27" spans="1:21" s="11" customFormat="1" x14ac:dyDescent="0.25">
      <c r="A27" s="54" t="s">
        <v>246</v>
      </c>
      <c r="B27" s="55">
        <v>5.79</v>
      </c>
      <c r="C27" s="55">
        <v>23.66</v>
      </c>
      <c r="D27" s="55">
        <v>36.49</v>
      </c>
      <c r="E27" s="55">
        <v>5.85</v>
      </c>
      <c r="F27" s="55">
        <v>8.52</v>
      </c>
      <c r="G27" s="55">
        <v>44.33</v>
      </c>
      <c r="H27" s="55">
        <v>9.0299999999999994</v>
      </c>
      <c r="I27" s="55">
        <v>4.12</v>
      </c>
      <c r="J27" s="55">
        <v>1.79</v>
      </c>
      <c r="K27" s="55">
        <v>192.28</v>
      </c>
      <c r="L27" s="55">
        <v>32.619999999999997</v>
      </c>
      <c r="M27" s="55">
        <v>50.84</v>
      </c>
      <c r="N27" s="55">
        <v>64.3</v>
      </c>
      <c r="O27" s="55">
        <v>0</v>
      </c>
      <c r="P27" s="55">
        <v>0.24</v>
      </c>
      <c r="Q27" s="55">
        <v>9.4700000000000006</v>
      </c>
      <c r="R27" s="43"/>
      <c r="S27" s="43"/>
      <c r="T27" s="43"/>
      <c r="U27" s="43"/>
    </row>
    <row r="28" spans="1:21" s="11" customFormat="1" x14ac:dyDescent="0.25">
      <c r="A28" s="54" t="s">
        <v>247</v>
      </c>
      <c r="B28" s="55">
        <v>6.06</v>
      </c>
      <c r="C28" s="55">
        <v>24.5</v>
      </c>
      <c r="D28" s="55">
        <v>37.700000000000003</v>
      </c>
      <c r="E28" s="55">
        <v>6.14</v>
      </c>
      <c r="F28" s="55">
        <v>3.95</v>
      </c>
      <c r="G28" s="55">
        <v>40.57</v>
      </c>
      <c r="H28" s="55">
        <v>8.1300000000000008</v>
      </c>
      <c r="I28" s="55">
        <v>4</v>
      </c>
      <c r="J28" s="55">
        <v>1.56</v>
      </c>
      <c r="K28" s="55">
        <v>205.4</v>
      </c>
      <c r="L28" s="55">
        <v>32.07</v>
      </c>
      <c r="M28" s="55">
        <v>51.35</v>
      </c>
      <c r="N28" s="55">
        <v>29.2</v>
      </c>
      <c r="O28" s="55">
        <v>0</v>
      </c>
      <c r="P28" s="55">
        <v>0.3</v>
      </c>
      <c r="Q28" s="55">
        <v>9.5</v>
      </c>
      <c r="R28" s="43"/>
      <c r="S28" s="43"/>
      <c r="T28" s="43"/>
      <c r="U28" s="43"/>
    </row>
    <row r="29" spans="1:21" s="11" customFormat="1" x14ac:dyDescent="0.25">
      <c r="A29" s="54" t="s">
        <v>248</v>
      </c>
      <c r="B29" s="55">
        <v>6.27</v>
      </c>
      <c r="C29" s="55">
        <v>26.95</v>
      </c>
      <c r="D29" s="55">
        <v>42.65</v>
      </c>
      <c r="E29" s="55">
        <v>6.03</v>
      </c>
      <c r="F29" s="55">
        <v>4.6500000000000004</v>
      </c>
      <c r="G29" s="55">
        <v>36.82</v>
      </c>
      <c r="H29" s="55">
        <v>10.83</v>
      </c>
      <c r="I29" s="55">
        <v>3.99</v>
      </c>
      <c r="J29" s="55">
        <v>0.93</v>
      </c>
      <c r="K29" s="55">
        <v>208.58</v>
      </c>
      <c r="L29" s="55">
        <v>31.99</v>
      </c>
      <c r="M29" s="55">
        <v>52.77</v>
      </c>
      <c r="N29" s="55">
        <v>29.3</v>
      </c>
      <c r="O29" s="55">
        <v>0</v>
      </c>
      <c r="P29" s="55">
        <v>0.32</v>
      </c>
      <c r="Q29" s="55">
        <v>9.52</v>
      </c>
      <c r="R29" s="43"/>
      <c r="S29" s="43"/>
      <c r="T29" s="43"/>
      <c r="U29" s="43"/>
    </row>
    <row r="30" spans="1:21" s="11" customFormat="1" x14ac:dyDescent="0.25">
      <c r="A30" s="54" t="s">
        <v>249</v>
      </c>
      <c r="B30" s="55">
        <v>5.89</v>
      </c>
      <c r="C30" s="55">
        <v>24.44</v>
      </c>
      <c r="D30" s="55">
        <v>38.01</v>
      </c>
      <c r="E30" s="55">
        <v>5.82</v>
      </c>
      <c r="F30" s="55">
        <v>6.98</v>
      </c>
      <c r="G30" s="55">
        <v>33.5</v>
      </c>
      <c r="H30" s="55">
        <v>8.9</v>
      </c>
      <c r="I30" s="55">
        <v>4.08</v>
      </c>
      <c r="J30" s="55">
        <v>1.6</v>
      </c>
      <c r="K30" s="55">
        <v>187.72</v>
      </c>
      <c r="L30" s="55">
        <v>30.87</v>
      </c>
      <c r="M30" s="55">
        <v>54.85</v>
      </c>
      <c r="N30" s="55">
        <v>29.1</v>
      </c>
      <c r="O30" s="55">
        <v>0</v>
      </c>
      <c r="P30" s="55">
        <v>0.32</v>
      </c>
      <c r="Q30" s="55">
        <v>9.5399999999999991</v>
      </c>
      <c r="R30" s="43"/>
      <c r="S30" s="43"/>
      <c r="T30" s="43"/>
      <c r="U30" s="43"/>
    </row>
    <row r="31" spans="1:21" s="11" customFormat="1" x14ac:dyDescent="0.25">
      <c r="A31" s="54" t="s">
        <v>250</v>
      </c>
      <c r="B31" s="55">
        <v>6.38</v>
      </c>
      <c r="C31" s="55">
        <v>27.54</v>
      </c>
      <c r="D31" s="55">
        <v>42.91</v>
      </c>
      <c r="E31" s="55">
        <v>6.46</v>
      </c>
      <c r="F31" s="55">
        <v>9.0500000000000007</v>
      </c>
      <c r="G31" s="55">
        <v>31.34</v>
      </c>
      <c r="H31" s="55">
        <v>7.3</v>
      </c>
      <c r="I31" s="55">
        <v>4.12</v>
      </c>
      <c r="J31" s="55">
        <v>0.76</v>
      </c>
      <c r="K31" s="55">
        <v>222.74</v>
      </c>
      <c r="L31" s="55">
        <v>30.74</v>
      </c>
      <c r="M31" s="55">
        <v>58.66</v>
      </c>
      <c r="N31" s="55">
        <v>28.7</v>
      </c>
      <c r="O31" s="55">
        <v>0</v>
      </c>
      <c r="P31" s="55">
        <v>0.34</v>
      </c>
      <c r="Q31" s="55">
        <v>9.51</v>
      </c>
      <c r="R31" s="43"/>
      <c r="S31" s="43"/>
      <c r="T31" s="43"/>
      <c r="U31" s="43"/>
    </row>
    <row r="32" spans="1:21" s="11" customFormat="1" x14ac:dyDescent="0.25">
      <c r="A32" s="54" t="s">
        <v>251</v>
      </c>
      <c r="B32" s="55">
        <v>7.14</v>
      </c>
      <c r="C32" s="55">
        <v>25.33</v>
      </c>
      <c r="D32" s="55">
        <v>38.090000000000003</v>
      </c>
      <c r="E32" s="55">
        <v>6.24</v>
      </c>
      <c r="F32" s="55">
        <v>6.73</v>
      </c>
      <c r="G32" s="55">
        <v>31.36</v>
      </c>
      <c r="H32" s="55">
        <v>8.36</v>
      </c>
      <c r="I32" s="55">
        <v>4.22</v>
      </c>
      <c r="J32" s="55">
        <v>1.3</v>
      </c>
      <c r="K32" s="55">
        <v>215.12</v>
      </c>
      <c r="L32" s="55">
        <v>29.9</v>
      </c>
      <c r="M32" s="55">
        <v>63.03</v>
      </c>
      <c r="N32" s="55">
        <v>28.8</v>
      </c>
      <c r="O32" s="55">
        <v>0</v>
      </c>
      <c r="P32" s="55">
        <v>0.31</v>
      </c>
      <c r="Q32" s="55">
        <v>9.5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1.45</v>
      </c>
      <c r="C34" s="28">
        <f t="shared" si="0"/>
        <v>21.44</v>
      </c>
      <c r="D34" s="28">
        <f t="shared" si="0"/>
        <v>26.29</v>
      </c>
      <c r="E34" s="28">
        <f t="shared" si="0"/>
        <v>3.33</v>
      </c>
      <c r="F34" s="28">
        <f t="shared" si="0"/>
        <v>3.62</v>
      </c>
      <c r="G34" s="28">
        <f t="shared" si="0"/>
        <v>21.99</v>
      </c>
      <c r="H34" s="28">
        <f t="shared" si="0"/>
        <v>7.3</v>
      </c>
      <c r="I34" s="28">
        <f t="shared" si="0"/>
        <v>3.99</v>
      </c>
      <c r="J34" s="28">
        <f t="shared" si="0"/>
        <v>0.44</v>
      </c>
      <c r="K34" s="28">
        <f t="shared" si="0"/>
        <v>160.83000000000001</v>
      </c>
      <c r="L34" s="28">
        <f t="shared" si="0"/>
        <v>28.69</v>
      </c>
      <c r="M34" s="28">
        <f t="shared" si="0"/>
        <v>29.36</v>
      </c>
      <c r="N34" s="28">
        <f t="shared" si="0"/>
        <v>28.5</v>
      </c>
      <c r="O34" s="28">
        <f t="shared" si="0"/>
        <v>0</v>
      </c>
      <c r="P34" s="28">
        <f t="shared" si="0"/>
        <v>0.2</v>
      </c>
      <c r="Q34" s="28">
        <f t="shared" si="0"/>
        <v>9.4499999999999993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14.48</v>
      </c>
      <c r="C35" s="29">
        <f t="shared" si="1"/>
        <v>32.61</v>
      </c>
      <c r="D35" s="29">
        <f t="shared" si="1"/>
        <v>48.17</v>
      </c>
      <c r="E35" s="29">
        <f t="shared" si="1"/>
        <v>7.85</v>
      </c>
      <c r="F35" s="29">
        <f t="shared" si="1"/>
        <v>24.19</v>
      </c>
      <c r="G35" s="29">
        <f t="shared" si="1"/>
        <v>49.64</v>
      </c>
      <c r="H35" s="29">
        <f t="shared" si="1"/>
        <v>16.09</v>
      </c>
      <c r="I35" s="29">
        <f t="shared" si="1"/>
        <v>4.22</v>
      </c>
      <c r="J35" s="29">
        <f t="shared" si="1"/>
        <v>2.71</v>
      </c>
      <c r="K35" s="29">
        <f t="shared" si="1"/>
        <v>270.01</v>
      </c>
      <c r="L35" s="29">
        <f t="shared" si="1"/>
        <v>42.05</v>
      </c>
      <c r="M35" s="29">
        <f t="shared" si="1"/>
        <v>64.400000000000006</v>
      </c>
      <c r="N35" s="29">
        <f t="shared" si="1"/>
        <v>919.2</v>
      </c>
      <c r="O35" s="29">
        <f t="shared" si="1"/>
        <v>0</v>
      </c>
      <c r="P35" s="29">
        <f t="shared" si="1"/>
        <v>0.48</v>
      </c>
      <c r="Q35" s="29">
        <f t="shared" si="1"/>
        <v>9.59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8.0058333333333334</v>
      </c>
      <c r="C36" s="28">
        <f t="shared" si="2"/>
        <v>26.54291666666667</v>
      </c>
      <c r="D36" s="28">
        <f t="shared" si="2"/>
        <v>37.53875</v>
      </c>
      <c r="E36" s="28">
        <f t="shared" si="2"/>
        <v>6.2452173913043483</v>
      </c>
      <c r="F36" s="28">
        <f t="shared" si="2"/>
        <v>11.212916666666667</v>
      </c>
      <c r="G36" s="28">
        <f t="shared" si="2"/>
        <v>35.315217391304358</v>
      </c>
      <c r="H36" s="28">
        <f t="shared" si="2"/>
        <v>10.630869565217392</v>
      </c>
      <c r="I36" s="28">
        <f t="shared" si="2"/>
        <v>4.1100000000000003</v>
      </c>
      <c r="J36" s="28">
        <f t="shared" si="2"/>
        <v>1.1445833333333335</v>
      </c>
      <c r="K36" s="28">
        <f t="shared" si="2"/>
        <v>219.06541666666661</v>
      </c>
      <c r="L36" s="28">
        <f t="shared" si="2"/>
        <v>34.232500000000002</v>
      </c>
      <c r="M36" s="28">
        <f t="shared" si="2"/>
        <v>49.119166666666665</v>
      </c>
      <c r="N36" s="28">
        <f t="shared" si="2"/>
        <v>302.08333333333337</v>
      </c>
      <c r="O36" s="28">
        <f t="shared" si="2"/>
        <v>0</v>
      </c>
      <c r="P36" s="28">
        <f t="shared" si="2"/>
        <v>0.30958333333333338</v>
      </c>
      <c r="Q36" s="28">
        <f t="shared" si="2"/>
        <v>9.5358333333333327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3.4621191257060637</v>
      </c>
      <c r="C37" s="28">
        <f t="shared" ref="C37:Q37" si="3">STDEV(C9:C32)</f>
        <v>3.1896483098578967</v>
      </c>
      <c r="D37" s="28">
        <f t="shared" si="3"/>
        <v>4.8554409753612866</v>
      </c>
      <c r="E37" s="28">
        <f t="shared" si="3"/>
        <v>0.91717386854310379</v>
      </c>
      <c r="F37" s="28">
        <f t="shared" si="3"/>
        <v>5.3621535900408928</v>
      </c>
      <c r="G37" s="28">
        <f t="shared" si="3"/>
        <v>6.8690814984545314</v>
      </c>
      <c r="H37" s="28">
        <f t="shared" si="3"/>
        <v>2.3107730171435983</v>
      </c>
      <c r="I37" s="28">
        <f t="shared" si="3"/>
        <v>5.7483456977524924E-2</v>
      </c>
      <c r="J37" s="28">
        <f t="shared" si="3"/>
        <v>0.56763413788526973</v>
      </c>
      <c r="K37" s="28">
        <f t="shared" si="3"/>
        <v>33.288233327705278</v>
      </c>
      <c r="L37" s="28">
        <f t="shared" si="3"/>
        <v>4.5528025291643397</v>
      </c>
      <c r="M37" s="28">
        <f t="shared" si="3"/>
        <v>10.888418225310573</v>
      </c>
      <c r="N37" s="28">
        <f t="shared" si="3"/>
        <v>339.76213119931634</v>
      </c>
      <c r="O37" s="28">
        <f t="shared" si="3"/>
        <v>0</v>
      </c>
      <c r="P37" s="28">
        <f t="shared" si="3"/>
        <v>6.43008666292713E-2</v>
      </c>
      <c r="Q37" s="28">
        <f t="shared" si="3"/>
        <v>3.6225941541659361E-2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>COUNT(E9:E32)+1</f>
        <v>24</v>
      </c>
      <c r="F38" s="32">
        <f t="shared" si="4"/>
        <v>24</v>
      </c>
      <c r="G38" s="32">
        <f>COUNT(G9:G32)+1</f>
        <v>24</v>
      </c>
      <c r="H38" s="32">
        <f>COUNT(H9:H32)+1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09/05/2025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4" t="s">
        <v>252</v>
      </c>
      <c r="B9" s="55">
        <v>7.03</v>
      </c>
      <c r="C9" s="55">
        <v>26.03</v>
      </c>
      <c r="D9" s="55">
        <v>39.03</v>
      </c>
      <c r="E9" s="55">
        <v>3.98</v>
      </c>
      <c r="F9" s="55">
        <v>2.4300000000000002</v>
      </c>
      <c r="G9" s="55">
        <v>28.43</v>
      </c>
      <c r="H9" s="55">
        <v>8.7100000000000009</v>
      </c>
      <c r="I9" s="55">
        <v>4.12</v>
      </c>
      <c r="J9" s="55">
        <v>0.78</v>
      </c>
      <c r="K9" s="55">
        <v>212.54</v>
      </c>
      <c r="L9" s="55">
        <v>29.36</v>
      </c>
      <c r="M9" s="55">
        <v>71.290000000000006</v>
      </c>
      <c r="N9" s="55">
        <v>28.9</v>
      </c>
      <c r="O9" s="55">
        <v>0</v>
      </c>
      <c r="P9" s="55">
        <v>0.3</v>
      </c>
      <c r="Q9" s="55">
        <v>9.5299999999999994</v>
      </c>
      <c r="R9" s="43"/>
      <c r="S9" s="43"/>
      <c r="T9" s="43"/>
      <c r="U9" s="43"/>
    </row>
    <row r="10" spans="1:21" s="11" customFormat="1" x14ac:dyDescent="0.25">
      <c r="A10" s="54" t="s">
        <v>253</v>
      </c>
      <c r="B10" s="55">
        <v>6.93</v>
      </c>
      <c r="C10" s="55">
        <v>24.34</v>
      </c>
      <c r="D10" s="55">
        <v>36.29</v>
      </c>
      <c r="E10" s="55">
        <v>3.85</v>
      </c>
      <c r="F10" s="55">
        <v>1.85</v>
      </c>
      <c r="G10" s="55">
        <v>22.5</v>
      </c>
      <c r="H10" s="55">
        <v>8.14</v>
      </c>
      <c r="I10" s="55">
        <v>4.0199999999999996</v>
      </c>
      <c r="J10" s="55">
        <v>0.61</v>
      </c>
      <c r="K10" s="55">
        <v>235.09</v>
      </c>
      <c r="L10" s="55">
        <v>28.1</v>
      </c>
      <c r="M10" s="55">
        <v>75.52</v>
      </c>
      <c r="N10" s="55">
        <v>28.7</v>
      </c>
      <c r="O10" s="55">
        <v>0</v>
      </c>
      <c r="P10" s="55">
        <v>0.32</v>
      </c>
      <c r="Q10" s="55">
        <v>9.57</v>
      </c>
      <c r="R10" s="43"/>
      <c r="S10" s="43"/>
      <c r="T10" s="43"/>
      <c r="U10" s="43"/>
    </row>
    <row r="11" spans="1:21" s="11" customFormat="1" x14ac:dyDescent="0.25">
      <c r="A11" s="54" t="s">
        <v>254</v>
      </c>
      <c r="B11" s="55">
        <v>8.86</v>
      </c>
      <c r="C11" s="55">
        <v>24.13</v>
      </c>
      <c r="D11" s="55">
        <v>35.119999999999997</v>
      </c>
      <c r="E11" s="55">
        <v>3.98</v>
      </c>
      <c r="F11" s="55">
        <v>4.2</v>
      </c>
      <c r="G11" s="55">
        <v>22.9</v>
      </c>
      <c r="H11" s="55">
        <v>5.91</v>
      </c>
      <c r="I11" s="55">
        <v>4.09</v>
      </c>
      <c r="J11" s="55">
        <v>0.7</v>
      </c>
      <c r="K11" s="55">
        <v>259.64</v>
      </c>
      <c r="L11" s="55">
        <v>27.77</v>
      </c>
      <c r="M11" s="55">
        <v>77.349999999999994</v>
      </c>
      <c r="N11" s="55">
        <v>28.5</v>
      </c>
      <c r="O11" s="55">
        <v>0</v>
      </c>
      <c r="P11" s="55">
        <v>0.33</v>
      </c>
      <c r="Q11" s="55">
        <v>9.58</v>
      </c>
      <c r="R11" s="43"/>
      <c r="S11" s="43"/>
      <c r="T11" s="43"/>
      <c r="U11" s="43"/>
    </row>
    <row r="12" spans="1:21" s="11" customFormat="1" x14ac:dyDescent="0.25">
      <c r="A12" s="54" t="s">
        <v>255</v>
      </c>
      <c r="B12" s="55">
        <v>11.25</v>
      </c>
      <c r="C12" s="55">
        <v>32</v>
      </c>
      <c r="D12" s="55">
        <v>43.98</v>
      </c>
      <c r="E12" s="55">
        <v>3.88</v>
      </c>
      <c r="F12" s="55">
        <v>5.47</v>
      </c>
      <c r="G12" s="55">
        <v>18.190000000000001</v>
      </c>
      <c r="H12" s="55">
        <v>5.69</v>
      </c>
      <c r="I12" s="55">
        <v>4.0599999999999996</v>
      </c>
      <c r="J12" s="55">
        <v>0.21</v>
      </c>
      <c r="K12" s="55">
        <v>291.47000000000003</v>
      </c>
      <c r="L12" s="55">
        <v>27.61</v>
      </c>
      <c r="M12" s="55">
        <v>78.709999999999994</v>
      </c>
      <c r="N12" s="55">
        <v>28.7</v>
      </c>
      <c r="O12" s="55">
        <v>0</v>
      </c>
      <c r="P12" s="55">
        <v>0.3</v>
      </c>
      <c r="Q12" s="55">
        <v>9.5500000000000007</v>
      </c>
      <c r="R12" s="43"/>
      <c r="S12" s="43"/>
      <c r="T12" s="43"/>
      <c r="U12" s="43"/>
    </row>
    <row r="13" spans="1:21" s="11" customFormat="1" x14ac:dyDescent="0.25">
      <c r="A13" s="54" t="s">
        <v>256</v>
      </c>
      <c r="B13" s="55">
        <v>12.05</v>
      </c>
      <c r="C13" s="55">
        <v>29.45</v>
      </c>
      <c r="D13" s="55">
        <v>37.880000000000003</v>
      </c>
      <c r="E13" s="55">
        <v>4.05</v>
      </c>
      <c r="F13" s="55">
        <v>3.02</v>
      </c>
      <c r="G13" s="55">
        <v>25.27</v>
      </c>
      <c r="H13" s="55">
        <v>7.37</v>
      </c>
      <c r="I13" s="55">
        <v>4.1399999999999997</v>
      </c>
      <c r="J13" s="55">
        <v>0.66</v>
      </c>
      <c r="K13" s="55">
        <v>260.19</v>
      </c>
      <c r="L13" s="55">
        <v>27.59</v>
      </c>
      <c r="M13" s="55">
        <v>76.849999999999994</v>
      </c>
      <c r="N13" s="55">
        <v>28.6</v>
      </c>
      <c r="O13" s="55">
        <v>0</v>
      </c>
      <c r="P13" s="55">
        <v>0.38</v>
      </c>
      <c r="Q13" s="55">
        <v>9.61</v>
      </c>
      <c r="R13" s="43"/>
      <c r="S13" s="43"/>
      <c r="T13" s="43"/>
      <c r="U13" s="43"/>
    </row>
    <row r="14" spans="1:21" s="11" customFormat="1" x14ac:dyDescent="0.25">
      <c r="A14" s="54" t="s">
        <v>257</v>
      </c>
      <c r="B14" s="55">
        <v>15.73</v>
      </c>
      <c r="C14" s="55">
        <v>38.58</v>
      </c>
      <c r="D14" s="55">
        <v>49.7</v>
      </c>
      <c r="E14" s="55">
        <v>4.17</v>
      </c>
      <c r="F14" s="55">
        <v>1.64</v>
      </c>
      <c r="G14" s="55">
        <v>28.12</v>
      </c>
      <c r="H14" s="55">
        <v>10.029999999999999</v>
      </c>
      <c r="I14" s="55">
        <v>4.13</v>
      </c>
      <c r="J14" s="55">
        <v>0.5</v>
      </c>
      <c r="K14" s="55">
        <v>124.69</v>
      </c>
      <c r="L14" s="55">
        <v>28.19</v>
      </c>
      <c r="M14" s="55">
        <v>74.430000000000007</v>
      </c>
      <c r="N14" s="55">
        <v>65.7</v>
      </c>
      <c r="O14" s="55">
        <v>0</v>
      </c>
      <c r="P14" s="55">
        <v>0.53</v>
      </c>
      <c r="Q14" s="55">
        <v>9.6199999999999992</v>
      </c>
      <c r="R14" s="43"/>
      <c r="S14" s="43"/>
      <c r="T14" s="43"/>
      <c r="U14" s="43"/>
    </row>
    <row r="15" spans="1:21" s="11" customFormat="1" x14ac:dyDescent="0.25">
      <c r="A15" s="54" t="s">
        <v>258</v>
      </c>
      <c r="B15" s="55">
        <v>14.94</v>
      </c>
      <c r="C15" s="55">
        <v>35.07</v>
      </c>
      <c r="D15" s="55">
        <v>44.82</v>
      </c>
      <c r="E15" s="55">
        <v>4.37</v>
      </c>
      <c r="F15" s="55">
        <v>3.37</v>
      </c>
      <c r="G15" s="55">
        <v>42.47</v>
      </c>
      <c r="H15" s="55">
        <v>12.36</v>
      </c>
      <c r="I15" s="55">
        <v>4.01</v>
      </c>
      <c r="J15" s="55">
        <v>1</v>
      </c>
      <c r="K15" s="55">
        <v>113.7</v>
      </c>
      <c r="L15" s="55">
        <v>30.38</v>
      </c>
      <c r="M15" s="55">
        <v>71.14</v>
      </c>
      <c r="N15" s="55">
        <v>222</v>
      </c>
      <c r="O15" s="55">
        <v>0</v>
      </c>
      <c r="P15" s="55">
        <v>0.53</v>
      </c>
      <c r="Q15" s="55">
        <v>9.65</v>
      </c>
      <c r="R15" s="43"/>
      <c r="S15" s="43"/>
      <c r="T15" s="43"/>
      <c r="U15" s="43"/>
    </row>
    <row r="16" spans="1:21" s="11" customFormat="1" x14ac:dyDescent="0.25">
      <c r="A16" s="54" t="s">
        <v>259</v>
      </c>
      <c r="B16" s="55">
        <v>17.2</v>
      </c>
      <c r="C16" s="55">
        <v>40.96</v>
      </c>
      <c r="D16" s="55">
        <v>52</v>
      </c>
      <c r="E16" s="55">
        <v>5.88</v>
      </c>
      <c r="F16" s="55">
        <v>3.41</v>
      </c>
      <c r="G16" s="55">
        <v>46.98</v>
      </c>
      <c r="H16" s="55">
        <v>15.61</v>
      </c>
      <c r="I16" s="55">
        <v>4.1100000000000003</v>
      </c>
      <c r="J16" s="55">
        <v>0.91</v>
      </c>
      <c r="K16" s="55">
        <v>162.26</v>
      </c>
      <c r="L16" s="55">
        <v>32.1</v>
      </c>
      <c r="M16" s="55">
        <v>60.7</v>
      </c>
      <c r="N16" s="55">
        <v>326.10000000000002</v>
      </c>
      <c r="O16" s="55">
        <v>0</v>
      </c>
      <c r="P16" s="55">
        <v>0.56999999999999995</v>
      </c>
      <c r="Q16" s="55">
        <v>9.65</v>
      </c>
      <c r="R16" s="43"/>
      <c r="S16" s="43"/>
      <c r="T16" s="43"/>
      <c r="U16" s="43"/>
    </row>
    <row r="17" spans="1:21" s="11" customFormat="1" x14ac:dyDescent="0.25">
      <c r="A17" s="54" t="s">
        <v>260</v>
      </c>
      <c r="B17" s="55">
        <v>15.44</v>
      </c>
      <c r="C17" s="55">
        <v>38.68</v>
      </c>
      <c r="D17" s="55">
        <v>52.46</v>
      </c>
      <c r="E17" s="55">
        <v>7.48</v>
      </c>
      <c r="F17" s="55">
        <v>6.44</v>
      </c>
      <c r="G17" s="55">
        <v>57.97</v>
      </c>
      <c r="H17" s="55">
        <v>18.86</v>
      </c>
      <c r="I17" s="55">
        <v>4.09</v>
      </c>
      <c r="J17" s="55">
        <v>1.02</v>
      </c>
      <c r="K17" s="55">
        <v>166.5</v>
      </c>
      <c r="L17" s="55">
        <v>33.65</v>
      </c>
      <c r="M17" s="55">
        <v>57.96</v>
      </c>
      <c r="N17" s="55">
        <v>619.4</v>
      </c>
      <c r="O17" s="55">
        <v>0</v>
      </c>
      <c r="P17" s="55">
        <v>0.56000000000000005</v>
      </c>
      <c r="Q17" s="55">
        <v>9.6300000000000008</v>
      </c>
      <c r="R17" s="43"/>
      <c r="S17" s="43"/>
      <c r="T17" s="43"/>
      <c r="U17" s="43"/>
    </row>
    <row r="18" spans="1:21" s="11" customFormat="1" x14ac:dyDescent="0.25">
      <c r="A18" s="54" t="s">
        <v>261</v>
      </c>
      <c r="B18" s="55">
        <v>15.16</v>
      </c>
      <c r="C18" s="55">
        <v>35.47</v>
      </c>
      <c r="D18" s="55">
        <v>44.63</v>
      </c>
      <c r="E18" s="55">
        <v>6.09</v>
      </c>
      <c r="F18" s="55">
        <v>2.23</v>
      </c>
      <c r="G18" s="55">
        <v>55.08</v>
      </c>
      <c r="H18" s="55">
        <v>18.670000000000002</v>
      </c>
      <c r="I18" s="55">
        <v>4.0999999999999996</v>
      </c>
      <c r="J18" s="55">
        <v>1.04</v>
      </c>
      <c r="K18" s="55">
        <v>180.64</v>
      </c>
      <c r="L18" s="55">
        <v>34.96</v>
      </c>
      <c r="M18" s="55">
        <v>48.64</v>
      </c>
      <c r="N18" s="55">
        <v>678.9</v>
      </c>
      <c r="O18" s="55">
        <v>0</v>
      </c>
      <c r="P18" s="55">
        <v>0.56999999999999995</v>
      </c>
      <c r="Q18" s="55">
        <v>9.6199999999999992</v>
      </c>
      <c r="R18" s="43"/>
      <c r="S18" s="43"/>
      <c r="T18" s="43"/>
      <c r="U18" s="43"/>
    </row>
    <row r="19" spans="1:21" s="11" customFormat="1" x14ac:dyDescent="0.25">
      <c r="A19" s="54" t="s">
        <v>262</v>
      </c>
      <c r="B19" s="55">
        <v>10.47</v>
      </c>
      <c r="C19" s="55">
        <v>31.16</v>
      </c>
      <c r="D19" s="55">
        <v>46.12</v>
      </c>
      <c r="E19" s="55">
        <v>4.99</v>
      </c>
      <c r="F19" s="55">
        <v>4.01</v>
      </c>
      <c r="G19" s="55">
        <v>43.79</v>
      </c>
      <c r="H19" s="55">
        <v>13.13</v>
      </c>
      <c r="I19" s="55">
        <v>3.98</v>
      </c>
      <c r="J19" s="55">
        <v>0.86</v>
      </c>
      <c r="K19" s="55">
        <v>236.04</v>
      </c>
      <c r="L19" s="55">
        <v>39.090000000000003</v>
      </c>
      <c r="M19" s="55">
        <v>40.880000000000003</v>
      </c>
      <c r="N19" s="55">
        <v>928.6</v>
      </c>
      <c r="O19" s="55">
        <v>0</v>
      </c>
      <c r="P19" s="55">
        <v>0.55000000000000004</v>
      </c>
      <c r="Q19" s="55">
        <v>9.61</v>
      </c>
      <c r="R19" s="43"/>
      <c r="S19" s="43"/>
      <c r="T19" s="43"/>
      <c r="U19" s="43"/>
    </row>
    <row r="20" spans="1:21" s="11" customFormat="1" x14ac:dyDescent="0.25">
      <c r="A20" s="54" t="s">
        <v>263</v>
      </c>
      <c r="B20" s="55">
        <v>6.57</v>
      </c>
      <c r="C20" s="55">
        <v>25.68</v>
      </c>
      <c r="D20" s="55">
        <v>39.07</v>
      </c>
      <c r="E20" s="55">
        <v>5.7</v>
      </c>
      <c r="F20" s="55">
        <v>8.7899999999999991</v>
      </c>
      <c r="G20" s="55">
        <v>37.590000000000003</v>
      </c>
      <c r="H20" s="55">
        <v>13.86</v>
      </c>
      <c r="I20" s="55">
        <v>4.12</v>
      </c>
      <c r="J20" s="55">
        <v>0.77</v>
      </c>
      <c r="K20" s="55">
        <v>249.6</v>
      </c>
      <c r="L20" s="55">
        <v>39.69</v>
      </c>
      <c r="M20" s="55">
        <v>36.590000000000003</v>
      </c>
      <c r="N20" s="55">
        <v>984.7</v>
      </c>
      <c r="O20" s="55">
        <v>0</v>
      </c>
      <c r="P20" s="55">
        <v>0.53</v>
      </c>
      <c r="Q20" s="55">
        <v>9.56</v>
      </c>
      <c r="R20" s="43"/>
      <c r="S20" s="43"/>
      <c r="T20" s="43"/>
      <c r="U20" s="43"/>
    </row>
    <row r="21" spans="1:21" s="11" customFormat="1" x14ac:dyDescent="0.25">
      <c r="A21" s="54" t="s">
        <v>264</v>
      </c>
      <c r="B21" s="55">
        <v>10.039999999999999</v>
      </c>
      <c r="C21" s="55">
        <v>29.68</v>
      </c>
      <c r="D21" s="55">
        <v>41.4</v>
      </c>
      <c r="E21" s="55">
        <v>7.3</v>
      </c>
      <c r="F21" s="55">
        <v>13.39</v>
      </c>
      <c r="G21" s="55">
        <v>30.66</v>
      </c>
      <c r="H21" s="55">
        <v>13.71</v>
      </c>
      <c r="I21" s="55">
        <v>4.07</v>
      </c>
      <c r="J21" s="55">
        <v>0.77</v>
      </c>
      <c r="K21" s="55">
        <v>311.68</v>
      </c>
      <c r="L21" s="55">
        <v>41.98</v>
      </c>
      <c r="M21" s="55">
        <v>28.67</v>
      </c>
      <c r="N21" s="55">
        <v>999.5</v>
      </c>
      <c r="O21" s="55">
        <v>0</v>
      </c>
      <c r="P21" s="55">
        <v>0.59</v>
      </c>
      <c r="Q21" s="55">
        <v>9.49</v>
      </c>
      <c r="R21" s="43"/>
      <c r="S21" s="43"/>
      <c r="T21" s="43"/>
      <c r="U21" s="43"/>
    </row>
    <row r="22" spans="1:21" s="11" customFormat="1" x14ac:dyDescent="0.25">
      <c r="A22" s="54" t="s">
        <v>265</v>
      </c>
      <c r="B22" s="55">
        <v>7.65</v>
      </c>
      <c r="C22" s="55">
        <v>30.17</v>
      </c>
      <c r="D22" s="55">
        <v>46</v>
      </c>
      <c r="E22" s="55">
        <v>7.68</v>
      </c>
      <c r="F22" s="55">
        <v>13.85</v>
      </c>
      <c r="G22" s="55">
        <v>36.74</v>
      </c>
      <c r="H22" s="55">
        <v>14.21</v>
      </c>
      <c r="I22" s="55">
        <v>4.07</v>
      </c>
      <c r="J22" s="55">
        <v>0.7</v>
      </c>
      <c r="K22" s="55">
        <v>268.55</v>
      </c>
      <c r="L22" s="55">
        <v>42.09</v>
      </c>
      <c r="M22" s="55">
        <v>27.46</v>
      </c>
      <c r="N22" s="55">
        <v>867.3</v>
      </c>
      <c r="O22" s="55">
        <v>0</v>
      </c>
      <c r="P22" s="55">
        <v>0.53</v>
      </c>
      <c r="Q22" s="55">
        <v>9.51</v>
      </c>
      <c r="R22" s="43"/>
      <c r="S22" s="43"/>
      <c r="T22" s="43"/>
      <c r="U22" s="43"/>
    </row>
    <row r="23" spans="1:21" s="11" customFormat="1" x14ac:dyDescent="0.25">
      <c r="A23" s="54" t="s">
        <v>266</v>
      </c>
      <c r="B23" s="55">
        <v>18.21</v>
      </c>
      <c r="C23" s="55">
        <v>31.35</v>
      </c>
      <c r="D23" s="55">
        <v>39.729999999999997</v>
      </c>
      <c r="E23" s="55">
        <v>5.66</v>
      </c>
      <c r="F23" s="55">
        <v>13.49</v>
      </c>
      <c r="G23" s="55">
        <v>33.65</v>
      </c>
      <c r="H23" s="55">
        <v>11.06</v>
      </c>
      <c r="I23" s="55">
        <v>4.05</v>
      </c>
      <c r="J23" s="55">
        <v>0.86</v>
      </c>
      <c r="K23" s="55">
        <v>255.65</v>
      </c>
      <c r="L23" s="55">
        <v>40.65</v>
      </c>
      <c r="M23" s="55">
        <v>29.8</v>
      </c>
      <c r="N23" s="55">
        <v>509.2</v>
      </c>
      <c r="O23" s="55">
        <v>0</v>
      </c>
      <c r="P23" s="55">
        <v>0.46</v>
      </c>
      <c r="Q23" s="55">
        <v>9.52</v>
      </c>
      <c r="R23" s="43"/>
      <c r="S23" s="43"/>
      <c r="T23" s="43"/>
      <c r="U23" s="43"/>
    </row>
    <row r="24" spans="1:21" s="11" customFormat="1" x14ac:dyDescent="0.25">
      <c r="A24" s="54" t="s">
        <v>267</v>
      </c>
      <c r="B24" s="55">
        <v>8.17</v>
      </c>
      <c r="C24" s="55">
        <v>28.98</v>
      </c>
      <c r="D24" s="55">
        <v>42.94</v>
      </c>
      <c r="E24" s="55">
        <v>5.56</v>
      </c>
      <c r="F24" s="55">
        <v>15.69</v>
      </c>
      <c r="G24" s="55">
        <v>29.95</v>
      </c>
      <c r="H24" s="55">
        <v>10.78</v>
      </c>
      <c r="I24" s="55">
        <v>4.08</v>
      </c>
      <c r="J24" s="55">
        <v>0.73</v>
      </c>
      <c r="K24" s="55">
        <v>234.37</v>
      </c>
      <c r="L24" s="55">
        <v>39.93</v>
      </c>
      <c r="M24" s="55">
        <v>28.34</v>
      </c>
      <c r="N24" s="55">
        <v>395.6</v>
      </c>
      <c r="O24" s="55">
        <v>0</v>
      </c>
      <c r="P24" s="55">
        <v>0.45</v>
      </c>
      <c r="Q24" s="55">
        <v>9.51</v>
      </c>
      <c r="R24" s="43"/>
      <c r="S24" s="43"/>
      <c r="T24" s="43"/>
      <c r="U24" s="43"/>
    </row>
    <row r="25" spans="1:21" s="11" customFormat="1" x14ac:dyDescent="0.25">
      <c r="A25" s="54" t="s">
        <v>268</v>
      </c>
      <c r="B25" s="55">
        <v>7.03</v>
      </c>
      <c r="C25" s="55">
        <v>23.36</v>
      </c>
      <c r="D25" s="55">
        <v>34.35</v>
      </c>
      <c r="E25" s="55">
        <v>5.9</v>
      </c>
      <c r="F25" s="55">
        <v>20.76</v>
      </c>
      <c r="G25" s="55">
        <v>30.54</v>
      </c>
      <c r="H25" s="55">
        <v>9.0299999999999994</v>
      </c>
      <c r="I25" s="55">
        <v>4.09</v>
      </c>
      <c r="J25" s="55">
        <v>0.63</v>
      </c>
      <c r="K25" s="55">
        <v>214.11</v>
      </c>
      <c r="L25" s="55">
        <v>39.18</v>
      </c>
      <c r="M25" s="55">
        <v>28.68</v>
      </c>
      <c r="N25" s="55">
        <v>323.89999999999998</v>
      </c>
      <c r="O25" s="55">
        <v>0</v>
      </c>
      <c r="P25" s="55">
        <v>0.31</v>
      </c>
      <c r="Q25" s="55">
        <v>9.5</v>
      </c>
      <c r="R25" s="43"/>
      <c r="S25" s="43"/>
      <c r="T25" s="43"/>
      <c r="U25" s="43"/>
    </row>
    <row r="26" spans="1:21" s="11" customFormat="1" x14ac:dyDescent="0.25">
      <c r="A26" s="54" t="s">
        <v>269</v>
      </c>
      <c r="B26" s="55">
        <v>6.29</v>
      </c>
      <c r="C26" s="55">
        <v>28.65</v>
      </c>
      <c r="D26" s="55">
        <v>45.18</v>
      </c>
      <c r="E26" s="55">
        <v>5.83</v>
      </c>
      <c r="F26" s="55">
        <v>19.350000000000001</v>
      </c>
      <c r="G26" s="55">
        <v>26.72</v>
      </c>
      <c r="H26" s="55">
        <v>10.45</v>
      </c>
      <c r="I26" s="55">
        <v>4.13</v>
      </c>
      <c r="J26" s="55">
        <v>1.1599999999999999</v>
      </c>
      <c r="K26" s="55">
        <v>241.18</v>
      </c>
      <c r="L26" s="55">
        <v>38.42</v>
      </c>
      <c r="M26" s="55">
        <v>30.97</v>
      </c>
      <c r="N26" s="55">
        <v>87.1</v>
      </c>
      <c r="O26" s="55">
        <v>0</v>
      </c>
      <c r="P26" s="55">
        <v>0.36</v>
      </c>
      <c r="Q26" s="55">
        <v>9.4700000000000006</v>
      </c>
      <c r="R26" s="43"/>
      <c r="S26" s="43"/>
      <c r="T26" s="43"/>
      <c r="U26" s="43"/>
    </row>
    <row r="27" spans="1:21" s="11" customFormat="1" x14ac:dyDescent="0.25">
      <c r="A27" s="54" t="s">
        <v>270</v>
      </c>
      <c r="B27" s="55">
        <v>7.45</v>
      </c>
      <c r="C27" s="55">
        <v>40.18</v>
      </c>
      <c r="D27" s="55">
        <v>65.47</v>
      </c>
      <c r="E27" s="55">
        <v>6.09</v>
      </c>
      <c r="F27" s="55">
        <v>13.94</v>
      </c>
      <c r="G27" s="55">
        <v>25.7</v>
      </c>
      <c r="H27" s="55">
        <v>7.58</v>
      </c>
      <c r="I27" s="55">
        <v>4.1399999999999997</v>
      </c>
      <c r="J27" s="55">
        <v>0.79</v>
      </c>
      <c r="K27" s="55">
        <v>185.29</v>
      </c>
      <c r="L27" s="55">
        <v>37.15</v>
      </c>
      <c r="M27" s="55">
        <v>33.159999999999997</v>
      </c>
      <c r="N27" s="55">
        <v>41</v>
      </c>
      <c r="O27" s="55">
        <v>0</v>
      </c>
      <c r="P27" s="55">
        <v>0.38</v>
      </c>
      <c r="Q27" s="55">
        <v>9.52</v>
      </c>
      <c r="R27" s="43"/>
      <c r="S27" s="43"/>
      <c r="T27" s="43"/>
      <c r="U27" s="43"/>
    </row>
    <row r="28" spans="1:21" s="11" customFormat="1" x14ac:dyDescent="0.25">
      <c r="A28" s="54" t="s">
        <v>271</v>
      </c>
      <c r="B28" s="55">
        <v>10.29</v>
      </c>
      <c r="C28" s="55">
        <v>45.78</v>
      </c>
      <c r="D28" s="55">
        <v>73.400000000000006</v>
      </c>
      <c r="E28" s="55">
        <v>5.93</v>
      </c>
      <c r="F28" s="55">
        <v>8.39</v>
      </c>
      <c r="G28" s="55">
        <v>26.13</v>
      </c>
      <c r="H28" s="55">
        <v>8.34</v>
      </c>
      <c r="I28" s="55">
        <v>4.0199999999999996</v>
      </c>
      <c r="J28" s="55">
        <v>0.41</v>
      </c>
      <c r="K28" s="55">
        <v>179.89</v>
      </c>
      <c r="L28" s="55">
        <v>36.119999999999997</v>
      </c>
      <c r="M28" s="55">
        <v>35.01</v>
      </c>
      <c r="N28" s="55">
        <v>28.8</v>
      </c>
      <c r="O28" s="55">
        <v>0</v>
      </c>
      <c r="P28" s="55">
        <v>0.48</v>
      </c>
      <c r="Q28" s="55">
        <v>9.57</v>
      </c>
      <c r="R28" s="43"/>
      <c r="S28" s="43"/>
      <c r="T28" s="43"/>
      <c r="U28" s="43"/>
    </row>
    <row r="29" spans="1:21" s="11" customFormat="1" x14ac:dyDescent="0.25">
      <c r="A29" s="54" t="s">
        <v>272</v>
      </c>
      <c r="B29" s="55">
        <v>12.63</v>
      </c>
      <c r="C29" s="55">
        <v>54.45</v>
      </c>
      <c r="D29" s="55">
        <v>84.83</v>
      </c>
      <c r="E29" s="55">
        <v>6.21</v>
      </c>
      <c r="F29" s="55">
        <v>6.58</v>
      </c>
      <c r="G29" s="55">
        <v>28.02</v>
      </c>
      <c r="H29" s="55">
        <v>8.02</v>
      </c>
      <c r="I29" s="55">
        <v>4.13</v>
      </c>
      <c r="J29" s="55">
        <v>0.36</v>
      </c>
      <c r="K29" s="55">
        <v>206.9</v>
      </c>
      <c r="L29" s="55">
        <v>35.119999999999997</v>
      </c>
      <c r="M29" s="55">
        <v>39.15</v>
      </c>
      <c r="N29" s="55">
        <v>28.8</v>
      </c>
      <c r="O29" s="55">
        <v>0</v>
      </c>
      <c r="P29" s="55">
        <v>0.63</v>
      </c>
      <c r="Q29" s="55">
        <v>9.57</v>
      </c>
      <c r="R29" s="43"/>
      <c r="S29" s="43"/>
      <c r="T29" s="43"/>
      <c r="U29" s="43"/>
    </row>
    <row r="30" spans="1:21" s="11" customFormat="1" x14ac:dyDescent="0.25">
      <c r="A30" s="54" t="s">
        <v>273</v>
      </c>
      <c r="B30" s="55">
        <v>83.25</v>
      </c>
      <c r="C30" s="55">
        <v>132.65</v>
      </c>
      <c r="D30" s="55">
        <v>126.1</v>
      </c>
      <c r="E30" s="55">
        <v>6.85</v>
      </c>
      <c r="F30" s="55">
        <v>4.2300000000000004</v>
      </c>
      <c r="G30" s="55">
        <v>28.21</v>
      </c>
      <c r="H30" s="55">
        <v>9.3000000000000007</v>
      </c>
      <c r="I30" s="55">
        <v>4.1100000000000003</v>
      </c>
      <c r="J30" s="55">
        <v>0.37</v>
      </c>
      <c r="K30" s="55">
        <v>289.44</v>
      </c>
      <c r="L30" s="55">
        <v>34.33</v>
      </c>
      <c r="M30" s="55">
        <v>43.84</v>
      </c>
      <c r="N30" s="55">
        <v>28.8</v>
      </c>
      <c r="O30" s="55">
        <v>0</v>
      </c>
      <c r="P30" s="55">
        <v>1.95</v>
      </c>
      <c r="Q30" s="55">
        <v>9.57</v>
      </c>
      <c r="R30" s="43"/>
      <c r="S30" s="43"/>
      <c r="T30" s="43"/>
      <c r="U30" s="43"/>
    </row>
    <row r="31" spans="1:21" s="11" customFormat="1" x14ac:dyDescent="0.25">
      <c r="A31" s="54" t="s">
        <v>274</v>
      </c>
      <c r="B31" s="55">
        <v>82.13</v>
      </c>
      <c r="C31" s="55">
        <v>123.37</v>
      </c>
      <c r="D31" s="55">
        <v>110.08</v>
      </c>
      <c r="E31" s="55">
        <v>6.61</v>
      </c>
      <c r="F31" s="55">
        <v>1.52</v>
      </c>
      <c r="G31" s="55">
        <v>40.29</v>
      </c>
      <c r="H31" s="55">
        <v>10.34</v>
      </c>
      <c r="I31" s="55">
        <v>4.08</v>
      </c>
      <c r="J31" s="55">
        <v>0.35</v>
      </c>
      <c r="K31" s="55">
        <v>276.11</v>
      </c>
      <c r="L31" s="55">
        <v>33.31</v>
      </c>
      <c r="M31" s="55">
        <v>48.48</v>
      </c>
      <c r="N31" s="55">
        <v>29.1</v>
      </c>
      <c r="O31" s="55">
        <v>0</v>
      </c>
      <c r="P31" s="55">
        <v>1.54</v>
      </c>
      <c r="Q31" s="55">
        <v>9.61</v>
      </c>
      <c r="R31" s="43"/>
      <c r="S31" s="43"/>
      <c r="T31" s="43"/>
      <c r="U31" s="43"/>
    </row>
    <row r="32" spans="1:21" s="11" customFormat="1" x14ac:dyDescent="0.25">
      <c r="A32" s="54" t="s">
        <v>275</v>
      </c>
      <c r="B32" s="55">
        <v>58.32</v>
      </c>
      <c r="C32" s="55">
        <v>91.63</v>
      </c>
      <c r="D32" s="55">
        <v>86.59</v>
      </c>
      <c r="E32" s="55">
        <v>6.03</v>
      </c>
      <c r="F32" s="55">
        <v>3.33</v>
      </c>
      <c r="G32" s="55">
        <v>51.11</v>
      </c>
      <c r="H32" s="55">
        <v>12.62</v>
      </c>
      <c r="I32" s="55">
        <v>4.08</v>
      </c>
      <c r="J32" s="55">
        <v>0.36</v>
      </c>
      <c r="K32" s="55">
        <v>330.06</v>
      </c>
      <c r="L32" s="55">
        <v>32.43</v>
      </c>
      <c r="M32" s="55">
        <v>57.96</v>
      </c>
      <c r="N32" s="55">
        <v>29</v>
      </c>
      <c r="O32" s="55">
        <v>0</v>
      </c>
      <c r="P32" s="55">
        <v>1.29</v>
      </c>
      <c r="Q32" s="55">
        <v>9.64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6.29</v>
      </c>
      <c r="C34" s="28">
        <f t="shared" si="0"/>
        <v>23.36</v>
      </c>
      <c r="D34" s="28">
        <f t="shared" si="0"/>
        <v>34.35</v>
      </c>
      <c r="E34" s="28">
        <f t="shared" si="0"/>
        <v>3.85</v>
      </c>
      <c r="F34" s="28">
        <f t="shared" si="0"/>
        <v>1.52</v>
      </c>
      <c r="G34" s="28">
        <f t="shared" si="0"/>
        <v>18.190000000000001</v>
      </c>
      <c r="H34" s="28">
        <f t="shared" si="0"/>
        <v>5.69</v>
      </c>
      <c r="I34" s="28">
        <f t="shared" si="0"/>
        <v>3.98</v>
      </c>
      <c r="J34" s="28">
        <f t="shared" si="0"/>
        <v>0.21</v>
      </c>
      <c r="K34" s="28">
        <f t="shared" si="0"/>
        <v>113.7</v>
      </c>
      <c r="L34" s="28">
        <f t="shared" si="0"/>
        <v>27.59</v>
      </c>
      <c r="M34" s="28">
        <f t="shared" si="0"/>
        <v>27.46</v>
      </c>
      <c r="N34" s="28">
        <f t="shared" si="0"/>
        <v>28.5</v>
      </c>
      <c r="O34" s="28">
        <f t="shared" si="0"/>
        <v>0</v>
      </c>
      <c r="P34" s="28">
        <f t="shared" si="0"/>
        <v>0.3</v>
      </c>
      <c r="Q34" s="28">
        <f t="shared" si="0"/>
        <v>9.4700000000000006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83.25</v>
      </c>
      <c r="C35" s="29">
        <f t="shared" si="1"/>
        <v>132.65</v>
      </c>
      <c r="D35" s="29">
        <f t="shared" si="1"/>
        <v>126.1</v>
      </c>
      <c r="E35" s="29">
        <f t="shared" si="1"/>
        <v>7.68</v>
      </c>
      <c r="F35" s="29">
        <f t="shared" si="1"/>
        <v>20.76</v>
      </c>
      <c r="G35" s="29">
        <f t="shared" si="1"/>
        <v>57.97</v>
      </c>
      <c r="H35" s="29">
        <f t="shared" si="1"/>
        <v>18.86</v>
      </c>
      <c r="I35" s="29">
        <f t="shared" si="1"/>
        <v>4.1399999999999997</v>
      </c>
      <c r="J35" s="29">
        <f t="shared" si="1"/>
        <v>1.1599999999999999</v>
      </c>
      <c r="K35" s="29">
        <f t="shared" si="1"/>
        <v>330.06</v>
      </c>
      <c r="L35" s="29">
        <f t="shared" si="1"/>
        <v>42.09</v>
      </c>
      <c r="M35" s="29">
        <f t="shared" si="1"/>
        <v>78.709999999999994</v>
      </c>
      <c r="N35" s="29">
        <f t="shared" si="1"/>
        <v>999.5</v>
      </c>
      <c r="O35" s="29">
        <f t="shared" si="1"/>
        <v>0</v>
      </c>
      <c r="P35" s="29">
        <f t="shared" si="1"/>
        <v>1.95</v>
      </c>
      <c r="Q35" s="29">
        <f t="shared" si="1"/>
        <v>9.65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18.87875</v>
      </c>
      <c r="C36" s="28">
        <f t="shared" si="2"/>
        <v>43.408333333333331</v>
      </c>
      <c r="D36" s="28">
        <f t="shared" si="2"/>
        <v>54.882083333333327</v>
      </c>
      <c r="E36" s="28">
        <f t="shared" si="2"/>
        <v>5.5862499999999997</v>
      </c>
      <c r="F36" s="28">
        <f t="shared" si="2"/>
        <v>7.5575000000000001</v>
      </c>
      <c r="G36" s="28">
        <f t="shared" si="2"/>
        <v>34.042083333333338</v>
      </c>
      <c r="H36" s="28">
        <f t="shared" si="2"/>
        <v>10.990833333333335</v>
      </c>
      <c r="I36" s="28">
        <f t="shared" si="2"/>
        <v>4.0841666666666656</v>
      </c>
      <c r="J36" s="28">
        <f t="shared" si="2"/>
        <v>0.68958333333333321</v>
      </c>
      <c r="K36" s="28">
        <f t="shared" si="2"/>
        <v>228.56625</v>
      </c>
      <c r="L36" s="28">
        <f t="shared" si="2"/>
        <v>34.54999999999999</v>
      </c>
      <c r="M36" s="28">
        <f t="shared" si="2"/>
        <v>50.065833333333337</v>
      </c>
      <c r="N36" s="28">
        <f t="shared" si="2"/>
        <v>305.70416666666671</v>
      </c>
      <c r="O36" s="28">
        <f t="shared" si="2"/>
        <v>0</v>
      </c>
      <c r="P36" s="28">
        <f t="shared" si="2"/>
        <v>0.60166666666666668</v>
      </c>
      <c r="Q36" s="28">
        <f t="shared" si="2"/>
        <v>9.5691666666666659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22.190975900420501</v>
      </c>
      <c r="C37" s="28">
        <f t="shared" ref="C37:Q37" si="3">STDEV(C9:C32)</f>
        <v>29.612757483846419</v>
      </c>
      <c r="D37" s="28">
        <f t="shared" si="3"/>
        <v>24.311597157335843</v>
      </c>
      <c r="E37" s="28">
        <f t="shared" si="3"/>
        <v>1.1853005947859807</v>
      </c>
      <c r="F37" s="28">
        <f t="shared" si="3"/>
        <v>5.9148664948732295</v>
      </c>
      <c r="G37" s="28">
        <f t="shared" si="3"/>
        <v>10.729180842821634</v>
      </c>
      <c r="H37" s="28">
        <f t="shared" si="3"/>
        <v>3.5725790424415722</v>
      </c>
      <c r="I37" s="28">
        <f t="shared" si="3"/>
        <v>4.3530765399104658E-2</v>
      </c>
      <c r="J37" s="28">
        <f t="shared" si="3"/>
        <v>0.25357408945036142</v>
      </c>
      <c r="K37" s="28">
        <f t="shared" si="3"/>
        <v>55.900116731036292</v>
      </c>
      <c r="L37" s="28">
        <f t="shared" si="3"/>
        <v>4.9043787001804438</v>
      </c>
      <c r="M37" s="28">
        <f t="shared" si="3"/>
        <v>18.962884782526132</v>
      </c>
      <c r="N37" s="28">
        <f t="shared" si="3"/>
        <v>354.04344547842135</v>
      </c>
      <c r="O37" s="28">
        <f t="shared" si="3"/>
        <v>0</v>
      </c>
      <c r="P37" s="28">
        <f t="shared" si="3"/>
        <v>0.40833348121854762</v>
      </c>
      <c r="Q37" s="28">
        <f t="shared" si="3"/>
        <v>5.3885278030328436E-2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10/05/2025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4" t="s">
        <v>276</v>
      </c>
      <c r="B9" s="55">
        <v>45.52</v>
      </c>
      <c r="C9" s="55">
        <v>81.55</v>
      </c>
      <c r="D9" s="55">
        <v>86.2</v>
      </c>
      <c r="E9" s="55">
        <v>5.0599999999999996</v>
      </c>
      <c r="F9" s="55">
        <v>1.22</v>
      </c>
      <c r="G9" s="55">
        <v>60.35</v>
      </c>
      <c r="H9" s="55">
        <v>15.32</v>
      </c>
      <c r="I9" s="55">
        <v>4.1399999999999997</v>
      </c>
      <c r="J9" s="55">
        <v>0.33</v>
      </c>
      <c r="K9" s="55">
        <v>274.16000000000003</v>
      </c>
      <c r="L9" s="55">
        <v>31.11</v>
      </c>
      <c r="M9" s="55">
        <v>63.64</v>
      </c>
      <c r="N9" s="55">
        <v>28.8</v>
      </c>
      <c r="O9" s="55">
        <v>0</v>
      </c>
      <c r="P9" s="55">
        <v>1.17</v>
      </c>
      <c r="Q9" s="55">
        <v>9.68</v>
      </c>
      <c r="R9" s="43"/>
      <c r="S9" s="43"/>
      <c r="T9" s="43"/>
      <c r="U9" s="43"/>
    </row>
    <row r="10" spans="1:21" s="11" customFormat="1" x14ac:dyDescent="0.25">
      <c r="A10" s="54" t="s">
        <v>277</v>
      </c>
      <c r="B10" s="55">
        <v>19.05</v>
      </c>
      <c r="C10" s="55">
        <v>44.29</v>
      </c>
      <c r="D10" s="55">
        <v>58.16</v>
      </c>
      <c r="E10" s="55">
        <v>4.8099999999999996</v>
      </c>
      <c r="F10" s="55">
        <v>7.78</v>
      </c>
      <c r="G10" s="55">
        <v>66.02</v>
      </c>
      <c r="H10" s="55">
        <v>16.399999999999999</v>
      </c>
      <c r="I10" s="55">
        <v>4.0999999999999996</v>
      </c>
      <c r="J10" s="55">
        <v>0.69</v>
      </c>
      <c r="K10" s="55">
        <v>251.98</v>
      </c>
      <c r="L10" s="55">
        <v>31.25</v>
      </c>
      <c r="M10" s="55">
        <v>54.87</v>
      </c>
      <c r="N10" s="55">
        <v>28.9</v>
      </c>
      <c r="O10" s="55">
        <v>0</v>
      </c>
      <c r="P10" s="55">
        <v>0.57999999999999996</v>
      </c>
      <c r="Q10" s="55">
        <v>9.6999999999999993</v>
      </c>
      <c r="R10" s="43"/>
      <c r="S10" s="43"/>
      <c r="T10" s="43"/>
      <c r="U10" s="43"/>
    </row>
    <row r="11" spans="1:21" s="11" customFormat="1" x14ac:dyDescent="0.25">
      <c r="A11" s="54" t="s">
        <v>278</v>
      </c>
      <c r="B11" s="55">
        <v>21.63</v>
      </c>
      <c r="C11" s="55">
        <v>40.880000000000003</v>
      </c>
      <c r="D11" s="55">
        <v>45.25</v>
      </c>
      <c r="E11" s="55">
        <v>4.8499999999999996</v>
      </c>
      <c r="F11" s="55">
        <v>6.58</v>
      </c>
      <c r="G11" s="55">
        <v>50.32</v>
      </c>
      <c r="H11" s="55">
        <v>12.67</v>
      </c>
      <c r="I11" s="55">
        <v>4.09</v>
      </c>
      <c r="J11" s="55">
        <v>0.28000000000000003</v>
      </c>
      <c r="K11" s="55">
        <v>224.05</v>
      </c>
      <c r="L11" s="55">
        <v>30.31</v>
      </c>
      <c r="M11" s="55">
        <v>60.62</v>
      </c>
      <c r="N11" s="55">
        <v>29</v>
      </c>
      <c r="O11" s="55">
        <v>0</v>
      </c>
      <c r="P11" s="55">
        <v>0.66</v>
      </c>
      <c r="Q11" s="55">
        <v>9.6999999999999993</v>
      </c>
      <c r="R11" s="43"/>
      <c r="S11" s="43"/>
      <c r="T11" s="43"/>
      <c r="U11" s="43"/>
    </row>
    <row r="12" spans="1:21" s="11" customFormat="1" x14ac:dyDescent="0.25">
      <c r="A12" s="54" t="s">
        <v>279</v>
      </c>
      <c r="B12" s="55">
        <v>20.73</v>
      </c>
      <c r="C12" s="55">
        <v>40.42</v>
      </c>
      <c r="D12" s="55">
        <v>47.52</v>
      </c>
      <c r="E12" s="55">
        <v>4.2</v>
      </c>
      <c r="F12" s="55">
        <v>3.21</v>
      </c>
      <c r="G12" s="55">
        <v>48.38</v>
      </c>
      <c r="H12" s="55">
        <v>11.12</v>
      </c>
      <c r="I12" s="55">
        <v>4.0999999999999996</v>
      </c>
      <c r="J12" s="55">
        <v>0.37</v>
      </c>
      <c r="K12" s="55">
        <v>353.32</v>
      </c>
      <c r="L12" s="55">
        <v>29.77</v>
      </c>
      <c r="M12" s="55">
        <v>69.52</v>
      </c>
      <c r="N12" s="55">
        <v>28.9</v>
      </c>
      <c r="O12" s="55">
        <v>0</v>
      </c>
      <c r="P12" s="55">
        <v>0.63</v>
      </c>
      <c r="Q12" s="55">
        <v>9.6999999999999993</v>
      </c>
      <c r="R12" s="43"/>
      <c r="S12" s="43"/>
      <c r="T12" s="43"/>
      <c r="U12" s="43"/>
    </row>
    <row r="13" spans="1:21" s="11" customFormat="1" x14ac:dyDescent="0.25">
      <c r="A13" s="54" t="s">
        <v>280</v>
      </c>
      <c r="B13" s="55">
        <v>46.71</v>
      </c>
      <c r="C13" s="55">
        <v>74.59</v>
      </c>
      <c r="D13" s="55">
        <v>71.069999999999993</v>
      </c>
      <c r="E13" s="55">
        <v>4.4800000000000004</v>
      </c>
      <c r="F13" s="55">
        <v>1.04</v>
      </c>
      <c r="G13" s="55">
        <v>46.83</v>
      </c>
      <c r="H13" s="55">
        <v>13.95</v>
      </c>
      <c r="I13" s="55">
        <v>4.09</v>
      </c>
      <c r="J13" s="55">
        <v>0.21</v>
      </c>
      <c r="K13" s="55">
        <v>250.65</v>
      </c>
      <c r="L13" s="55">
        <v>29.1</v>
      </c>
      <c r="M13" s="55">
        <v>71.52</v>
      </c>
      <c r="N13" s="55">
        <v>28.7</v>
      </c>
      <c r="O13" s="55">
        <v>0</v>
      </c>
      <c r="P13" s="55">
        <v>0.67</v>
      </c>
      <c r="Q13" s="55">
        <v>9.67</v>
      </c>
      <c r="R13" s="43"/>
      <c r="S13" s="43"/>
      <c r="T13" s="43"/>
      <c r="U13" s="43"/>
    </row>
    <row r="14" spans="1:21" s="11" customFormat="1" x14ac:dyDescent="0.25">
      <c r="A14" s="54" t="s">
        <v>281</v>
      </c>
      <c r="B14" s="55">
        <v>93.13</v>
      </c>
      <c r="C14" s="55">
        <v>122.06</v>
      </c>
      <c r="D14" s="55">
        <v>90.68</v>
      </c>
      <c r="E14" s="55">
        <v>4.45</v>
      </c>
      <c r="F14" s="55">
        <v>1.39</v>
      </c>
      <c r="G14" s="55">
        <v>53.43</v>
      </c>
      <c r="H14" s="55">
        <v>15.05</v>
      </c>
      <c r="I14" s="55">
        <v>4.18</v>
      </c>
      <c r="J14" s="55">
        <v>0.28999999999999998</v>
      </c>
      <c r="K14" s="55">
        <v>257.14</v>
      </c>
      <c r="L14" s="55">
        <v>29.34</v>
      </c>
      <c r="M14" s="55">
        <v>73.319999999999993</v>
      </c>
      <c r="N14" s="55">
        <v>65.599999999999994</v>
      </c>
      <c r="O14" s="55">
        <v>0</v>
      </c>
      <c r="P14" s="55">
        <v>0.97</v>
      </c>
      <c r="Q14" s="55">
        <v>9.68</v>
      </c>
      <c r="R14" s="43"/>
      <c r="S14" s="43"/>
      <c r="T14" s="43"/>
      <c r="U14" s="43"/>
    </row>
    <row r="15" spans="1:21" s="11" customFormat="1" x14ac:dyDescent="0.25">
      <c r="A15" s="54" t="s">
        <v>282</v>
      </c>
      <c r="B15" s="55">
        <v>55.84</v>
      </c>
      <c r="C15" s="55">
        <v>89.68</v>
      </c>
      <c r="D15" s="55">
        <v>85.94</v>
      </c>
      <c r="E15" s="55">
        <v>4.49</v>
      </c>
      <c r="F15" s="55">
        <v>4.17</v>
      </c>
      <c r="G15" s="55">
        <v>59.3</v>
      </c>
      <c r="H15" s="55">
        <v>13.62</v>
      </c>
      <c r="I15" s="55">
        <v>4.0599999999999996</v>
      </c>
      <c r="J15" s="55">
        <v>1.1499999999999999</v>
      </c>
      <c r="K15" s="55">
        <v>194.93</v>
      </c>
      <c r="L15" s="55">
        <v>33.14</v>
      </c>
      <c r="M15" s="55">
        <v>65.680000000000007</v>
      </c>
      <c r="N15" s="55">
        <v>235.8</v>
      </c>
      <c r="O15" s="55">
        <v>0</v>
      </c>
      <c r="P15" s="55">
        <v>0.88</v>
      </c>
      <c r="Q15" s="55">
        <v>9.69</v>
      </c>
      <c r="R15" s="43"/>
      <c r="S15" s="43"/>
      <c r="T15" s="43"/>
      <c r="U15" s="43"/>
    </row>
    <row r="16" spans="1:21" s="11" customFormat="1" x14ac:dyDescent="0.25">
      <c r="A16" s="54" t="s">
        <v>283</v>
      </c>
      <c r="B16" s="55">
        <v>37.71</v>
      </c>
      <c r="C16" s="55">
        <v>55.02</v>
      </c>
      <c r="D16" s="55">
        <v>47.43</v>
      </c>
      <c r="E16" s="55">
        <v>4.4000000000000004</v>
      </c>
      <c r="F16" s="55">
        <v>3.75</v>
      </c>
      <c r="G16" s="55">
        <v>57.14</v>
      </c>
      <c r="H16" s="55">
        <v>14.43</v>
      </c>
      <c r="I16" s="55">
        <v>4.03</v>
      </c>
      <c r="J16" s="55">
        <v>1.05</v>
      </c>
      <c r="K16" s="55">
        <v>228.06</v>
      </c>
      <c r="L16" s="55">
        <v>35.44</v>
      </c>
      <c r="M16" s="55">
        <v>49.97</v>
      </c>
      <c r="N16" s="55">
        <v>463.7</v>
      </c>
      <c r="O16" s="55">
        <v>0</v>
      </c>
      <c r="P16" s="55">
        <v>0.67</v>
      </c>
      <c r="Q16" s="55">
        <v>9.7200000000000006</v>
      </c>
      <c r="R16" s="43"/>
      <c r="S16" s="43"/>
      <c r="T16" s="43"/>
      <c r="U16" s="43"/>
    </row>
    <row r="17" spans="1:21" s="11" customFormat="1" x14ac:dyDescent="0.25">
      <c r="A17" s="54" t="s">
        <v>284</v>
      </c>
      <c r="B17" s="55">
        <v>25.66</v>
      </c>
      <c r="C17" s="55">
        <v>44.84</v>
      </c>
      <c r="D17" s="55">
        <v>52.03</v>
      </c>
      <c r="E17" s="55">
        <v>5.0199999999999996</v>
      </c>
      <c r="F17" s="55">
        <v>6.84</v>
      </c>
      <c r="G17" s="55">
        <v>52.42</v>
      </c>
      <c r="H17" s="55">
        <v>14.81</v>
      </c>
      <c r="I17" s="55">
        <v>4.17</v>
      </c>
      <c r="J17" s="55">
        <v>0.69</v>
      </c>
      <c r="K17" s="55">
        <v>256.55</v>
      </c>
      <c r="L17" s="55">
        <v>40.659999999999997</v>
      </c>
      <c r="M17" s="55">
        <v>45.04</v>
      </c>
      <c r="N17" s="55">
        <v>651.29999999999995</v>
      </c>
      <c r="O17" s="55">
        <v>0</v>
      </c>
      <c r="P17" s="55">
        <v>0.71</v>
      </c>
      <c r="Q17" s="55">
        <v>9.73</v>
      </c>
      <c r="R17" s="43"/>
      <c r="S17" s="43"/>
      <c r="T17" s="43"/>
      <c r="U17" s="43"/>
    </row>
    <row r="18" spans="1:21" s="11" customFormat="1" x14ac:dyDescent="0.25">
      <c r="A18" s="54" t="s">
        <v>285</v>
      </c>
      <c r="B18" s="55">
        <v>15.2</v>
      </c>
      <c r="C18" s="55">
        <v>39.090000000000003</v>
      </c>
      <c r="D18" s="55">
        <v>51.47</v>
      </c>
      <c r="E18" s="55">
        <v>5.85</v>
      </c>
      <c r="F18" s="55">
        <v>6.34</v>
      </c>
      <c r="G18" s="55">
        <v>48.58</v>
      </c>
      <c r="H18" s="55">
        <v>13.77</v>
      </c>
      <c r="I18" s="55">
        <v>4.1399999999999997</v>
      </c>
      <c r="J18" s="55">
        <v>0.94</v>
      </c>
      <c r="K18" s="55">
        <v>262.02</v>
      </c>
      <c r="L18" s="55">
        <v>41.5</v>
      </c>
      <c r="M18" s="55">
        <v>38.74</v>
      </c>
      <c r="N18" s="55">
        <v>803.9</v>
      </c>
      <c r="O18" s="55">
        <v>0</v>
      </c>
      <c r="P18" s="55">
        <v>0.75</v>
      </c>
      <c r="Q18" s="55">
        <v>9.64</v>
      </c>
      <c r="R18" s="43"/>
      <c r="S18" s="43"/>
      <c r="T18" s="43"/>
      <c r="U18" s="43"/>
    </row>
    <row r="19" spans="1:21" s="11" customFormat="1" x14ac:dyDescent="0.25">
      <c r="A19" s="54" t="s">
        <v>286</v>
      </c>
      <c r="B19" s="55">
        <v>8.66</v>
      </c>
      <c r="C19" s="55">
        <v>31.68</v>
      </c>
      <c r="D19" s="55">
        <v>47.34</v>
      </c>
      <c r="E19" s="55">
        <v>8.11</v>
      </c>
      <c r="F19" s="55">
        <v>12.81</v>
      </c>
      <c r="G19" s="55">
        <v>40.33</v>
      </c>
      <c r="H19" s="55">
        <v>11.72</v>
      </c>
      <c r="I19" s="55">
        <v>4</v>
      </c>
      <c r="J19" s="55">
        <v>0.74</v>
      </c>
      <c r="K19" s="55">
        <v>246.73</v>
      </c>
      <c r="L19" s="55">
        <v>41.5</v>
      </c>
      <c r="M19" s="55">
        <v>33</v>
      </c>
      <c r="N19" s="55">
        <v>888.7</v>
      </c>
      <c r="O19" s="55">
        <v>0</v>
      </c>
      <c r="P19" s="55">
        <v>0.71</v>
      </c>
      <c r="Q19" s="55">
        <v>9.58</v>
      </c>
      <c r="R19" s="43"/>
      <c r="S19" s="43"/>
      <c r="T19" s="43"/>
      <c r="U19" s="43"/>
    </row>
    <row r="20" spans="1:21" s="11" customFormat="1" x14ac:dyDescent="0.25">
      <c r="A20" s="54" t="s">
        <v>287</v>
      </c>
      <c r="B20" s="55">
        <v>7.38</v>
      </c>
      <c r="C20" s="55">
        <v>32.14</v>
      </c>
      <c r="D20" s="55">
        <v>50.19</v>
      </c>
      <c r="E20" s="55">
        <v>7.45</v>
      </c>
      <c r="F20" s="55">
        <v>14.87</v>
      </c>
      <c r="G20" s="55">
        <v>41.92</v>
      </c>
      <c r="H20" s="55">
        <v>14</v>
      </c>
      <c r="I20" s="55">
        <v>4.17</v>
      </c>
      <c r="J20" s="55">
        <v>0.92</v>
      </c>
      <c r="K20" s="55">
        <v>269.98</v>
      </c>
      <c r="L20" s="55">
        <v>44.63</v>
      </c>
      <c r="M20" s="55">
        <v>32.200000000000003</v>
      </c>
      <c r="N20" s="55">
        <v>917.3</v>
      </c>
      <c r="O20" s="55">
        <v>0</v>
      </c>
      <c r="P20" s="55">
        <v>0.68</v>
      </c>
      <c r="Q20" s="55">
        <v>9.58</v>
      </c>
      <c r="R20" s="43"/>
      <c r="S20" s="43"/>
      <c r="T20" s="43"/>
      <c r="U20" s="43"/>
    </row>
    <row r="21" spans="1:21" s="11" customFormat="1" x14ac:dyDescent="0.25">
      <c r="A21" s="54" t="s">
        <v>288</v>
      </c>
      <c r="B21" s="55">
        <v>7.52</v>
      </c>
      <c r="C21" s="55">
        <v>29.41</v>
      </c>
      <c r="D21" s="55">
        <v>44.75</v>
      </c>
      <c r="E21" s="55">
        <v>6.72</v>
      </c>
      <c r="F21" s="55">
        <v>12.84</v>
      </c>
      <c r="G21" s="55">
        <v>40.090000000000003</v>
      </c>
      <c r="H21" s="55">
        <v>12.84</v>
      </c>
      <c r="I21" s="55">
        <v>4.13</v>
      </c>
      <c r="J21" s="55">
        <v>1.35</v>
      </c>
      <c r="K21" s="55">
        <v>265.57</v>
      </c>
      <c r="L21" s="55">
        <v>44.31</v>
      </c>
      <c r="M21" s="55">
        <v>30.17</v>
      </c>
      <c r="N21" s="55">
        <v>925.7</v>
      </c>
      <c r="O21" s="55">
        <v>0</v>
      </c>
      <c r="P21" s="55">
        <v>0.66</v>
      </c>
      <c r="Q21" s="55">
        <v>9.58</v>
      </c>
      <c r="R21" s="43"/>
      <c r="S21" s="43"/>
      <c r="T21" s="43"/>
      <c r="U21" s="43"/>
    </row>
    <row r="22" spans="1:21" s="11" customFormat="1" x14ac:dyDescent="0.25">
      <c r="A22" s="54" t="s">
        <v>289</v>
      </c>
      <c r="B22" s="55">
        <v>8.48</v>
      </c>
      <c r="C22" s="55">
        <v>27.92</v>
      </c>
      <c r="D22" s="55">
        <v>40.43</v>
      </c>
      <c r="E22" s="55">
        <v>5.37</v>
      </c>
      <c r="F22" s="55">
        <v>15.04</v>
      </c>
      <c r="G22" s="55">
        <v>37.26</v>
      </c>
      <c r="H22" s="55">
        <v>13.39</v>
      </c>
      <c r="I22" s="55">
        <v>4.13</v>
      </c>
      <c r="J22" s="55">
        <v>0.76</v>
      </c>
      <c r="K22" s="55">
        <v>281.64</v>
      </c>
      <c r="L22" s="55">
        <v>44.3</v>
      </c>
      <c r="M22" s="55">
        <v>29.96</v>
      </c>
      <c r="N22" s="55">
        <v>888.4</v>
      </c>
      <c r="O22" s="55">
        <v>0</v>
      </c>
      <c r="P22" s="55">
        <v>0.53</v>
      </c>
      <c r="Q22" s="55">
        <v>9.5500000000000007</v>
      </c>
      <c r="R22" s="43"/>
      <c r="S22" s="43"/>
      <c r="T22" s="43"/>
      <c r="U22" s="43"/>
    </row>
    <row r="23" spans="1:21" s="11" customFormat="1" x14ac:dyDescent="0.25">
      <c r="A23" s="54" t="s">
        <v>290</v>
      </c>
      <c r="B23" s="55">
        <v>5.87</v>
      </c>
      <c r="C23" s="55">
        <v>22.86</v>
      </c>
      <c r="D23" s="55">
        <v>35.159999999999997</v>
      </c>
      <c r="E23" s="55">
        <v>5.64</v>
      </c>
      <c r="F23" s="55">
        <v>16.399999999999999</v>
      </c>
      <c r="G23" s="55">
        <v>35.01</v>
      </c>
      <c r="H23" s="55">
        <v>14.67</v>
      </c>
      <c r="I23" s="55">
        <v>4.0599999999999996</v>
      </c>
      <c r="J23" s="55">
        <v>1.25</v>
      </c>
      <c r="K23" s="55">
        <v>159.22999999999999</v>
      </c>
      <c r="L23" s="55">
        <v>41.16</v>
      </c>
      <c r="M23" s="55">
        <v>30.11</v>
      </c>
      <c r="N23" s="55">
        <v>491.8</v>
      </c>
      <c r="O23" s="55">
        <v>0</v>
      </c>
      <c r="P23" s="55">
        <v>0.42</v>
      </c>
      <c r="Q23" s="55">
        <v>9.57</v>
      </c>
      <c r="R23" s="43"/>
      <c r="S23" s="43"/>
      <c r="T23" s="43"/>
      <c r="U23" s="43"/>
    </row>
    <row r="24" spans="1:21" s="11" customFormat="1" x14ac:dyDescent="0.25">
      <c r="A24" s="54" t="s">
        <v>291</v>
      </c>
      <c r="B24" s="55">
        <v>6.26</v>
      </c>
      <c r="C24" s="55">
        <v>24.75</v>
      </c>
      <c r="D24" s="55">
        <v>37.81</v>
      </c>
      <c r="E24" s="55">
        <v>5.59</v>
      </c>
      <c r="F24" s="55">
        <v>17.010000000000002</v>
      </c>
      <c r="G24" s="55">
        <v>32.79</v>
      </c>
      <c r="H24" s="55">
        <v>11.63</v>
      </c>
      <c r="I24" s="55">
        <v>4.13</v>
      </c>
      <c r="J24" s="55">
        <v>0.55000000000000004</v>
      </c>
      <c r="K24" s="55">
        <v>267.04000000000002</v>
      </c>
      <c r="L24" s="55">
        <v>41.48</v>
      </c>
      <c r="M24" s="55">
        <v>28.83</v>
      </c>
      <c r="N24" s="55">
        <v>358.5</v>
      </c>
      <c r="O24" s="55">
        <v>0</v>
      </c>
      <c r="P24" s="55">
        <v>0.4</v>
      </c>
      <c r="Q24" s="55">
        <v>9.56</v>
      </c>
      <c r="R24" s="43"/>
      <c r="S24" s="43"/>
      <c r="T24" s="43"/>
      <c r="U24" s="43"/>
    </row>
    <row r="25" spans="1:21" s="11" customFormat="1" x14ac:dyDescent="0.25">
      <c r="A25" s="54" t="s">
        <v>292</v>
      </c>
      <c r="B25" s="55">
        <v>9.8000000000000007</v>
      </c>
      <c r="C25" s="55">
        <v>31.54</v>
      </c>
      <c r="D25" s="55">
        <v>45.32</v>
      </c>
      <c r="E25" s="55">
        <v>5.68</v>
      </c>
      <c r="F25" s="55">
        <v>16.27</v>
      </c>
      <c r="G25" s="55">
        <v>29.48</v>
      </c>
      <c r="H25" s="55">
        <v>9.39</v>
      </c>
      <c r="I25" s="55">
        <v>4.16</v>
      </c>
      <c r="J25" s="55">
        <v>0.56999999999999995</v>
      </c>
      <c r="K25" s="55">
        <v>265.19</v>
      </c>
      <c r="L25" s="55">
        <v>41.5</v>
      </c>
      <c r="M25" s="55">
        <v>29.56</v>
      </c>
      <c r="N25" s="55">
        <v>260.7</v>
      </c>
      <c r="O25" s="55">
        <v>0</v>
      </c>
      <c r="P25" s="55">
        <v>0.43</v>
      </c>
      <c r="Q25" s="55">
        <v>9.5299999999999994</v>
      </c>
      <c r="R25" s="43"/>
      <c r="S25" s="43"/>
      <c r="T25" s="43"/>
      <c r="U25" s="43"/>
    </row>
    <row r="26" spans="1:21" s="11" customFormat="1" x14ac:dyDescent="0.25">
      <c r="A26" s="54" t="s">
        <v>293</v>
      </c>
      <c r="B26" s="55">
        <v>6.43</v>
      </c>
      <c r="C26" s="55">
        <v>29.73</v>
      </c>
      <c r="D26" s="55">
        <v>47.03</v>
      </c>
      <c r="E26" s="55">
        <v>6.39</v>
      </c>
      <c r="F26" s="55">
        <v>19.420000000000002</v>
      </c>
      <c r="G26" s="55">
        <v>29.55</v>
      </c>
      <c r="H26" s="55">
        <v>12.19</v>
      </c>
      <c r="I26" s="55">
        <v>4.12</v>
      </c>
      <c r="J26" s="55">
        <v>0.82</v>
      </c>
      <c r="K26" s="55">
        <v>246.02</v>
      </c>
      <c r="L26" s="55">
        <v>39.64</v>
      </c>
      <c r="M26" s="55">
        <v>31.35</v>
      </c>
      <c r="N26" s="55">
        <v>82.3</v>
      </c>
      <c r="O26" s="55">
        <v>0</v>
      </c>
      <c r="P26" s="55">
        <v>0.43</v>
      </c>
      <c r="Q26" s="55">
        <v>9.52</v>
      </c>
      <c r="R26" s="43"/>
      <c r="S26" s="43"/>
      <c r="T26" s="43"/>
      <c r="U26" s="43"/>
    </row>
    <row r="27" spans="1:21" s="11" customFormat="1" x14ac:dyDescent="0.25">
      <c r="A27" s="54" t="s">
        <v>294</v>
      </c>
      <c r="B27" s="55">
        <v>15.86</v>
      </c>
      <c r="C27" s="55">
        <v>60</v>
      </c>
      <c r="D27" s="55">
        <v>90.5</v>
      </c>
      <c r="E27" s="55">
        <v>6.38</v>
      </c>
      <c r="F27" s="55">
        <v>17.11</v>
      </c>
      <c r="G27" s="55">
        <v>29.27</v>
      </c>
      <c r="H27" s="55">
        <v>10.130000000000001</v>
      </c>
      <c r="I27" s="55">
        <v>4.0599999999999996</v>
      </c>
      <c r="J27" s="55">
        <v>0.63</v>
      </c>
      <c r="K27" s="55">
        <v>253.83</v>
      </c>
      <c r="L27" s="55">
        <v>38.549999999999997</v>
      </c>
      <c r="M27" s="55">
        <v>34.21</v>
      </c>
      <c r="N27" s="55">
        <v>36.200000000000003</v>
      </c>
      <c r="O27" s="55">
        <v>0</v>
      </c>
      <c r="P27" s="55">
        <v>0.92</v>
      </c>
      <c r="Q27" s="55">
        <v>9.51</v>
      </c>
      <c r="R27" s="43"/>
      <c r="S27" s="43"/>
      <c r="T27" s="43"/>
      <c r="U27" s="43"/>
    </row>
    <row r="28" spans="1:21" s="11" customFormat="1" x14ac:dyDescent="0.25">
      <c r="A28" s="54" t="s">
        <v>295</v>
      </c>
      <c r="B28" s="55">
        <v>11.74</v>
      </c>
      <c r="C28" s="55">
        <v>45.42</v>
      </c>
      <c r="D28" s="55">
        <v>70.83</v>
      </c>
      <c r="E28" s="55">
        <v>6.25</v>
      </c>
      <c r="F28" s="55">
        <v>10.81</v>
      </c>
      <c r="G28" s="55">
        <v>36.630000000000003</v>
      </c>
      <c r="H28" s="55">
        <v>11.28</v>
      </c>
      <c r="I28" s="55">
        <v>4.1500000000000004</v>
      </c>
      <c r="J28" s="55">
        <v>1</v>
      </c>
      <c r="K28" s="55">
        <v>155.37</v>
      </c>
      <c r="L28" s="55">
        <v>37.76</v>
      </c>
      <c r="M28" s="55">
        <v>34.74</v>
      </c>
      <c r="N28" s="55">
        <v>28.6</v>
      </c>
      <c r="O28" s="55">
        <v>0</v>
      </c>
      <c r="P28" s="55">
        <v>0.53</v>
      </c>
      <c r="Q28" s="55">
        <v>9.56</v>
      </c>
      <c r="R28" s="43"/>
      <c r="S28" s="43"/>
      <c r="T28" s="43"/>
      <c r="U28" s="43"/>
    </row>
    <row r="29" spans="1:21" s="11" customFormat="1" x14ac:dyDescent="0.25">
      <c r="A29" s="54" t="s">
        <v>296</v>
      </c>
      <c r="B29" s="55">
        <v>11.41</v>
      </c>
      <c r="C29" s="55">
        <v>45.15</v>
      </c>
      <c r="D29" s="55">
        <v>69.25</v>
      </c>
      <c r="E29" s="55">
        <v>5.64</v>
      </c>
      <c r="F29" s="55">
        <v>7.33</v>
      </c>
      <c r="G29" s="55">
        <v>33.700000000000003</v>
      </c>
      <c r="H29" s="55">
        <v>11.38</v>
      </c>
      <c r="I29" s="55">
        <v>4.1399999999999997</v>
      </c>
      <c r="J29" s="55">
        <v>1.05</v>
      </c>
      <c r="K29" s="55">
        <v>165.45</v>
      </c>
      <c r="L29" s="55">
        <v>37.06</v>
      </c>
      <c r="M29" s="55">
        <v>39.86</v>
      </c>
      <c r="N29" s="55">
        <v>29.1</v>
      </c>
      <c r="O29" s="55">
        <v>0</v>
      </c>
      <c r="P29" s="55">
        <v>0.53</v>
      </c>
      <c r="Q29" s="55">
        <v>9.5500000000000007</v>
      </c>
      <c r="R29" s="43"/>
      <c r="S29" s="43"/>
      <c r="T29" s="43"/>
      <c r="U29" s="43"/>
    </row>
    <row r="30" spans="1:21" s="11" customFormat="1" x14ac:dyDescent="0.25">
      <c r="A30" s="54" t="s">
        <v>297</v>
      </c>
      <c r="B30" s="55">
        <v>18.54</v>
      </c>
      <c r="C30" s="55">
        <v>53.74</v>
      </c>
      <c r="D30" s="55">
        <v>83.17</v>
      </c>
      <c r="E30" s="55">
        <v>5.99</v>
      </c>
      <c r="F30" s="55">
        <v>6.95</v>
      </c>
      <c r="G30" s="55">
        <v>34.950000000000003</v>
      </c>
      <c r="H30" s="55">
        <v>12.67</v>
      </c>
      <c r="I30" s="55">
        <v>4.16</v>
      </c>
      <c r="J30" s="55">
        <v>0.86</v>
      </c>
      <c r="K30" s="55">
        <v>264.85000000000002</v>
      </c>
      <c r="L30" s="55">
        <v>35.979999999999997</v>
      </c>
      <c r="M30" s="55">
        <v>44.04</v>
      </c>
      <c r="N30" s="55">
        <v>28.9</v>
      </c>
      <c r="O30" s="55">
        <v>0</v>
      </c>
      <c r="P30" s="55">
        <v>0.75</v>
      </c>
      <c r="Q30" s="55">
        <v>9.57</v>
      </c>
      <c r="R30" s="43"/>
      <c r="S30" s="43"/>
      <c r="T30" s="43"/>
      <c r="U30" s="43"/>
    </row>
    <row r="31" spans="1:21" s="11" customFormat="1" x14ac:dyDescent="0.25">
      <c r="A31" s="54" t="s">
        <v>298</v>
      </c>
      <c r="B31" s="55">
        <v>23.57</v>
      </c>
      <c r="C31" s="55">
        <v>55.76</v>
      </c>
      <c r="D31" s="55">
        <v>70.55</v>
      </c>
      <c r="E31" s="55">
        <v>14.79</v>
      </c>
      <c r="F31" s="55">
        <v>6.55</v>
      </c>
      <c r="G31" s="55">
        <v>39.01</v>
      </c>
      <c r="H31" s="55">
        <v>12.62</v>
      </c>
      <c r="I31" s="55">
        <v>4.1500000000000004</v>
      </c>
      <c r="J31" s="55">
        <v>0.97</v>
      </c>
      <c r="K31" s="55">
        <v>296.77999999999997</v>
      </c>
      <c r="L31" s="55">
        <v>34.729999999999997</v>
      </c>
      <c r="M31" s="55">
        <v>48.11</v>
      </c>
      <c r="N31" s="55">
        <v>29</v>
      </c>
      <c r="O31" s="55">
        <v>0</v>
      </c>
      <c r="P31" s="55">
        <v>0.78</v>
      </c>
      <c r="Q31" s="55">
        <v>9.59</v>
      </c>
      <c r="R31" s="43"/>
      <c r="S31" s="43"/>
      <c r="T31" s="43"/>
      <c r="U31" s="43"/>
    </row>
    <row r="32" spans="1:21" s="11" customFormat="1" x14ac:dyDescent="0.25">
      <c r="A32" s="54" t="s">
        <v>299</v>
      </c>
      <c r="B32" s="55">
        <v>18.55</v>
      </c>
      <c r="C32" s="55">
        <v>51.36</v>
      </c>
      <c r="D32" s="55">
        <v>69.83</v>
      </c>
      <c r="E32" s="55">
        <v>33.35</v>
      </c>
      <c r="F32" s="55">
        <v>9.33</v>
      </c>
      <c r="G32" s="55">
        <v>44.35</v>
      </c>
      <c r="H32" s="55">
        <v>13.28</v>
      </c>
      <c r="I32" s="55">
        <v>4.2</v>
      </c>
      <c r="J32" s="55">
        <v>0.75</v>
      </c>
      <c r="K32" s="55">
        <v>306.83</v>
      </c>
      <c r="L32" s="55">
        <v>33.94</v>
      </c>
      <c r="M32" s="55">
        <v>50.57</v>
      </c>
      <c r="N32" s="55">
        <v>28.9</v>
      </c>
      <c r="O32" s="55">
        <v>0</v>
      </c>
      <c r="P32" s="55">
        <v>0.72</v>
      </c>
      <c r="Q32" s="55">
        <v>9.6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5.87</v>
      </c>
      <c r="C34" s="28">
        <f t="shared" si="0"/>
        <v>22.86</v>
      </c>
      <c r="D34" s="28">
        <f t="shared" si="0"/>
        <v>35.159999999999997</v>
      </c>
      <c r="E34" s="28">
        <f t="shared" si="0"/>
        <v>4.2</v>
      </c>
      <c r="F34" s="28">
        <f t="shared" si="0"/>
        <v>1.04</v>
      </c>
      <c r="G34" s="28">
        <f t="shared" si="0"/>
        <v>29.27</v>
      </c>
      <c r="H34" s="28">
        <f t="shared" si="0"/>
        <v>9.39</v>
      </c>
      <c r="I34" s="28">
        <f t="shared" si="0"/>
        <v>4</v>
      </c>
      <c r="J34" s="28">
        <f t="shared" si="0"/>
        <v>0.21</v>
      </c>
      <c r="K34" s="28">
        <f t="shared" si="0"/>
        <v>155.37</v>
      </c>
      <c r="L34" s="28">
        <f t="shared" si="0"/>
        <v>29.1</v>
      </c>
      <c r="M34" s="28">
        <f t="shared" si="0"/>
        <v>28.83</v>
      </c>
      <c r="N34" s="28">
        <f t="shared" si="0"/>
        <v>28.6</v>
      </c>
      <c r="O34" s="28">
        <f t="shared" si="0"/>
        <v>0</v>
      </c>
      <c r="P34" s="28">
        <f t="shared" si="0"/>
        <v>0.4</v>
      </c>
      <c r="Q34" s="28">
        <f t="shared" si="0"/>
        <v>9.51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93.13</v>
      </c>
      <c r="C35" s="29">
        <f t="shared" si="1"/>
        <v>122.06</v>
      </c>
      <c r="D35" s="29">
        <f t="shared" si="1"/>
        <v>90.68</v>
      </c>
      <c r="E35" s="29">
        <f t="shared" si="1"/>
        <v>33.35</v>
      </c>
      <c r="F35" s="29">
        <f t="shared" si="1"/>
        <v>19.420000000000002</v>
      </c>
      <c r="G35" s="29">
        <f t="shared" si="1"/>
        <v>66.02</v>
      </c>
      <c r="H35" s="29">
        <f t="shared" si="1"/>
        <v>16.399999999999999</v>
      </c>
      <c r="I35" s="29">
        <f t="shared" si="1"/>
        <v>4.2</v>
      </c>
      <c r="J35" s="29">
        <f t="shared" si="1"/>
        <v>1.35</v>
      </c>
      <c r="K35" s="29">
        <f t="shared" si="1"/>
        <v>353.32</v>
      </c>
      <c r="L35" s="29">
        <f t="shared" si="1"/>
        <v>44.63</v>
      </c>
      <c r="M35" s="29">
        <f t="shared" si="1"/>
        <v>73.319999999999993</v>
      </c>
      <c r="N35" s="29">
        <f t="shared" si="1"/>
        <v>925.7</v>
      </c>
      <c r="O35" s="29">
        <f t="shared" si="1"/>
        <v>0</v>
      </c>
      <c r="P35" s="29">
        <f t="shared" si="1"/>
        <v>1.17</v>
      </c>
      <c r="Q35" s="29">
        <f t="shared" si="1"/>
        <v>9.73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22.552083333333339</v>
      </c>
      <c r="C36" s="28">
        <f t="shared" si="2"/>
        <v>48.911666666666655</v>
      </c>
      <c r="D36" s="28">
        <f t="shared" si="2"/>
        <v>59.912916666666653</v>
      </c>
      <c r="E36" s="28">
        <f t="shared" si="2"/>
        <v>7.123333333333334</v>
      </c>
      <c r="F36" s="28">
        <f t="shared" si="2"/>
        <v>9.3775000000000031</v>
      </c>
      <c r="G36" s="28">
        <f t="shared" si="2"/>
        <v>43.629583333333329</v>
      </c>
      <c r="H36" s="28">
        <f t="shared" si="2"/>
        <v>13.01375</v>
      </c>
      <c r="I36" s="28">
        <f t="shared" si="2"/>
        <v>4.1191666666666675</v>
      </c>
      <c r="J36" s="28">
        <f t="shared" si="2"/>
        <v>0.75916666666666677</v>
      </c>
      <c r="K36" s="28">
        <f t="shared" si="2"/>
        <v>249.89041666666665</v>
      </c>
      <c r="L36" s="28">
        <f t="shared" si="2"/>
        <v>37.006666666666668</v>
      </c>
      <c r="M36" s="28">
        <f t="shared" si="2"/>
        <v>45.401249999999997</v>
      </c>
      <c r="N36" s="28">
        <f t="shared" si="2"/>
        <v>306.61250000000001</v>
      </c>
      <c r="O36" s="28">
        <f t="shared" si="2"/>
        <v>0</v>
      </c>
      <c r="P36" s="28">
        <f t="shared" si="2"/>
        <v>0.67416666666666647</v>
      </c>
      <c r="Q36" s="28">
        <f t="shared" si="2"/>
        <v>9.6150000000000002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20.475625377542176</v>
      </c>
      <c r="C37" s="28">
        <f t="shared" ref="C37:Q37" si="3">STDEV(C9:C32)</f>
        <v>23.408076582140708</v>
      </c>
      <c r="D37" s="28">
        <f t="shared" si="3"/>
        <v>17.860595315840822</v>
      </c>
      <c r="E37" s="28">
        <f t="shared" si="3"/>
        <v>5.9737044559917951</v>
      </c>
      <c r="F37" s="28">
        <f t="shared" si="3"/>
        <v>5.6897468805929625</v>
      </c>
      <c r="G37" s="28">
        <f t="shared" si="3"/>
        <v>10.616897720621861</v>
      </c>
      <c r="H37" s="28">
        <f t="shared" si="3"/>
        <v>1.7106566562733088</v>
      </c>
      <c r="I37" s="28">
        <f t="shared" si="3"/>
        <v>4.9949249606294287E-2</v>
      </c>
      <c r="J37" s="28">
        <f t="shared" si="3"/>
        <v>0.3148487099305432</v>
      </c>
      <c r="K37" s="28">
        <f t="shared" si="3"/>
        <v>45.623650948885974</v>
      </c>
      <c r="L37" s="28">
        <f t="shared" si="3"/>
        <v>5.1295229599935368</v>
      </c>
      <c r="M37" s="28">
        <f t="shared" si="3"/>
        <v>15.086273724525373</v>
      </c>
      <c r="N37" s="28">
        <f t="shared" si="3"/>
        <v>350.2347452687672</v>
      </c>
      <c r="O37" s="28">
        <f t="shared" si="3"/>
        <v>0</v>
      </c>
      <c r="P37" s="28">
        <f t="shared" si="3"/>
        <v>0.18605554726120654</v>
      </c>
      <c r="Q37" s="28">
        <f t="shared" si="3"/>
        <v>7.040256912308257E-2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4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5.5" customHeight="1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11/05/2025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4" t="s">
        <v>300</v>
      </c>
      <c r="B9" s="55">
        <v>18.489999999999998</v>
      </c>
      <c r="C9" s="55">
        <v>60.74</v>
      </c>
      <c r="D9" s="55">
        <v>87.88</v>
      </c>
      <c r="E9" s="55">
        <v>47.52</v>
      </c>
      <c r="F9" s="55">
        <v>6.24</v>
      </c>
      <c r="G9" s="55">
        <v>58.38</v>
      </c>
      <c r="H9" s="55">
        <v>15.53</v>
      </c>
      <c r="I9" s="55">
        <v>4.13</v>
      </c>
      <c r="J9" s="55">
        <v>0.3</v>
      </c>
      <c r="K9" s="55">
        <v>284.08</v>
      </c>
      <c r="L9" s="55">
        <v>33.299999999999997</v>
      </c>
      <c r="M9" s="55">
        <v>56.08</v>
      </c>
      <c r="N9" s="55">
        <v>29</v>
      </c>
      <c r="O9" s="55">
        <v>0</v>
      </c>
      <c r="P9" s="55">
        <v>0.76</v>
      </c>
      <c r="Q9" s="55">
        <v>9.61</v>
      </c>
      <c r="R9" s="43"/>
      <c r="S9" s="43"/>
      <c r="T9" s="43"/>
      <c r="U9" s="43"/>
    </row>
    <row r="10" spans="1:21" s="11" customFormat="1" x14ac:dyDescent="0.25">
      <c r="A10" s="54" t="s">
        <v>301</v>
      </c>
      <c r="B10" s="55">
        <v>14.49</v>
      </c>
      <c r="C10" s="55">
        <v>49.73</v>
      </c>
      <c r="D10" s="55">
        <v>74.790000000000006</v>
      </c>
      <c r="E10" s="55">
        <v>28.89</v>
      </c>
      <c r="F10" s="55">
        <v>2.6</v>
      </c>
      <c r="G10" s="55">
        <v>75.47</v>
      </c>
      <c r="H10" s="55">
        <v>21.81</v>
      </c>
      <c r="I10" s="55">
        <v>4.04</v>
      </c>
      <c r="J10" s="55">
        <v>0.35</v>
      </c>
      <c r="K10" s="55">
        <v>267.17</v>
      </c>
      <c r="L10" s="55">
        <v>32.409999999999997</v>
      </c>
      <c r="M10" s="55">
        <v>61.72</v>
      </c>
      <c r="N10" s="55">
        <v>29</v>
      </c>
      <c r="O10" s="55">
        <v>0</v>
      </c>
      <c r="P10" s="55">
        <v>0.59</v>
      </c>
      <c r="Q10" s="55">
        <v>9.64</v>
      </c>
      <c r="R10" s="43"/>
      <c r="S10" s="43"/>
      <c r="T10" s="43"/>
      <c r="U10" s="43"/>
    </row>
    <row r="11" spans="1:21" s="11" customFormat="1" x14ac:dyDescent="0.25">
      <c r="A11" s="54" t="s">
        <v>302</v>
      </c>
      <c r="B11" s="55">
        <v>11.18</v>
      </c>
      <c r="C11" s="55">
        <v>36.19</v>
      </c>
      <c r="D11" s="55">
        <v>54.18</v>
      </c>
      <c r="E11" s="55">
        <v>13.14</v>
      </c>
      <c r="F11" s="55">
        <v>7.41</v>
      </c>
      <c r="G11" s="55">
        <v>80.459999999999994</v>
      </c>
      <c r="H11" s="55">
        <v>21.3</v>
      </c>
      <c r="I11" s="55">
        <v>4.24</v>
      </c>
      <c r="J11" s="55">
        <v>0.43</v>
      </c>
      <c r="K11" s="55">
        <v>217.39</v>
      </c>
      <c r="L11" s="55">
        <v>32.229999999999997</v>
      </c>
      <c r="M11" s="55">
        <v>59.16</v>
      </c>
      <c r="N11" s="55">
        <v>28.8</v>
      </c>
      <c r="O11" s="55">
        <v>0</v>
      </c>
      <c r="P11" s="55">
        <v>0.37</v>
      </c>
      <c r="Q11" s="55">
        <v>9.64</v>
      </c>
      <c r="R11" s="43"/>
      <c r="S11" s="43"/>
      <c r="T11" s="43"/>
      <c r="U11" s="43"/>
    </row>
    <row r="12" spans="1:21" s="11" customFormat="1" x14ac:dyDescent="0.25">
      <c r="A12" s="54" t="s">
        <v>303</v>
      </c>
      <c r="B12" s="55">
        <v>11.44</v>
      </c>
      <c r="C12" s="55">
        <v>34.96</v>
      </c>
      <c r="D12" s="55">
        <v>49.34</v>
      </c>
      <c r="E12" s="55">
        <v>9.57</v>
      </c>
      <c r="F12" s="55">
        <v>9.49</v>
      </c>
      <c r="G12" s="55">
        <v>71.53</v>
      </c>
      <c r="H12" s="55">
        <v>21.11</v>
      </c>
      <c r="I12" s="55">
        <v>4.03</v>
      </c>
      <c r="J12" s="55">
        <v>0.43</v>
      </c>
      <c r="K12" s="55">
        <v>234.66</v>
      </c>
      <c r="L12" s="55">
        <v>31.51</v>
      </c>
      <c r="M12" s="55">
        <v>61.39</v>
      </c>
      <c r="N12" s="55">
        <v>28.9</v>
      </c>
      <c r="O12" s="55">
        <v>0</v>
      </c>
      <c r="P12" s="55">
        <v>0.32</v>
      </c>
      <c r="Q12" s="55">
        <v>9.67</v>
      </c>
      <c r="R12" s="43"/>
      <c r="S12" s="43"/>
      <c r="T12" s="43"/>
      <c r="U12" s="43"/>
    </row>
    <row r="13" spans="1:21" s="11" customFormat="1" x14ac:dyDescent="0.25">
      <c r="A13" s="54" t="s">
        <v>304</v>
      </c>
      <c r="B13" s="55">
        <v>10.47</v>
      </c>
      <c r="C13" s="55">
        <v>27.99</v>
      </c>
      <c r="D13" s="55">
        <v>38.1</v>
      </c>
      <c r="E13" s="55">
        <v>8.9600000000000009</v>
      </c>
      <c r="F13" s="55">
        <v>9.1</v>
      </c>
      <c r="G13" s="55">
        <v>57.28</v>
      </c>
      <c r="H13" s="55">
        <v>18.03</v>
      </c>
      <c r="I13" s="55">
        <v>4.13</v>
      </c>
      <c r="J13" s="55">
        <v>0.35</v>
      </c>
      <c r="K13" s="55">
        <v>259.82</v>
      </c>
      <c r="L13" s="55">
        <v>31.42</v>
      </c>
      <c r="M13" s="55">
        <v>58.91</v>
      </c>
      <c r="N13" s="55">
        <v>29.1</v>
      </c>
      <c r="O13" s="55">
        <v>0</v>
      </c>
      <c r="P13" s="55">
        <v>0.39</v>
      </c>
      <c r="Q13" s="55">
        <v>9.64</v>
      </c>
      <c r="R13" s="43"/>
      <c r="S13" s="43"/>
      <c r="T13" s="43"/>
      <c r="U13" s="43"/>
    </row>
    <row r="14" spans="1:21" s="11" customFormat="1" x14ac:dyDescent="0.25">
      <c r="A14" s="54" t="s">
        <v>305</v>
      </c>
      <c r="B14" s="55">
        <v>19.72</v>
      </c>
      <c r="C14" s="55">
        <v>42.1</v>
      </c>
      <c r="D14" s="55">
        <v>50.31</v>
      </c>
      <c r="E14" s="55">
        <v>7.31</v>
      </c>
      <c r="F14" s="55">
        <v>3.43</v>
      </c>
      <c r="G14" s="55">
        <v>42.63</v>
      </c>
      <c r="H14" s="55">
        <v>18.190000000000001</v>
      </c>
      <c r="I14" s="55">
        <v>3.99</v>
      </c>
      <c r="J14" s="55">
        <v>0.47</v>
      </c>
      <c r="K14" s="55">
        <v>286.29000000000002</v>
      </c>
      <c r="L14" s="55">
        <v>31.27</v>
      </c>
      <c r="M14" s="55">
        <v>61.05</v>
      </c>
      <c r="N14" s="55">
        <v>58.4</v>
      </c>
      <c r="O14" s="55">
        <v>0</v>
      </c>
      <c r="P14" s="55">
        <v>0.6</v>
      </c>
      <c r="Q14" s="55">
        <v>9.6199999999999992</v>
      </c>
      <c r="R14" s="43"/>
      <c r="S14" s="43"/>
      <c r="T14" s="43"/>
      <c r="U14" s="43"/>
    </row>
    <row r="15" spans="1:21" s="11" customFormat="1" x14ac:dyDescent="0.25">
      <c r="A15" s="54" t="s">
        <v>306</v>
      </c>
      <c r="B15" s="55">
        <v>22.25</v>
      </c>
      <c r="C15" s="55">
        <v>45.76</v>
      </c>
      <c r="D15" s="55">
        <v>55.12</v>
      </c>
      <c r="E15" s="55">
        <v>6.88</v>
      </c>
      <c r="F15" s="55">
        <v>2.4900000000000002</v>
      </c>
      <c r="G15" s="55">
        <v>48.46</v>
      </c>
      <c r="H15" s="55">
        <v>16.559999999999999</v>
      </c>
      <c r="I15" s="55">
        <v>4.17</v>
      </c>
      <c r="J15" s="55">
        <v>0.53</v>
      </c>
      <c r="K15" s="55">
        <v>245.67</v>
      </c>
      <c r="L15" s="55">
        <v>33.67</v>
      </c>
      <c r="M15" s="55">
        <v>61.04</v>
      </c>
      <c r="N15" s="55">
        <v>209.7</v>
      </c>
      <c r="O15" s="55">
        <v>0</v>
      </c>
      <c r="P15" s="55">
        <v>0.56999999999999995</v>
      </c>
      <c r="Q15" s="55">
        <v>9.64</v>
      </c>
      <c r="R15" s="43"/>
      <c r="S15" s="43"/>
      <c r="T15" s="43"/>
      <c r="U15" s="43"/>
    </row>
    <row r="16" spans="1:21" s="11" customFormat="1" x14ac:dyDescent="0.25">
      <c r="A16" s="54" t="s">
        <v>307</v>
      </c>
      <c r="B16" s="55">
        <v>15.57</v>
      </c>
      <c r="C16" s="55">
        <v>37.39</v>
      </c>
      <c r="D16" s="55">
        <v>48.39</v>
      </c>
      <c r="E16" s="55">
        <v>8.2100000000000009</v>
      </c>
      <c r="F16" s="55">
        <v>8.35</v>
      </c>
      <c r="G16" s="55">
        <v>54.48</v>
      </c>
      <c r="H16" s="55">
        <v>16.34</v>
      </c>
      <c r="I16" s="55">
        <v>4.07</v>
      </c>
      <c r="J16" s="55">
        <v>0.52</v>
      </c>
      <c r="K16" s="55">
        <v>258.97000000000003</v>
      </c>
      <c r="L16" s="55">
        <v>37.93</v>
      </c>
      <c r="M16" s="55">
        <v>51.69</v>
      </c>
      <c r="N16" s="55">
        <v>407.9</v>
      </c>
      <c r="O16" s="55">
        <v>0</v>
      </c>
      <c r="P16" s="55">
        <v>0.72</v>
      </c>
      <c r="Q16" s="55">
        <v>9.66</v>
      </c>
      <c r="R16" s="43"/>
      <c r="S16" s="43"/>
      <c r="T16" s="43"/>
      <c r="U16" s="43"/>
    </row>
    <row r="17" spans="1:21" s="11" customFormat="1" x14ac:dyDescent="0.25">
      <c r="A17" s="54" t="s">
        <v>308</v>
      </c>
      <c r="B17" s="55">
        <v>14.46</v>
      </c>
      <c r="C17" s="55">
        <v>35.69</v>
      </c>
      <c r="D17" s="55">
        <v>46.11</v>
      </c>
      <c r="E17" s="55">
        <v>10.17</v>
      </c>
      <c r="F17" s="55">
        <v>14.63</v>
      </c>
      <c r="G17" s="55">
        <v>57.95</v>
      </c>
      <c r="H17" s="55">
        <v>18.829999999999998</v>
      </c>
      <c r="I17" s="55">
        <v>4.09</v>
      </c>
      <c r="J17" s="55">
        <v>0.73</v>
      </c>
      <c r="K17" s="55">
        <v>267.16000000000003</v>
      </c>
      <c r="L17" s="55">
        <v>42.13</v>
      </c>
      <c r="M17" s="55">
        <v>39.630000000000003</v>
      </c>
      <c r="N17" s="55">
        <v>601.29999999999995</v>
      </c>
      <c r="O17" s="55">
        <v>0</v>
      </c>
      <c r="P17" s="55">
        <v>0.66</v>
      </c>
      <c r="Q17" s="55">
        <v>9.65</v>
      </c>
      <c r="R17" s="43"/>
      <c r="S17" s="43"/>
      <c r="T17" s="43"/>
      <c r="U17" s="43"/>
    </row>
    <row r="18" spans="1:21" s="11" customFormat="1" x14ac:dyDescent="0.25">
      <c r="A18" s="54" t="s">
        <v>309</v>
      </c>
      <c r="B18" s="55">
        <v>11.06</v>
      </c>
      <c r="C18" s="55">
        <v>33.71</v>
      </c>
      <c r="D18" s="55">
        <v>47.54</v>
      </c>
      <c r="E18" s="55">
        <v>9.56</v>
      </c>
      <c r="F18" s="55">
        <v>12.27</v>
      </c>
      <c r="G18" s="55">
        <v>57.52</v>
      </c>
      <c r="H18" s="55">
        <v>20.9</v>
      </c>
      <c r="I18" s="55">
        <v>4.08</v>
      </c>
      <c r="J18" s="55">
        <v>0.96</v>
      </c>
      <c r="K18" s="55">
        <v>263.64</v>
      </c>
      <c r="L18" s="55">
        <v>43.25</v>
      </c>
      <c r="M18" s="55">
        <v>35.130000000000003</v>
      </c>
      <c r="N18" s="55">
        <v>766.7</v>
      </c>
      <c r="O18" s="55">
        <v>0</v>
      </c>
      <c r="P18" s="55">
        <v>0.65</v>
      </c>
      <c r="Q18" s="55">
        <v>9.6300000000000008</v>
      </c>
      <c r="R18" s="43"/>
      <c r="S18" s="43"/>
      <c r="T18" s="43"/>
      <c r="U18" s="43"/>
    </row>
    <row r="19" spans="1:21" s="11" customFormat="1" x14ac:dyDescent="0.25">
      <c r="A19" s="54" t="s">
        <v>310</v>
      </c>
      <c r="B19" s="55">
        <v>8.19</v>
      </c>
      <c r="C19" s="55">
        <v>32.07</v>
      </c>
      <c r="D19" s="55">
        <v>51.88</v>
      </c>
      <c r="E19" s="55">
        <v>6.87</v>
      </c>
      <c r="F19" s="55">
        <v>7.87</v>
      </c>
      <c r="G19" s="55">
        <v>51.32</v>
      </c>
      <c r="H19" s="55">
        <v>23.44</v>
      </c>
      <c r="I19" s="55">
        <v>4.18</v>
      </c>
      <c r="J19" s="55">
        <v>1.05</v>
      </c>
      <c r="K19" s="55">
        <v>261.81</v>
      </c>
      <c r="L19" s="55">
        <v>44.18</v>
      </c>
      <c r="M19" s="55">
        <v>30.34</v>
      </c>
      <c r="N19" s="55">
        <v>856.8</v>
      </c>
      <c r="O19" s="55">
        <v>0</v>
      </c>
      <c r="P19" s="55">
        <v>0.62</v>
      </c>
      <c r="Q19" s="55">
        <v>9.58</v>
      </c>
      <c r="R19" s="43"/>
      <c r="S19" s="43"/>
      <c r="T19" s="43"/>
      <c r="U19" s="43"/>
    </row>
    <row r="20" spans="1:21" s="11" customFormat="1" x14ac:dyDescent="0.25">
      <c r="A20" s="54" t="s">
        <v>311</v>
      </c>
      <c r="B20" s="55">
        <v>4.75</v>
      </c>
      <c r="C20" s="55">
        <v>26.06</v>
      </c>
      <c r="D20" s="55">
        <v>42.99</v>
      </c>
      <c r="E20" s="55">
        <v>7.95</v>
      </c>
      <c r="F20" s="55">
        <v>11.14</v>
      </c>
      <c r="G20" s="55">
        <v>49.15</v>
      </c>
      <c r="H20" s="55">
        <v>18.11</v>
      </c>
      <c r="I20" s="55">
        <v>4.0999999999999996</v>
      </c>
      <c r="J20" s="55">
        <v>0.68</v>
      </c>
      <c r="K20" s="55">
        <v>243.91</v>
      </c>
      <c r="L20" s="55">
        <v>43.1</v>
      </c>
      <c r="M20" s="55">
        <v>30.72</v>
      </c>
      <c r="N20" s="55">
        <v>878.7</v>
      </c>
      <c r="O20" s="55">
        <v>0</v>
      </c>
      <c r="P20" s="55">
        <v>0.6</v>
      </c>
      <c r="Q20" s="55">
        <v>9.56</v>
      </c>
      <c r="R20" s="43"/>
      <c r="S20" s="43"/>
      <c r="T20" s="43"/>
      <c r="U20" s="43"/>
    </row>
    <row r="21" spans="1:21" s="11" customFormat="1" x14ac:dyDescent="0.25">
      <c r="A21" s="54" t="s">
        <v>312</v>
      </c>
      <c r="B21" s="55">
        <v>7.45</v>
      </c>
      <c r="C21" s="55">
        <v>30.95</v>
      </c>
      <c r="D21" s="55">
        <v>48.87</v>
      </c>
      <c r="E21" s="55">
        <v>15.82</v>
      </c>
      <c r="F21" s="55">
        <v>25.14</v>
      </c>
      <c r="G21" s="55">
        <v>44.69</v>
      </c>
      <c r="H21" s="55">
        <v>18.809999999999999</v>
      </c>
      <c r="I21" s="55">
        <v>4.32</v>
      </c>
      <c r="J21" s="55">
        <v>1.1599999999999999</v>
      </c>
      <c r="K21" s="55">
        <v>301.69</v>
      </c>
      <c r="L21" s="55">
        <v>44.81</v>
      </c>
      <c r="M21" s="55">
        <v>27.93</v>
      </c>
      <c r="N21" s="55">
        <v>876.9</v>
      </c>
      <c r="O21" s="55">
        <v>0</v>
      </c>
      <c r="P21" s="55">
        <v>0.71</v>
      </c>
      <c r="Q21" s="55">
        <v>9.5399999999999991</v>
      </c>
      <c r="R21" s="43"/>
      <c r="S21" s="43"/>
      <c r="T21" s="43"/>
      <c r="U21" s="43"/>
    </row>
    <row r="22" spans="1:21" s="11" customFormat="1" x14ac:dyDescent="0.25">
      <c r="A22" s="54" t="s">
        <v>313</v>
      </c>
      <c r="B22" s="55">
        <v>6.4</v>
      </c>
      <c r="C22" s="55">
        <v>28.94</v>
      </c>
      <c r="D22" s="55">
        <v>45.56</v>
      </c>
      <c r="E22" s="55">
        <v>17.46</v>
      </c>
      <c r="F22" s="55">
        <v>29.82</v>
      </c>
      <c r="G22" s="55">
        <v>33.51</v>
      </c>
      <c r="H22" s="55">
        <v>19.39</v>
      </c>
      <c r="I22" s="55">
        <v>4.03</v>
      </c>
      <c r="J22" s="55">
        <v>0.7</v>
      </c>
      <c r="K22" s="55">
        <v>224.56</v>
      </c>
      <c r="L22" s="55">
        <v>39.950000000000003</v>
      </c>
      <c r="M22" s="55">
        <v>31.66</v>
      </c>
      <c r="N22" s="55">
        <v>553.6</v>
      </c>
      <c r="O22" s="55">
        <v>0</v>
      </c>
      <c r="P22" s="55">
        <v>0.62</v>
      </c>
      <c r="Q22" s="55">
        <v>9.5500000000000007</v>
      </c>
      <c r="R22" s="43"/>
      <c r="S22" s="43"/>
      <c r="T22" s="43"/>
      <c r="U22" s="43"/>
    </row>
    <row r="23" spans="1:21" s="11" customFormat="1" x14ac:dyDescent="0.25">
      <c r="A23" s="54" t="s">
        <v>314</v>
      </c>
      <c r="B23" s="55">
        <v>9.86</v>
      </c>
      <c r="C23" s="55">
        <v>28.22</v>
      </c>
      <c r="D23" s="55">
        <v>38.880000000000003</v>
      </c>
      <c r="E23" s="55">
        <v>9.7100000000000009</v>
      </c>
      <c r="F23" s="55">
        <v>27.09</v>
      </c>
      <c r="G23" s="55">
        <v>36.06</v>
      </c>
      <c r="H23" s="55">
        <v>17.61</v>
      </c>
      <c r="I23" s="55">
        <v>4.1500000000000004</v>
      </c>
      <c r="J23" s="55">
        <v>0.77</v>
      </c>
      <c r="K23" s="55">
        <v>235.47</v>
      </c>
      <c r="L23" s="55">
        <v>40.869999999999997</v>
      </c>
      <c r="M23" s="55">
        <v>28.58</v>
      </c>
      <c r="N23" s="55">
        <v>472.2</v>
      </c>
      <c r="O23" s="55">
        <v>0</v>
      </c>
      <c r="P23" s="55">
        <v>0.5</v>
      </c>
      <c r="Q23" s="55">
        <v>9.51</v>
      </c>
      <c r="R23" s="43"/>
      <c r="S23" s="43"/>
      <c r="T23" s="43"/>
      <c r="U23" s="43"/>
    </row>
    <row r="24" spans="1:21" s="11" customFormat="1" x14ac:dyDescent="0.25">
      <c r="A24" s="54" t="s">
        <v>315</v>
      </c>
      <c r="B24" s="55">
        <v>6.97</v>
      </c>
      <c r="C24" s="55">
        <v>27.29</v>
      </c>
      <c r="D24" s="55">
        <v>41.55</v>
      </c>
      <c r="E24" s="55">
        <v>10.01</v>
      </c>
      <c r="F24" s="55">
        <v>24.47</v>
      </c>
      <c r="G24" s="55">
        <v>34.47</v>
      </c>
      <c r="H24" s="55">
        <v>17.55</v>
      </c>
      <c r="I24" s="55">
        <v>4.1399999999999997</v>
      </c>
      <c r="J24" s="55">
        <v>1.23</v>
      </c>
      <c r="K24" s="55">
        <v>236.34</v>
      </c>
      <c r="L24" s="55">
        <v>41.69</v>
      </c>
      <c r="M24" s="55">
        <v>28.21</v>
      </c>
      <c r="N24" s="55">
        <v>344.1</v>
      </c>
      <c r="O24" s="55">
        <v>0</v>
      </c>
      <c r="P24" s="55">
        <v>0.52</v>
      </c>
      <c r="Q24" s="55">
        <v>9.49</v>
      </c>
      <c r="R24" s="43"/>
      <c r="S24" s="43"/>
      <c r="T24" s="43"/>
      <c r="U24" s="43"/>
    </row>
    <row r="25" spans="1:21" s="11" customFormat="1" x14ac:dyDescent="0.25">
      <c r="A25" s="54" t="s">
        <v>316</v>
      </c>
      <c r="B25" s="55">
        <v>11.72</v>
      </c>
      <c r="C25" s="55">
        <v>36.020000000000003</v>
      </c>
      <c r="D25" s="55">
        <v>53.73</v>
      </c>
      <c r="E25" s="55">
        <v>16.3</v>
      </c>
      <c r="F25" s="55">
        <v>26.82</v>
      </c>
      <c r="G25" s="55">
        <v>36.299999999999997</v>
      </c>
      <c r="H25" s="55">
        <v>14.72</v>
      </c>
      <c r="I25" s="55">
        <v>4.01</v>
      </c>
      <c r="J25" s="55">
        <v>0.82</v>
      </c>
      <c r="K25" s="55">
        <v>236.53</v>
      </c>
      <c r="L25" s="55">
        <v>39.96</v>
      </c>
      <c r="M25" s="55">
        <v>28.29</v>
      </c>
      <c r="N25" s="55">
        <v>254.6</v>
      </c>
      <c r="O25" s="55">
        <v>0</v>
      </c>
      <c r="P25" s="55">
        <v>0.78</v>
      </c>
      <c r="Q25" s="55">
        <v>9.52</v>
      </c>
      <c r="R25" s="43"/>
      <c r="S25" s="43"/>
      <c r="T25" s="43"/>
      <c r="U25" s="43"/>
    </row>
    <row r="26" spans="1:21" s="11" customFormat="1" x14ac:dyDescent="0.25">
      <c r="A26" s="54" t="s">
        <v>317</v>
      </c>
      <c r="B26" s="55">
        <v>9.86</v>
      </c>
      <c r="C26" s="55">
        <v>40.93</v>
      </c>
      <c r="D26" s="55">
        <v>63.2</v>
      </c>
      <c r="E26" s="55">
        <v>21.52</v>
      </c>
      <c r="F26" s="55">
        <v>22.8</v>
      </c>
      <c r="G26" s="55">
        <v>38.58</v>
      </c>
      <c r="H26" s="55">
        <v>16.13</v>
      </c>
      <c r="I26" s="55">
        <v>3.97</v>
      </c>
      <c r="J26" s="55">
        <v>2.68</v>
      </c>
      <c r="K26" s="55">
        <v>231.93</v>
      </c>
      <c r="L26" s="55">
        <v>39.78</v>
      </c>
      <c r="M26" s="55">
        <v>42.54</v>
      </c>
      <c r="N26" s="55">
        <v>135.6</v>
      </c>
      <c r="O26" s="55">
        <v>0</v>
      </c>
      <c r="P26" s="55">
        <v>0.83</v>
      </c>
      <c r="Q26" s="55">
        <v>9.61</v>
      </c>
      <c r="R26" s="43"/>
      <c r="S26" s="43"/>
      <c r="T26" s="43"/>
      <c r="U26" s="43"/>
    </row>
    <row r="27" spans="1:21" s="11" customFormat="1" x14ac:dyDescent="0.25">
      <c r="A27" s="54" t="s">
        <v>318</v>
      </c>
      <c r="B27" s="55">
        <v>6.18</v>
      </c>
      <c r="C27" s="55">
        <v>27.53</v>
      </c>
      <c r="D27" s="55">
        <v>43.42</v>
      </c>
      <c r="E27" s="55">
        <v>6.24</v>
      </c>
      <c r="F27" s="55">
        <v>13.59</v>
      </c>
      <c r="G27" s="55">
        <v>47.64</v>
      </c>
      <c r="H27" s="55">
        <v>14.94</v>
      </c>
      <c r="I27" s="55">
        <v>4.17</v>
      </c>
      <c r="J27" s="55">
        <v>2.4</v>
      </c>
      <c r="K27" s="55">
        <v>104.96</v>
      </c>
      <c r="L27" s="55">
        <v>33.159999999999997</v>
      </c>
      <c r="M27" s="55">
        <v>54.44</v>
      </c>
      <c r="N27" s="55">
        <v>43.6</v>
      </c>
      <c r="O27" s="55">
        <v>0</v>
      </c>
      <c r="P27" s="55">
        <v>0.56999999999999995</v>
      </c>
      <c r="Q27" s="55">
        <v>9.5500000000000007</v>
      </c>
      <c r="R27" s="43"/>
      <c r="S27" s="43"/>
      <c r="T27" s="43"/>
      <c r="U27" s="43"/>
    </row>
    <row r="28" spans="1:21" s="11" customFormat="1" x14ac:dyDescent="0.25">
      <c r="A28" s="54" t="s">
        <v>319</v>
      </c>
      <c r="B28" s="55">
        <v>5.24</v>
      </c>
      <c r="C28" s="55">
        <v>25.71</v>
      </c>
      <c r="D28" s="55">
        <v>41.34</v>
      </c>
      <c r="E28" s="55">
        <v>6.02</v>
      </c>
      <c r="F28" s="55">
        <v>15.16</v>
      </c>
      <c r="G28" s="55">
        <v>39.33</v>
      </c>
      <c r="H28" s="55">
        <v>12.86</v>
      </c>
      <c r="I28" s="55">
        <v>4.12</v>
      </c>
      <c r="J28" s="55">
        <v>1.58</v>
      </c>
      <c r="K28" s="55">
        <v>160.91</v>
      </c>
      <c r="L28" s="55">
        <v>31.66</v>
      </c>
      <c r="M28" s="55">
        <v>58.54</v>
      </c>
      <c r="N28" s="55">
        <v>29.1</v>
      </c>
      <c r="O28" s="55">
        <v>0</v>
      </c>
      <c r="P28" s="55">
        <v>0.45</v>
      </c>
      <c r="Q28" s="55">
        <v>9.49</v>
      </c>
      <c r="R28" s="43"/>
      <c r="S28" s="43"/>
      <c r="T28" s="43"/>
      <c r="U28" s="43"/>
    </row>
    <row r="29" spans="1:21" s="11" customFormat="1" x14ac:dyDescent="0.25">
      <c r="A29" s="54" t="s">
        <v>320</v>
      </c>
      <c r="B29" s="55">
        <v>8.1300000000000008</v>
      </c>
      <c r="C29" s="55">
        <v>41.08</v>
      </c>
      <c r="D29" s="55">
        <v>66.150000000000006</v>
      </c>
      <c r="E29" s="55">
        <v>6.68</v>
      </c>
      <c r="F29" s="55">
        <v>16.93</v>
      </c>
      <c r="G29" s="55">
        <v>40.75</v>
      </c>
      <c r="H29" s="55">
        <v>14.35</v>
      </c>
      <c r="I29" s="55">
        <v>4.08</v>
      </c>
      <c r="J29" s="55">
        <v>0.63</v>
      </c>
      <c r="K29" s="55">
        <v>225.18</v>
      </c>
      <c r="L29" s="55">
        <v>32.08</v>
      </c>
      <c r="M29" s="55">
        <v>55.49</v>
      </c>
      <c r="N29" s="55">
        <v>28.8</v>
      </c>
      <c r="O29" s="55">
        <v>0</v>
      </c>
      <c r="P29" s="55">
        <v>0.69</v>
      </c>
      <c r="Q29" s="55">
        <v>9.51</v>
      </c>
      <c r="R29" s="43"/>
      <c r="S29" s="43"/>
      <c r="T29" s="43"/>
      <c r="U29" s="43"/>
    </row>
    <row r="30" spans="1:21" s="11" customFormat="1" x14ac:dyDescent="0.25">
      <c r="A30" s="54" t="s">
        <v>321</v>
      </c>
      <c r="B30" s="55">
        <v>5.77</v>
      </c>
      <c r="C30" s="55">
        <v>35.369999999999997</v>
      </c>
      <c r="D30" s="55">
        <v>58.84</v>
      </c>
      <c r="E30" s="55">
        <v>6.85</v>
      </c>
      <c r="F30" s="55">
        <v>14.89</v>
      </c>
      <c r="G30" s="55">
        <v>35.51</v>
      </c>
      <c r="H30" s="55">
        <v>12.26</v>
      </c>
      <c r="I30" s="55">
        <v>4.08</v>
      </c>
      <c r="J30" s="55">
        <v>0.41</v>
      </c>
      <c r="K30" s="55">
        <v>208.82</v>
      </c>
      <c r="L30" s="55">
        <v>31.74</v>
      </c>
      <c r="M30" s="55">
        <v>53.73</v>
      </c>
      <c r="N30" s="55">
        <v>28.9</v>
      </c>
      <c r="O30" s="55">
        <v>0</v>
      </c>
      <c r="P30" s="55">
        <v>0.56000000000000005</v>
      </c>
      <c r="Q30" s="55">
        <v>9.52</v>
      </c>
      <c r="R30" s="43"/>
      <c r="S30" s="43"/>
      <c r="T30" s="43"/>
      <c r="U30" s="43"/>
    </row>
    <row r="31" spans="1:21" s="11" customFormat="1" x14ac:dyDescent="0.25">
      <c r="A31" s="54" t="s">
        <v>322</v>
      </c>
      <c r="B31" s="55">
        <v>8.15</v>
      </c>
      <c r="C31" s="55">
        <v>33.049999999999997</v>
      </c>
      <c r="D31" s="55">
        <v>55.9</v>
      </c>
      <c r="E31" s="55">
        <v>6.98</v>
      </c>
      <c r="F31" s="55">
        <v>15.31</v>
      </c>
      <c r="G31" s="55">
        <v>36.32</v>
      </c>
      <c r="H31" s="55">
        <v>11.7</v>
      </c>
      <c r="I31" s="55">
        <v>4.1500000000000004</v>
      </c>
      <c r="J31" s="55">
        <v>0.42</v>
      </c>
      <c r="K31" s="55">
        <v>227.35</v>
      </c>
      <c r="L31" s="55">
        <v>31.52</v>
      </c>
      <c r="M31" s="55">
        <v>52.67</v>
      </c>
      <c r="N31" s="55">
        <v>28.7</v>
      </c>
      <c r="O31" s="55">
        <v>0</v>
      </c>
      <c r="P31" s="55">
        <v>0.41</v>
      </c>
      <c r="Q31" s="55">
        <v>9.5500000000000007</v>
      </c>
      <c r="R31" s="43"/>
      <c r="S31" s="43"/>
      <c r="T31" s="43"/>
      <c r="U31" s="43"/>
    </row>
    <row r="32" spans="1:21" s="11" customFormat="1" x14ac:dyDescent="0.25">
      <c r="A32" s="54" t="s">
        <v>323</v>
      </c>
      <c r="B32" s="55">
        <v>4.38</v>
      </c>
      <c r="C32" s="55">
        <v>28.88</v>
      </c>
      <c r="D32" s="55">
        <v>48.89</v>
      </c>
      <c r="E32" s="55">
        <v>7.05</v>
      </c>
      <c r="F32" s="55">
        <v>16.010000000000002</v>
      </c>
      <c r="G32" s="55">
        <v>36.06</v>
      </c>
      <c r="H32" s="55">
        <v>12.06</v>
      </c>
      <c r="I32" s="55">
        <v>4.12</v>
      </c>
      <c r="J32" s="55">
        <v>0.35</v>
      </c>
      <c r="K32" s="55">
        <v>224.22</v>
      </c>
      <c r="L32" s="55">
        <v>31.54</v>
      </c>
      <c r="M32" s="55">
        <v>51.82</v>
      </c>
      <c r="N32" s="55">
        <v>28.8</v>
      </c>
      <c r="O32" s="55">
        <v>0</v>
      </c>
      <c r="P32" s="55">
        <v>0.4</v>
      </c>
      <c r="Q32" s="55">
        <v>9.57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4.38</v>
      </c>
      <c r="C34" s="28">
        <f t="shared" si="0"/>
        <v>25.71</v>
      </c>
      <c r="D34" s="28">
        <f t="shared" si="0"/>
        <v>38.1</v>
      </c>
      <c r="E34" s="28">
        <f t="shared" si="0"/>
        <v>6.02</v>
      </c>
      <c r="F34" s="28">
        <f t="shared" si="0"/>
        <v>2.4900000000000002</v>
      </c>
      <c r="G34" s="28">
        <f t="shared" si="0"/>
        <v>33.51</v>
      </c>
      <c r="H34" s="28">
        <f t="shared" si="0"/>
        <v>11.7</v>
      </c>
      <c r="I34" s="28">
        <f t="shared" si="0"/>
        <v>3.97</v>
      </c>
      <c r="J34" s="28">
        <f t="shared" si="0"/>
        <v>0.3</v>
      </c>
      <c r="K34" s="28">
        <f t="shared" si="0"/>
        <v>104.96</v>
      </c>
      <c r="L34" s="28">
        <f t="shared" si="0"/>
        <v>31.27</v>
      </c>
      <c r="M34" s="28">
        <f t="shared" si="0"/>
        <v>27.93</v>
      </c>
      <c r="N34" s="28">
        <f t="shared" si="0"/>
        <v>28.7</v>
      </c>
      <c r="O34" s="28">
        <f t="shared" si="0"/>
        <v>0</v>
      </c>
      <c r="P34" s="28">
        <f t="shared" si="0"/>
        <v>0.32</v>
      </c>
      <c r="Q34" s="28">
        <f t="shared" si="0"/>
        <v>9.49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22.25</v>
      </c>
      <c r="C35" s="29">
        <f t="shared" si="1"/>
        <v>60.74</v>
      </c>
      <c r="D35" s="29">
        <f t="shared" si="1"/>
        <v>87.88</v>
      </c>
      <c r="E35" s="29">
        <f t="shared" si="1"/>
        <v>47.52</v>
      </c>
      <c r="F35" s="29">
        <f t="shared" si="1"/>
        <v>29.82</v>
      </c>
      <c r="G35" s="29">
        <f t="shared" si="1"/>
        <v>80.459999999999994</v>
      </c>
      <c r="H35" s="29">
        <f t="shared" si="1"/>
        <v>23.44</v>
      </c>
      <c r="I35" s="29">
        <f t="shared" si="1"/>
        <v>4.32</v>
      </c>
      <c r="J35" s="29">
        <f t="shared" si="1"/>
        <v>2.68</v>
      </c>
      <c r="K35" s="29">
        <f t="shared" si="1"/>
        <v>301.69</v>
      </c>
      <c r="L35" s="29">
        <f t="shared" si="1"/>
        <v>44.81</v>
      </c>
      <c r="M35" s="29">
        <f t="shared" si="1"/>
        <v>61.72</v>
      </c>
      <c r="N35" s="29">
        <f t="shared" si="1"/>
        <v>878.7</v>
      </c>
      <c r="O35" s="29">
        <f t="shared" si="1"/>
        <v>0</v>
      </c>
      <c r="P35" s="29">
        <f t="shared" si="1"/>
        <v>0.83</v>
      </c>
      <c r="Q35" s="29">
        <f t="shared" si="1"/>
        <v>9.67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10.5075</v>
      </c>
      <c r="C36" s="28">
        <f t="shared" si="2"/>
        <v>35.264999999999993</v>
      </c>
      <c r="D36" s="28">
        <f t="shared" si="2"/>
        <v>52.206666666666678</v>
      </c>
      <c r="E36" s="28">
        <f t="shared" si="2"/>
        <v>12.319583333333336</v>
      </c>
      <c r="F36" s="28">
        <f t="shared" si="2"/>
        <v>14.293750000000001</v>
      </c>
      <c r="G36" s="28">
        <f t="shared" si="2"/>
        <v>48.493749999999999</v>
      </c>
      <c r="H36" s="28">
        <f t="shared" si="2"/>
        <v>17.188750000000002</v>
      </c>
      <c r="I36" s="28">
        <f t="shared" si="2"/>
        <v>4.1079166666666671</v>
      </c>
      <c r="J36" s="28">
        <f t="shared" si="2"/>
        <v>0.83125000000000016</v>
      </c>
      <c r="K36" s="28">
        <f t="shared" si="2"/>
        <v>237.85541666666668</v>
      </c>
      <c r="L36" s="28">
        <f t="shared" si="2"/>
        <v>36.464999999999996</v>
      </c>
      <c r="M36" s="28">
        <f t="shared" si="2"/>
        <v>46.698333333333331</v>
      </c>
      <c r="N36" s="28">
        <f t="shared" si="2"/>
        <v>281.21666666666675</v>
      </c>
      <c r="O36" s="28">
        <f t="shared" si="2"/>
        <v>0</v>
      </c>
      <c r="P36" s="28">
        <f t="shared" si="2"/>
        <v>0.57874999999999999</v>
      </c>
      <c r="Q36" s="28">
        <f t="shared" si="2"/>
        <v>9.5812500000000025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4.8564302957410321</v>
      </c>
      <c r="C37" s="28">
        <f t="shared" ref="C37:Q37" si="3">STDEV(C9:C32)</f>
        <v>8.3565917745786962</v>
      </c>
      <c r="D37" s="28">
        <f t="shared" si="3"/>
        <v>11.595266525487897</v>
      </c>
      <c r="E37" s="28">
        <f t="shared" si="3"/>
        <v>9.352349846157777</v>
      </c>
      <c r="F37" s="28">
        <f t="shared" si="3"/>
        <v>8.1158432348735925</v>
      </c>
      <c r="G37" s="28">
        <f t="shared" si="3"/>
        <v>13.44547145760953</v>
      </c>
      <c r="H37" s="28">
        <f t="shared" si="3"/>
        <v>3.2516207497185103</v>
      </c>
      <c r="I37" s="28">
        <f t="shared" si="3"/>
        <v>7.9289188180475395E-2</v>
      </c>
      <c r="J37" s="28">
        <f t="shared" si="3"/>
        <v>0.61958831001967996</v>
      </c>
      <c r="K37" s="28">
        <f t="shared" si="3"/>
        <v>40.685808013751775</v>
      </c>
      <c r="L37" s="28">
        <f t="shared" si="3"/>
        <v>5.0604407781897098</v>
      </c>
      <c r="M37" s="28">
        <f t="shared" si="3"/>
        <v>13.139106470402783</v>
      </c>
      <c r="N37" s="28">
        <f t="shared" si="3"/>
        <v>314.96458001919297</v>
      </c>
      <c r="O37" s="28">
        <f t="shared" si="3"/>
        <v>0</v>
      </c>
      <c r="P37" s="28">
        <f t="shared" si="3"/>
        <v>0.13759779131189975</v>
      </c>
      <c r="Q37" s="28">
        <f t="shared" si="3"/>
        <v>5.8108781047124199E-2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12/05/2025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4" t="s">
        <v>324</v>
      </c>
      <c r="B9" s="55">
        <v>4.45</v>
      </c>
      <c r="C9" s="55">
        <v>24.87</v>
      </c>
      <c r="D9" s="55">
        <v>40.78</v>
      </c>
      <c r="E9" s="55">
        <v>6.49</v>
      </c>
      <c r="F9" s="55">
        <v>16.7</v>
      </c>
      <c r="G9" s="55">
        <v>33.21</v>
      </c>
      <c r="H9" s="55">
        <v>12.3</v>
      </c>
      <c r="I9" s="55">
        <v>4.09</v>
      </c>
      <c r="J9" s="55">
        <v>0.43</v>
      </c>
      <c r="K9" s="55">
        <v>221.08</v>
      </c>
      <c r="L9" s="55">
        <v>31.73</v>
      </c>
      <c r="M9" s="55">
        <v>52.14</v>
      </c>
      <c r="N9" s="55">
        <v>29.1</v>
      </c>
      <c r="O9" s="55">
        <v>0</v>
      </c>
      <c r="P9" s="55">
        <v>0.31</v>
      </c>
      <c r="Q9" s="55">
        <v>9.58</v>
      </c>
      <c r="R9" s="43"/>
      <c r="S9" s="43"/>
      <c r="T9" s="43"/>
      <c r="U9" s="43"/>
    </row>
    <row r="10" spans="1:21" s="11" customFormat="1" x14ac:dyDescent="0.25">
      <c r="A10" s="54" t="s">
        <v>325</v>
      </c>
      <c r="B10" s="55">
        <v>4.08</v>
      </c>
      <c r="C10" s="55">
        <v>21.64</v>
      </c>
      <c r="D10" s="55">
        <v>35.15</v>
      </c>
      <c r="E10" s="55">
        <v>5.95</v>
      </c>
      <c r="F10" s="55">
        <v>16.05</v>
      </c>
      <c r="G10" s="55">
        <v>34.76</v>
      </c>
      <c r="H10" s="55">
        <v>11.58</v>
      </c>
      <c r="I10" s="55">
        <v>4.1100000000000003</v>
      </c>
      <c r="J10" s="55">
        <v>0.45</v>
      </c>
      <c r="K10" s="55">
        <v>219.78</v>
      </c>
      <c r="L10" s="55">
        <v>30.84</v>
      </c>
      <c r="M10" s="55">
        <v>56.81</v>
      </c>
      <c r="N10" s="55">
        <v>29</v>
      </c>
      <c r="O10" s="55">
        <v>0</v>
      </c>
      <c r="P10" s="55">
        <v>0.37</v>
      </c>
      <c r="Q10" s="55">
        <v>9.56</v>
      </c>
      <c r="R10" s="43"/>
      <c r="S10" s="43"/>
      <c r="T10" s="43"/>
      <c r="U10" s="43"/>
    </row>
    <row r="11" spans="1:21" s="11" customFormat="1" x14ac:dyDescent="0.25">
      <c r="A11" s="54" t="s">
        <v>326</v>
      </c>
      <c r="B11" s="55">
        <v>5.13</v>
      </c>
      <c r="C11" s="55">
        <v>23.9</v>
      </c>
      <c r="D11" s="55">
        <v>37.880000000000003</v>
      </c>
      <c r="E11" s="55">
        <v>6.26</v>
      </c>
      <c r="F11" s="55">
        <v>13.61</v>
      </c>
      <c r="G11" s="55">
        <v>27.43</v>
      </c>
      <c r="H11" s="55">
        <v>10.4</v>
      </c>
      <c r="I11" s="55">
        <v>4.1900000000000004</v>
      </c>
      <c r="J11" s="55">
        <v>0.41</v>
      </c>
      <c r="K11" s="55">
        <v>230.08</v>
      </c>
      <c r="L11" s="55">
        <v>30.17</v>
      </c>
      <c r="M11" s="55">
        <v>58.9</v>
      </c>
      <c r="N11" s="55">
        <v>28.8</v>
      </c>
      <c r="O11" s="55">
        <v>0</v>
      </c>
      <c r="P11" s="55">
        <v>0.37</v>
      </c>
      <c r="Q11" s="55">
        <v>9.51</v>
      </c>
      <c r="R11" s="43"/>
      <c r="S11" s="43"/>
      <c r="T11" s="43"/>
      <c r="U11" s="43"/>
    </row>
    <row r="12" spans="1:21" s="11" customFormat="1" x14ac:dyDescent="0.25">
      <c r="A12" s="54" t="s">
        <v>327</v>
      </c>
      <c r="B12" s="55">
        <v>5.0999999999999996</v>
      </c>
      <c r="C12" s="55">
        <v>21.26</v>
      </c>
      <c r="D12" s="55">
        <v>32.869999999999997</v>
      </c>
      <c r="E12" s="55">
        <v>5.67</v>
      </c>
      <c r="F12" s="55">
        <v>11.62</v>
      </c>
      <c r="G12" s="55">
        <v>28.8</v>
      </c>
      <c r="H12" s="55">
        <v>9.92</v>
      </c>
      <c r="I12" s="55">
        <v>4.05</v>
      </c>
      <c r="J12" s="55">
        <v>0.41</v>
      </c>
      <c r="K12" s="55">
        <v>236.42</v>
      </c>
      <c r="L12" s="55">
        <v>29.7</v>
      </c>
      <c r="M12" s="55">
        <v>63.22</v>
      </c>
      <c r="N12" s="55">
        <v>28.8</v>
      </c>
      <c r="O12" s="55">
        <v>0</v>
      </c>
      <c r="P12" s="55">
        <v>0.37</v>
      </c>
      <c r="Q12" s="55">
        <v>9.5399999999999991</v>
      </c>
      <c r="R12" s="43"/>
      <c r="S12" s="43"/>
      <c r="T12" s="43"/>
      <c r="U12" s="43"/>
    </row>
    <row r="13" spans="1:21" s="11" customFormat="1" x14ac:dyDescent="0.25">
      <c r="A13" s="54" t="s">
        <v>328</v>
      </c>
      <c r="B13" s="55">
        <v>12.85</v>
      </c>
      <c r="C13" s="55">
        <v>41.31</v>
      </c>
      <c r="D13" s="55">
        <v>59.34</v>
      </c>
      <c r="E13" s="55">
        <v>5.51</v>
      </c>
      <c r="F13" s="55">
        <v>8.0399999999999991</v>
      </c>
      <c r="G13" s="55">
        <v>28.22</v>
      </c>
      <c r="H13" s="55">
        <v>10.68</v>
      </c>
      <c r="I13" s="55">
        <v>4.0599999999999996</v>
      </c>
      <c r="J13" s="55">
        <v>0.45</v>
      </c>
      <c r="K13" s="55">
        <v>229.11</v>
      </c>
      <c r="L13" s="55">
        <v>29.21</v>
      </c>
      <c r="M13" s="55">
        <v>65.19</v>
      </c>
      <c r="N13" s="55">
        <v>28.8</v>
      </c>
      <c r="O13" s="55">
        <v>0</v>
      </c>
      <c r="P13" s="55">
        <v>0.48</v>
      </c>
      <c r="Q13" s="55">
        <v>9.61</v>
      </c>
      <c r="R13" s="43"/>
      <c r="S13" s="43"/>
      <c r="T13" s="43"/>
      <c r="U13" s="43"/>
    </row>
    <row r="14" spans="1:21" s="11" customFormat="1" x14ac:dyDescent="0.25">
      <c r="A14" s="54" t="s">
        <v>329</v>
      </c>
      <c r="B14" s="55">
        <v>20.329999999999998</v>
      </c>
      <c r="C14" s="55">
        <v>46.05</v>
      </c>
      <c r="D14" s="55">
        <v>56.95</v>
      </c>
      <c r="E14" s="55">
        <v>5.28</v>
      </c>
      <c r="F14" s="55">
        <v>7.96</v>
      </c>
      <c r="G14" s="55">
        <v>27.67</v>
      </c>
      <c r="H14" s="55">
        <v>12.6</v>
      </c>
      <c r="I14" s="55">
        <v>4.1900000000000004</v>
      </c>
      <c r="J14" s="55">
        <v>0.41</v>
      </c>
      <c r="K14" s="55">
        <v>240.52</v>
      </c>
      <c r="L14" s="55">
        <v>29.2</v>
      </c>
      <c r="M14" s="55">
        <v>65.19</v>
      </c>
      <c r="N14" s="55">
        <v>63.5</v>
      </c>
      <c r="O14" s="55">
        <v>0</v>
      </c>
      <c r="P14" s="55">
        <v>0.78</v>
      </c>
      <c r="Q14" s="55">
        <v>9.64</v>
      </c>
      <c r="R14" s="43"/>
      <c r="S14" s="43"/>
      <c r="T14" s="43"/>
      <c r="U14" s="43"/>
    </row>
    <row r="15" spans="1:21" s="11" customFormat="1" x14ac:dyDescent="0.25">
      <c r="A15" s="54" t="s">
        <v>330</v>
      </c>
      <c r="B15" s="55">
        <v>17.78</v>
      </c>
      <c r="C15" s="55">
        <v>47.87</v>
      </c>
      <c r="D15" s="55">
        <v>64.319999999999993</v>
      </c>
      <c r="E15" s="55">
        <v>7.13</v>
      </c>
      <c r="F15" s="55">
        <v>9.1</v>
      </c>
      <c r="G15" s="55">
        <v>29.74</v>
      </c>
      <c r="H15" s="55">
        <v>9.31</v>
      </c>
      <c r="I15" s="55">
        <v>3.99</v>
      </c>
      <c r="J15" s="55">
        <v>0.51</v>
      </c>
      <c r="K15" s="55">
        <v>234.39</v>
      </c>
      <c r="L15" s="55">
        <v>32.14</v>
      </c>
      <c r="M15" s="55">
        <v>60.7</v>
      </c>
      <c r="N15" s="55">
        <v>211.3</v>
      </c>
      <c r="O15" s="55">
        <v>0</v>
      </c>
      <c r="P15" s="55">
        <v>0.86</v>
      </c>
      <c r="Q15" s="55">
        <v>9.66</v>
      </c>
      <c r="R15" s="43"/>
      <c r="S15" s="43"/>
      <c r="T15" s="43"/>
      <c r="U15" s="43"/>
    </row>
    <row r="16" spans="1:21" s="11" customFormat="1" x14ac:dyDescent="0.25">
      <c r="A16" s="54" t="s">
        <v>331</v>
      </c>
      <c r="B16" s="55">
        <v>13.99</v>
      </c>
      <c r="C16" s="55">
        <v>33.85</v>
      </c>
      <c r="D16" s="55">
        <v>43.31</v>
      </c>
      <c r="E16" s="55">
        <v>6.52</v>
      </c>
      <c r="F16" s="55">
        <v>7.84</v>
      </c>
      <c r="G16" s="55">
        <v>44.14</v>
      </c>
      <c r="H16" s="55">
        <v>16.13</v>
      </c>
      <c r="I16" s="55">
        <v>4.0599999999999996</v>
      </c>
      <c r="J16" s="55">
        <v>1.1399999999999999</v>
      </c>
      <c r="K16" s="55">
        <v>243.68</v>
      </c>
      <c r="L16" s="55">
        <v>35.79</v>
      </c>
      <c r="M16" s="55">
        <v>51.69</v>
      </c>
      <c r="N16" s="55">
        <v>422.7</v>
      </c>
      <c r="O16" s="55">
        <v>0</v>
      </c>
      <c r="P16" s="55">
        <v>0.77</v>
      </c>
      <c r="Q16" s="55">
        <v>9.66</v>
      </c>
      <c r="R16" s="43"/>
      <c r="S16" s="43"/>
      <c r="T16" s="43"/>
      <c r="U16" s="43"/>
    </row>
    <row r="17" spans="1:21" s="11" customFormat="1" x14ac:dyDescent="0.25">
      <c r="A17" s="54" t="s">
        <v>332</v>
      </c>
      <c r="B17" s="55">
        <v>9.5500000000000007</v>
      </c>
      <c r="C17" s="55">
        <v>28.89</v>
      </c>
      <c r="D17" s="55">
        <v>40.630000000000003</v>
      </c>
      <c r="E17" s="55">
        <v>3.72</v>
      </c>
      <c r="F17" s="55">
        <v>5.43</v>
      </c>
      <c r="G17" s="55">
        <v>48.82</v>
      </c>
      <c r="H17" s="55">
        <v>16.079999999999998</v>
      </c>
      <c r="I17" s="55">
        <v>4.07</v>
      </c>
      <c r="J17" s="55">
        <v>1.77</v>
      </c>
      <c r="K17" s="55">
        <v>244.52</v>
      </c>
      <c r="L17" s="55">
        <v>38.83</v>
      </c>
      <c r="M17" s="55">
        <v>38.74</v>
      </c>
      <c r="N17" s="55">
        <v>615.20000000000005</v>
      </c>
      <c r="O17" s="55">
        <v>0</v>
      </c>
      <c r="P17" s="55">
        <v>0.65</v>
      </c>
      <c r="Q17" s="55">
        <v>9.6300000000000008</v>
      </c>
      <c r="R17" s="43"/>
      <c r="S17" s="43"/>
      <c r="T17" s="43"/>
      <c r="U17" s="43"/>
    </row>
    <row r="18" spans="1:21" s="11" customFormat="1" x14ac:dyDescent="0.25">
      <c r="A18" s="54" t="s">
        <v>333</v>
      </c>
      <c r="B18" s="55">
        <v>5.65</v>
      </c>
      <c r="C18" s="55">
        <v>24.95</v>
      </c>
      <c r="D18" s="55">
        <v>40.130000000000003</v>
      </c>
      <c r="E18" s="55">
        <v>3.44</v>
      </c>
      <c r="F18" s="55">
        <v>6.46</v>
      </c>
      <c r="G18" s="55">
        <v>45.5</v>
      </c>
      <c r="H18" s="55">
        <v>16.989999999999998</v>
      </c>
      <c r="I18" s="55">
        <v>4.2</v>
      </c>
      <c r="J18" s="55">
        <v>1.57</v>
      </c>
      <c r="K18" s="55">
        <v>243.78</v>
      </c>
      <c r="L18" s="55">
        <v>41.25</v>
      </c>
      <c r="M18" s="55">
        <v>34</v>
      </c>
      <c r="N18" s="55">
        <v>762.5</v>
      </c>
      <c r="O18" s="55">
        <v>0</v>
      </c>
      <c r="P18" s="55">
        <v>0.56999999999999995</v>
      </c>
      <c r="Q18" s="55">
        <v>9.51</v>
      </c>
      <c r="R18" s="43"/>
      <c r="S18" s="43"/>
      <c r="T18" s="43"/>
      <c r="U18" s="43"/>
    </row>
    <row r="19" spans="1:21" s="11" customFormat="1" x14ac:dyDescent="0.25">
      <c r="A19" s="54" t="s">
        <v>334</v>
      </c>
      <c r="B19" s="55">
        <v>7.53</v>
      </c>
      <c r="C19" s="55">
        <v>24.98</v>
      </c>
      <c r="D19" s="55">
        <v>40.01</v>
      </c>
      <c r="E19" s="55">
        <v>4.22</v>
      </c>
      <c r="F19" s="55">
        <v>12.09</v>
      </c>
      <c r="G19" s="55">
        <v>40.71</v>
      </c>
      <c r="H19" s="55">
        <v>13.42</v>
      </c>
      <c r="I19" s="55">
        <v>4.24</v>
      </c>
      <c r="J19" s="55">
        <v>1.4</v>
      </c>
      <c r="K19" s="55">
        <v>244.58</v>
      </c>
      <c r="L19" s="55">
        <v>42.8</v>
      </c>
      <c r="M19" s="55">
        <v>30.02</v>
      </c>
      <c r="N19" s="55">
        <v>866.7</v>
      </c>
      <c r="O19" s="55">
        <v>0</v>
      </c>
      <c r="P19" s="55">
        <v>0.56000000000000005</v>
      </c>
      <c r="Q19" s="55">
        <v>9.51</v>
      </c>
      <c r="R19" s="43"/>
      <c r="S19" s="43"/>
      <c r="T19" s="43"/>
      <c r="U19" s="43"/>
    </row>
    <row r="20" spans="1:21" s="11" customFormat="1" x14ac:dyDescent="0.25">
      <c r="A20" s="54" t="s">
        <v>335</v>
      </c>
      <c r="B20" s="55">
        <v>7.09</v>
      </c>
      <c r="C20" s="55">
        <v>24.31</v>
      </c>
      <c r="D20" s="55">
        <v>35.64</v>
      </c>
      <c r="E20" s="55">
        <v>4.66</v>
      </c>
      <c r="F20" s="55">
        <v>13.96</v>
      </c>
      <c r="G20" s="55">
        <v>39.03</v>
      </c>
      <c r="H20" s="55">
        <v>14.37</v>
      </c>
      <c r="I20" s="55">
        <v>4.0999999999999996</v>
      </c>
      <c r="J20" s="55">
        <v>1.35</v>
      </c>
      <c r="K20" s="55">
        <v>245.87</v>
      </c>
      <c r="L20" s="55">
        <v>42.81</v>
      </c>
      <c r="M20" s="55">
        <v>27.12</v>
      </c>
      <c r="N20" s="55">
        <v>893.3</v>
      </c>
      <c r="O20" s="55">
        <v>0</v>
      </c>
      <c r="P20" s="55">
        <v>0.55000000000000004</v>
      </c>
      <c r="Q20" s="55">
        <v>9.49</v>
      </c>
      <c r="R20" s="43"/>
      <c r="S20" s="43"/>
      <c r="T20" s="43"/>
      <c r="U20" s="43"/>
    </row>
    <row r="21" spans="1:21" s="11" customFormat="1" x14ac:dyDescent="0.25">
      <c r="A21" s="54" t="s">
        <v>336</v>
      </c>
      <c r="B21" s="55">
        <v>7.22</v>
      </c>
      <c r="C21" s="55">
        <v>25.95</v>
      </c>
      <c r="D21" s="55">
        <v>38.590000000000003</v>
      </c>
      <c r="E21" s="55">
        <v>5.17</v>
      </c>
      <c r="F21" s="55">
        <v>15.21</v>
      </c>
      <c r="G21" s="55">
        <v>33.33</v>
      </c>
      <c r="H21" s="55">
        <v>14.62</v>
      </c>
      <c r="I21" s="55">
        <v>4</v>
      </c>
      <c r="J21" s="55">
        <v>1.24</v>
      </c>
      <c r="K21" s="55">
        <v>251.89</v>
      </c>
      <c r="L21" s="55">
        <v>43.41</v>
      </c>
      <c r="M21" s="55">
        <v>26.38</v>
      </c>
      <c r="N21" s="55">
        <v>903.8</v>
      </c>
      <c r="O21" s="55">
        <v>0</v>
      </c>
      <c r="P21" s="55">
        <v>0.5</v>
      </c>
      <c r="Q21" s="55">
        <v>9.4600000000000009</v>
      </c>
      <c r="R21" s="43"/>
      <c r="S21" s="43"/>
      <c r="T21" s="43"/>
      <c r="U21" s="43"/>
    </row>
    <row r="22" spans="1:21" s="11" customFormat="1" x14ac:dyDescent="0.25">
      <c r="A22" s="54" t="s">
        <v>337</v>
      </c>
      <c r="B22" s="55">
        <v>7.75</v>
      </c>
      <c r="C22" s="55">
        <v>27</v>
      </c>
      <c r="D22" s="55">
        <v>39.79</v>
      </c>
      <c r="E22" s="55">
        <v>8.08</v>
      </c>
      <c r="F22" s="55">
        <v>19.98</v>
      </c>
      <c r="G22" s="55">
        <v>32.93</v>
      </c>
      <c r="H22" s="55">
        <v>11.9</v>
      </c>
      <c r="I22" s="55">
        <v>4.1900000000000004</v>
      </c>
      <c r="J22" s="55">
        <v>1.7</v>
      </c>
      <c r="K22" s="55">
        <v>252.6</v>
      </c>
      <c r="L22" s="55">
        <v>43.56</v>
      </c>
      <c r="M22" s="55">
        <v>26.04</v>
      </c>
      <c r="N22" s="55">
        <v>629.1</v>
      </c>
      <c r="O22" s="55">
        <v>0</v>
      </c>
      <c r="P22" s="55">
        <v>0.44</v>
      </c>
      <c r="Q22" s="55">
        <v>9.4700000000000006</v>
      </c>
      <c r="R22" s="43"/>
      <c r="S22" s="43"/>
      <c r="T22" s="43"/>
      <c r="U22" s="43"/>
    </row>
    <row r="23" spans="1:21" s="11" customFormat="1" x14ac:dyDescent="0.25">
      <c r="A23" s="54" t="s">
        <v>338</v>
      </c>
      <c r="B23" s="55">
        <v>8.31</v>
      </c>
      <c r="C23" s="55">
        <v>26.99</v>
      </c>
      <c r="D23" s="55">
        <v>39.22</v>
      </c>
      <c r="E23" s="55">
        <v>6.79</v>
      </c>
      <c r="F23" s="55">
        <v>23.45</v>
      </c>
      <c r="G23" s="55">
        <v>29.5</v>
      </c>
      <c r="H23" s="55">
        <v>11.53</v>
      </c>
      <c r="I23" s="55">
        <v>4.08</v>
      </c>
      <c r="J23" s="55">
        <v>1.3</v>
      </c>
      <c r="K23" s="55">
        <v>255.29</v>
      </c>
      <c r="L23" s="55">
        <v>42.11</v>
      </c>
      <c r="M23" s="55">
        <v>26.71</v>
      </c>
      <c r="N23" s="55">
        <v>397.1</v>
      </c>
      <c r="O23" s="55">
        <v>0</v>
      </c>
      <c r="P23" s="55">
        <v>0.43</v>
      </c>
      <c r="Q23" s="55">
        <v>9.5</v>
      </c>
      <c r="R23" s="43"/>
      <c r="S23" s="43"/>
      <c r="T23" s="43"/>
      <c r="U23" s="43"/>
    </row>
    <row r="24" spans="1:21" s="11" customFormat="1" x14ac:dyDescent="0.25">
      <c r="A24" s="54" t="s">
        <v>339</v>
      </c>
      <c r="B24" s="55">
        <v>8.1</v>
      </c>
      <c r="C24" s="55">
        <v>29.79</v>
      </c>
      <c r="D24" s="55">
        <v>44.59</v>
      </c>
      <c r="E24" s="55">
        <v>5.19</v>
      </c>
      <c r="F24" s="55">
        <v>16.14</v>
      </c>
      <c r="G24" s="55">
        <v>30.85</v>
      </c>
      <c r="H24" s="55">
        <v>12.77</v>
      </c>
      <c r="I24" s="55">
        <v>4.1399999999999997</v>
      </c>
      <c r="J24" s="55">
        <v>1.25</v>
      </c>
      <c r="K24" s="55">
        <v>247.29</v>
      </c>
      <c r="L24" s="55">
        <v>40.97</v>
      </c>
      <c r="M24" s="55">
        <v>27.53</v>
      </c>
      <c r="N24" s="55">
        <v>363.5</v>
      </c>
      <c r="O24" s="55">
        <v>0</v>
      </c>
      <c r="P24" s="55">
        <v>0.43</v>
      </c>
      <c r="Q24" s="55">
        <v>9.57</v>
      </c>
      <c r="R24" s="43"/>
      <c r="S24" s="43"/>
      <c r="T24" s="43"/>
      <c r="U24" s="43"/>
    </row>
    <row r="25" spans="1:21" s="11" customFormat="1" x14ac:dyDescent="0.25">
      <c r="A25" s="54" t="s">
        <v>340</v>
      </c>
      <c r="B25" s="55">
        <v>9.27</v>
      </c>
      <c r="C25" s="55">
        <v>28.95</v>
      </c>
      <c r="D25" s="55">
        <v>41.18</v>
      </c>
      <c r="E25" s="55">
        <v>5.67</v>
      </c>
      <c r="F25" s="55">
        <v>17.09</v>
      </c>
      <c r="G25" s="55">
        <v>29.89</v>
      </c>
      <c r="H25" s="55">
        <v>10.7</v>
      </c>
      <c r="I25" s="55">
        <v>4.1399999999999997</v>
      </c>
      <c r="J25" s="55">
        <v>1.46</v>
      </c>
      <c r="K25" s="55">
        <v>246.47</v>
      </c>
      <c r="L25" s="55">
        <v>40.53</v>
      </c>
      <c r="M25" s="55">
        <v>29.13</v>
      </c>
      <c r="N25" s="55">
        <v>297</v>
      </c>
      <c r="O25" s="55">
        <v>0</v>
      </c>
      <c r="P25" s="55">
        <v>0.47</v>
      </c>
      <c r="Q25" s="55">
        <v>9.57</v>
      </c>
      <c r="R25" s="43"/>
      <c r="S25" s="43"/>
      <c r="T25" s="43"/>
      <c r="U25" s="43"/>
    </row>
    <row r="26" spans="1:21" s="11" customFormat="1" x14ac:dyDescent="0.25">
      <c r="A26" s="54" t="s">
        <v>341</v>
      </c>
      <c r="B26" s="55">
        <v>11.19</v>
      </c>
      <c r="C26" s="55">
        <v>33.42</v>
      </c>
      <c r="D26" s="55">
        <v>46.79</v>
      </c>
      <c r="E26" s="55">
        <v>7.33</v>
      </c>
      <c r="F26" s="55">
        <v>17.41</v>
      </c>
      <c r="G26" s="55">
        <v>26.61</v>
      </c>
      <c r="H26" s="55">
        <v>11.14</v>
      </c>
      <c r="I26" s="55">
        <v>4.13</v>
      </c>
      <c r="J26" s="55">
        <v>2.2400000000000002</v>
      </c>
      <c r="K26" s="55">
        <v>246.11</v>
      </c>
      <c r="L26" s="55">
        <v>38.840000000000003</v>
      </c>
      <c r="M26" s="55">
        <v>31.71</v>
      </c>
      <c r="N26" s="55">
        <v>103.7</v>
      </c>
      <c r="O26" s="55">
        <v>0</v>
      </c>
      <c r="P26" s="55">
        <v>0.66</v>
      </c>
      <c r="Q26" s="55">
        <v>9.52</v>
      </c>
      <c r="R26" s="43"/>
      <c r="S26" s="43"/>
      <c r="T26" s="43"/>
      <c r="U26" s="43"/>
    </row>
    <row r="27" spans="1:21" s="11" customFormat="1" x14ac:dyDescent="0.25">
      <c r="A27" s="54" t="s">
        <v>342</v>
      </c>
      <c r="B27" s="55">
        <v>15.45</v>
      </c>
      <c r="C27" s="55">
        <v>39.06</v>
      </c>
      <c r="D27" s="55">
        <v>51.04</v>
      </c>
      <c r="E27" s="55">
        <v>7.31</v>
      </c>
      <c r="F27" s="55">
        <v>14.63</v>
      </c>
      <c r="G27" s="55">
        <v>25.59</v>
      </c>
      <c r="H27" s="55">
        <v>9.6999999999999993</v>
      </c>
      <c r="I27" s="55">
        <v>4.07</v>
      </c>
      <c r="J27" s="55">
        <v>1.26</v>
      </c>
      <c r="K27" s="55">
        <v>244.59</v>
      </c>
      <c r="L27" s="55">
        <v>36.909999999999997</v>
      </c>
      <c r="M27" s="55">
        <v>35.69</v>
      </c>
      <c r="N27" s="55">
        <v>39.200000000000003</v>
      </c>
      <c r="O27" s="55">
        <v>0</v>
      </c>
      <c r="P27" s="55">
        <v>0.65</v>
      </c>
      <c r="Q27" s="55">
        <v>9.57</v>
      </c>
      <c r="R27" s="43"/>
      <c r="S27" s="43"/>
      <c r="T27" s="43"/>
      <c r="U27" s="43"/>
    </row>
    <row r="28" spans="1:21" s="11" customFormat="1" x14ac:dyDescent="0.25">
      <c r="A28" s="54" t="s">
        <v>343</v>
      </c>
      <c r="B28" s="55">
        <v>17.2</v>
      </c>
      <c r="C28" s="55">
        <v>52.16</v>
      </c>
      <c r="D28" s="55">
        <v>73.430000000000007</v>
      </c>
      <c r="E28" s="55">
        <v>6.67</v>
      </c>
      <c r="F28" s="55">
        <v>15.32</v>
      </c>
      <c r="G28" s="55">
        <v>28.46</v>
      </c>
      <c r="H28" s="55">
        <v>10.6</v>
      </c>
      <c r="I28" s="55">
        <v>4.0599999999999996</v>
      </c>
      <c r="J28" s="55">
        <v>1.1000000000000001</v>
      </c>
      <c r="K28" s="55">
        <v>244.98</v>
      </c>
      <c r="L28" s="55">
        <v>35.53</v>
      </c>
      <c r="M28" s="55">
        <v>38.57</v>
      </c>
      <c r="N28" s="55">
        <v>28.8</v>
      </c>
      <c r="O28" s="55">
        <v>0</v>
      </c>
      <c r="P28" s="55">
        <v>1</v>
      </c>
      <c r="Q28" s="55">
        <v>9.59</v>
      </c>
      <c r="R28" s="43"/>
      <c r="S28" s="43"/>
      <c r="T28" s="43"/>
      <c r="U28" s="43"/>
    </row>
    <row r="29" spans="1:21" s="11" customFormat="1" x14ac:dyDescent="0.25">
      <c r="A29" s="54" t="s">
        <v>344</v>
      </c>
      <c r="B29" s="55">
        <v>17.920000000000002</v>
      </c>
      <c r="C29" s="55">
        <v>52.25</v>
      </c>
      <c r="D29" s="55">
        <v>72.5</v>
      </c>
      <c r="E29" s="55">
        <v>7.28</v>
      </c>
      <c r="F29" s="55">
        <v>13.83</v>
      </c>
      <c r="G29" s="55">
        <v>30.83</v>
      </c>
      <c r="H29" s="55">
        <v>8.52</v>
      </c>
      <c r="I29" s="55">
        <v>4.1500000000000004</v>
      </c>
      <c r="J29" s="55">
        <v>0.59</v>
      </c>
      <c r="K29" s="55">
        <v>244.39</v>
      </c>
      <c r="L29" s="55">
        <v>34.520000000000003</v>
      </c>
      <c r="M29" s="55">
        <v>39.1</v>
      </c>
      <c r="N29" s="55">
        <v>28.8</v>
      </c>
      <c r="O29" s="55">
        <v>0</v>
      </c>
      <c r="P29" s="55">
        <v>1.28</v>
      </c>
      <c r="Q29" s="55">
        <v>9.59</v>
      </c>
      <c r="R29" s="43"/>
      <c r="S29" s="43"/>
      <c r="T29" s="43"/>
      <c r="U29" s="43"/>
    </row>
    <row r="30" spans="1:21" s="11" customFormat="1" x14ac:dyDescent="0.25">
      <c r="A30" s="54" t="s">
        <v>345</v>
      </c>
      <c r="B30" s="55">
        <v>18.25</v>
      </c>
      <c r="C30" s="55">
        <v>49.38</v>
      </c>
      <c r="D30" s="55">
        <v>70</v>
      </c>
      <c r="E30" s="55">
        <v>7.16</v>
      </c>
      <c r="F30" s="55">
        <v>12.33</v>
      </c>
      <c r="G30" s="55">
        <v>31.95</v>
      </c>
      <c r="H30" s="55">
        <v>13.7</v>
      </c>
      <c r="I30" s="55">
        <v>3.95</v>
      </c>
      <c r="J30" s="55">
        <v>0.51</v>
      </c>
      <c r="K30" s="55">
        <v>244.19</v>
      </c>
      <c r="L30" s="55">
        <v>33.840000000000003</v>
      </c>
      <c r="M30" s="55">
        <v>39.42</v>
      </c>
      <c r="N30" s="55">
        <v>28.9</v>
      </c>
      <c r="O30" s="55">
        <v>0</v>
      </c>
      <c r="P30" s="55">
        <v>1.19</v>
      </c>
      <c r="Q30" s="55">
        <v>9.59</v>
      </c>
      <c r="R30" s="43"/>
      <c r="S30" s="43"/>
      <c r="T30" s="43"/>
      <c r="U30" s="43"/>
    </row>
    <row r="31" spans="1:21" s="11" customFormat="1" x14ac:dyDescent="0.25">
      <c r="A31" s="54" t="s">
        <v>346</v>
      </c>
      <c r="B31" s="55">
        <v>40.08</v>
      </c>
      <c r="C31" s="55">
        <v>79.73</v>
      </c>
      <c r="D31" s="55">
        <v>91.07</v>
      </c>
      <c r="E31" s="55">
        <v>10.28</v>
      </c>
      <c r="F31" s="55">
        <v>9.57</v>
      </c>
      <c r="G31" s="55">
        <v>37.07</v>
      </c>
      <c r="H31" s="55">
        <v>12.95</v>
      </c>
      <c r="I31" s="55">
        <v>4.0199999999999996</v>
      </c>
      <c r="J31" s="55">
        <v>0.47</v>
      </c>
      <c r="K31" s="55">
        <v>242.6</v>
      </c>
      <c r="L31" s="55">
        <v>33.36</v>
      </c>
      <c r="M31" s="55">
        <v>42.35</v>
      </c>
      <c r="N31" s="55">
        <v>28.9</v>
      </c>
      <c r="O31" s="55">
        <v>0</v>
      </c>
      <c r="P31" s="55">
        <v>1.1499999999999999</v>
      </c>
      <c r="Q31" s="55">
        <v>9.6199999999999992</v>
      </c>
      <c r="R31" s="43"/>
      <c r="S31" s="43"/>
      <c r="T31" s="43"/>
      <c r="U31" s="43"/>
    </row>
    <row r="32" spans="1:21" s="11" customFormat="1" x14ac:dyDescent="0.25">
      <c r="A32" s="54" t="s">
        <v>347</v>
      </c>
      <c r="B32" s="55">
        <v>15.63</v>
      </c>
      <c r="C32" s="55">
        <v>44.01</v>
      </c>
      <c r="D32" s="55">
        <v>60.23</v>
      </c>
      <c r="E32" s="55">
        <v>10.96</v>
      </c>
      <c r="F32" s="55">
        <v>10.73</v>
      </c>
      <c r="G32" s="55">
        <v>42.52</v>
      </c>
      <c r="H32" s="55">
        <v>12.58</v>
      </c>
      <c r="I32" s="55">
        <v>4.08</v>
      </c>
      <c r="J32" s="55">
        <v>0.47</v>
      </c>
      <c r="K32" s="55">
        <v>244.06</v>
      </c>
      <c r="L32" s="55">
        <v>32.61</v>
      </c>
      <c r="M32" s="55">
        <v>44.58</v>
      </c>
      <c r="N32" s="55">
        <v>28.8</v>
      </c>
      <c r="O32" s="55">
        <v>0</v>
      </c>
      <c r="P32" s="55">
        <v>0.9</v>
      </c>
      <c r="Q32" s="55">
        <v>9.64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4.08</v>
      </c>
      <c r="C34" s="28">
        <f t="shared" si="0"/>
        <v>21.26</v>
      </c>
      <c r="D34" s="28">
        <f t="shared" si="0"/>
        <v>32.869999999999997</v>
      </c>
      <c r="E34" s="28">
        <f t="shared" si="0"/>
        <v>3.44</v>
      </c>
      <c r="F34" s="28">
        <f t="shared" si="0"/>
        <v>5.43</v>
      </c>
      <c r="G34" s="28">
        <f t="shared" si="0"/>
        <v>25.59</v>
      </c>
      <c r="H34" s="28">
        <f t="shared" si="0"/>
        <v>8.52</v>
      </c>
      <c r="I34" s="28">
        <f t="shared" si="0"/>
        <v>3.95</v>
      </c>
      <c r="J34" s="28">
        <f t="shared" si="0"/>
        <v>0.41</v>
      </c>
      <c r="K34" s="28">
        <f t="shared" si="0"/>
        <v>219.78</v>
      </c>
      <c r="L34" s="28">
        <f t="shared" si="0"/>
        <v>29.2</v>
      </c>
      <c r="M34" s="28">
        <f t="shared" si="0"/>
        <v>26.04</v>
      </c>
      <c r="N34" s="28">
        <f t="shared" si="0"/>
        <v>28.8</v>
      </c>
      <c r="O34" s="28">
        <f t="shared" si="0"/>
        <v>0</v>
      </c>
      <c r="P34" s="28">
        <f t="shared" si="0"/>
        <v>0.31</v>
      </c>
      <c r="Q34" s="28">
        <f t="shared" si="0"/>
        <v>9.4600000000000009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40.08</v>
      </c>
      <c r="C35" s="29">
        <f t="shared" si="1"/>
        <v>79.73</v>
      </c>
      <c r="D35" s="29">
        <f t="shared" si="1"/>
        <v>91.07</v>
      </c>
      <c r="E35" s="29">
        <f t="shared" si="1"/>
        <v>10.96</v>
      </c>
      <c r="F35" s="29">
        <f t="shared" si="1"/>
        <v>23.45</v>
      </c>
      <c r="G35" s="29">
        <f t="shared" si="1"/>
        <v>48.82</v>
      </c>
      <c r="H35" s="29">
        <f t="shared" si="1"/>
        <v>16.989999999999998</v>
      </c>
      <c r="I35" s="29">
        <f t="shared" si="1"/>
        <v>4.24</v>
      </c>
      <c r="J35" s="29">
        <f t="shared" si="1"/>
        <v>2.2400000000000002</v>
      </c>
      <c r="K35" s="29">
        <f t="shared" si="1"/>
        <v>255.29</v>
      </c>
      <c r="L35" s="29">
        <f t="shared" si="1"/>
        <v>43.56</v>
      </c>
      <c r="M35" s="29">
        <f t="shared" si="1"/>
        <v>65.19</v>
      </c>
      <c r="N35" s="29">
        <f t="shared" si="1"/>
        <v>903.8</v>
      </c>
      <c r="O35" s="29">
        <f t="shared" si="1"/>
        <v>0</v>
      </c>
      <c r="P35" s="29">
        <f t="shared" si="1"/>
        <v>1.28</v>
      </c>
      <c r="Q35" s="29">
        <f t="shared" si="1"/>
        <v>9.66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12.079166666666666</v>
      </c>
      <c r="C36" s="28">
        <f t="shared" si="2"/>
        <v>35.52375</v>
      </c>
      <c r="D36" s="28">
        <f t="shared" si="2"/>
        <v>49.809999999999995</v>
      </c>
      <c r="E36" s="28">
        <f t="shared" si="2"/>
        <v>6.3641666666666667</v>
      </c>
      <c r="F36" s="28">
        <f t="shared" si="2"/>
        <v>13.106249999999998</v>
      </c>
      <c r="G36" s="28">
        <f t="shared" si="2"/>
        <v>33.648333333333341</v>
      </c>
      <c r="H36" s="28">
        <f t="shared" si="2"/>
        <v>12.270416666666664</v>
      </c>
      <c r="I36" s="28">
        <f t="shared" si="2"/>
        <v>4.0983333333333336</v>
      </c>
      <c r="J36" s="28">
        <f t="shared" si="2"/>
        <v>0.99541666666666684</v>
      </c>
      <c r="K36" s="28">
        <f t="shared" si="2"/>
        <v>241.59458333333336</v>
      </c>
      <c r="L36" s="28">
        <f t="shared" si="2"/>
        <v>36.277499999999996</v>
      </c>
      <c r="M36" s="28">
        <f t="shared" si="2"/>
        <v>42.122083333333329</v>
      </c>
      <c r="N36" s="28">
        <f t="shared" si="2"/>
        <v>285.72083333333336</v>
      </c>
      <c r="O36" s="28">
        <f t="shared" si="2"/>
        <v>0</v>
      </c>
      <c r="P36" s="28">
        <f t="shared" si="2"/>
        <v>0.65583333333333338</v>
      </c>
      <c r="Q36" s="28">
        <f t="shared" si="2"/>
        <v>9.5662499999999984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7.8153694266721869</v>
      </c>
      <c r="C37" s="28">
        <f t="shared" ref="C37:Q37" si="3">STDEV(C9:C32)</f>
        <v>13.897081899668267</v>
      </c>
      <c r="D37" s="28">
        <f t="shared" si="3"/>
        <v>15.233366409757034</v>
      </c>
      <c r="E37" s="28">
        <f t="shared" si="3"/>
        <v>1.775440953597198</v>
      </c>
      <c r="F37" s="28">
        <f t="shared" si="3"/>
        <v>4.4409202067374212</v>
      </c>
      <c r="G37" s="28">
        <f t="shared" si="3"/>
        <v>6.5476425672455134</v>
      </c>
      <c r="H37" s="28">
        <f t="shared" si="3"/>
        <v>2.2319819213204912</v>
      </c>
      <c r="I37" s="28">
        <f t="shared" si="3"/>
        <v>7.2691526129353659E-2</v>
      </c>
      <c r="J37" s="28">
        <f t="shared" si="3"/>
        <v>0.54893556418143286</v>
      </c>
      <c r="K37" s="28">
        <f t="shared" si="3"/>
        <v>8.9521325995379488</v>
      </c>
      <c r="L37" s="28">
        <f t="shared" si="3"/>
        <v>5.0269380861255302</v>
      </c>
      <c r="M37" s="28">
        <f t="shared" si="3"/>
        <v>13.678315742735707</v>
      </c>
      <c r="N37" s="28">
        <f t="shared" si="3"/>
        <v>322.24679575317492</v>
      </c>
      <c r="O37" s="28">
        <f t="shared" si="3"/>
        <v>0</v>
      </c>
      <c r="P37" s="28">
        <f t="shared" si="3"/>
        <v>0.27961023596780404</v>
      </c>
      <c r="Q37" s="28">
        <f t="shared" si="3"/>
        <v>5.9841275561852494E-2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33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13/05/2025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4" t="s">
        <v>348</v>
      </c>
      <c r="B9" s="55">
        <v>10.39</v>
      </c>
      <c r="C9" s="55">
        <v>36.85</v>
      </c>
      <c r="D9" s="55">
        <v>54.59</v>
      </c>
      <c r="E9" s="55">
        <v>16.010000000000002</v>
      </c>
      <c r="F9" s="55">
        <v>14.11</v>
      </c>
      <c r="G9" s="55">
        <v>46.73</v>
      </c>
      <c r="H9" s="55">
        <v>15.78</v>
      </c>
      <c r="I9" s="55">
        <v>4.18</v>
      </c>
      <c r="J9" s="55">
        <v>0.54</v>
      </c>
      <c r="K9" s="55">
        <v>243.45</v>
      </c>
      <c r="L9" s="55">
        <v>32.51</v>
      </c>
      <c r="M9" s="55">
        <v>46.01</v>
      </c>
      <c r="N9" s="55">
        <v>28.8</v>
      </c>
      <c r="O9" s="55">
        <v>0</v>
      </c>
      <c r="P9" s="55">
        <v>0.83</v>
      </c>
      <c r="Q9" s="55">
        <v>9.64</v>
      </c>
      <c r="R9" s="43"/>
      <c r="S9" s="43"/>
      <c r="T9" s="43"/>
      <c r="U9" s="43"/>
    </row>
    <row r="10" spans="1:21" s="11" customFormat="1" x14ac:dyDescent="0.25">
      <c r="A10" s="54" t="s">
        <v>349</v>
      </c>
      <c r="B10" s="55">
        <v>7.17</v>
      </c>
      <c r="C10" s="55">
        <v>28.72</v>
      </c>
      <c r="D10" s="55">
        <v>43.97</v>
      </c>
      <c r="E10" s="55">
        <v>18.43</v>
      </c>
      <c r="F10" s="55">
        <v>13.62</v>
      </c>
      <c r="G10" s="55">
        <v>50.34</v>
      </c>
      <c r="H10" s="55">
        <v>14.82</v>
      </c>
      <c r="I10" s="55">
        <v>4.16</v>
      </c>
      <c r="J10" s="55">
        <v>0.45</v>
      </c>
      <c r="K10" s="55">
        <v>235.67</v>
      </c>
      <c r="L10" s="55">
        <v>32.32</v>
      </c>
      <c r="M10" s="55">
        <v>46.63</v>
      </c>
      <c r="N10" s="55">
        <v>29.1</v>
      </c>
      <c r="O10" s="55">
        <v>0</v>
      </c>
      <c r="P10" s="55">
        <v>0.7</v>
      </c>
      <c r="Q10" s="55">
        <v>9.66</v>
      </c>
      <c r="R10" s="43"/>
      <c r="S10" s="43"/>
      <c r="T10" s="43"/>
      <c r="U10" s="43"/>
    </row>
    <row r="11" spans="1:21" s="11" customFormat="1" x14ac:dyDescent="0.25">
      <c r="A11" s="54" t="s">
        <v>350</v>
      </c>
      <c r="B11" s="55">
        <v>4.95</v>
      </c>
      <c r="C11" s="55">
        <v>23.1</v>
      </c>
      <c r="D11" s="55">
        <v>36.61</v>
      </c>
      <c r="E11" s="55">
        <v>14.09</v>
      </c>
      <c r="F11" s="55">
        <v>13.34</v>
      </c>
      <c r="G11" s="55">
        <v>49.24</v>
      </c>
      <c r="H11" s="55">
        <v>13.7</v>
      </c>
      <c r="I11" s="55">
        <v>4.0599999999999996</v>
      </c>
      <c r="J11" s="55">
        <v>0.44</v>
      </c>
      <c r="K11" s="55">
        <v>246.68</v>
      </c>
      <c r="L11" s="55">
        <v>31.83</v>
      </c>
      <c r="M11" s="55">
        <v>49.23</v>
      </c>
      <c r="N11" s="55">
        <v>29.2</v>
      </c>
      <c r="O11" s="55">
        <v>0</v>
      </c>
      <c r="P11" s="55">
        <v>0.59</v>
      </c>
      <c r="Q11" s="55">
        <v>9.64</v>
      </c>
      <c r="R11" s="43"/>
      <c r="S11" s="43"/>
      <c r="T11" s="43"/>
      <c r="U11" s="43"/>
    </row>
    <row r="12" spans="1:21" s="11" customFormat="1" x14ac:dyDescent="0.25">
      <c r="A12" s="54" t="s">
        <v>351</v>
      </c>
      <c r="B12" s="55">
        <v>5.8</v>
      </c>
      <c r="C12" s="55">
        <v>24.08</v>
      </c>
      <c r="D12" s="55">
        <v>38.03</v>
      </c>
      <c r="E12" s="55">
        <v>13.53</v>
      </c>
      <c r="F12" s="55">
        <v>13.5</v>
      </c>
      <c r="G12" s="55">
        <v>46.91</v>
      </c>
      <c r="H12" s="55">
        <v>14.31</v>
      </c>
      <c r="I12" s="55">
        <v>4.09</v>
      </c>
      <c r="J12" s="55">
        <v>0.45</v>
      </c>
      <c r="K12" s="55">
        <v>241.13</v>
      </c>
      <c r="L12" s="55">
        <v>31.5</v>
      </c>
      <c r="M12" s="55">
        <v>49.66</v>
      </c>
      <c r="N12" s="55">
        <v>29.2</v>
      </c>
      <c r="O12" s="55">
        <v>0</v>
      </c>
      <c r="P12" s="55">
        <v>1.1200000000000001</v>
      </c>
      <c r="Q12" s="55">
        <v>9.6300000000000008</v>
      </c>
      <c r="R12" s="43"/>
      <c r="S12" s="43"/>
      <c r="T12" s="43"/>
      <c r="U12" s="43"/>
    </row>
    <row r="13" spans="1:21" s="11" customFormat="1" x14ac:dyDescent="0.25">
      <c r="A13" s="54" t="s">
        <v>352</v>
      </c>
      <c r="B13" s="55">
        <v>10.76</v>
      </c>
      <c r="C13" s="55">
        <v>34.520000000000003</v>
      </c>
      <c r="D13" s="55">
        <v>50.1</v>
      </c>
      <c r="E13" s="55">
        <v>13.71</v>
      </c>
      <c r="F13" s="55">
        <v>10.95</v>
      </c>
      <c r="G13" s="55">
        <v>47.72</v>
      </c>
      <c r="H13" s="55">
        <v>14.2</v>
      </c>
      <c r="I13" s="55">
        <v>4.18</v>
      </c>
      <c r="J13" s="55">
        <v>0.45</v>
      </c>
      <c r="K13" s="55">
        <v>245.39</v>
      </c>
      <c r="L13" s="55">
        <v>31.04</v>
      </c>
      <c r="M13" s="55">
        <v>52.5</v>
      </c>
      <c r="N13" s="55">
        <v>29.3</v>
      </c>
      <c r="O13" s="55">
        <v>0</v>
      </c>
      <c r="P13" s="55">
        <v>0.99</v>
      </c>
      <c r="Q13" s="55">
        <v>9.64</v>
      </c>
      <c r="R13" s="43"/>
      <c r="S13" s="43"/>
      <c r="T13" s="43"/>
      <c r="U13" s="43"/>
    </row>
    <row r="14" spans="1:21" s="11" customFormat="1" x14ac:dyDescent="0.25">
      <c r="A14" s="54" t="s">
        <v>353</v>
      </c>
      <c r="B14" s="55">
        <v>5.32</v>
      </c>
      <c r="C14" s="55">
        <v>26.73</v>
      </c>
      <c r="D14" s="55">
        <v>43.2</v>
      </c>
      <c r="E14" s="55">
        <v>11.93</v>
      </c>
      <c r="F14" s="55">
        <v>10.87</v>
      </c>
      <c r="G14" s="55">
        <v>48.28</v>
      </c>
      <c r="H14" s="55">
        <v>16.75</v>
      </c>
      <c r="I14" s="55">
        <v>4.13</v>
      </c>
      <c r="J14" s="55">
        <v>0.5</v>
      </c>
      <c r="K14" s="55">
        <v>220.49</v>
      </c>
      <c r="L14" s="55">
        <v>31</v>
      </c>
      <c r="M14" s="55">
        <v>54.29</v>
      </c>
      <c r="N14" s="55">
        <v>41.1</v>
      </c>
      <c r="O14" s="55">
        <v>0</v>
      </c>
      <c r="P14" s="55">
        <v>0.54</v>
      </c>
      <c r="Q14" s="55">
        <v>9.6300000000000008</v>
      </c>
      <c r="R14" s="43"/>
      <c r="S14" s="43"/>
      <c r="T14" s="43"/>
      <c r="U14" s="43"/>
    </row>
    <row r="15" spans="1:21" s="11" customFormat="1" x14ac:dyDescent="0.25">
      <c r="A15" s="54" t="s">
        <v>354</v>
      </c>
      <c r="B15" s="55">
        <v>22.8</v>
      </c>
      <c r="C15" s="55">
        <v>48.52</v>
      </c>
      <c r="D15" s="55">
        <v>57.88</v>
      </c>
      <c r="E15" s="55">
        <v>9.9700000000000006</v>
      </c>
      <c r="F15" s="55">
        <v>10.74</v>
      </c>
      <c r="G15" s="55">
        <v>43.78</v>
      </c>
      <c r="H15" s="55">
        <v>13.1</v>
      </c>
      <c r="I15" s="55">
        <v>4.1100000000000003</v>
      </c>
      <c r="J15" s="55">
        <v>0.41</v>
      </c>
      <c r="K15" s="55">
        <v>242.82</v>
      </c>
      <c r="L15" s="55">
        <v>32.020000000000003</v>
      </c>
      <c r="M15" s="55">
        <v>51.42</v>
      </c>
      <c r="N15" s="55">
        <v>123.3</v>
      </c>
      <c r="O15" s="55">
        <v>0</v>
      </c>
      <c r="P15" s="55">
        <v>0.78</v>
      </c>
      <c r="Q15" s="55">
        <v>9.64</v>
      </c>
      <c r="R15" s="43"/>
      <c r="S15" s="43"/>
      <c r="T15" s="43"/>
      <c r="U15" s="43"/>
    </row>
    <row r="16" spans="1:21" s="11" customFormat="1" x14ac:dyDescent="0.25">
      <c r="A16" s="54" t="s">
        <v>355</v>
      </c>
      <c r="B16" s="55">
        <v>22.44</v>
      </c>
      <c r="C16" s="55">
        <v>51.1</v>
      </c>
      <c r="D16" s="55">
        <v>63.35</v>
      </c>
      <c r="E16" s="55">
        <v>11.2</v>
      </c>
      <c r="F16" s="55">
        <v>12.06</v>
      </c>
      <c r="G16" s="55">
        <v>49.33</v>
      </c>
      <c r="H16" s="55">
        <v>14.63</v>
      </c>
      <c r="I16" s="55">
        <v>4.03</v>
      </c>
      <c r="J16" s="55">
        <v>0.54</v>
      </c>
      <c r="K16" s="55">
        <v>243.16</v>
      </c>
      <c r="L16" s="55">
        <v>34.24</v>
      </c>
      <c r="M16" s="55">
        <v>49.66</v>
      </c>
      <c r="N16" s="55">
        <v>432.3</v>
      </c>
      <c r="O16" s="55">
        <v>0</v>
      </c>
      <c r="P16" s="55">
        <v>0.92</v>
      </c>
      <c r="Q16" s="55">
        <v>9.65</v>
      </c>
      <c r="R16" s="43"/>
      <c r="S16" s="43"/>
      <c r="T16" s="43"/>
      <c r="U16" s="43"/>
    </row>
    <row r="17" spans="1:21" s="11" customFormat="1" x14ac:dyDescent="0.25">
      <c r="A17" s="54" t="s">
        <v>356</v>
      </c>
      <c r="B17" s="55">
        <v>12.13</v>
      </c>
      <c r="C17" s="55">
        <v>36.99</v>
      </c>
      <c r="D17" s="55">
        <v>52.19</v>
      </c>
      <c r="E17" s="55">
        <v>13.88</v>
      </c>
      <c r="F17" s="55">
        <v>18.75</v>
      </c>
      <c r="G17" s="55">
        <v>53.76</v>
      </c>
      <c r="H17" s="55">
        <v>18.29</v>
      </c>
      <c r="I17" s="55">
        <v>4.08</v>
      </c>
      <c r="J17" s="55">
        <v>0.61</v>
      </c>
      <c r="K17" s="55">
        <v>243.44</v>
      </c>
      <c r="L17" s="55">
        <v>37.479999999999997</v>
      </c>
      <c r="M17" s="55">
        <v>43.98</v>
      </c>
      <c r="N17" s="55">
        <v>560.20000000000005</v>
      </c>
      <c r="O17" s="55">
        <v>0</v>
      </c>
      <c r="P17" s="55">
        <v>0.83</v>
      </c>
      <c r="Q17" s="55">
        <v>9.65</v>
      </c>
      <c r="R17" s="43"/>
      <c r="S17" s="43"/>
      <c r="T17" s="43"/>
      <c r="U17" s="43"/>
    </row>
    <row r="18" spans="1:21" s="11" customFormat="1" x14ac:dyDescent="0.25">
      <c r="A18" s="54" t="s">
        <v>357</v>
      </c>
      <c r="B18" s="55">
        <v>8.69</v>
      </c>
      <c r="C18" s="55">
        <v>35.94</v>
      </c>
      <c r="D18" s="55">
        <v>55.46</v>
      </c>
      <c r="E18" s="55">
        <v>12.64</v>
      </c>
      <c r="F18" s="55">
        <v>24.37</v>
      </c>
      <c r="G18" s="55">
        <v>56.74</v>
      </c>
      <c r="H18" s="55">
        <v>20.34</v>
      </c>
      <c r="I18" s="55">
        <v>4.1500000000000004</v>
      </c>
      <c r="J18" s="55">
        <v>0.64</v>
      </c>
      <c r="K18" s="55">
        <v>244.97</v>
      </c>
      <c r="L18" s="55">
        <v>38.200000000000003</v>
      </c>
      <c r="M18" s="55">
        <v>37.22</v>
      </c>
      <c r="N18" s="55">
        <v>521.6</v>
      </c>
      <c r="O18" s="55">
        <v>0</v>
      </c>
      <c r="P18" s="55">
        <v>0.8</v>
      </c>
      <c r="Q18" s="55">
        <v>9.61</v>
      </c>
      <c r="R18" s="43"/>
      <c r="S18" s="43"/>
      <c r="T18" s="43"/>
      <c r="U18" s="43"/>
    </row>
    <row r="19" spans="1:21" s="11" customFormat="1" x14ac:dyDescent="0.25">
      <c r="A19" s="54" t="s">
        <v>358</v>
      </c>
      <c r="B19" s="55">
        <v>7.44</v>
      </c>
      <c r="C19" s="55">
        <v>30.14</v>
      </c>
      <c r="D19" s="55">
        <v>50.96</v>
      </c>
      <c r="E19" s="55">
        <v>10.09</v>
      </c>
      <c r="F19" s="55">
        <v>23.11</v>
      </c>
      <c r="G19" s="55">
        <v>51.31</v>
      </c>
      <c r="H19" s="55">
        <v>19</v>
      </c>
      <c r="I19" s="55">
        <v>4.17</v>
      </c>
      <c r="J19" s="55">
        <v>0.78</v>
      </c>
      <c r="K19" s="55">
        <v>252.52</v>
      </c>
      <c r="L19" s="55">
        <v>42.79</v>
      </c>
      <c r="M19" s="55">
        <v>31.16</v>
      </c>
      <c r="N19" s="55">
        <v>846.4</v>
      </c>
      <c r="O19" s="55">
        <v>0</v>
      </c>
      <c r="P19" s="55">
        <v>0.64</v>
      </c>
      <c r="Q19" s="55">
        <v>9.58</v>
      </c>
      <c r="R19" s="43"/>
      <c r="S19" s="43"/>
      <c r="T19" s="43"/>
      <c r="U19" s="43"/>
    </row>
    <row r="20" spans="1:21" s="11" customFormat="1" x14ac:dyDescent="0.25">
      <c r="A20" s="54" t="s">
        <v>359</v>
      </c>
      <c r="B20" s="55">
        <v>5.15</v>
      </c>
      <c r="C20" s="55">
        <v>26.89</v>
      </c>
      <c r="D20" s="55">
        <v>45.44</v>
      </c>
      <c r="E20" s="55">
        <v>6.1</v>
      </c>
      <c r="F20" s="55">
        <v>14.04</v>
      </c>
      <c r="G20" s="55">
        <v>37.32</v>
      </c>
      <c r="H20" s="55">
        <v>16.25</v>
      </c>
      <c r="I20" s="55">
        <v>4.07</v>
      </c>
      <c r="J20" s="55">
        <v>0.92</v>
      </c>
      <c r="K20" s="55">
        <v>246.44</v>
      </c>
      <c r="L20" s="55">
        <v>43.01</v>
      </c>
      <c r="M20" s="55">
        <v>27.02</v>
      </c>
      <c r="N20" s="55">
        <v>878.3</v>
      </c>
      <c r="O20" s="55">
        <v>0</v>
      </c>
      <c r="P20" s="55">
        <v>0.55000000000000004</v>
      </c>
      <c r="Q20" s="55">
        <v>9.5399999999999991</v>
      </c>
      <c r="R20" s="43"/>
      <c r="S20" s="43"/>
      <c r="T20" s="43"/>
      <c r="U20" s="43"/>
    </row>
    <row r="21" spans="1:21" s="11" customFormat="1" x14ac:dyDescent="0.25">
      <c r="A21" s="54" t="s">
        <v>360</v>
      </c>
      <c r="B21" s="55">
        <v>5.64</v>
      </c>
      <c r="C21" s="55">
        <v>24.44</v>
      </c>
      <c r="D21" s="55">
        <v>38.81</v>
      </c>
      <c r="E21" s="55">
        <v>6.36</v>
      </c>
      <c r="F21" s="55">
        <v>15.68</v>
      </c>
      <c r="G21" s="55">
        <v>49.52</v>
      </c>
      <c r="H21" s="55">
        <v>14.8</v>
      </c>
      <c r="I21" s="55">
        <v>3.99</v>
      </c>
      <c r="J21" s="55">
        <v>1.27</v>
      </c>
      <c r="K21" s="55">
        <v>244.6</v>
      </c>
      <c r="L21" s="55">
        <v>43.51</v>
      </c>
      <c r="M21" s="55">
        <v>26.68</v>
      </c>
      <c r="N21" s="55">
        <v>876.7</v>
      </c>
      <c r="O21" s="55">
        <v>0</v>
      </c>
      <c r="P21" s="55">
        <v>0.42</v>
      </c>
      <c r="Q21" s="55">
        <v>9.5299999999999994</v>
      </c>
      <c r="R21" s="43"/>
      <c r="S21" s="43"/>
      <c r="T21" s="43"/>
      <c r="U21" s="43"/>
    </row>
    <row r="22" spans="1:21" s="11" customFormat="1" x14ac:dyDescent="0.25">
      <c r="A22" s="54" t="s">
        <v>361</v>
      </c>
      <c r="B22" s="55">
        <v>4.25</v>
      </c>
      <c r="C22" s="55">
        <v>24.15</v>
      </c>
      <c r="D22" s="55">
        <v>39.770000000000003</v>
      </c>
      <c r="E22" s="55">
        <v>5.44</v>
      </c>
      <c r="F22" s="55">
        <v>9.59</v>
      </c>
      <c r="G22" s="55">
        <v>45.29</v>
      </c>
      <c r="H22" s="55">
        <v>15.4</v>
      </c>
      <c r="I22" s="55">
        <v>4.08</v>
      </c>
      <c r="J22" s="55">
        <v>0.96</v>
      </c>
      <c r="K22" s="55">
        <v>255.18</v>
      </c>
      <c r="L22" s="55">
        <v>43.38</v>
      </c>
      <c r="M22" s="55">
        <v>25.46</v>
      </c>
      <c r="N22" s="55">
        <v>651.5</v>
      </c>
      <c r="O22" s="55">
        <v>0</v>
      </c>
      <c r="P22" s="55">
        <v>0.46</v>
      </c>
      <c r="Q22" s="55">
        <v>9.6</v>
      </c>
      <c r="R22" s="43"/>
      <c r="S22" s="43"/>
      <c r="T22" s="43"/>
      <c r="U22" s="43"/>
    </row>
    <row r="23" spans="1:21" s="11" customFormat="1" x14ac:dyDescent="0.25">
      <c r="A23" s="54" t="s">
        <v>362</v>
      </c>
      <c r="B23" s="55">
        <v>7.31</v>
      </c>
      <c r="C23" s="55">
        <v>29</v>
      </c>
      <c r="D23" s="55">
        <v>44.3</v>
      </c>
      <c r="E23" s="55">
        <v>5.17</v>
      </c>
      <c r="F23" s="55">
        <v>15.66</v>
      </c>
      <c r="G23" s="55">
        <v>39.770000000000003</v>
      </c>
      <c r="H23" s="55">
        <v>13.44</v>
      </c>
      <c r="I23" s="55">
        <v>4.18</v>
      </c>
      <c r="J23" s="55">
        <v>1.26</v>
      </c>
      <c r="K23" s="55">
        <v>247.07</v>
      </c>
      <c r="L23" s="55">
        <v>43.03</v>
      </c>
      <c r="M23" s="55">
        <v>24.72</v>
      </c>
      <c r="N23" s="55">
        <v>449.9</v>
      </c>
      <c r="O23" s="55">
        <v>0</v>
      </c>
      <c r="P23" s="55">
        <v>0.47</v>
      </c>
      <c r="Q23" s="55">
        <v>9.58</v>
      </c>
      <c r="R23" s="43"/>
      <c r="S23" s="43"/>
      <c r="T23" s="43"/>
      <c r="U23" s="43"/>
    </row>
    <row r="24" spans="1:21" s="11" customFormat="1" x14ac:dyDescent="0.25">
      <c r="A24" s="54" t="s">
        <v>363</v>
      </c>
      <c r="B24" s="55">
        <v>5.74</v>
      </c>
      <c r="C24" s="55">
        <v>24.51</v>
      </c>
      <c r="D24" s="55">
        <v>39.18</v>
      </c>
      <c r="E24" s="55">
        <v>6.6</v>
      </c>
      <c r="F24" s="55">
        <v>21.07</v>
      </c>
      <c r="G24" s="55">
        <v>40.659999999999997</v>
      </c>
      <c r="H24" s="55">
        <v>13.12</v>
      </c>
      <c r="I24" s="55">
        <v>4.09</v>
      </c>
      <c r="J24" s="55">
        <v>0.78</v>
      </c>
      <c r="K24" s="55">
        <v>277.41000000000003</v>
      </c>
      <c r="L24" s="55">
        <v>40.08</v>
      </c>
      <c r="M24" s="55">
        <v>37.340000000000003</v>
      </c>
      <c r="N24" s="55">
        <v>364.1</v>
      </c>
      <c r="O24" s="55">
        <v>0</v>
      </c>
      <c r="P24" s="55">
        <v>0.44</v>
      </c>
      <c r="Q24" s="55">
        <v>9.52</v>
      </c>
      <c r="R24" s="43"/>
      <c r="S24" s="43"/>
      <c r="T24" s="43"/>
      <c r="U24" s="43"/>
    </row>
    <row r="25" spans="1:21" s="11" customFormat="1" x14ac:dyDescent="0.25">
      <c r="A25" s="54" t="s">
        <v>364</v>
      </c>
      <c r="B25" s="55">
        <v>16.3</v>
      </c>
      <c r="C25" s="55">
        <v>50.18</v>
      </c>
      <c r="D25" s="55">
        <v>71.03</v>
      </c>
      <c r="E25" s="55">
        <v>12.16</v>
      </c>
      <c r="F25" s="55">
        <v>22.77</v>
      </c>
      <c r="G25" s="55">
        <v>45.21</v>
      </c>
      <c r="H25" s="55">
        <v>13.21</v>
      </c>
      <c r="I25" s="55">
        <v>4.0599999999999996</v>
      </c>
      <c r="J25" s="55">
        <v>0.79</v>
      </c>
      <c r="K25" s="55">
        <v>336.69</v>
      </c>
      <c r="L25" s="55">
        <v>37.58</v>
      </c>
      <c r="M25" s="55">
        <v>39.56</v>
      </c>
      <c r="N25" s="55">
        <v>197.9</v>
      </c>
      <c r="O25" s="55">
        <v>0</v>
      </c>
      <c r="P25" s="55">
        <v>1.01</v>
      </c>
      <c r="Q25" s="55">
        <v>9.52</v>
      </c>
      <c r="R25" s="43"/>
      <c r="S25" s="43"/>
      <c r="T25" s="43"/>
      <c r="U25" s="43"/>
    </row>
    <row r="26" spans="1:21" s="11" customFormat="1" x14ac:dyDescent="0.25">
      <c r="A26" s="54" t="s">
        <v>365</v>
      </c>
      <c r="B26" s="55">
        <v>10.7</v>
      </c>
      <c r="C26" s="55">
        <v>39.25</v>
      </c>
      <c r="D26" s="55">
        <v>58.7</v>
      </c>
      <c r="E26" s="55">
        <v>9.81</v>
      </c>
      <c r="F26" s="55">
        <v>15</v>
      </c>
      <c r="G26" s="55">
        <v>47.41</v>
      </c>
      <c r="H26" s="55">
        <v>47.88</v>
      </c>
      <c r="I26" s="55">
        <v>4.0999999999999996</v>
      </c>
      <c r="J26" s="55">
        <v>2.77</v>
      </c>
      <c r="K26" s="55">
        <v>247.4</v>
      </c>
      <c r="L26" s="55">
        <v>37.65</v>
      </c>
      <c r="M26" s="55">
        <v>38.54</v>
      </c>
      <c r="N26" s="55">
        <v>89</v>
      </c>
      <c r="O26" s="55">
        <v>0</v>
      </c>
      <c r="P26" s="55">
        <v>0.8</v>
      </c>
      <c r="Q26" s="55">
        <v>9.5500000000000007</v>
      </c>
      <c r="R26" s="43"/>
      <c r="S26" s="43"/>
      <c r="T26" s="43"/>
      <c r="U26" s="43"/>
    </row>
    <row r="27" spans="1:21" s="11" customFormat="1" x14ac:dyDescent="0.25">
      <c r="A27" s="54" t="s">
        <v>366</v>
      </c>
      <c r="B27" s="55">
        <v>10.61</v>
      </c>
      <c r="C27" s="55">
        <v>38.74</v>
      </c>
      <c r="D27" s="55">
        <v>57.86</v>
      </c>
      <c r="E27" s="55">
        <v>8.44</v>
      </c>
      <c r="F27" s="55">
        <v>15.91</v>
      </c>
      <c r="G27" s="55">
        <v>31.76</v>
      </c>
      <c r="H27" s="55">
        <v>287.8</v>
      </c>
      <c r="I27" s="55">
        <v>4.03</v>
      </c>
      <c r="J27" s="55">
        <v>2.39</v>
      </c>
      <c r="K27" s="55">
        <v>250.42</v>
      </c>
      <c r="L27" s="55">
        <v>34.78</v>
      </c>
      <c r="M27" s="55">
        <v>39.729999999999997</v>
      </c>
      <c r="N27" s="55">
        <v>42.7</v>
      </c>
      <c r="O27" s="55">
        <v>0</v>
      </c>
      <c r="P27" s="55">
        <v>0.79</v>
      </c>
      <c r="Q27" s="55">
        <v>9.57</v>
      </c>
      <c r="R27" s="43"/>
      <c r="S27" s="43"/>
      <c r="T27" s="43"/>
      <c r="U27" s="43"/>
    </row>
    <row r="28" spans="1:21" s="11" customFormat="1" x14ac:dyDescent="0.25">
      <c r="A28" s="54" t="s">
        <v>367</v>
      </c>
      <c r="B28" s="55">
        <v>34.31</v>
      </c>
      <c r="C28" s="55">
        <v>78.040000000000006</v>
      </c>
      <c r="D28" s="55">
        <v>96.7</v>
      </c>
      <c r="E28" s="55">
        <v>29.7</v>
      </c>
      <c r="F28" s="55">
        <v>16.98</v>
      </c>
      <c r="G28" s="55">
        <v>86.93</v>
      </c>
      <c r="H28" s="55">
        <v>20.34</v>
      </c>
      <c r="I28" s="55">
        <v>4.01</v>
      </c>
      <c r="J28" s="55">
        <v>1.4</v>
      </c>
      <c r="K28" s="55">
        <v>251.17</v>
      </c>
      <c r="L28" s="55">
        <v>33.69</v>
      </c>
      <c r="M28" s="55">
        <v>43.2</v>
      </c>
      <c r="N28" s="55">
        <v>28.9</v>
      </c>
      <c r="O28" s="55">
        <v>0</v>
      </c>
      <c r="P28" s="55">
        <v>1.76</v>
      </c>
      <c r="Q28" s="55">
        <v>9.58</v>
      </c>
      <c r="R28" s="43"/>
      <c r="S28" s="43"/>
      <c r="T28" s="43"/>
      <c r="U28" s="43"/>
    </row>
    <row r="29" spans="1:21" s="11" customFormat="1" x14ac:dyDescent="0.25">
      <c r="A29" s="54" t="s">
        <v>368</v>
      </c>
      <c r="B29" s="55">
        <v>26.12</v>
      </c>
      <c r="C29" s="55">
        <v>72.56</v>
      </c>
      <c r="D29" s="55">
        <v>100.75</v>
      </c>
      <c r="E29" s="55">
        <v>29.32</v>
      </c>
      <c r="F29" s="55">
        <v>14.06</v>
      </c>
      <c r="G29" s="55">
        <v>85.62</v>
      </c>
      <c r="H29" s="55">
        <v>21.73</v>
      </c>
      <c r="I29" s="55">
        <v>4.0999999999999996</v>
      </c>
      <c r="J29" s="55">
        <v>0.46</v>
      </c>
      <c r="K29" s="55">
        <v>246.77</v>
      </c>
      <c r="L29" s="55">
        <v>32.64</v>
      </c>
      <c r="M29" s="55">
        <v>45.19</v>
      </c>
      <c r="N29" s="55">
        <v>29</v>
      </c>
      <c r="O29" s="55">
        <v>0</v>
      </c>
      <c r="P29" s="55">
        <v>1.95</v>
      </c>
      <c r="Q29" s="55">
        <v>9.57</v>
      </c>
      <c r="R29" s="43"/>
      <c r="S29" s="43"/>
      <c r="T29" s="43"/>
      <c r="U29" s="43"/>
    </row>
    <row r="30" spans="1:21" s="11" customFormat="1" x14ac:dyDescent="0.25">
      <c r="A30" s="54" t="s">
        <v>369</v>
      </c>
      <c r="B30" s="55">
        <v>18.739999999999998</v>
      </c>
      <c r="C30" s="55">
        <v>66.599999999999994</v>
      </c>
      <c r="D30" s="55">
        <v>98.71</v>
      </c>
      <c r="E30" s="55">
        <v>30.37</v>
      </c>
      <c r="F30" s="55">
        <v>14.4</v>
      </c>
      <c r="G30" s="55">
        <v>79.180000000000007</v>
      </c>
      <c r="H30" s="55">
        <v>23.48</v>
      </c>
      <c r="I30" s="55">
        <v>4.12</v>
      </c>
      <c r="J30" s="55">
        <v>0.87</v>
      </c>
      <c r="K30" s="55">
        <v>114.36</v>
      </c>
      <c r="L30" s="55">
        <v>33.06</v>
      </c>
      <c r="M30" s="55">
        <v>45.85</v>
      </c>
      <c r="N30" s="55">
        <v>28.7</v>
      </c>
      <c r="O30" s="55">
        <v>0</v>
      </c>
      <c r="P30" s="55">
        <v>1.35</v>
      </c>
      <c r="Q30" s="55">
        <v>9.67</v>
      </c>
      <c r="R30" s="43"/>
      <c r="S30" s="43"/>
      <c r="T30" s="43"/>
      <c r="U30" s="43"/>
    </row>
    <row r="31" spans="1:21" s="11" customFormat="1" x14ac:dyDescent="0.25">
      <c r="A31" s="54" t="s">
        <v>370</v>
      </c>
      <c r="B31" s="55">
        <v>18.440000000000001</v>
      </c>
      <c r="C31" s="55">
        <v>72.42</v>
      </c>
      <c r="D31" s="55">
        <v>110.31</v>
      </c>
      <c r="E31" s="55">
        <v>36.64</v>
      </c>
      <c r="F31" s="55">
        <v>12.75</v>
      </c>
      <c r="G31" s="55">
        <v>75.540000000000006</v>
      </c>
      <c r="H31" s="55">
        <v>24.81</v>
      </c>
      <c r="I31" s="55">
        <v>4.0599999999999996</v>
      </c>
      <c r="J31" s="55">
        <v>0.68</v>
      </c>
      <c r="K31" s="55">
        <v>243.84</v>
      </c>
      <c r="L31" s="55">
        <v>33.11</v>
      </c>
      <c r="M31" s="55">
        <v>49.67</v>
      </c>
      <c r="N31" s="55">
        <v>30</v>
      </c>
      <c r="O31" s="55">
        <v>0</v>
      </c>
      <c r="P31" s="55">
        <v>0.83</v>
      </c>
      <c r="Q31" s="55">
        <v>9.6300000000000008</v>
      </c>
      <c r="R31" s="43"/>
      <c r="S31" s="43"/>
      <c r="T31" s="43"/>
      <c r="U31" s="43"/>
    </row>
    <row r="32" spans="1:21" s="11" customFormat="1" x14ac:dyDescent="0.25">
      <c r="A32" s="54" t="s">
        <v>371</v>
      </c>
      <c r="B32" s="55">
        <v>18.54</v>
      </c>
      <c r="C32" s="55">
        <v>52.47</v>
      </c>
      <c r="D32" s="55">
        <v>73.33</v>
      </c>
      <c r="E32" s="55">
        <v>13.12</v>
      </c>
      <c r="F32" s="55">
        <v>12.26</v>
      </c>
      <c r="G32" s="55">
        <v>73.03</v>
      </c>
      <c r="H32" s="55">
        <v>23.32</v>
      </c>
      <c r="I32" s="55">
        <v>4.1399999999999997</v>
      </c>
      <c r="J32" s="55">
        <v>0.36</v>
      </c>
      <c r="K32" s="55">
        <v>239.33</v>
      </c>
      <c r="L32" s="55">
        <v>31.42</v>
      </c>
      <c r="M32" s="55">
        <v>49.55</v>
      </c>
      <c r="N32" s="55">
        <v>29</v>
      </c>
      <c r="O32" s="55">
        <v>0</v>
      </c>
      <c r="P32" s="55">
        <v>0.83</v>
      </c>
      <c r="Q32" s="55">
        <v>9.6300000000000008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4.25</v>
      </c>
      <c r="C34" s="28">
        <f t="shared" si="0"/>
        <v>23.1</v>
      </c>
      <c r="D34" s="28">
        <f t="shared" si="0"/>
        <v>36.61</v>
      </c>
      <c r="E34" s="28">
        <f t="shared" si="0"/>
        <v>5.17</v>
      </c>
      <c r="F34" s="28">
        <f t="shared" si="0"/>
        <v>9.59</v>
      </c>
      <c r="G34" s="28">
        <f t="shared" si="0"/>
        <v>31.76</v>
      </c>
      <c r="H34" s="28">
        <f t="shared" si="0"/>
        <v>13.1</v>
      </c>
      <c r="I34" s="28">
        <f t="shared" si="0"/>
        <v>3.99</v>
      </c>
      <c r="J34" s="28">
        <f t="shared" si="0"/>
        <v>0.36</v>
      </c>
      <c r="K34" s="28">
        <f t="shared" si="0"/>
        <v>114.36</v>
      </c>
      <c r="L34" s="28">
        <f t="shared" si="0"/>
        <v>31</v>
      </c>
      <c r="M34" s="28">
        <f t="shared" si="0"/>
        <v>24.72</v>
      </c>
      <c r="N34" s="28">
        <f t="shared" si="0"/>
        <v>28.7</v>
      </c>
      <c r="O34" s="28">
        <f t="shared" si="0"/>
        <v>0</v>
      </c>
      <c r="P34" s="28">
        <f t="shared" si="0"/>
        <v>0.42</v>
      </c>
      <c r="Q34" s="28">
        <f t="shared" si="0"/>
        <v>9.52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34.31</v>
      </c>
      <c r="C35" s="29">
        <f t="shared" si="1"/>
        <v>78.040000000000006</v>
      </c>
      <c r="D35" s="29">
        <f t="shared" si="1"/>
        <v>110.31</v>
      </c>
      <c r="E35" s="29">
        <f t="shared" si="1"/>
        <v>36.64</v>
      </c>
      <c r="F35" s="29">
        <f t="shared" si="1"/>
        <v>24.37</v>
      </c>
      <c r="G35" s="29">
        <f t="shared" si="1"/>
        <v>86.93</v>
      </c>
      <c r="H35" s="29">
        <f t="shared" si="1"/>
        <v>287.8</v>
      </c>
      <c r="I35" s="29">
        <f t="shared" si="1"/>
        <v>4.18</v>
      </c>
      <c r="J35" s="29">
        <f t="shared" si="1"/>
        <v>2.77</v>
      </c>
      <c r="K35" s="29">
        <f t="shared" si="1"/>
        <v>336.69</v>
      </c>
      <c r="L35" s="29">
        <f t="shared" si="1"/>
        <v>43.51</v>
      </c>
      <c r="M35" s="29">
        <f t="shared" si="1"/>
        <v>54.29</v>
      </c>
      <c r="N35" s="29">
        <f t="shared" si="1"/>
        <v>878.3</v>
      </c>
      <c r="O35" s="29">
        <f t="shared" si="1"/>
        <v>0</v>
      </c>
      <c r="P35" s="29">
        <f t="shared" si="1"/>
        <v>1.95</v>
      </c>
      <c r="Q35" s="29">
        <f t="shared" si="1"/>
        <v>9.67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12.489166666666668</v>
      </c>
      <c r="C36" s="28">
        <f t="shared" si="2"/>
        <v>40.664166666666659</v>
      </c>
      <c r="D36" s="28">
        <f t="shared" si="2"/>
        <v>59.21791666666666</v>
      </c>
      <c r="E36" s="28">
        <f t="shared" si="2"/>
        <v>14.362916666666665</v>
      </c>
      <c r="F36" s="28">
        <f t="shared" si="2"/>
        <v>15.232916666666668</v>
      </c>
      <c r="G36" s="28">
        <f t="shared" si="2"/>
        <v>53.39083333333334</v>
      </c>
      <c r="H36" s="28">
        <f t="shared" si="2"/>
        <v>29.604166666666668</v>
      </c>
      <c r="I36" s="28">
        <f t="shared" si="2"/>
        <v>4.0987499999999999</v>
      </c>
      <c r="J36" s="28">
        <f t="shared" si="2"/>
        <v>0.86333333333333329</v>
      </c>
      <c r="K36" s="28">
        <f t="shared" si="2"/>
        <v>244.18333333333331</v>
      </c>
      <c r="L36" s="28">
        <f t="shared" si="2"/>
        <v>35.911250000000003</v>
      </c>
      <c r="M36" s="28">
        <f t="shared" si="2"/>
        <v>41.84458333333334</v>
      </c>
      <c r="N36" s="28">
        <f t="shared" si="2"/>
        <v>265.25833333333327</v>
      </c>
      <c r="O36" s="28">
        <f t="shared" si="2"/>
        <v>0</v>
      </c>
      <c r="P36" s="28">
        <f t="shared" si="2"/>
        <v>0.85000000000000009</v>
      </c>
      <c r="Q36" s="28">
        <f t="shared" si="2"/>
        <v>9.6025000000000009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7.9929169277862968</v>
      </c>
      <c r="C37" s="28">
        <f t="shared" ref="C37:Q37" si="3">STDEV(C9:C32)</f>
        <v>17.123034045622191</v>
      </c>
      <c r="D37" s="28">
        <f t="shared" si="3"/>
        <v>21.822879493413762</v>
      </c>
      <c r="E37" s="28">
        <f t="shared" si="3"/>
        <v>8.6161771403849876</v>
      </c>
      <c r="F37" s="28">
        <f t="shared" si="3"/>
        <v>4.0708395450384964</v>
      </c>
      <c r="G37" s="28">
        <f t="shared" si="3"/>
        <v>15.119456200442542</v>
      </c>
      <c r="H37" s="28">
        <f t="shared" si="3"/>
        <v>55.470274837787763</v>
      </c>
      <c r="I37" s="28">
        <f t="shared" si="3"/>
        <v>5.5113519212621448E-2</v>
      </c>
      <c r="J37" s="28">
        <f t="shared" si="3"/>
        <v>0.60471816408225643</v>
      </c>
      <c r="K37" s="28">
        <f t="shared" si="3"/>
        <v>34.580414495298591</v>
      </c>
      <c r="L37" s="28">
        <f t="shared" si="3"/>
        <v>4.5311648492748304</v>
      </c>
      <c r="M37" s="28">
        <f t="shared" si="3"/>
        <v>9.1347468393404316</v>
      </c>
      <c r="N37" s="28">
        <f t="shared" si="3"/>
        <v>307.45843256222986</v>
      </c>
      <c r="O37" s="28">
        <f t="shared" si="3"/>
        <v>0</v>
      </c>
      <c r="P37" s="28">
        <f t="shared" si="3"/>
        <v>0.38425534988213678</v>
      </c>
      <c r="Q37" s="28">
        <f t="shared" si="3"/>
        <v>4.6741658172295086E-2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3" sqref="G53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14/05/2025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4" t="s">
        <v>372</v>
      </c>
      <c r="B9" s="55">
        <v>5.94</v>
      </c>
      <c r="C9" s="55">
        <v>31.89</v>
      </c>
      <c r="D9" s="55">
        <v>52.75</v>
      </c>
      <c r="E9" s="55">
        <v>10.97</v>
      </c>
      <c r="F9" s="55">
        <v>14.16</v>
      </c>
      <c r="G9" s="55">
        <v>64.94</v>
      </c>
      <c r="H9" s="55">
        <v>20.239999999999998</v>
      </c>
      <c r="I9" s="55">
        <v>4.08</v>
      </c>
      <c r="J9" s="55">
        <v>0.23</v>
      </c>
      <c r="K9" s="55">
        <v>227.32</v>
      </c>
      <c r="L9" s="55">
        <v>31.19</v>
      </c>
      <c r="M9" s="55">
        <v>50.73</v>
      </c>
      <c r="N9" s="55">
        <v>29.1</v>
      </c>
      <c r="O9" s="55">
        <v>0</v>
      </c>
      <c r="P9" s="55">
        <v>0.55000000000000004</v>
      </c>
      <c r="Q9" s="55">
        <v>9.73</v>
      </c>
      <c r="R9" s="43"/>
      <c r="S9" s="43"/>
      <c r="T9" s="43"/>
      <c r="U9" s="43"/>
    </row>
    <row r="10" spans="1:21" s="11" customFormat="1" x14ac:dyDescent="0.25">
      <c r="A10" s="54" t="s">
        <v>373</v>
      </c>
      <c r="B10" s="55">
        <v>12.62</v>
      </c>
      <c r="C10" s="55">
        <v>41.2</v>
      </c>
      <c r="D10" s="55">
        <v>59.48</v>
      </c>
      <c r="E10" s="55">
        <v>9.41</v>
      </c>
      <c r="F10" s="55">
        <v>11.1</v>
      </c>
      <c r="G10" s="55">
        <v>58.04</v>
      </c>
      <c r="H10" s="55">
        <v>17.68</v>
      </c>
      <c r="I10" s="55">
        <v>4.22</v>
      </c>
      <c r="J10" s="55">
        <v>0.33</v>
      </c>
      <c r="K10" s="55">
        <v>244.85</v>
      </c>
      <c r="L10" s="55">
        <v>30.75</v>
      </c>
      <c r="M10" s="55">
        <v>56.34</v>
      </c>
      <c r="N10" s="55">
        <v>29.1</v>
      </c>
      <c r="O10" s="55">
        <v>0</v>
      </c>
      <c r="P10" s="55">
        <v>0.53</v>
      </c>
      <c r="Q10" s="55">
        <v>9.7100000000000009</v>
      </c>
      <c r="R10" s="43"/>
      <c r="S10" s="43"/>
      <c r="T10" s="43"/>
      <c r="U10" s="43"/>
    </row>
    <row r="11" spans="1:21" s="11" customFormat="1" x14ac:dyDescent="0.25">
      <c r="A11" s="54" t="s">
        <v>374</v>
      </c>
      <c r="B11" s="55">
        <v>5.43</v>
      </c>
      <c r="C11" s="55">
        <v>32.06</v>
      </c>
      <c r="D11" s="55">
        <v>53.27</v>
      </c>
      <c r="E11" s="55">
        <v>8.5299999999999994</v>
      </c>
      <c r="F11" s="55">
        <v>13.36</v>
      </c>
      <c r="G11" s="55">
        <v>51.35</v>
      </c>
      <c r="H11" s="55">
        <v>18.47</v>
      </c>
      <c r="I11" s="55">
        <v>4.18</v>
      </c>
      <c r="J11" s="55">
        <v>0.5</v>
      </c>
      <c r="K11" s="55">
        <v>213.95</v>
      </c>
      <c r="L11" s="55">
        <v>30.55</v>
      </c>
      <c r="M11" s="55">
        <v>55.36</v>
      </c>
      <c r="N11" s="55">
        <v>29</v>
      </c>
      <c r="O11" s="55">
        <v>0</v>
      </c>
      <c r="P11" s="55">
        <v>0.41</v>
      </c>
      <c r="Q11" s="55">
        <v>9.7100000000000009</v>
      </c>
      <c r="R11" s="43"/>
      <c r="S11" s="43"/>
      <c r="T11" s="43"/>
      <c r="U11" s="43"/>
    </row>
    <row r="12" spans="1:21" s="11" customFormat="1" x14ac:dyDescent="0.25">
      <c r="A12" s="54" t="s">
        <v>375</v>
      </c>
      <c r="B12" s="55">
        <v>5.25</v>
      </c>
      <c r="C12" s="55">
        <v>21.61</v>
      </c>
      <c r="D12" s="55">
        <v>33.619999999999997</v>
      </c>
      <c r="E12" s="55">
        <v>8.1300000000000008</v>
      </c>
      <c r="F12" s="55">
        <v>12.58</v>
      </c>
      <c r="G12" s="55">
        <v>44.03</v>
      </c>
      <c r="H12" s="55">
        <v>15.09</v>
      </c>
      <c r="I12" s="55">
        <v>4.07</v>
      </c>
      <c r="J12" s="55">
        <v>0.43</v>
      </c>
      <c r="K12" s="55">
        <v>228.03</v>
      </c>
      <c r="L12" s="55">
        <v>29.8</v>
      </c>
      <c r="M12" s="55">
        <v>52.81</v>
      </c>
      <c r="N12" s="55">
        <v>28.9</v>
      </c>
      <c r="O12" s="55">
        <v>0</v>
      </c>
      <c r="P12" s="55">
        <v>0.4</v>
      </c>
      <c r="Q12" s="55">
        <v>9.66</v>
      </c>
      <c r="R12" s="43"/>
      <c r="S12" s="43"/>
      <c r="T12" s="43"/>
      <c r="U12" s="43"/>
    </row>
    <row r="13" spans="1:21" s="11" customFormat="1" x14ac:dyDescent="0.25">
      <c r="A13" s="54" t="s">
        <v>376</v>
      </c>
      <c r="B13" s="55">
        <v>5.96</v>
      </c>
      <c r="C13" s="55">
        <v>27.05</v>
      </c>
      <c r="D13" s="55">
        <v>43.87</v>
      </c>
      <c r="E13" s="55">
        <v>7.14</v>
      </c>
      <c r="F13" s="55">
        <v>12.02</v>
      </c>
      <c r="G13" s="55">
        <v>39.08</v>
      </c>
      <c r="H13" s="55">
        <v>9.93</v>
      </c>
      <c r="I13" s="55">
        <v>4.1100000000000003</v>
      </c>
      <c r="J13" s="55">
        <v>0.45</v>
      </c>
      <c r="K13" s="55">
        <v>236.97</v>
      </c>
      <c r="L13" s="55">
        <v>29.61</v>
      </c>
      <c r="M13" s="55">
        <v>54.87</v>
      </c>
      <c r="N13" s="55">
        <v>29.2</v>
      </c>
      <c r="O13" s="55">
        <v>0</v>
      </c>
      <c r="P13" s="55">
        <v>0.44</v>
      </c>
      <c r="Q13" s="55">
        <v>9.6300000000000008</v>
      </c>
      <c r="R13" s="43"/>
      <c r="S13" s="43"/>
      <c r="T13" s="43"/>
      <c r="U13" s="43"/>
    </row>
    <row r="14" spans="1:21" s="11" customFormat="1" x14ac:dyDescent="0.25">
      <c r="A14" s="54" t="s">
        <v>377</v>
      </c>
      <c r="B14" s="55">
        <v>7.24</v>
      </c>
      <c r="C14" s="55">
        <v>25.81</v>
      </c>
      <c r="D14" s="55">
        <v>40.71</v>
      </c>
      <c r="E14" s="55">
        <v>6.33</v>
      </c>
      <c r="F14" s="55">
        <v>9.92</v>
      </c>
      <c r="G14" s="55">
        <v>38.53</v>
      </c>
      <c r="H14" s="55">
        <v>6.74</v>
      </c>
      <c r="I14" s="55">
        <v>4.17</v>
      </c>
      <c r="J14" s="55">
        <v>0.56000000000000005</v>
      </c>
      <c r="K14" s="55">
        <v>203.15</v>
      </c>
      <c r="L14" s="55">
        <v>28.96</v>
      </c>
      <c r="M14" s="55">
        <v>56.52</v>
      </c>
      <c r="N14" s="55">
        <v>51.4</v>
      </c>
      <c r="O14" s="55">
        <v>0</v>
      </c>
      <c r="P14" s="55">
        <v>0.48</v>
      </c>
      <c r="Q14" s="55">
        <v>9.6199999999999992</v>
      </c>
      <c r="R14" s="43"/>
      <c r="S14" s="43"/>
      <c r="T14" s="43"/>
      <c r="U14" s="43"/>
    </row>
    <row r="15" spans="1:21" s="11" customFormat="1" x14ac:dyDescent="0.25">
      <c r="A15" s="54" t="s">
        <v>378</v>
      </c>
      <c r="B15" s="55">
        <v>6.85</v>
      </c>
      <c r="C15" s="55">
        <v>27.65</v>
      </c>
      <c r="D15" s="55">
        <v>42.4</v>
      </c>
      <c r="E15" s="55">
        <v>6.71</v>
      </c>
      <c r="F15" s="55">
        <v>10.35</v>
      </c>
      <c r="G15" s="55">
        <v>37.43</v>
      </c>
      <c r="H15" s="55">
        <v>20.41</v>
      </c>
      <c r="I15" s="55">
        <v>4.0199999999999996</v>
      </c>
      <c r="J15" s="55">
        <v>0.52</v>
      </c>
      <c r="K15" s="55">
        <v>215.88</v>
      </c>
      <c r="L15" s="55">
        <v>30.65</v>
      </c>
      <c r="M15" s="55">
        <v>57.31</v>
      </c>
      <c r="N15" s="55">
        <v>202.5</v>
      </c>
      <c r="O15" s="55">
        <v>0</v>
      </c>
      <c r="P15" s="55">
        <v>0.45</v>
      </c>
      <c r="Q15" s="55">
        <v>9.6</v>
      </c>
      <c r="R15" s="43"/>
      <c r="S15" s="43"/>
      <c r="T15" s="43"/>
      <c r="U15" s="43"/>
    </row>
    <row r="16" spans="1:21" s="11" customFormat="1" x14ac:dyDescent="0.25">
      <c r="A16" s="54" t="s">
        <v>379</v>
      </c>
      <c r="B16" s="55">
        <v>9.56</v>
      </c>
      <c r="C16" s="55">
        <v>25.99</v>
      </c>
      <c r="D16" s="55">
        <v>35.409999999999997</v>
      </c>
      <c r="E16" s="55">
        <v>6.78</v>
      </c>
      <c r="F16" s="55">
        <v>9.92</v>
      </c>
      <c r="G16" s="55">
        <v>37.299999999999997</v>
      </c>
      <c r="H16" s="55">
        <v>16.04</v>
      </c>
      <c r="I16" s="55">
        <v>4.09</v>
      </c>
      <c r="J16" s="55">
        <v>0.64</v>
      </c>
      <c r="K16" s="55">
        <v>240.51</v>
      </c>
      <c r="L16" s="55">
        <v>33.799999999999997</v>
      </c>
      <c r="M16" s="55">
        <v>53.84</v>
      </c>
      <c r="N16" s="55">
        <v>434.6</v>
      </c>
      <c r="O16" s="55">
        <v>0</v>
      </c>
      <c r="P16" s="55">
        <v>0.75</v>
      </c>
      <c r="Q16" s="55">
        <v>9.5299999999999994</v>
      </c>
      <c r="R16" s="43"/>
      <c r="S16" s="43"/>
      <c r="T16" s="43"/>
      <c r="U16" s="43"/>
    </row>
    <row r="17" spans="1:21" s="11" customFormat="1" x14ac:dyDescent="0.25">
      <c r="A17" s="54" t="s">
        <v>380</v>
      </c>
      <c r="B17" s="55">
        <v>8.58</v>
      </c>
      <c r="C17" s="55">
        <v>27.27</v>
      </c>
      <c r="D17" s="55">
        <v>39.01</v>
      </c>
      <c r="E17" s="55">
        <v>9.25</v>
      </c>
      <c r="F17" s="55">
        <v>11.92</v>
      </c>
      <c r="G17" s="55">
        <v>42.12</v>
      </c>
      <c r="H17" s="55">
        <v>9.59</v>
      </c>
      <c r="I17" s="55">
        <v>4</v>
      </c>
      <c r="J17" s="55">
        <v>1</v>
      </c>
      <c r="K17" s="55">
        <v>243.28</v>
      </c>
      <c r="L17" s="55">
        <v>38.5</v>
      </c>
      <c r="M17" s="55">
        <v>45.49</v>
      </c>
      <c r="N17" s="55">
        <v>539.70000000000005</v>
      </c>
      <c r="O17" s="55">
        <v>0</v>
      </c>
      <c r="P17" s="55">
        <v>0.77</v>
      </c>
      <c r="Q17" s="55">
        <v>9.5399999999999991</v>
      </c>
      <c r="R17" s="43"/>
      <c r="S17" s="43"/>
      <c r="T17" s="43"/>
      <c r="U17" s="43"/>
    </row>
    <row r="18" spans="1:21" s="11" customFormat="1" x14ac:dyDescent="0.25">
      <c r="A18" s="54" t="s">
        <v>381</v>
      </c>
      <c r="B18" s="55">
        <v>9.42</v>
      </c>
      <c r="C18" s="55">
        <v>30.78</v>
      </c>
      <c r="D18" s="55">
        <v>44.45</v>
      </c>
      <c r="E18" s="55">
        <v>8.26</v>
      </c>
      <c r="F18" s="55">
        <v>17.239999999999998</v>
      </c>
      <c r="G18" s="55">
        <v>44.96</v>
      </c>
      <c r="H18" s="55">
        <v>5.93</v>
      </c>
      <c r="I18" s="55">
        <v>4.01</v>
      </c>
      <c r="J18" s="55">
        <v>0.86</v>
      </c>
      <c r="K18" s="55">
        <v>248.5</v>
      </c>
      <c r="L18" s="55">
        <v>40.909999999999997</v>
      </c>
      <c r="M18" s="55">
        <v>36.880000000000003</v>
      </c>
      <c r="N18" s="55">
        <v>643.5</v>
      </c>
      <c r="O18" s="55">
        <v>0</v>
      </c>
      <c r="P18" s="55">
        <v>0.74</v>
      </c>
      <c r="Q18" s="55">
        <v>9.5</v>
      </c>
      <c r="R18" s="43"/>
      <c r="S18" s="43"/>
      <c r="T18" s="43"/>
      <c r="U18" s="43"/>
    </row>
    <row r="19" spans="1:21" s="11" customFormat="1" x14ac:dyDescent="0.25">
      <c r="A19" s="54" t="s">
        <v>382</v>
      </c>
      <c r="B19" s="55">
        <v>4.87</v>
      </c>
      <c r="C19" s="55">
        <v>21.7</v>
      </c>
      <c r="D19" s="55">
        <v>34.39</v>
      </c>
      <c r="E19" s="55">
        <v>8.85</v>
      </c>
      <c r="F19" s="55">
        <v>22.69</v>
      </c>
      <c r="G19" s="55">
        <v>43.7</v>
      </c>
      <c r="H19" s="55">
        <v>3.78</v>
      </c>
      <c r="I19" s="55">
        <v>4.04</v>
      </c>
      <c r="J19" s="55">
        <v>0.66</v>
      </c>
      <c r="K19" s="55">
        <v>221.23</v>
      </c>
      <c r="L19" s="55">
        <v>38.6</v>
      </c>
      <c r="M19" s="55">
        <v>33.299999999999997</v>
      </c>
      <c r="N19" s="55">
        <v>769.1</v>
      </c>
      <c r="O19" s="55">
        <v>0</v>
      </c>
      <c r="P19" s="55">
        <v>0.57999999999999996</v>
      </c>
      <c r="Q19" s="55">
        <v>9.5</v>
      </c>
      <c r="R19" s="43"/>
      <c r="S19" s="43"/>
      <c r="T19" s="43"/>
      <c r="U19" s="43"/>
    </row>
    <row r="20" spans="1:21" s="11" customFormat="1" x14ac:dyDescent="0.25">
      <c r="A20" s="54" t="s">
        <v>383</v>
      </c>
      <c r="B20" s="55">
        <v>4.8099999999999996</v>
      </c>
      <c r="C20" s="55">
        <v>22.05</v>
      </c>
      <c r="D20" s="55">
        <v>34.81</v>
      </c>
      <c r="E20" s="55">
        <v>7.71</v>
      </c>
      <c r="F20" s="55">
        <v>22.82</v>
      </c>
      <c r="G20" s="55">
        <v>42.04</v>
      </c>
      <c r="H20" s="56" t="s">
        <v>14</v>
      </c>
      <c r="I20" s="55">
        <v>4.0199999999999996</v>
      </c>
      <c r="J20" s="55">
        <v>0.77</v>
      </c>
      <c r="K20" s="55">
        <v>220.37</v>
      </c>
      <c r="L20" s="55">
        <v>39.22</v>
      </c>
      <c r="M20" s="55">
        <v>29.45</v>
      </c>
      <c r="N20" s="55">
        <v>815.1</v>
      </c>
      <c r="O20" s="55">
        <v>0</v>
      </c>
      <c r="P20" s="55">
        <v>0.59</v>
      </c>
      <c r="Q20" s="55">
        <v>9.43</v>
      </c>
      <c r="R20" s="43"/>
      <c r="S20" s="43"/>
      <c r="T20" s="43"/>
      <c r="U20" s="43"/>
    </row>
    <row r="21" spans="1:21" s="11" customFormat="1" x14ac:dyDescent="0.25">
      <c r="A21" s="54" t="s">
        <v>384</v>
      </c>
      <c r="B21" s="55">
        <v>5.73</v>
      </c>
      <c r="C21" s="55">
        <v>22.39</v>
      </c>
      <c r="D21" s="55">
        <v>34.06</v>
      </c>
      <c r="E21" s="55">
        <v>7.63</v>
      </c>
      <c r="F21" s="55">
        <v>15.67</v>
      </c>
      <c r="G21" s="55">
        <v>40.270000000000003</v>
      </c>
      <c r="H21" s="56" t="s">
        <v>14</v>
      </c>
      <c r="I21" s="55">
        <v>4.0599999999999996</v>
      </c>
      <c r="J21" s="55">
        <v>0.89</v>
      </c>
      <c r="K21" s="55">
        <v>246.83</v>
      </c>
      <c r="L21" s="55">
        <v>42.43</v>
      </c>
      <c r="M21" s="55">
        <v>28.51</v>
      </c>
      <c r="N21" s="55">
        <v>755</v>
      </c>
      <c r="O21" s="55">
        <v>0</v>
      </c>
      <c r="P21" s="55">
        <v>0.59</v>
      </c>
      <c r="Q21" s="55">
        <v>9.4600000000000009</v>
      </c>
      <c r="R21" s="43"/>
      <c r="S21" s="43"/>
      <c r="T21" s="43"/>
      <c r="U21" s="43"/>
    </row>
    <row r="22" spans="1:21" s="11" customFormat="1" x14ac:dyDescent="0.25">
      <c r="A22" s="54" t="s">
        <v>385</v>
      </c>
      <c r="B22" s="55">
        <v>5.04</v>
      </c>
      <c r="C22" s="55">
        <v>19.989999999999998</v>
      </c>
      <c r="D22" s="55">
        <v>31.21</v>
      </c>
      <c r="E22" s="55">
        <v>7.03</v>
      </c>
      <c r="F22" s="55">
        <v>16.350000000000001</v>
      </c>
      <c r="G22" s="55">
        <v>42.76</v>
      </c>
      <c r="H22" s="55">
        <v>4.5199999999999996</v>
      </c>
      <c r="I22" s="55">
        <v>4.04</v>
      </c>
      <c r="J22" s="55">
        <v>1.39</v>
      </c>
      <c r="K22" s="55">
        <v>246.55</v>
      </c>
      <c r="L22" s="55">
        <v>42.76</v>
      </c>
      <c r="M22" s="55">
        <v>24.85</v>
      </c>
      <c r="N22" s="55">
        <v>626.1</v>
      </c>
      <c r="O22" s="55">
        <v>0</v>
      </c>
      <c r="P22" s="55">
        <v>0.54</v>
      </c>
      <c r="Q22" s="55">
        <v>9.4499999999999993</v>
      </c>
      <c r="R22" s="43"/>
      <c r="S22" s="43"/>
      <c r="T22" s="43"/>
      <c r="U22" s="43"/>
    </row>
    <row r="23" spans="1:21" s="11" customFormat="1" x14ac:dyDescent="0.25">
      <c r="A23" s="54" t="s">
        <v>386</v>
      </c>
      <c r="B23" s="55">
        <v>5.24</v>
      </c>
      <c r="C23" s="55">
        <v>24.45</v>
      </c>
      <c r="D23" s="55">
        <v>38.76</v>
      </c>
      <c r="E23" s="55">
        <v>10.01</v>
      </c>
      <c r="F23" s="55">
        <v>28.47</v>
      </c>
      <c r="G23" s="55">
        <v>42.35</v>
      </c>
      <c r="H23" s="55">
        <v>39.42</v>
      </c>
      <c r="I23" s="55">
        <v>4.07</v>
      </c>
      <c r="J23" s="55">
        <v>0.91</v>
      </c>
      <c r="K23" s="55">
        <v>243.92</v>
      </c>
      <c r="L23" s="55">
        <v>40.99</v>
      </c>
      <c r="M23" s="55">
        <v>33.299999999999997</v>
      </c>
      <c r="N23" s="55">
        <v>247.1</v>
      </c>
      <c r="O23" s="55">
        <v>0</v>
      </c>
      <c r="P23" s="55">
        <v>0.56000000000000005</v>
      </c>
      <c r="Q23" s="55">
        <v>9.41</v>
      </c>
      <c r="R23" s="43"/>
      <c r="S23" s="43"/>
      <c r="T23" s="43"/>
      <c r="U23" s="43"/>
    </row>
    <row r="24" spans="1:21" s="11" customFormat="1" x14ac:dyDescent="0.25">
      <c r="A24" s="54" t="s">
        <v>387</v>
      </c>
      <c r="B24" s="55">
        <v>5.95</v>
      </c>
      <c r="C24" s="55">
        <v>25.08</v>
      </c>
      <c r="D24" s="55">
        <v>38.86</v>
      </c>
      <c r="E24" s="55">
        <v>11.19</v>
      </c>
      <c r="F24" s="55">
        <v>27.79</v>
      </c>
      <c r="G24" s="55">
        <v>42.46</v>
      </c>
      <c r="H24" s="55">
        <v>28.16</v>
      </c>
      <c r="I24" s="55">
        <v>4.08</v>
      </c>
      <c r="J24" s="55">
        <v>0.76</v>
      </c>
      <c r="K24" s="55">
        <v>244.25</v>
      </c>
      <c r="L24" s="55">
        <v>39.049999999999997</v>
      </c>
      <c r="M24" s="55">
        <v>32.9</v>
      </c>
      <c r="N24" s="55">
        <v>295.2</v>
      </c>
      <c r="O24" s="55">
        <v>0</v>
      </c>
      <c r="P24" s="55">
        <v>0.51</v>
      </c>
      <c r="Q24" s="55">
        <v>9.3699999999999992</v>
      </c>
      <c r="R24" s="43"/>
      <c r="S24" s="43"/>
      <c r="T24" s="43"/>
      <c r="U24" s="43"/>
    </row>
    <row r="25" spans="1:21" s="11" customFormat="1" x14ac:dyDescent="0.25">
      <c r="A25" s="54" t="s">
        <v>388</v>
      </c>
      <c r="B25" s="55">
        <v>8.8000000000000007</v>
      </c>
      <c r="C25" s="55">
        <v>29.43</v>
      </c>
      <c r="D25" s="55">
        <v>42.95</v>
      </c>
      <c r="E25" s="55">
        <v>8.0399999999999991</v>
      </c>
      <c r="F25" s="55">
        <v>17.93</v>
      </c>
      <c r="G25" s="55">
        <v>41.39</v>
      </c>
      <c r="H25" s="55">
        <v>33.31</v>
      </c>
      <c r="I25" s="55">
        <v>4.0599999999999996</v>
      </c>
      <c r="J25" s="55">
        <v>0.85</v>
      </c>
      <c r="K25" s="55">
        <v>244.35</v>
      </c>
      <c r="L25" s="55">
        <v>39.47</v>
      </c>
      <c r="M25" s="55">
        <v>30.5</v>
      </c>
      <c r="N25" s="55">
        <v>271.8</v>
      </c>
      <c r="O25" s="55">
        <v>0</v>
      </c>
      <c r="P25" s="55">
        <v>0.56999999999999995</v>
      </c>
      <c r="Q25" s="55">
        <v>9.4499999999999993</v>
      </c>
      <c r="R25" s="43"/>
      <c r="S25" s="43"/>
      <c r="T25" s="43"/>
      <c r="U25" s="43"/>
    </row>
    <row r="26" spans="1:21" s="11" customFormat="1" x14ac:dyDescent="0.25">
      <c r="A26" s="54" t="s">
        <v>389</v>
      </c>
      <c r="B26" s="55">
        <v>8.51</v>
      </c>
      <c r="C26" s="55">
        <v>41.19</v>
      </c>
      <c r="D26" s="55">
        <v>65.78</v>
      </c>
      <c r="E26" s="55">
        <v>10.83</v>
      </c>
      <c r="F26" s="55">
        <v>23.48</v>
      </c>
      <c r="G26" s="55">
        <v>41.7</v>
      </c>
      <c r="H26" s="55">
        <v>23.72</v>
      </c>
      <c r="I26" s="55">
        <v>4.05</v>
      </c>
      <c r="J26" s="55">
        <v>0.72</v>
      </c>
      <c r="K26" s="55">
        <v>242.79</v>
      </c>
      <c r="L26" s="55">
        <v>38.32</v>
      </c>
      <c r="M26" s="55">
        <v>31.27</v>
      </c>
      <c r="N26" s="55">
        <v>93.5</v>
      </c>
      <c r="O26" s="55">
        <v>0</v>
      </c>
      <c r="P26" s="55">
        <v>0.89</v>
      </c>
      <c r="Q26" s="55">
        <v>9.4700000000000006</v>
      </c>
      <c r="R26" s="43"/>
      <c r="S26" s="43"/>
      <c r="T26" s="43"/>
      <c r="U26" s="43"/>
    </row>
    <row r="27" spans="1:21" s="11" customFormat="1" x14ac:dyDescent="0.25">
      <c r="A27" s="54" t="s">
        <v>390</v>
      </c>
      <c r="B27" s="55">
        <v>51.88</v>
      </c>
      <c r="C27" s="55">
        <v>111.6</v>
      </c>
      <c r="D27" s="55">
        <v>133.97999999999999</v>
      </c>
      <c r="E27" s="55">
        <v>10.57</v>
      </c>
      <c r="F27" s="55">
        <v>20.32</v>
      </c>
      <c r="G27" s="55">
        <v>43.43</v>
      </c>
      <c r="H27" s="55">
        <v>16.66</v>
      </c>
      <c r="I27" s="55">
        <v>4.13</v>
      </c>
      <c r="J27" s="55">
        <v>0.44</v>
      </c>
      <c r="K27" s="55">
        <v>310.83999999999997</v>
      </c>
      <c r="L27" s="55">
        <v>37.46</v>
      </c>
      <c r="M27" s="55">
        <v>35.39</v>
      </c>
      <c r="N27" s="55">
        <v>46.1</v>
      </c>
      <c r="O27" s="55">
        <v>0</v>
      </c>
      <c r="P27" s="55">
        <v>2.2200000000000002</v>
      </c>
      <c r="Q27" s="55">
        <v>9.57</v>
      </c>
      <c r="R27" s="43"/>
      <c r="S27" s="43"/>
      <c r="T27" s="43"/>
      <c r="U27" s="43"/>
    </row>
    <row r="28" spans="1:21" s="11" customFormat="1" x14ac:dyDescent="0.25">
      <c r="A28" s="54" t="s">
        <v>391</v>
      </c>
      <c r="B28" s="55">
        <v>89.56</v>
      </c>
      <c r="C28" s="55">
        <v>144.15</v>
      </c>
      <c r="D28" s="55">
        <v>151.01</v>
      </c>
      <c r="E28" s="55">
        <v>9.98</v>
      </c>
      <c r="F28" s="55">
        <v>6.37</v>
      </c>
      <c r="G28" s="55">
        <v>47.88</v>
      </c>
      <c r="H28" s="55">
        <v>13.07</v>
      </c>
      <c r="I28" s="55">
        <v>4.17</v>
      </c>
      <c r="J28" s="55">
        <v>0.26</v>
      </c>
      <c r="K28" s="55">
        <v>288.77999999999997</v>
      </c>
      <c r="L28" s="55">
        <v>35.380000000000003</v>
      </c>
      <c r="M28" s="55">
        <v>44.7</v>
      </c>
      <c r="N28" s="55">
        <v>29.4</v>
      </c>
      <c r="O28" s="55">
        <v>0</v>
      </c>
      <c r="P28" s="55">
        <v>3.1</v>
      </c>
      <c r="Q28" s="55">
        <v>9.5500000000000007</v>
      </c>
      <c r="R28" s="43"/>
      <c r="S28" s="43"/>
      <c r="T28" s="43"/>
      <c r="U28" s="43"/>
    </row>
    <row r="29" spans="1:21" s="11" customFormat="1" x14ac:dyDescent="0.25">
      <c r="A29" s="54" t="s">
        <v>392</v>
      </c>
      <c r="B29" s="55">
        <v>113.72</v>
      </c>
      <c r="C29" s="55">
        <v>167.76</v>
      </c>
      <c r="D29" s="55">
        <v>146.56</v>
      </c>
      <c r="E29" s="55">
        <v>9.9600000000000009</v>
      </c>
      <c r="F29" s="55">
        <v>4.6900000000000004</v>
      </c>
      <c r="G29" s="55">
        <v>61.31</v>
      </c>
      <c r="H29" s="55">
        <v>6.83</v>
      </c>
      <c r="I29" s="55">
        <v>4.18</v>
      </c>
      <c r="J29" s="55">
        <v>0.28000000000000003</v>
      </c>
      <c r="K29" s="55">
        <v>279.56</v>
      </c>
      <c r="L29" s="55">
        <v>34.43</v>
      </c>
      <c r="M29" s="55">
        <v>48.41</v>
      </c>
      <c r="N29" s="55">
        <v>29.3</v>
      </c>
      <c r="O29" s="55">
        <v>0</v>
      </c>
      <c r="P29" s="55">
        <v>3.82</v>
      </c>
      <c r="Q29" s="55">
        <v>9.6199999999999992</v>
      </c>
      <c r="R29" s="43"/>
      <c r="S29" s="43"/>
      <c r="T29" s="43"/>
      <c r="U29" s="43"/>
    </row>
    <row r="30" spans="1:21" s="11" customFormat="1" x14ac:dyDescent="0.25">
      <c r="A30" s="54" t="s">
        <v>393</v>
      </c>
      <c r="B30" s="55">
        <v>155.35</v>
      </c>
      <c r="C30" s="55">
        <v>201.11</v>
      </c>
      <c r="D30" s="55">
        <v>148.81</v>
      </c>
      <c r="E30" s="55">
        <v>10.08</v>
      </c>
      <c r="F30" s="55">
        <v>3.92</v>
      </c>
      <c r="G30" s="55">
        <v>79.97</v>
      </c>
      <c r="H30" s="55">
        <v>44.65</v>
      </c>
      <c r="I30" s="55">
        <v>4.07</v>
      </c>
      <c r="J30" s="55">
        <v>0.28000000000000003</v>
      </c>
      <c r="K30" s="55">
        <v>270.45999999999998</v>
      </c>
      <c r="L30" s="55">
        <v>33.380000000000003</v>
      </c>
      <c r="M30" s="55">
        <v>53.06</v>
      </c>
      <c r="N30" s="55">
        <v>29.1</v>
      </c>
      <c r="O30" s="55">
        <v>0</v>
      </c>
      <c r="P30" s="55">
        <v>5</v>
      </c>
      <c r="Q30" s="55">
        <v>9.66</v>
      </c>
      <c r="R30" s="43"/>
      <c r="S30" s="43"/>
      <c r="T30" s="43"/>
      <c r="U30" s="43"/>
    </row>
    <row r="31" spans="1:21" s="11" customFormat="1" x14ac:dyDescent="0.25">
      <c r="A31" s="54" t="s">
        <v>394</v>
      </c>
      <c r="B31" s="55">
        <v>93.8</v>
      </c>
      <c r="C31" s="55">
        <v>142.01</v>
      </c>
      <c r="D31" s="55">
        <v>133.37</v>
      </c>
      <c r="E31" s="55">
        <v>9.51</v>
      </c>
      <c r="F31" s="55">
        <v>7.17</v>
      </c>
      <c r="G31" s="55">
        <v>88.1</v>
      </c>
      <c r="H31" s="55">
        <v>36.159999999999997</v>
      </c>
      <c r="I31" s="55">
        <v>4.1900000000000004</v>
      </c>
      <c r="J31" s="55">
        <v>0.78</v>
      </c>
      <c r="K31" s="55">
        <v>261.88</v>
      </c>
      <c r="L31" s="55">
        <v>33.19</v>
      </c>
      <c r="M31" s="55">
        <v>51.81</v>
      </c>
      <c r="N31" s="55">
        <v>29.2</v>
      </c>
      <c r="O31" s="55">
        <v>0</v>
      </c>
      <c r="P31" s="55">
        <v>3.11</v>
      </c>
      <c r="Q31" s="55">
        <v>9.73</v>
      </c>
      <c r="R31" s="43"/>
      <c r="S31" s="43"/>
      <c r="T31" s="43"/>
      <c r="U31" s="43"/>
    </row>
    <row r="32" spans="1:21" s="11" customFormat="1" x14ac:dyDescent="0.25">
      <c r="A32" s="54" t="s">
        <v>395</v>
      </c>
      <c r="B32" s="55">
        <v>23.92</v>
      </c>
      <c r="C32" s="55">
        <v>48.18</v>
      </c>
      <c r="D32" s="55">
        <v>70.099999999999994</v>
      </c>
      <c r="E32" s="55">
        <v>8.26</v>
      </c>
      <c r="F32" s="55">
        <v>13.63</v>
      </c>
      <c r="G32" s="55">
        <v>89.44</v>
      </c>
      <c r="H32" s="55">
        <v>21.22</v>
      </c>
      <c r="I32" s="55">
        <v>4.07</v>
      </c>
      <c r="J32" s="55">
        <v>0.63</v>
      </c>
      <c r="K32" s="55">
        <v>225.2</v>
      </c>
      <c r="L32" s="55">
        <v>33.020000000000003</v>
      </c>
      <c r="M32" s="55">
        <v>47.45</v>
      </c>
      <c r="N32" s="55">
        <v>29.2</v>
      </c>
      <c r="O32" s="55">
        <v>0</v>
      </c>
      <c r="P32" s="55">
        <v>1.21</v>
      </c>
      <c r="Q32" s="55">
        <v>9.82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4.8099999999999996</v>
      </c>
      <c r="C34" s="28">
        <f t="shared" si="0"/>
        <v>19.989999999999998</v>
      </c>
      <c r="D34" s="28">
        <f t="shared" si="0"/>
        <v>31.21</v>
      </c>
      <c r="E34" s="28">
        <f t="shared" si="0"/>
        <v>6.33</v>
      </c>
      <c r="F34" s="28">
        <f t="shared" si="0"/>
        <v>3.92</v>
      </c>
      <c r="G34" s="28">
        <f t="shared" si="0"/>
        <v>37.299999999999997</v>
      </c>
      <c r="H34" s="28">
        <f t="shared" si="0"/>
        <v>3.78</v>
      </c>
      <c r="I34" s="28">
        <f t="shared" si="0"/>
        <v>4</v>
      </c>
      <c r="J34" s="28">
        <f t="shared" si="0"/>
        <v>0.23</v>
      </c>
      <c r="K34" s="28">
        <f t="shared" si="0"/>
        <v>203.15</v>
      </c>
      <c r="L34" s="28">
        <f t="shared" si="0"/>
        <v>28.96</v>
      </c>
      <c r="M34" s="28">
        <f t="shared" si="0"/>
        <v>24.85</v>
      </c>
      <c r="N34" s="28">
        <f t="shared" si="0"/>
        <v>28.9</v>
      </c>
      <c r="O34" s="28">
        <f t="shared" si="0"/>
        <v>0</v>
      </c>
      <c r="P34" s="28">
        <f t="shared" si="0"/>
        <v>0.4</v>
      </c>
      <c r="Q34" s="28">
        <f t="shared" si="0"/>
        <v>9.3699999999999992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155.35</v>
      </c>
      <c r="C35" s="29">
        <f t="shared" si="1"/>
        <v>201.11</v>
      </c>
      <c r="D35" s="29">
        <f t="shared" si="1"/>
        <v>151.01</v>
      </c>
      <c r="E35" s="29">
        <f t="shared" si="1"/>
        <v>11.19</v>
      </c>
      <c r="F35" s="29">
        <f t="shared" si="1"/>
        <v>28.47</v>
      </c>
      <c r="G35" s="29">
        <f t="shared" si="1"/>
        <v>89.44</v>
      </c>
      <c r="H35" s="29">
        <f t="shared" si="1"/>
        <v>44.65</v>
      </c>
      <c r="I35" s="29">
        <f t="shared" si="1"/>
        <v>4.22</v>
      </c>
      <c r="J35" s="29">
        <f t="shared" si="1"/>
        <v>1.39</v>
      </c>
      <c r="K35" s="29">
        <f t="shared" si="1"/>
        <v>310.83999999999997</v>
      </c>
      <c r="L35" s="29">
        <f t="shared" si="1"/>
        <v>42.76</v>
      </c>
      <c r="M35" s="29">
        <f t="shared" si="1"/>
        <v>57.31</v>
      </c>
      <c r="N35" s="29">
        <f t="shared" si="1"/>
        <v>815.1</v>
      </c>
      <c r="O35" s="29">
        <f t="shared" si="1"/>
        <v>0</v>
      </c>
      <c r="P35" s="29">
        <f t="shared" si="1"/>
        <v>5</v>
      </c>
      <c r="Q35" s="29">
        <f t="shared" si="1"/>
        <v>9.82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27.251249999999999</v>
      </c>
      <c r="C36" s="28">
        <f t="shared" si="2"/>
        <v>54.683333333333337</v>
      </c>
      <c r="D36" s="28">
        <f t="shared" si="2"/>
        <v>64.567499999999995</v>
      </c>
      <c r="E36" s="28">
        <f t="shared" si="2"/>
        <v>8.7983333333333338</v>
      </c>
      <c r="F36" s="28">
        <f t="shared" si="2"/>
        <v>14.744583333333333</v>
      </c>
      <c r="G36" s="28">
        <f t="shared" si="2"/>
        <v>50.19083333333333</v>
      </c>
      <c r="H36" s="28">
        <f t="shared" si="2"/>
        <v>18.71</v>
      </c>
      <c r="I36" s="28">
        <f t="shared" si="2"/>
        <v>4.0908333333333324</v>
      </c>
      <c r="J36" s="28">
        <f t="shared" si="2"/>
        <v>0.63083333333333325</v>
      </c>
      <c r="K36" s="28">
        <f t="shared" si="2"/>
        <v>243.72708333333335</v>
      </c>
      <c r="L36" s="28">
        <f t="shared" si="2"/>
        <v>35.517500000000005</v>
      </c>
      <c r="M36" s="28">
        <f t="shared" si="2"/>
        <v>43.543749999999996</v>
      </c>
      <c r="N36" s="28">
        <f t="shared" si="2"/>
        <v>253.42500000000004</v>
      </c>
      <c r="O36" s="28">
        <f t="shared" si="2"/>
        <v>0</v>
      </c>
      <c r="P36" s="28">
        <f t="shared" si="2"/>
        <v>1.2004166666666667</v>
      </c>
      <c r="Q36" s="28">
        <f t="shared" si="2"/>
        <v>9.5716666666666654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41.850599425606902</v>
      </c>
      <c r="C37" s="28">
        <f t="shared" ref="C37:Q37" si="3">STDEV(C9:C32)</f>
        <v>53.94437672000803</v>
      </c>
      <c r="D37" s="28">
        <f t="shared" si="3"/>
        <v>42.3020267013707</v>
      </c>
      <c r="E37" s="28">
        <f t="shared" si="3"/>
        <v>1.4636751441273519</v>
      </c>
      <c r="F37" s="28">
        <f t="shared" si="3"/>
        <v>6.7971330140100212</v>
      </c>
      <c r="G37" s="28">
        <f t="shared" si="3"/>
        <v>15.563992702407074</v>
      </c>
      <c r="H37" s="28">
        <f t="shared" si="3"/>
        <v>11.618981186383071</v>
      </c>
      <c r="I37" s="28">
        <f t="shared" si="3"/>
        <v>6.3377177806105175E-2</v>
      </c>
      <c r="J37" s="28">
        <f t="shared" si="3"/>
        <v>0.28007633535018367</v>
      </c>
      <c r="K37" s="28">
        <f t="shared" si="3"/>
        <v>24.830431273140317</v>
      </c>
      <c r="L37" s="28">
        <f t="shared" si="3"/>
        <v>4.4325213651118993</v>
      </c>
      <c r="M37" s="28">
        <f t="shared" si="3"/>
        <v>10.964274322226879</v>
      </c>
      <c r="N37" s="28">
        <f t="shared" si="3"/>
        <v>284.06082975306543</v>
      </c>
      <c r="O37" s="28">
        <f t="shared" si="3"/>
        <v>0</v>
      </c>
      <c r="P37" s="28">
        <f t="shared" si="3"/>
        <v>1.2672959201683567</v>
      </c>
      <c r="Q37" s="28">
        <f t="shared" si="3"/>
        <v>0.1192974604003416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>COUNT(H9:H32)+2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15/05/2025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7"/>
      <c r="B8" s="58" t="s">
        <v>22</v>
      </c>
      <c r="C8" s="58" t="s">
        <v>22</v>
      </c>
      <c r="D8" s="29" t="s">
        <v>42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58" t="s">
        <v>22</v>
      </c>
      <c r="R8" s="27"/>
      <c r="S8" s="29"/>
      <c r="T8" s="27"/>
      <c r="U8" s="27"/>
    </row>
    <row r="9" spans="1:21" s="11" customFormat="1" x14ac:dyDescent="0.25">
      <c r="A9" s="54" t="s">
        <v>396</v>
      </c>
      <c r="B9" s="55">
        <v>16.14</v>
      </c>
      <c r="C9" s="55">
        <v>31.09</v>
      </c>
      <c r="D9" s="55">
        <v>36.89</v>
      </c>
      <c r="E9" s="55">
        <v>7.7</v>
      </c>
      <c r="F9" s="55">
        <v>14.76</v>
      </c>
      <c r="G9" s="55">
        <v>84.28</v>
      </c>
      <c r="H9" s="55">
        <v>26.45</v>
      </c>
      <c r="I9" s="55">
        <v>4.03</v>
      </c>
      <c r="J9" s="55">
        <v>0.77</v>
      </c>
      <c r="K9" s="55">
        <v>211.54</v>
      </c>
      <c r="L9" s="55">
        <v>32.43</v>
      </c>
      <c r="M9" s="55">
        <v>49.85</v>
      </c>
      <c r="N9" s="55">
        <v>29.2</v>
      </c>
      <c r="O9" s="55">
        <v>0</v>
      </c>
      <c r="P9" s="55">
        <v>0.81</v>
      </c>
      <c r="Q9" s="55">
        <v>9.7799999999999994</v>
      </c>
      <c r="R9" s="43"/>
      <c r="S9" s="43"/>
      <c r="T9" s="43"/>
      <c r="U9" s="43"/>
    </row>
    <row r="10" spans="1:21" s="11" customFormat="1" x14ac:dyDescent="0.25">
      <c r="A10" s="54" t="s">
        <v>397</v>
      </c>
      <c r="B10" s="55">
        <v>7.97</v>
      </c>
      <c r="C10" s="55">
        <v>20.55</v>
      </c>
      <c r="D10" s="55">
        <v>29.58</v>
      </c>
      <c r="E10" s="55">
        <v>7.84</v>
      </c>
      <c r="F10" s="55">
        <v>16.61</v>
      </c>
      <c r="G10" s="55">
        <v>70.03</v>
      </c>
      <c r="H10" s="55">
        <v>25.68</v>
      </c>
      <c r="I10" s="55">
        <v>4.03</v>
      </c>
      <c r="J10" s="55">
        <v>0.71</v>
      </c>
      <c r="K10" s="55">
        <v>214.6</v>
      </c>
      <c r="L10" s="55">
        <v>31.44</v>
      </c>
      <c r="M10" s="55">
        <v>50.51</v>
      </c>
      <c r="N10" s="55">
        <v>29</v>
      </c>
      <c r="O10" s="55">
        <v>0</v>
      </c>
      <c r="P10" s="55">
        <v>0.42</v>
      </c>
      <c r="Q10" s="55">
        <v>9.7200000000000006</v>
      </c>
      <c r="R10" s="43"/>
      <c r="S10" s="43"/>
      <c r="T10" s="43"/>
      <c r="U10" s="43"/>
    </row>
    <row r="11" spans="1:21" s="11" customFormat="1" x14ac:dyDescent="0.25">
      <c r="A11" s="54" t="s">
        <v>398</v>
      </c>
      <c r="B11" s="55">
        <v>6.82</v>
      </c>
      <c r="C11" s="55">
        <v>23.12</v>
      </c>
      <c r="D11" s="55">
        <v>36.36</v>
      </c>
      <c r="E11" s="55">
        <v>8.14</v>
      </c>
      <c r="F11" s="55">
        <v>16.440000000000001</v>
      </c>
      <c r="G11" s="55">
        <v>57.39</v>
      </c>
      <c r="H11" s="55">
        <v>21.14</v>
      </c>
      <c r="I11" s="55">
        <v>4.07</v>
      </c>
      <c r="J11" s="55">
        <v>0.43</v>
      </c>
      <c r="K11" s="55">
        <v>231.65</v>
      </c>
      <c r="L11" s="55">
        <v>31.05</v>
      </c>
      <c r="M11" s="55">
        <v>52.14</v>
      </c>
      <c r="N11" s="55">
        <v>29</v>
      </c>
      <c r="O11" s="55">
        <v>0</v>
      </c>
      <c r="P11" s="55">
        <v>0.36</v>
      </c>
      <c r="Q11" s="55">
        <v>9.7200000000000006</v>
      </c>
      <c r="R11" s="43"/>
      <c r="S11" s="43"/>
      <c r="T11" s="43"/>
      <c r="U11" s="43"/>
    </row>
    <row r="12" spans="1:21" s="11" customFormat="1" x14ac:dyDescent="0.25">
      <c r="A12" s="54" t="s">
        <v>399</v>
      </c>
      <c r="B12" s="55">
        <v>8.17</v>
      </c>
      <c r="C12" s="55">
        <v>24.07</v>
      </c>
      <c r="D12" s="55">
        <v>36.659999999999997</v>
      </c>
      <c r="E12" s="55">
        <v>7.38</v>
      </c>
      <c r="F12" s="55">
        <v>15.48</v>
      </c>
      <c r="G12" s="55">
        <v>51.85</v>
      </c>
      <c r="H12" s="55">
        <v>15.68</v>
      </c>
      <c r="I12" s="55">
        <v>4.13</v>
      </c>
      <c r="J12" s="55">
        <v>0.47</v>
      </c>
      <c r="K12" s="55">
        <v>238.85</v>
      </c>
      <c r="L12" s="55">
        <v>30.98</v>
      </c>
      <c r="M12" s="55">
        <v>54.33</v>
      </c>
      <c r="N12" s="55">
        <v>29.1</v>
      </c>
      <c r="O12" s="55">
        <v>0</v>
      </c>
      <c r="P12" s="55">
        <v>0.56000000000000005</v>
      </c>
      <c r="Q12" s="55">
        <v>9.69</v>
      </c>
      <c r="R12" s="43"/>
      <c r="S12" s="43"/>
      <c r="T12" s="43"/>
      <c r="U12" s="43"/>
    </row>
    <row r="13" spans="1:21" s="11" customFormat="1" x14ac:dyDescent="0.25">
      <c r="A13" s="54" t="s">
        <v>400</v>
      </c>
      <c r="B13" s="55">
        <v>6.86</v>
      </c>
      <c r="C13" s="55">
        <v>21.38</v>
      </c>
      <c r="D13" s="55">
        <v>30.76</v>
      </c>
      <c r="E13" s="55">
        <v>6.94</v>
      </c>
      <c r="F13" s="55">
        <v>14.91</v>
      </c>
      <c r="G13" s="55">
        <v>47.41</v>
      </c>
      <c r="H13" s="55">
        <v>14.63</v>
      </c>
      <c r="I13" s="55">
        <v>4.09</v>
      </c>
      <c r="J13" s="55">
        <v>0.6</v>
      </c>
      <c r="K13" s="55">
        <v>239.36</v>
      </c>
      <c r="L13" s="55">
        <v>30.74</v>
      </c>
      <c r="M13" s="55">
        <v>53.98</v>
      </c>
      <c r="N13" s="55">
        <v>29</v>
      </c>
      <c r="O13" s="55">
        <v>0</v>
      </c>
      <c r="P13" s="55">
        <v>0.51</v>
      </c>
      <c r="Q13" s="55">
        <v>9.64</v>
      </c>
      <c r="R13" s="43"/>
      <c r="S13" s="43"/>
      <c r="T13" s="43"/>
      <c r="U13" s="43"/>
    </row>
    <row r="14" spans="1:21" s="11" customFormat="1" x14ac:dyDescent="0.25">
      <c r="A14" s="54" t="s">
        <v>401</v>
      </c>
      <c r="B14" s="55">
        <v>4.3499999999999996</v>
      </c>
      <c r="C14" s="55">
        <v>23.29</v>
      </c>
      <c r="D14" s="55">
        <v>37.909999999999997</v>
      </c>
      <c r="E14" s="55">
        <v>7.3</v>
      </c>
      <c r="F14" s="55">
        <v>14.07</v>
      </c>
      <c r="G14" s="55">
        <v>43.33</v>
      </c>
      <c r="H14" s="55">
        <v>14.28</v>
      </c>
      <c r="I14" s="55">
        <v>4.04</v>
      </c>
      <c r="J14" s="55">
        <v>0.46</v>
      </c>
      <c r="K14" s="55">
        <v>227.59</v>
      </c>
      <c r="L14" s="55">
        <v>30.03</v>
      </c>
      <c r="M14" s="55">
        <v>57.18</v>
      </c>
      <c r="N14" s="55">
        <v>60.5</v>
      </c>
      <c r="O14" s="55">
        <v>0</v>
      </c>
      <c r="P14" s="55">
        <v>0.27</v>
      </c>
      <c r="Q14" s="55">
        <v>9.5299999999999994</v>
      </c>
      <c r="R14" s="43"/>
      <c r="S14" s="43"/>
      <c r="T14" s="43"/>
      <c r="U14" s="43"/>
    </row>
    <row r="15" spans="1:21" s="11" customFormat="1" x14ac:dyDescent="0.25">
      <c r="A15" s="54" t="s">
        <v>402</v>
      </c>
      <c r="B15" s="55">
        <v>5.87</v>
      </c>
      <c r="C15" s="55">
        <v>22.66</v>
      </c>
      <c r="D15" s="55">
        <v>34.369999999999997</v>
      </c>
      <c r="E15" s="55">
        <v>6.95</v>
      </c>
      <c r="F15" s="55">
        <v>13.04</v>
      </c>
      <c r="G15" s="55">
        <v>42.41</v>
      </c>
      <c r="H15" s="55">
        <v>16.21</v>
      </c>
      <c r="I15" s="55">
        <v>4.04</v>
      </c>
      <c r="J15" s="55">
        <v>0.51</v>
      </c>
      <c r="K15" s="55">
        <v>229.83</v>
      </c>
      <c r="L15" s="55">
        <v>31.33</v>
      </c>
      <c r="M15" s="55">
        <v>55.98</v>
      </c>
      <c r="N15" s="55">
        <v>192.9</v>
      </c>
      <c r="O15" s="55">
        <v>0</v>
      </c>
      <c r="P15" s="55">
        <v>0.39</v>
      </c>
      <c r="Q15" s="55">
        <v>9.52</v>
      </c>
      <c r="R15" s="43"/>
      <c r="S15" s="43"/>
      <c r="T15" s="43"/>
      <c r="U15" s="43"/>
    </row>
    <row r="16" spans="1:21" s="11" customFormat="1" x14ac:dyDescent="0.25">
      <c r="A16" s="54" t="s">
        <v>403</v>
      </c>
      <c r="B16" s="55">
        <v>5.73</v>
      </c>
      <c r="C16" s="55">
        <v>20.96</v>
      </c>
      <c r="D16" s="55">
        <v>31.44</v>
      </c>
      <c r="E16" s="55">
        <v>6.51</v>
      </c>
      <c r="F16" s="55">
        <v>13.04</v>
      </c>
      <c r="G16" s="55">
        <v>41.99</v>
      </c>
      <c r="H16" s="55">
        <v>20.329999999999998</v>
      </c>
      <c r="I16" s="55">
        <v>4.13</v>
      </c>
      <c r="J16" s="55">
        <v>0.72</v>
      </c>
      <c r="K16" s="55">
        <v>219</v>
      </c>
      <c r="L16" s="55">
        <v>33.68</v>
      </c>
      <c r="M16" s="55">
        <v>54.83</v>
      </c>
      <c r="N16" s="55">
        <v>379.2</v>
      </c>
      <c r="O16" s="55">
        <v>0</v>
      </c>
      <c r="P16" s="55">
        <v>0.56000000000000005</v>
      </c>
      <c r="Q16" s="55">
        <v>9.5</v>
      </c>
      <c r="R16" s="43"/>
      <c r="S16" s="43"/>
      <c r="T16" s="43"/>
      <c r="U16" s="43"/>
    </row>
    <row r="17" spans="1:21" s="11" customFormat="1" x14ac:dyDescent="0.25">
      <c r="A17" s="54" t="s">
        <v>404</v>
      </c>
      <c r="B17" s="55">
        <v>5.7</v>
      </c>
      <c r="C17" s="55">
        <v>21.99</v>
      </c>
      <c r="D17" s="55">
        <v>34.79</v>
      </c>
      <c r="E17" s="55">
        <v>6.19</v>
      </c>
      <c r="F17" s="55">
        <v>8.7100000000000009</v>
      </c>
      <c r="G17" s="55">
        <v>40.590000000000003</v>
      </c>
      <c r="H17" s="55">
        <v>28.37</v>
      </c>
      <c r="I17" s="55">
        <v>4.09</v>
      </c>
      <c r="J17" s="55">
        <v>0.74</v>
      </c>
      <c r="K17" s="55">
        <v>243.08</v>
      </c>
      <c r="L17" s="55">
        <v>37.5</v>
      </c>
      <c r="M17" s="55">
        <v>44.19</v>
      </c>
      <c r="N17" s="55">
        <v>518.29999999999995</v>
      </c>
      <c r="O17" s="55">
        <v>0</v>
      </c>
      <c r="P17" s="55">
        <v>0.57999999999999996</v>
      </c>
      <c r="Q17" s="55">
        <v>9.4600000000000009</v>
      </c>
      <c r="R17" s="43"/>
      <c r="S17" s="43"/>
      <c r="T17" s="43"/>
      <c r="U17" s="43"/>
    </row>
    <row r="18" spans="1:21" s="11" customFormat="1" x14ac:dyDescent="0.25">
      <c r="A18" s="54" t="s">
        <v>405</v>
      </c>
      <c r="B18" s="55">
        <v>7.48</v>
      </c>
      <c r="C18" s="55">
        <v>27.37</v>
      </c>
      <c r="D18" s="55">
        <v>40.909999999999997</v>
      </c>
      <c r="E18" s="55">
        <v>13.51</v>
      </c>
      <c r="F18" s="55">
        <v>14.76</v>
      </c>
      <c r="G18" s="55">
        <v>38.020000000000003</v>
      </c>
      <c r="H18" s="55">
        <v>27.23</v>
      </c>
      <c r="I18" s="55">
        <v>4.0199999999999996</v>
      </c>
      <c r="J18" s="55">
        <v>0.89</v>
      </c>
      <c r="K18" s="55">
        <v>243.21</v>
      </c>
      <c r="L18" s="55">
        <v>41.14</v>
      </c>
      <c r="M18" s="55">
        <v>37.44</v>
      </c>
      <c r="N18" s="55">
        <v>715.4</v>
      </c>
      <c r="O18" s="55">
        <v>0</v>
      </c>
      <c r="P18" s="55">
        <v>0.81</v>
      </c>
      <c r="Q18" s="55">
        <v>9.43</v>
      </c>
      <c r="R18" s="43"/>
      <c r="S18" s="43"/>
      <c r="T18" s="43"/>
      <c r="U18" s="43"/>
    </row>
    <row r="19" spans="1:21" s="11" customFormat="1" x14ac:dyDescent="0.25">
      <c r="A19" s="54" t="s">
        <v>406</v>
      </c>
      <c r="B19" s="55">
        <v>7.43</v>
      </c>
      <c r="C19" s="55">
        <v>28.32</v>
      </c>
      <c r="D19" s="55">
        <v>43.71</v>
      </c>
      <c r="E19" s="55">
        <v>15.52</v>
      </c>
      <c r="F19" s="55">
        <v>19.28</v>
      </c>
      <c r="G19" s="55">
        <v>40.450000000000003</v>
      </c>
      <c r="H19" s="55">
        <v>22.58</v>
      </c>
      <c r="I19" s="55">
        <v>4.05</v>
      </c>
      <c r="J19" s="55">
        <v>0.93</v>
      </c>
      <c r="K19" s="55">
        <v>247.04</v>
      </c>
      <c r="L19" s="55">
        <v>42.76</v>
      </c>
      <c r="M19" s="55">
        <v>30.38</v>
      </c>
      <c r="N19" s="55">
        <v>784</v>
      </c>
      <c r="O19" s="55">
        <v>0</v>
      </c>
      <c r="P19" s="55">
        <v>0.87</v>
      </c>
      <c r="Q19" s="55">
        <v>9.42</v>
      </c>
      <c r="R19" s="43"/>
      <c r="S19" s="43"/>
      <c r="T19" s="43"/>
      <c r="U19" s="43"/>
    </row>
    <row r="20" spans="1:21" s="11" customFormat="1" x14ac:dyDescent="0.25">
      <c r="A20" s="54" t="s">
        <v>407</v>
      </c>
      <c r="B20" s="55">
        <v>5.0999999999999996</v>
      </c>
      <c r="C20" s="55">
        <v>27.02</v>
      </c>
      <c r="D20" s="55">
        <v>44</v>
      </c>
      <c r="E20" s="55">
        <v>7.92</v>
      </c>
      <c r="F20" s="55">
        <v>18.22</v>
      </c>
      <c r="G20" s="55">
        <v>34.869999999999997</v>
      </c>
      <c r="H20" s="55">
        <v>13.85</v>
      </c>
      <c r="I20" s="55">
        <v>4.17</v>
      </c>
      <c r="J20" s="55">
        <v>1</v>
      </c>
      <c r="K20" s="55">
        <v>246.36</v>
      </c>
      <c r="L20" s="55">
        <v>43.46</v>
      </c>
      <c r="M20" s="55">
        <v>30.22</v>
      </c>
      <c r="N20" s="55">
        <v>810.1</v>
      </c>
      <c r="O20" s="55">
        <v>0</v>
      </c>
      <c r="P20" s="55">
        <v>0.66</v>
      </c>
      <c r="Q20" s="55">
        <v>9.4700000000000006</v>
      </c>
      <c r="R20" s="43"/>
      <c r="S20" s="43"/>
      <c r="T20" s="43"/>
      <c r="U20" s="43"/>
    </row>
    <row r="21" spans="1:21" s="11" customFormat="1" x14ac:dyDescent="0.25">
      <c r="A21" s="54" t="s">
        <v>408</v>
      </c>
      <c r="B21" s="55">
        <v>4.28</v>
      </c>
      <c r="C21" s="55">
        <v>23.49</v>
      </c>
      <c r="D21" s="55">
        <v>38.4</v>
      </c>
      <c r="E21" s="55">
        <v>8.61</v>
      </c>
      <c r="F21" s="55">
        <v>22.09</v>
      </c>
      <c r="G21" s="55">
        <v>37.67</v>
      </c>
      <c r="H21" s="55">
        <v>6.51</v>
      </c>
      <c r="I21" s="55">
        <v>4.09</v>
      </c>
      <c r="J21" s="55">
        <v>0.79</v>
      </c>
      <c r="K21" s="55">
        <v>241.74</v>
      </c>
      <c r="L21" s="55">
        <v>43.02</v>
      </c>
      <c r="M21" s="55">
        <v>30.23</v>
      </c>
      <c r="N21" s="55">
        <v>824.2</v>
      </c>
      <c r="O21" s="55">
        <v>0</v>
      </c>
      <c r="P21" s="55">
        <v>0.56999999999999995</v>
      </c>
      <c r="Q21" s="55">
        <v>9.4700000000000006</v>
      </c>
      <c r="R21" s="43"/>
      <c r="S21" s="43"/>
      <c r="T21" s="43"/>
      <c r="U21" s="43"/>
    </row>
    <row r="22" spans="1:21" s="11" customFormat="1" x14ac:dyDescent="0.25">
      <c r="A22" s="54" t="s">
        <v>409</v>
      </c>
      <c r="B22" s="55">
        <v>5.44</v>
      </c>
      <c r="C22" s="55">
        <v>28.2</v>
      </c>
      <c r="D22" s="55">
        <v>45.62</v>
      </c>
      <c r="E22" s="55">
        <v>13.31</v>
      </c>
      <c r="F22" s="55">
        <v>30.4</v>
      </c>
      <c r="G22" s="55">
        <v>48.38</v>
      </c>
      <c r="H22" s="55">
        <v>3.15</v>
      </c>
      <c r="I22" s="55">
        <v>4.22</v>
      </c>
      <c r="J22" s="55">
        <v>3.3</v>
      </c>
      <c r="K22" s="55">
        <v>243.98</v>
      </c>
      <c r="L22" s="55">
        <v>40.56</v>
      </c>
      <c r="M22" s="55">
        <v>36.11</v>
      </c>
      <c r="N22" s="55">
        <v>361.8</v>
      </c>
      <c r="O22" s="55">
        <v>0</v>
      </c>
      <c r="P22" s="55">
        <v>0.61</v>
      </c>
      <c r="Q22" s="55">
        <v>9.44</v>
      </c>
      <c r="R22" s="43"/>
      <c r="S22" s="43"/>
      <c r="T22" s="43"/>
      <c r="U22" s="43"/>
    </row>
    <row r="23" spans="1:21" s="11" customFormat="1" x14ac:dyDescent="0.25">
      <c r="A23" s="54" t="s">
        <v>410</v>
      </c>
      <c r="B23" s="55">
        <v>4.99</v>
      </c>
      <c r="C23" s="55">
        <v>21.17</v>
      </c>
      <c r="D23" s="55">
        <v>34.33</v>
      </c>
      <c r="E23" s="55">
        <v>4.99</v>
      </c>
      <c r="F23" s="55">
        <v>6.8</v>
      </c>
      <c r="G23" s="55">
        <v>54.71</v>
      </c>
      <c r="H23" s="55">
        <v>333.57</v>
      </c>
      <c r="I23" s="55">
        <v>3.92</v>
      </c>
      <c r="J23" s="55">
        <v>3.74</v>
      </c>
      <c r="K23" s="55">
        <v>246.53</v>
      </c>
      <c r="L23" s="55">
        <v>37.04</v>
      </c>
      <c r="M23" s="55">
        <v>42.45</v>
      </c>
      <c r="N23" s="55">
        <v>304.10000000000002</v>
      </c>
      <c r="O23" s="55">
        <v>0</v>
      </c>
      <c r="P23" s="55">
        <v>0.5</v>
      </c>
      <c r="Q23" s="55">
        <v>9.4</v>
      </c>
      <c r="R23" s="43"/>
      <c r="S23" s="43"/>
      <c r="T23" s="43"/>
      <c r="U23" s="43"/>
    </row>
    <row r="24" spans="1:21" s="11" customFormat="1" x14ac:dyDescent="0.25">
      <c r="A24" s="54" t="s">
        <v>411</v>
      </c>
      <c r="B24" s="55">
        <v>6.18</v>
      </c>
      <c r="C24" s="55">
        <v>28.05</v>
      </c>
      <c r="D24" s="55">
        <v>45.14</v>
      </c>
      <c r="E24" s="55">
        <v>6.94</v>
      </c>
      <c r="F24" s="55">
        <v>16.73</v>
      </c>
      <c r="G24" s="55">
        <v>23.16</v>
      </c>
      <c r="H24" s="55">
        <v>9.8000000000000007</v>
      </c>
      <c r="I24" s="55">
        <v>4.1100000000000003</v>
      </c>
      <c r="J24" s="55">
        <v>2.1</v>
      </c>
      <c r="K24" s="55">
        <v>244.09</v>
      </c>
      <c r="L24" s="55">
        <v>35.979999999999997</v>
      </c>
      <c r="M24" s="55">
        <v>51.35</v>
      </c>
      <c r="N24" s="55">
        <v>223.2</v>
      </c>
      <c r="O24" s="55">
        <v>0</v>
      </c>
      <c r="P24" s="55">
        <v>0.48</v>
      </c>
      <c r="Q24" s="55">
        <v>9.41</v>
      </c>
      <c r="R24" s="43"/>
      <c r="S24" s="43"/>
      <c r="T24" s="43"/>
      <c r="U24" s="43"/>
    </row>
    <row r="25" spans="1:21" s="11" customFormat="1" x14ac:dyDescent="0.25">
      <c r="A25" s="54" t="s">
        <v>412</v>
      </c>
      <c r="B25" s="55">
        <v>8.65</v>
      </c>
      <c r="C25" s="55">
        <v>30.28</v>
      </c>
      <c r="D25" s="55">
        <v>46.69</v>
      </c>
      <c r="E25" s="55">
        <v>7.66</v>
      </c>
      <c r="F25" s="55">
        <v>18.71</v>
      </c>
      <c r="G25" s="55">
        <v>35.32</v>
      </c>
      <c r="H25" s="55">
        <v>13.05</v>
      </c>
      <c r="I25" s="55">
        <v>4.1100000000000003</v>
      </c>
      <c r="J25" s="55">
        <v>1.4</v>
      </c>
      <c r="K25" s="55">
        <v>240.64</v>
      </c>
      <c r="L25" s="55">
        <v>34.58</v>
      </c>
      <c r="M25" s="55">
        <v>55.33</v>
      </c>
      <c r="N25" s="55">
        <v>257</v>
      </c>
      <c r="O25" s="55">
        <v>0</v>
      </c>
      <c r="P25" s="55">
        <v>0.5</v>
      </c>
      <c r="Q25" s="55">
        <v>9.41</v>
      </c>
      <c r="R25" s="43"/>
      <c r="S25" s="43"/>
      <c r="T25" s="43"/>
      <c r="U25" s="43"/>
    </row>
    <row r="26" spans="1:21" s="11" customFormat="1" x14ac:dyDescent="0.25">
      <c r="A26" s="54" t="s">
        <v>413</v>
      </c>
      <c r="B26" s="55">
        <v>4.51</v>
      </c>
      <c r="C26" s="55">
        <v>23.93</v>
      </c>
      <c r="D26" s="55">
        <v>39.33</v>
      </c>
      <c r="E26" s="55">
        <v>7.72</v>
      </c>
      <c r="F26" s="55">
        <v>20.350000000000001</v>
      </c>
      <c r="G26" s="55">
        <v>36.57</v>
      </c>
      <c r="H26" s="55">
        <v>15.36</v>
      </c>
      <c r="I26" s="55">
        <v>4.2300000000000004</v>
      </c>
      <c r="J26" s="55">
        <v>1.47</v>
      </c>
      <c r="K26" s="55">
        <v>230.34</v>
      </c>
      <c r="L26" s="55">
        <v>34.31</v>
      </c>
      <c r="M26" s="55">
        <v>57.54</v>
      </c>
      <c r="N26" s="55">
        <v>94.7</v>
      </c>
      <c r="O26" s="55">
        <v>0</v>
      </c>
      <c r="P26" s="55">
        <v>0.43</v>
      </c>
      <c r="Q26" s="55">
        <v>9.43</v>
      </c>
      <c r="R26" s="43"/>
      <c r="S26" s="43"/>
      <c r="T26" s="43"/>
      <c r="U26" s="43"/>
    </row>
    <row r="27" spans="1:21" s="11" customFormat="1" x14ac:dyDescent="0.25">
      <c r="A27" s="54" t="s">
        <v>414</v>
      </c>
      <c r="B27" s="55">
        <v>5.33</v>
      </c>
      <c r="C27" s="55">
        <v>27.07</v>
      </c>
      <c r="D27" s="55">
        <v>43.9</v>
      </c>
      <c r="E27" s="55">
        <v>7.93</v>
      </c>
      <c r="F27" s="55">
        <v>17.84</v>
      </c>
      <c r="G27" s="55">
        <v>43.87</v>
      </c>
      <c r="H27" s="55">
        <v>15.36</v>
      </c>
      <c r="I27" s="55">
        <v>4.17</v>
      </c>
      <c r="J27" s="55">
        <v>0.54</v>
      </c>
      <c r="K27" s="55">
        <v>211.78</v>
      </c>
      <c r="L27" s="55">
        <v>32.61</v>
      </c>
      <c r="M27" s="55">
        <v>57.47</v>
      </c>
      <c r="N27" s="55">
        <v>41.8</v>
      </c>
      <c r="O27" s="55">
        <v>0</v>
      </c>
      <c r="P27" s="55">
        <v>0.54</v>
      </c>
      <c r="Q27" s="55">
        <v>9.4</v>
      </c>
      <c r="R27" s="43"/>
      <c r="S27" s="43"/>
      <c r="T27" s="43"/>
      <c r="U27" s="43"/>
    </row>
    <row r="28" spans="1:21" s="11" customFormat="1" x14ac:dyDescent="0.25">
      <c r="A28" s="54" t="s">
        <v>415</v>
      </c>
      <c r="B28" s="55">
        <v>5.76</v>
      </c>
      <c r="C28" s="55">
        <v>34.090000000000003</v>
      </c>
      <c r="D28" s="55">
        <v>56.41</v>
      </c>
      <c r="E28" s="55">
        <v>8.39</v>
      </c>
      <c r="F28" s="55">
        <v>14.79</v>
      </c>
      <c r="G28" s="55">
        <v>46.95</v>
      </c>
      <c r="H28" s="55">
        <v>15.22</v>
      </c>
      <c r="I28" s="55">
        <v>4.07</v>
      </c>
      <c r="J28" s="55">
        <v>1.2</v>
      </c>
      <c r="K28" s="55">
        <v>185.19</v>
      </c>
      <c r="L28" s="55">
        <v>32.46</v>
      </c>
      <c r="M28" s="55">
        <v>65.16</v>
      </c>
      <c r="N28" s="55">
        <v>30.1</v>
      </c>
      <c r="O28" s="55">
        <v>0</v>
      </c>
      <c r="P28" s="55">
        <v>0.59</v>
      </c>
      <c r="Q28" s="55">
        <v>9.44</v>
      </c>
      <c r="R28" s="43"/>
      <c r="S28" s="43"/>
      <c r="T28" s="43"/>
      <c r="U28" s="43"/>
    </row>
    <row r="29" spans="1:21" s="11" customFormat="1" x14ac:dyDescent="0.25">
      <c r="A29" s="54" t="s">
        <v>416</v>
      </c>
      <c r="B29" s="55">
        <v>5.04</v>
      </c>
      <c r="C29" s="55">
        <v>23.97</v>
      </c>
      <c r="D29" s="55">
        <v>39.090000000000003</v>
      </c>
      <c r="E29" s="55">
        <v>7.27</v>
      </c>
      <c r="F29" s="55">
        <v>9.6300000000000008</v>
      </c>
      <c r="G29" s="55">
        <v>46.95</v>
      </c>
      <c r="H29" s="55">
        <v>17.46</v>
      </c>
      <c r="I29" s="55">
        <v>4.0599999999999996</v>
      </c>
      <c r="J29" s="55">
        <v>1.42</v>
      </c>
      <c r="K29" s="55">
        <v>159.4</v>
      </c>
      <c r="L29" s="55">
        <v>30.21</v>
      </c>
      <c r="M29" s="55">
        <v>72.55</v>
      </c>
      <c r="N29" s="55">
        <v>30</v>
      </c>
      <c r="O29" s="55">
        <v>0</v>
      </c>
      <c r="P29" s="55">
        <v>0.53</v>
      </c>
      <c r="Q29" s="55">
        <v>9.4700000000000006</v>
      </c>
      <c r="R29" s="43"/>
      <c r="S29" s="43"/>
      <c r="T29" s="43"/>
      <c r="U29" s="43"/>
    </row>
    <row r="30" spans="1:21" s="11" customFormat="1" x14ac:dyDescent="0.25">
      <c r="A30" s="54" t="s">
        <v>417</v>
      </c>
      <c r="B30" s="55">
        <v>6.45</v>
      </c>
      <c r="C30" s="55">
        <v>25.33</v>
      </c>
      <c r="D30" s="55">
        <v>38.590000000000003</v>
      </c>
      <c r="E30" s="55">
        <v>6.6</v>
      </c>
      <c r="F30" s="55">
        <v>9.92</v>
      </c>
      <c r="G30" s="55">
        <v>46.01</v>
      </c>
      <c r="H30" s="55">
        <v>17.46</v>
      </c>
      <c r="I30" s="55">
        <v>4.12</v>
      </c>
      <c r="J30" s="55">
        <v>1.36</v>
      </c>
      <c r="K30" s="55">
        <v>158.69999999999999</v>
      </c>
      <c r="L30" s="55">
        <v>30.24</v>
      </c>
      <c r="M30" s="55">
        <v>75.55</v>
      </c>
      <c r="N30" s="55">
        <v>30</v>
      </c>
      <c r="O30" s="55">
        <v>0</v>
      </c>
      <c r="P30" s="55">
        <v>0.53</v>
      </c>
      <c r="Q30" s="55">
        <v>9.4700000000000006</v>
      </c>
      <c r="R30" s="43"/>
      <c r="S30" s="43"/>
      <c r="T30" s="43"/>
      <c r="U30" s="43"/>
    </row>
    <row r="31" spans="1:21" s="11" customFormat="1" x14ac:dyDescent="0.25">
      <c r="A31" s="54" t="s">
        <v>418</v>
      </c>
      <c r="B31" s="55">
        <v>6.64</v>
      </c>
      <c r="C31" s="55">
        <v>26.14</v>
      </c>
      <c r="D31" s="55">
        <v>39.83</v>
      </c>
      <c r="E31" s="55">
        <v>6.81</v>
      </c>
      <c r="F31" s="55">
        <v>13.17</v>
      </c>
      <c r="G31" s="55">
        <v>41.98</v>
      </c>
      <c r="H31" s="55">
        <v>17.53</v>
      </c>
      <c r="I31" s="55">
        <v>4.04</v>
      </c>
      <c r="J31" s="55">
        <v>0.47</v>
      </c>
      <c r="K31" s="55">
        <v>230.03</v>
      </c>
      <c r="L31" s="55">
        <v>29.92</v>
      </c>
      <c r="M31" s="55">
        <v>72.12</v>
      </c>
      <c r="N31" s="55">
        <v>28.8</v>
      </c>
      <c r="O31" s="55">
        <v>0</v>
      </c>
      <c r="P31" s="55">
        <v>0.53</v>
      </c>
      <c r="Q31" s="55">
        <v>9.44</v>
      </c>
      <c r="R31" s="43"/>
      <c r="S31" s="43"/>
      <c r="T31" s="43"/>
      <c r="U31" s="43"/>
    </row>
    <row r="32" spans="1:21" s="11" customFormat="1" x14ac:dyDescent="0.25">
      <c r="A32" s="54" t="s">
        <v>419</v>
      </c>
      <c r="B32" s="55">
        <v>5.12</v>
      </c>
      <c r="C32" s="55">
        <v>21.91</v>
      </c>
      <c r="D32" s="55">
        <v>34.11</v>
      </c>
      <c r="E32" s="55">
        <v>6.86</v>
      </c>
      <c r="F32" s="55">
        <v>13.65</v>
      </c>
      <c r="G32" s="55">
        <v>37.99</v>
      </c>
      <c r="H32" s="55">
        <v>18.32</v>
      </c>
      <c r="I32" s="55">
        <v>4.0999999999999996</v>
      </c>
      <c r="J32" s="55">
        <v>0.64</v>
      </c>
      <c r="K32" s="55">
        <v>194</v>
      </c>
      <c r="L32" s="55">
        <v>29.71</v>
      </c>
      <c r="M32" s="55">
        <v>73.11</v>
      </c>
      <c r="N32" s="55">
        <v>29</v>
      </c>
      <c r="O32" s="55">
        <v>0</v>
      </c>
      <c r="P32" s="55">
        <v>0.47</v>
      </c>
      <c r="Q32" s="55">
        <v>9.41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4.28</v>
      </c>
      <c r="C34" s="28">
        <f t="shared" si="0"/>
        <v>20.55</v>
      </c>
      <c r="D34" s="28">
        <f t="shared" si="0"/>
        <v>29.58</v>
      </c>
      <c r="E34" s="28">
        <f t="shared" si="0"/>
        <v>4.99</v>
      </c>
      <c r="F34" s="28">
        <f t="shared" si="0"/>
        <v>6.8</v>
      </c>
      <c r="G34" s="28">
        <f t="shared" si="0"/>
        <v>23.16</v>
      </c>
      <c r="H34" s="28">
        <f t="shared" si="0"/>
        <v>3.15</v>
      </c>
      <c r="I34" s="28">
        <f t="shared" si="0"/>
        <v>3.92</v>
      </c>
      <c r="J34" s="28">
        <f t="shared" si="0"/>
        <v>0.43</v>
      </c>
      <c r="K34" s="28">
        <f t="shared" si="0"/>
        <v>158.69999999999999</v>
      </c>
      <c r="L34" s="28">
        <f t="shared" si="0"/>
        <v>29.71</v>
      </c>
      <c r="M34" s="28">
        <f t="shared" si="0"/>
        <v>30.22</v>
      </c>
      <c r="N34" s="28">
        <f t="shared" si="0"/>
        <v>28.8</v>
      </c>
      <c r="O34" s="28">
        <f t="shared" si="0"/>
        <v>0</v>
      </c>
      <c r="P34" s="28">
        <f t="shared" si="0"/>
        <v>0.27</v>
      </c>
      <c r="Q34" s="28">
        <f t="shared" si="0"/>
        <v>9.4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16.14</v>
      </c>
      <c r="C35" s="29">
        <f t="shared" si="1"/>
        <v>34.090000000000003</v>
      </c>
      <c r="D35" s="29">
        <f t="shared" si="1"/>
        <v>56.41</v>
      </c>
      <c r="E35" s="29">
        <f t="shared" si="1"/>
        <v>15.52</v>
      </c>
      <c r="F35" s="29">
        <f t="shared" si="1"/>
        <v>30.4</v>
      </c>
      <c r="G35" s="29">
        <f t="shared" si="1"/>
        <v>84.28</v>
      </c>
      <c r="H35" s="29">
        <f t="shared" si="1"/>
        <v>333.57</v>
      </c>
      <c r="I35" s="29">
        <f t="shared" si="1"/>
        <v>4.2300000000000004</v>
      </c>
      <c r="J35" s="29">
        <f t="shared" si="1"/>
        <v>3.74</v>
      </c>
      <c r="K35" s="29">
        <f t="shared" si="1"/>
        <v>247.04</v>
      </c>
      <c r="L35" s="29">
        <f t="shared" si="1"/>
        <v>43.46</v>
      </c>
      <c r="M35" s="29">
        <f t="shared" si="1"/>
        <v>75.55</v>
      </c>
      <c r="N35" s="29">
        <f t="shared" si="1"/>
        <v>824.2</v>
      </c>
      <c r="O35" s="29">
        <f t="shared" si="1"/>
        <v>0</v>
      </c>
      <c r="P35" s="29">
        <f t="shared" si="1"/>
        <v>0.87</v>
      </c>
      <c r="Q35" s="29">
        <f t="shared" si="1"/>
        <v>9.7799999999999994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6.5004166666666654</v>
      </c>
      <c r="C36" s="28">
        <f t="shared" si="2"/>
        <v>25.227083333333336</v>
      </c>
      <c r="D36" s="28">
        <f t="shared" si="2"/>
        <v>39.1175</v>
      </c>
      <c r="E36" s="28">
        <f t="shared" si="2"/>
        <v>8.1245833333333337</v>
      </c>
      <c r="F36" s="28">
        <f t="shared" si="2"/>
        <v>15.558333333333335</v>
      </c>
      <c r="G36" s="28">
        <f t="shared" si="2"/>
        <v>45.507500000000014</v>
      </c>
      <c r="H36" s="28">
        <f t="shared" si="2"/>
        <v>30.384166666666669</v>
      </c>
      <c r="I36" s="28">
        <f t="shared" si="2"/>
        <v>4.0887500000000001</v>
      </c>
      <c r="J36" s="28">
        <f t="shared" si="2"/>
        <v>1.1108333333333331</v>
      </c>
      <c r="K36" s="28">
        <f t="shared" si="2"/>
        <v>224.10541666666663</v>
      </c>
      <c r="L36" s="28">
        <f t="shared" si="2"/>
        <v>34.465833333333336</v>
      </c>
      <c r="M36" s="28">
        <f t="shared" si="2"/>
        <v>52.500000000000007</v>
      </c>
      <c r="N36" s="28">
        <f t="shared" si="2"/>
        <v>244.18333333333337</v>
      </c>
      <c r="O36" s="28">
        <f t="shared" si="2"/>
        <v>0</v>
      </c>
      <c r="P36" s="28">
        <f t="shared" si="2"/>
        <v>0.54499999999999993</v>
      </c>
      <c r="Q36" s="28">
        <f t="shared" si="2"/>
        <v>9.5029166666666676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2.3878378052242137</v>
      </c>
      <c r="C37" s="28">
        <f t="shared" ref="C37:Q37" si="3">STDEV(C9:C32)</f>
        <v>3.5637248212297576</v>
      </c>
      <c r="D37" s="28">
        <f t="shared" si="3"/>
        <v>6.0302428028122659</v>
      </c>
      <c r="E37" s="28">
        <f t="shared" si="3"/>
        <v>2.4635410695682105</v>
      </c>
      <c r="F37" s="28">
        <f t="shared" si="3"/>
        <v>4.8557842394107817</v>
      </c>
      <c r="G37" s="28">
        <f t="shared" si="3"/>
        <v>12.245457809184609</v>
      </c>
      <c r="H37" s="28">
        <f t="shared" si="3"/>
        <v>64.868041968604075</v>
      </c>
      <c r="I37" s="28">
        <f t="shared" si="3"/>
        <v>6.7907385780033261E-2</v>
      </c>
      <c r="J37" s="28">
        <f t="shared" si="3"/>
        <v>0.85219367397969736</v>
      </c>
      <c r="K37" s="28">
        <f t="shared" si="3"/>
        <v>26.014574339776185</v>
      </c>
      <c r="L37" s="28">
        <f t="shared" si="3"/>
        <v>4.6182830582151322</v>
      </c>
      <c r="M37" s="28">
        <f t="shared" si="3"/>
        <v>13.458412917609158</v>
      </c>
      <c r="N37" s="28">
        <f t="shared" si="3"/>
        <v>283.06279172291613</v>
      </c>
      <c r="O37" s="28">
        <f t="shared" si="3"/>
        <v>0</v>
      </c>
      <c r="P37" s="28">
        <f t="shared" si="3"/>
        <v>0.13931509484680393</v>
      </c>
      <c r="Q37" s="28">
        <f t="shared" si="3"/>
        <v>0.11581391245804874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16/05/2025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7"/>
      <c r="B8" s="58" t="s">
        <v>22</v>
      </c>
      <c r="C8" s="58" t="s">
        <v>22</v>
      </c>
      <c r="D8" s="29" t="s">
        <v>42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58" t="s">
        <v>22</v>
      </c>
      <c r="R8" s="27"/>
      <c r="S8" s="29"/>
      <c r="T8" s="27"/>
      <c r="U8" s="27"/>
    </row>
    <row r="9" spans="1:21" s="11" customFormat="1" x14ac:dyDescent="0.25">
      <c r="A9" s="54" t="s">
        <v>420</v>
      </c>
      <c r="B9" s="55">
        <v>5.89</v>
      </c>
      <c r="C9" s="55">
        <v>17.95</v>
      </c>
      <c r="D9" s="55">
        <v>25.38</v>
      </c>
      <c r="E9" s="55">
        <v>5.18</v>
      </c>
      <c r="F9" s="55">
        <v>10.039999999999999</v>
      </c>
      <c r="G9" s="55">
        <v>36.229999999999997</v>
      </c>
      <c r="H9" s="55">
        <v>18.739999999999998</v>
      </c>
      <c r="I9" s="55">
        <v>4.0599999999999996</v>
      </c>
      <c r="J9" s="55">
        <v>1.02</v>
      </c>
      <c r="K9" s="55">
        <v>185.7</v>
      </c>
      <c r="L9" s="55">
        <v>29.21</v>
      </c>
      <c r="M9" s="55">
        <v>75.36</v>
      </c>
      <c r="N9" s="55">
        <v>29.1</v>
      </c>
      <c r="O9" s="55">
        <v>0</v>
      </c>
      <c r="P9" s="55">
        <v>0.49</v>
      </c>
      <c r="Q9" s="55">
        <v>9.42</v>
      </c>
      <c r="R9" s="43"/>
      <c r="S9" s="43"/>
      <c r="T9" s="43"/>
      <c r="U9" s="43"/>
    </row>
    <row r="10" spans="1:21" s="11" customFormat="1" x14ac:dyDescent="0.25">
      <c r="A10" s="54" t="s">
        <v>421</v>
      </c>
      <c r="B10" s="55">
        <v>5.82</v>
      </c>
      <c r="C10" s="55">
        <v>17.440000000000001</v>
      </c>
      <c r="D10" s="55">
        <v>25.15</v>
      </c>
      <c r="E10" s="55">
        <v>4.6399999999999997</v>
      </c>
      <c r="F10" s="55">
        <v>10.14</v>
      </c>
      <c r="G10" s="55">
        <v>32.56</v>
      </c>
      <c r="H10" s="55">
        <v>18.739999999999998</v>
      </c>
      <c r="I10" s="55">
        <v>4.08</v>
      </c>
      <c r="J10" s="55">
        <v>0.53</v>
      </c>
      <c r="K10" s="55">
        <v>193.75</v>
      </c>
      <c r="L10" s="55">
        <v>28.92</v>
      </c>
      <c r="M10" s="55">
        <v>77.05</v>
      </c>
      <c r="N10" s="55">
        <v>29.3</v>
      </c>
      <c r="O10" s="55">
        <v>0</v>
      </c>
      <c r="P10" s="55">
        <v>0.46</v>
      </c>
      <c r="Q10" s="55">
        <v>9.43</v>
      </c>
      <c r="R10" s="43"/>
      <c r="S10" s="43"/>
      <c r="T10" s="43"/>
      <c r="U10" s="43"/>
    </row>
    <row r="11" spans="1:21" s="11" customFormat="1" x14ac:dyDescent="0.25">
      <c r="A11" s="54" t="s">
        <v>422</v>
      </c>
      <c r="B11" s="55">
        <v>5.52</v>
      </c>
      <c r="C11" s="55">
        <v>16.07</v>
      </c>
      <c r="D11" s="55">
        <v>23.12</v>
      </c>
      <c r="E11" s="55">
        <v>4.87</v>
      </c>
      <c r="F11" s="55">
        <v>12.4</v>
      </c>
      <c r="G11" s="55">
        <v>30.97</v>
      </c>
      <c r="H11" s="55">
        <v>17.239999999999998</v>
      </c>
      <c r="I11" s="55">
        <v>4.13</v>
      </c>
      <c r="J11" s="55">
        <v>0.67</v>
      </c>
      <c r="K11" s="55">
        <v>221.6</v>
      </c>
      <c r="L11" s="55">
        <v>28.61</v>
      </c>
      <c r="M11" s="55">
        <v>78.64</v>
      </c>
      <c r="N11" s="55">
        <v>29.1</v>
      </c>
      <c r="O11" s="55">
        <v>0</v>
      </c>
      <c r="P11" s="55">
        <v>0.44</v>
      </c>
      <c r="Q11" s="55">
        <v>9.41</v>
      </c>
      <c r="R11" s="43"/>
      <c r="S11" s="43"/>
      <c r="T11" s="43"/>
      <c r="U11" s="43"/>
    </row>
    <row r="12" spans="1:21" s="11" customFormat="1" x14ac:dyDescent="0.25">
      <c r="A12" s="54" t="s">
        <v>423</v>
      </c>
      <c r="B12" s="55">
        <v>5.67</v>
      </c>
      <c r="C12" s="55">
        <v>15.23</v>
      </c>
      <c r="D12" s="55">
        <v>20.9</v>
      </c>
      <c r="E12" s="55">
        <v>4.8</v>
      </c>
      <c r="F12" s="55">
        <v>12.56</v>
      </c>
      <c r="G12" s="55">
        <v>26.25</v>
      </c>
      <c r="H12" s="55">
        <v>15.04</v>
      </c>
      <c r="I12" s="55">
        <v>4.09</v>
      </c>
      <c r="J12" s="55">
        <v>1.1499999999999999</v>
      </c>
      <c r="K12" s="55">
        <v>182.01</v>
      </c>
      <c r="L12" s="55">
        <v>28.27</v>
      </c>
      <c r="M12" s="55">
        <v>82.05</v>
      </c>
      <c r="N12" s="55">
        <v>29.5</v>
      </c>
      <c r="O12" s="55">
        <v>0</v>
      </c>
      <c r="P12" s="55">
        <v>0.4</v>
      </c>
      <c r="Q12" s="55">
        <v>9.3800000000000008</v>
      </c>
      <c r="R12" s="43"/>
      <c r="S12" s="43"/>
      <c r="T12" s="43"/>
      <c r="U12" s="43"/>
    </row>
    <row r="13" spans="1:21" s="11" customFormat="1" x14ac:dyDescent="0.25">
      <c r="A13" s="54" t="s">
        <v>424</v>
      </c>
      <c r="B13" s="55">
        <v>6.19</v>
      </c>
      <c r="C13" s="55">
        <v>17.760000000000002</v>
      </c>
      <c r="D13" s="55">
        <v>24.5</v>
      </c>
      <c r="E13" s="55">
        <v>4.5</v>
      </c>
      <c r="F13" s="55">
        <v>13.34</v>
      </c>
      <c r="G13" s="55">
        <v>24.66</v>
      </c>
      <c r="H13" s="55">
        <v>16.09</v>
      </c>
      <c r="I13" s="55">
        <v>4.07</v>
      </c>
      <c r="J13" s="55">
        <v>1</v>
      </c>
      <c r="K13" s="55">
        <v>190.99</v>
      </c>
      <c r="L13" s="55">
        <v>28.2</v>
      </c>
      <c r="M13" s="55">
        <v>82.59</v>
      </c>
      <c r="N13" s="55">
        <v>29.1</v>
      </c>
      <c r="O13" s="55">
        <v>0</v>
      </c>
      <c r="P13" s="55">
        <v>0.42</v>
      </c>
      <c r="Q13" s="55">
        <v>9.36</v>
      </c>
      <c r="R13" s="43"/>
      <c r="S13" s="43"/>
      <c r="T13" s="43"/>
      <c r="U13" s="43"/>
    </row>
    <row r="14" spans="1:21" s="11" customFormat="1" x14ac:dyDescent="0.25">
      <c r="A14" s="54" t="s">
        <v>425</v>
      </c>
      <c r="B14" s="55">
        <v>6.07</v>
      </c>
      <c r="C14" s="55">
        <v>17.32</v>
      </c>
      <c r="D14" s="55">
        <v>24.42</v>
      </c>
      <c r="E14" s="55">
        <v>4.6399999999999997</v>
      </c>
      <c r="F14" s="55">
        <v>8.73</v>
      </c>
      <c r="G14" s="55">
        <v>25.34</v>
      </c>
      <c r="H14" s="55">
        <v>16.09</v>
      </c>
      <c r="I14" s="55">
        <v>4.13</v>
      </c>
      <c r="J14" s="55">
        <v>1.18</v>
      </c>
      <c r="K14" s="55">
        <v>192.08</v>
      </c>
      <c r="L14" s="55">
        <v>28.25</v>
      </c>
      <c r="M14" s="55">
        <v>81.98</v>
      </c>
      <c r="N14" s="55">
        <v>60.6</v>
      </c>
      <c r="O14" s="55">
        <v>0</v>
      </c>
      <c r="P14" s="55">
        <v>0.42</v>
      </c>
      <c r="Q14" s="55">
        <v>9.39</v>
      </c>
      <c r="R14" s="43"/>
      <c r="S14" s="43"/>
      <c r="T14" s="43"/>
      <c r="U14" s="43"/>
    </row>
    <row r="15" spans="1:21" s="11" customFormat="1" x14ac:dyDescent="0.25">
      <c r="A15" s="54" t="s">
        <v>426</v>
      </c>
      <c r="B15" s="55">
        <v>7.71</v>
      </c>
      <c r="C15" s="55">
        <v>21.55</v>
      </c>
      <c r="D15" s="55">
        <v>29.74</v>
      </c>
      <c r="E15" s="55">
        <v>4.51</v>
      </c>
      <c r="F15" s="55">
        <v>5.76</v>
      </c>
      <c r="G15" s="55">
        <v>25.77</v>
      </c>
      <c r="H15" s="55">
        <v>13.94</v>
      </c>
      <c r="I15" s="55">
        <v>4.3</v>
      </c>
      <c r="J15" s="55">
        <v>1.01</v>
      </c>
      <c r="K15" s="55">
        <v>187.89</v>
      </c>
      <c r="L15" s="55">
        <v>29.27</v>
      </c>
      <c r="M15" s="55">
        <v>80.63</v>
      </c>
      <c r="N15" s="55">
        <v>152.6</v>
      </c>
      <c r="O15" s="55">
        <v>0</v>
      </c>
      <c r="P15" s="55">
        <v>0.44</v>
      </c>
      <c r="Q15" s="55">
        <v>9.42</v>
      </c>
      <c r="R15" s="43"/>
      <c r="S15" s="43"/>
      <c r="T15" s="43"/>
      <c r="U15" s="43"/>
    </row>
    <row r="16" spans="1:21" s="11" customFormat="1" x14ac:dyDescent="0.25">
      <c r="A16" s="54" t="s">
        <v>427</v>
      </c>
      <c r="B16" s="55">
        <v>7.88</v>
      </c>
      <c r="C16" s="55">
        <v>20.57</v>
      </c>
      <c r="D16" s="55">
        <v>28.05</v>
      </c>
      <c r="E16" s="55">
        <v>5.65</v>
      </c>
      <c r="F16" s="55">
        <v>13.27</v>
      </c>
      <c r="G16" s="55">
        <v>25.77</v>
      </c>
      <c r="H16" s="55">
        <v>13.94</v>
      </c>
      <c r="I16" s="55">
        <v>4.17</v>
      </c>
      <c r="J16" s="55">
        <v>0.66</v>
      </c>
      <c r="K16" s="55">
        <v>238.53</v>
      </c>
      <c r="L16" s="55">
        <v>32.29</v>
      </c>
      <c r="M16" s="55">
        <v>76.959999999999994</v>
      </c>
      <c r="N16" s="55">
        <v>380.5</v>
      </c>
      <c r="O16" s="55">
        <v>0</v>
      </c>
      <c r="P16" s="55">
        <v>0.52</v>
      </c>
      <c r="Q16" s="55">
        <v>9.43</v>
      </c>
      <c r="R16" s="43"/>
      <c r="S16" s="43"/>
      <c r="T16" s="43"/>
      <c r="U16" s="43"/>
    </row>
    <row r="17" spans="1:21" s="11" customFormat="1" x14ac:dyDescent="0.25">
      <c r="A17" s="54" t="s">
        <v>428</v>
      </c>
      <c r="B17" s="55">
        <v>7.45</v>
      </c>
      <c r="C17" s="55">
        <v>23.25</v>
      </c>
      <c r="D17" s="55">
        <v>33.08</v>
      </c>
      <c r="E17" s="55">
        <v>5.61</v>
      </c>
      <c r="F17" s="55">
        <v>14.26</v>
      </c>
      <c r="G17" s="55">
        <v>38.69</v>
      </c>
      <c r="H17" s="55">
        <v>15.33</v>
      </c>
      <c r="I17" s="55">
        <v>4.05</v>
      </c>
      <c r="J17" s="55">
        <v>0.84</v>
      </c>
      <c r="K17" s="55">
        <v>242.08</v>
      </c>
      <c r="L17" s="55">
        <v>34.75</v>
      </c>
      <c r="M17" s="55">
        <v>60.71</v>
      </c>
      <c r="N17" s="55">
        <v>423.2</v>
      </c>
      <c r="O17" s="55">
        <v>0</v>
      </c>
      <c r="P17" s="55">
        <v>0.54</v>
      </c>
      <c r="Q17" s="55">
        <v>9.3699999999999992</v>
      </c>
      <c r="R17" s="43"/>
      <c r="S17" s="43"/>
      <c r="T17" s="43"/>
      <c r="U17" s="43"/>
    </row>
    <row r="18" spans="1:21" s="11" customFormat="1" x14ac:dyDescent="0.25">
      <c r="A18" s="54" t="s">
        <v>429</v>
      </c>
      <c r="B18" s="55">
        <v>5.99</v>
      </c>
      <c r="C18" s="55">
        <v>23.28</v>
      </c>
      <c r="D18" s="55">
        <v>35.380000000000003</v>
      </c>
      <c r="E18" s="55">
        <v>6.2</v>
      </c>
      <c r="F18" s="55">
        <v>13.48</v>
      </c>
      <c r="G18" s="55">
        <v>42.38</v>
      </c>
      <c r="H18" s="55">
        <v>17.91</v>
      </c>
      <c r="I18" s="55">
        <v>4.07</v>
      </c>
      <c r="J18" s="55">
        <v>0.75</v>
      </c>
      <c r="K18" s="55">
        <v>242.02</v>
      </c>
      <c r="L18" s="55">
        <v>36.729999999999997</v>
      </c>
      <c r="M18" s="55">
        <v>49.91</v>
      </c>
      <c r="N18" s="55">
        <v>489.3</v>
      </c>
      <c r="O18" s="55">
        <v>0</v>
      </c>
      <c r="P18" s="55">
        <v>0.57999999999999996</v>
      </c>
      <c r="Q18" s="55">
        <v>9.33</v>
      </c>
      <c r="R18" s="43"/>
      <c r="S18" s="43"/>
      <c r="T18" s="43"/>
      <c r="U18" s="43"/>
    </row>
    <row r="19" spans="1:21" s="11" customFormat="1" x14ac:dyDescent="0.25">
      <c r="A19" s="54" t="s">
        <v>430</v>
      </c>
      <c r="B19" s="55">
        <v>5.64</v>
      </c>
      <c r="C19" s="55">
        <v>21.03</v>
      </c>
      <c r="D19" s="55">
        <v>31.6</v>
      </c>
      <c r="E19" s="55">
        <v>8.1</v>
      </c>
      <c r="F19" s="55">
        <v>16.45</v>
      </c>
      <c r="G19" s="55">
        <v>42.38</v>
      </c>
      <c r="H19" s="55">
        <v>17.91</v>
      </c>
      <c r="I19" s="55">
        <v>4.0999999999999996</v>
      </c>
      <c r="J19" s="55">
        <v>0.77</v>
      </c>
      <c r="K19" s="55">
        <v>242.42</v>
      </c>
      <c r="L19" s="55">
        <v>40.369999999999997</v>
      </c>
      <c r="M19" s="55">
        <v>44.61</v>
      </c>
      <c r="N19" s="55">
        <v>760.6</v>
      </c>
      <c r="O19" s="55">
        <v>0</v>
      </c>
      <c r="P19" s="55">
        <v>0.71</v>
      </c>
      <c r="Q19" s="55">
        <v>9.32</v>
      </c>
      <c r="R19" s="43"/>
      <c r="S19" s="43"/>
      <c r="T19" s="43"/>
      <c r="U19" s="43"/>
    </row>
    <row r="20" spans="1:21" s="11" customFormat="1" x14ac:dyDescent="0.25">
      <c r="A20" s="54" t="s">
        <v>431</v>
      </c>
      <c r="B20" s="55">
        <v>6.21</v>
      </c>
      <c r="C20" s="55">
        <v>22.95</v>
      </c>
      <c r="D20" s="55">
        <v>34.590000000000003</v>
      </c>
      <c r="E20" s="55">
        <v>14.78</v>
      </c>
      <c r="F20" s="55">
        <v>26.32</v>
      </c>
      <c r="G20" s="55">
        <v>47.01</v>
      </c>
      <c r="H20" s="55">
        <v>18.149999999999999</v>
      </c>
      <c r="I20" s="55">
        <v>4.1500000000000004</v>
      </c>
      <c r="J20" s="55">
        <v>0.88</v>
      </c>
      <c r="K20" s="55">
        <v>248.03</v>
      </c>
      <c r="L20" s="55">
        <v>41.74</v>
      </c>
      <c r="M20" s="55">
        <v>36.54</v>
      </c>
      <c r="N20" s="55">
        <v>790.7</v>
      </c>
      <c r="O20" s="55">
        <v>0</v>
      </c>
      <c r="P20" s="55">
        <v>0.89</v>
      </c>
      <c r="Q20" s="55">
        <v>9.34</v>
      </c>
      <c r="R20" s="43"/>
      <c r="S20" s="43"/>
      <c r="T20" s="43"/>
      <c r="U20" s="43"/>
    </row>
    <row r="21" spans="1:21" s="11" customFormat="1" x14ac:dyDescent="0.25">
      <c r="A21" s="54" t="s">
        <v>432</v>
      </c>
      <c r="B21" s="55">
        <v>6.82</v>
      </c>
      <c r="C21" s="55">
        <v>24.23</v>
      </c>
      <c r="D21" s="55">
        <v>35.9</v>
      </c>
      <c r="E21" s="55">
        <v>16.170000000000002</v>
      </c>
      <c r="F21" s="55">
        <v>24.46</v>
      </c>
      <c r="G21" s="55">
        <v>47.01</v>
      </c>
      <c r="H21" s="55">
        <v>18.149999999999999</v>
      </c>
      <c r="I21" s="55">
        <v>4.05</v>
      </c>
      <c r="J21" s="55">
        <v>0.89</v>
      </c>
      <c r="K21" s="55">
        <v>261.83999999999997</v>
      </c>
      <c r="L21" s="55">
        <v>41.8</v>
      </c>
      <c r="M21" s="55">
        <v>34.049999999999997</v>
      </c>
      <c r="N21" s="55">
        <v>761.8</v>
      </c>
      <c r="O21" s="55">
        <v>0</v>
      </c>
      <c r="P21" s="55">
        <v>0.78</v>
      </c>
      <c r="Q21" s="55">
        <v>9.36</v>
      </c>
      <c r="R21" s="43"/>
      <c r="S21" s="43"/>
      <c r="T21" s="43"/>
      <c r="U21" s="43"/>
    </row>
    <row r="22" spans="1:21" s="11" customFormat="1" x14ac:dyDescent="0.25">
      <c r="A22" s="54" t="s">
        <v>433</v>
      </c>
      <c r="B22" s="55">
        <v>4.67</v>
      </c>
      <c r="C22" s="55">
        <v>20.39</v>
      </c>
      <c r="D22" s="55">
        <v>31.86</v>
      </c>
      <c r="E22" s="55">
        <v>8.99</v>
      </c>
      <c r="F22" s="55">
        <v>17.829999999999998</v>
      </c>
      <c r="G22" s="55">
        <v>52.85</v>
      </c>
      <c r="H22" s="55">
        <v>21.02</v>
      </c>
      <c r="I22" s="55">
        <v>4.0599999999999996</v>
      </c>
      <c r="J22" s="55">
        <v>0.89</v>
      </c>
      <c r="K22" s="55">
        <v>242.52</v>
      </c>
      <c r="L22" s="55">
        <v>39.03</v>
      </c>
      <c r="M22" s="55">
        <v>38.369999999999997</v>
      </c>
      <c r="N22" s="55">
        <v>488</v>
      </c>
      <c r="O22" s="55">
        <v>0</v>
      </c>
      <c r="P22" s="55">
        <v>0.61</v>
      </c>
      <c r="Q22" s="55">
        <v>9.33</v>
      </c>
      <c r="R22" s="43"/>
      <c r="S22" s="43"/>
      <c r="T22" s="43"/>
      <c r="U22" s="43"/>
    </row>
    <row r="23" spans="1:21" s="11" customFormat="1" x14ac:dyDescent="0.25">
      <c r="A23" s="54" t="s">
        <v>434</v>
      </c>
      <c r="B23" s="55">
        <v>4.66</v>
      </c>
      <c r="C23" s="55">
        <v>17.89</v>
      </c>
      <c r="D23" s="55">
        <v>27.22</v>
      </c>
      <c r="E23" s="55">
        <v>7.3</v>
      </c>
      <c r="F23" s="55">
        <v>18.87</v>
      </c>
      <c r="G23" s="55">
        <v>57.18</v>
      </c>
      <c r="H23" s="55">
        <v>21.02</v>
      </c>
      <c r="I23" s="55">
        <v>4.08</v>
      </c>
      <c r="J23" s="55">
        <v>0.9</v>
      </c>
      <c r="K23" s="55">
        <v>218.44</v>
      </c>
      <c r="L23" s="55">
        <v>37.49</v>
      </c>
      <c r="M23" s="55">
        <v>44.21</v>
      </c>
      <c r="N23" s="55">
        <v>372</v>
      </c>
      <c r="O23" s="55">
        <v>0</v>
      </c>
      <c r="P23" s="55">
        <v>0.56999999999999995</v>
      </c>
      <c r="Q23" s="55">
        <v>9.27</v>
      </c>
      <c r="R23" s="43"/>
      <c r="S23" s="43"/>
      <c r="T23" s="43"/>
      <c r="U23" s="43"/>
    </row>
    <row r="24" spans="1:21" s="11" customFormat="1" x14ac:dyDescent="0.25">
      <c r="A24" s="54" t="s">
        <v>435</v>
      </c>
      <c r="B24" s="55">
        <v>4.9800000000000004</v>
      </c>
      <c r="C24" s="55">
        <v>20.29</v>
      </c>
      <c r="D24" s="55">
        <v>31.19</v>
      </c>
      <c r="E24" s="55">
        <v>7.81</v>
      </c>
      <c r="F24" s="55">
        <v>26.34</v>
      </c>
      <c r="G24" s="55">
        <v>57.18</v>
      </c>
      <c r="H24" s="55">
        <v>28.28</v>
      </c>
      <c r="I24" s="55">
        <v>4.1100000000000003</v>
      </c>
      <c r="J24" s="55">
        <v>0.77</v>
      </c>
      <c r="K24" s="55">
        <v>229.89</v>
      </c>
      <c r="L24" s="55">
        <v>37.270000000000003</v>
      </c>
      <c r="M24" s="55">
        <v>40.98</v>
      </c>
      <c r="N24" s="55">
        <v>237.8</v>
      </c>
      <c r="O24" s="55">
        <v>0</v>
      </c>
      <c r="P24" s="55">
        <v>0.49</v>
      </c>
      <c r="Q24" s="55">
        <v>9.26</v>
      </c>
      <c r="R24" s="43"/>
      <c r="S24" s="43"/>
      <c r="T24" s="43"/>
      <c r="U24" s="43"/>
    </row>
    <row r="25" spans="1:21" s="11" customFormat="1" x14ac:dyDescent="0.25">
      <c r="A25" s="54" t="s">
        <v>436</v>
      </c>
      <c r="B25" s="55">
        <v>5.1100000000000003</v>
      </c>
      <c r="C25" s="55">
        <v>24.22</v>
      </c>
      <c r="D25" s="55">
        <v>38.81</v>
      </c>
      <c r="E25" s="55">
        <v>11.46</v>
      </c>
      <c r="F25" s="55">
        <v>28.47</v>
      </c>
      <c r="G25" s="55">
        <v>50.78</v>
      </c>
      <c r="H25" s="55">
        <v>28.28</v>
      </c>
      <c r="I25" s="55">
        <v>4.09</v>
      </c>
      <c r="J25" s="55">
        <v>1.34</v>
      </c>
      <c r="K25" s="55">
        <v>183.07</v>
      </c>
      <c r="L25" s="55">
        <v>37.69</v>
      </c>
      <c r="M25" s="55">
        <v>41.31</v>
      </c>
      <c r="N25" s="55">
        <v>248.3</v>
      </c>
      <c r="O25" s="55">
        <v>0</v>
      </c>
      <c r="P25" s="55">
        <v>0.48</v>
      </c>
      <c r="Q25" s="55">
        <v>9.3000000000000007</v>
      </c>
      <c r="R25" s="43"/>
      <c r="S25" s="43"/>
      <c r="T25" s="43"/>
      <c r="U25" s="43"/>
    </row>
    <row r="26" spans="1:21" s="11" customFormat="1" x14ac:dyDescent="0.25">
      <c r="A26" s="54" t="s">
        <v>437</v>
      </c>
      <c r="B26" s="55">
        <v>15.92</v>
      </c>
      <c r="C26" s="55">
        <v>48.22</v>
      </c>
      <c r="D26" s="55">
        <v>67.86</v>
      </c>
      <c r="E26" s="55">
        <v>10.85</v>
      </c>
      <c r="F26" s="55">
        <v>24.91</v>
      </c>
      <c r="G26" s="55">
        <v>51.27</v>
      </c>
      <c r="H26" s="55">
        <v>24.77</v>
      </c>
      <c r="I26" s="55">
        <v>4.0599999999999996</v>
      </c>
      <c r="J26" s="55">
        <v>0.91</v>
      </c>
      <c r="K26" s="55">
        <v>239.44</v>
      </c>
      <c r="L26" s="55">
        <v>37.32</v>
      </c>
      <c r="M26" s="55">
        <v>45.21</v>
      </c>
      <c r="N26" s="55">
        <v>92.3</v>
      </c>
      <c r="O26" s="55">
        <v>0</v>
      </c>
      <c r="P26" s="55">
        <v>0.85</v>
      </c>
      <c r="Q26" s="55">
        <v>9.35</v>
      </c>
      <c r="R26" s="43"/>
      <c r="S26" s="43"/>
      <c r="T26" s="43"/>
      <c r="U26" s="43"/>
    </row>
    <row r="27" spans="1:21" s="11" customFormat="1" x14ac:dyDescent="0.25">
      <c r="A27" s="54" t="s">
        <v>438</v>
      </c>
      <c r="B27" s="55">
        <v>11.62</v>
      </c>
      <c r="C27" s="55">
        <v>38.840000000000003</v>
      </c>
      <c r="D27" s="55">
        <v>57.83</v>
      </c>
      <c r="E27" s="55">
        <v>11.79</v>
      </c>
      <c r="F27" s="55">
        <v>22.89</v>
      </c>
      <c r="G27" s="55">
        <v>53.33</v>
      </c>
      <c r="H27" s="55">
        <v>23.33</v>
      </c>
      <c r="I27" s="55">
        <v>4.09</v>
      </c>
      <c r="J27" s="55">
        <v>0.61</v>
      </c>
      <c r="K27" s="55">
        <v>280.72000000000003</v>
      </c>
      <c r="L27" s="55">
        <v>35.81</v>
      </c>
      <c r="M27" s="55">
        <v>43.14</v>
      </c>
      <c r="N27" s="55">
        <v>43</v>
      </c>
      <c r="O27" s="55">
        <v>0</v>
      </c>
      <c r="P27" s="55">
        <v>0.93</v>
      </c>
      <c r="Q27" s="55">
        <v>9.3699999999999992</v>
      </c>
      <c r="R27" s="43"/>
      <c r="S27" s="43"/>
      <c r="T27" s="43"/>
      <c r="U27" s="43"/>
    </row>
    <row r="28" spans="1:21" s="11" customFormat="1" x14ac:dyDescent="0.25">
      <c r="A28" s="54" t="s">
        <v>439</v>
      </c>
      <c r="B28" s="55">
        <v>6.39</v>
      </c>
      <c r="C28" s="55">
        <v>30.98</v>
      </c>
      <c r="D28" s="55">
        <v>50.66</v>
      </c>
      <c r="E28" s="55">
        <v>9.48</v>
      </c>
      <c r="F28" s="55">
        <v>16.47</v>
      </c>
      <c r="G28" s="55">
        <v>53.33</v>
      </c>
      <c r="H28" s="55">
        <v>19.13</v>
      </c>
      <c r="I28" s="55">
        <v>4.1500000000000004</v>
      </c>
      <c r="J28" s="55">
        <v>2.42</v>
      </c>
      <c r="K28" s="55">
        <v>156.56</v>
      </c>
      <c r="L28" s="55">
        <v>34.4</v>
      </c>
      <c r="M28" s="55">
        <v>64.349999999999994</v>
      </c>
      <c r="N28" s="55">
        <v>34.299999999999997</v>
      </c>
      <c r="O28" s="55">
        <v>0</v>
      </c>
      <c r="P28" s="55">
        <v>0.63</v>
      </c>
      <c r="Q28" s="55">
        <v>9.3699999999999992</v>
      </c>
      <c r="R28" s="43"/>
      <c r="S28" s="43"/>
      <c r="T28" s="43"/>
      <c r="U28" s="43"/>
    </row>
    <row r="29" spans="1:21" s="11" customFormat="1" x14ac:dyDescent="0.25">
      <c r="A29" s="54" t="s">
        <v>440</v>
      </c>
      <c r="B29" s="55">
        <v>5.13</v>
      </c>
      <c r="C29" s="55">
        <v>20.07</v>
      </c>
      <c r="D29" s="55">
        <v>30.68</v>
      </c>
      <c r="E29" s="55">
        <v>5.83</v>
      </c>
      <c r="F29" s="55">
        <v>7.11</v>
      </c>
      <c r="G29" s="55">
        <v>52.57</v>
      </c>
      <c r="H29" s="55">
        <v>18.97</v>
      </c>
      <c r="I29" s="55">
        <v>4.05</v>
      </c>
      <c r="J29" s="55">
        <v>2.25</v>
      </c>
      <c r="K29" s="55">
        <v>157.4</v>
      </c>
      <c r="L29" s="55">
        <v>29.86</v>
      </c>
      <c r="M29" s="55">
        <v>66.28</v>
      </c>
      <c r="N29" s="55">
        <v>29.5</v>
      </c>
      <c r="O29" s="55">
        <v>0</v>
      </c>
      <c r="P29" s="55">
        <v>0.56000000000000005</v>
      </c>
      <c r="Q29" s="55">
        <v>9.35</v>
      </c>
      <c r="R29" s="43"/>
      <c r="S29" s="43"/>
      <c r="T29" s="43"/>
      <c r="U29" s="43"/>
    </row>
    <row r="30" spans="1:21" s="11" customFormat="1" x14ac:dyDescent="0.25">
      <c r="A30" s="54" t="s">
        <v>441</v>
      </c>
      <c r="B30" s="55">
        <v>5.17</v>
      </c>
      <c r="C30" s="55">
        <v>20.059999999999999</v>
      </c>
      <c r="D30" s="55">
        <v>30.52</v>
      </c>
      <c r="E30" s="55">
        <v>5.37</v>
      </c>
      <c r="F30" s="55">
        <v>15.13</v>
      </c>
      <c r="G30" s="55">
        <v>44.52</v>
      </c>
      <c r="H30" s="55">
        <v>15.27</v>
      </c>
      <c r="I30" s="55">
        <v>4.03</v>
      </c>
      <c r="J30" s="55">
        <v>1.51</v>
      </c>
      <c r="K30" s="55">
        <v>231.26</v>
      </c>
      <c r="L30" s="55">
        <v>29.55</v>
      </c>
      <c r="M30" s="55">
        <v>72.040000000000006</v>
      </c>
      <c r="N30" s="55">
        <v>30.6</v>
      </c>
      <c r="O30" s="55">
        <v>0</v>
      </c>
      <c r="P30" s="55">
        <v>0.46</v>
      </c>
      <c r="Q30" s="55">
        <v>9.31</v>
      </c>
      <c r="R30" s="43"/>
      <c r="S30" s="43"/>
      <c r="T30" s="43"/>
      <c r="U30" s="43"/>
    </row>
    <row r="31" spans="1:21" s="11" customFormat="1" x14ac:dyDescent="0.25">
      <c r="A31" s="54" t="s">
        <v>442</v>
      </c>
      <c r="B31" s="55">
        <v>4.8899999999999997</v>
      </c>
      <c r="C31" s="55">
        <v>17.77</v>
      </c>
      <c r="D31" s="55">
        <v>26.51</v>
      </c>
      <c r="E31" s="55">
        <v>5.42</v>
      </c>
      <c r="F31" s="55">
        <v>8.34</v>
      </c>
      <c r="G31" s="55">
        <v>38.89</v>
      </c>
      <c r="H31" s="55">
        <v>16.07</v>
      </c>
      <c r="I31" s="55">
        <v>4.05</v>
      </c>
      <c r="J31" s="55">
        <v>1.3</v>
      </c>
      <c r="K31" s="55">
        <v>233.42</v>
      </c>
      <c r="L31" s="55">
        <v>28.33</v>
      </c>
      <c r="M31" s="55">
        <v>82.95</v>
      </c>
      <c r="N31" s="55">
        <v>30.5</v>
      </c>
      <c r="O31" s="55">
        <v>0</v>
      </c>
      <c r="P31" s="55">
        <v>0.4</v>
      </c>
      <c r="Q31" s="55">
        <v>9.32</v>
      </c>
      <c r="R31" s="43"/>
      <c r="S31" s="43"/>
      <c r="T31" s="43"/>
      <c r="U31" s="43"/>
    </row>
    <row r="32" spans="1:21" s="11" customFormat="1" x14ac:dyDescent="0.25">
      <c r="A32" s="54" t="s">
        <v>443</v>
      </c>
      <c r="B32" s="55">
        <v>4.63</v>
      </c>
      <c r="C32" s="55">
        <v>15.68</v>
      </c>
      <c r="D32" s="55">
        <v>23.04</v>
      </c>
      <c r="E32" s="55">
        <v>5.29</v>
      </c>
      <c r="F32" s="55">
        <v>8.44</v>
      </c>
      <c r="G32" s="55">
        <v>51.96</v>
      </c>
      <c r="H32" s="55">
        <v>16.07</v>
      </c>
      <c r="I32" s="55">
        <v>4.0999999999999996</v>
      </c>
      <c r="J32" s="55">
        <v>0.93</v>
      </c>
      <c r="K32" s="55">
        <v>219.13</v>
      </c>
      <c r="L32" s="55">
        <v>27.43</v>
      </c>
      <c r="M32" s="55">
        <v>82.43</v>
      </c>
      <c r="N32" s="55">
        <v>29.1</v>
      </c>
      <c r="O32" s="55">
        <v>0</v>
      </c>
      <c r="P32" s="55">
        <v>0.31</v>
      </c>
      <c r="Q32" s="55">
        <v>9.31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4.63</v>
      </c>
      <c r="C34" s="28">
        <f t="shared" si="0"/>
        <v>15.23</v>
      </c>
      <c r="D34" s="28">
        <f t="shared" si="0"/>
        <v>20.9</v>
      </c>
      <c r="E34" s="28">
        <f t="shared" si="0"/>
        <v>4.5</v>
      </c>
      <c r="F34" s="28">
        <f t="shared" si="0"/>
        <v>5.76</v>
      </c>
      <c r="G34" s="28">
        <f t="shared" si="0"/>
        <v>24.66</v>
      </c>
      <c r="H34" s="28">
        <f t="shared" si="0"/>
        <v>13.94</v>
      </c>
      <c r="I34" s="28">
        <f t="shared" si="0"/>
        <v>4.03</v>
      </c>
      <c r="J34" s="28">
        <f t="shared" si="0"/>
        <v>0.53</v>
      </c>
      <c r="K34" s="28">
        <f t="shared" si="0"/>
        <v>156.56</v>
      </c>
      <c r="L34" s="28">
        <f t="shared" si="0"/>
        <v>27.43</v>
      </c>
      <c r="M34" s="28">
        <f t="shared" si="0"/>
        <v>34.049999999999997</v>
      </c>
      <c r="N34" s="28">
        <f t="shared" si="0"/>
        <v>29.1</v>
      </c>
      <c r="O34" s="28">
        <f t="shared" si="0"/>
        <v>0</v>
      </c>
      <c r="P34" s="28">
        <f t="shared" si="0"/>
        <v>0.31</v>
      </c>
      <c r="Q34" s="28">
        <f t="shared" si="0"/>
        <v>9.26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15.92</v>
      </c>
      <c r="C35" s="29">
        <f t="shared" si="1"/>
        <v>48.22</v>
      </c>
      <c r="D35" s="29">
        <f t="shared" si="1"/>
        <v>67.86</v>
      </c>
      <c r="E35" s="29">
        <f t="shared" si="1"/>
        <v>16.170000000000002</v>
      </c>
      <c r="F35" s="29">
        <f t="shared" si="1"/>
        <v>28.47</v>
      </c>
      <c r="G35" s="29">
        <f t="shared" si="1"/>
        <v>57.18</v>
      </c>
      <c r="H35" s="29">
        <f t="shared" si="1"/>
        <v>28.28</v>
      </c>
      <c r="I35" s="29">
        <f t="shared" si="1"/>
        <v>4.3</v>
      </c>
      <c r="J35" s="29">
        <f t="shared" si="1"/>
        <v>2.42</v>
      </c>
      <c r="K35" s="29">
        <f t="shared" si="1"/>
        <v>280.72000000000003</v>
      </c>
      <c r="L35" s="29">
        <f t="shared" si="1"/>
        <v>41.8</v>
      </c>
      <c r="M35" s="29">
        <f t="shared" si="1"/>
        <v>82.95</v>
      </c>
      <c r="N35" s="29">
        <f t="shared" si="1"/>
        <v>790.7</v>
      </c>
      <c r="O35" s="29">
        <f t="shared" si="1"/>
        <v>0</v>
      </c>
      <c r="P35" s="29">
        <f t="shared" si="1"/>
        <v>0.93</v>
      </c>
      <c r="Q35" s="29">
        <f t="shared" si="1"/>
        <v>9.43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6.501249999999998</v>
      </c>
      <c r="C36" s="28">
        <f t="shared" si="2"/>
        <v>22.209999999999997</v>
      </c>
      <c r="D36" s="28">
        <f t="shared" si="2"/>
        <v>32.832916666666669</v>
      </c>
      <c r="E36" s="28">
        <f t="shared" si="2"/>
        <v>7.4683333333333328</v>
      </c>
      <c r="F36" s="28">
        <f t="shared" si="2"/>
        <v>15.667083333333332</v>
      </c>
      <c r="G36" s="28">
        <f t="shared" si="2"/>
        <v>42.036666666666669</v>
      </c>
      <c r="H36" s="28">
        <f t="shared" si="2"/>
        <v>18.728333333333328</v>
      </c>
      <c r="I36" s="28">
        <f t="shared" si="2"/>
        <v>4.0966666666666667</v>
      </c>
      <c r="J36" s="28">
        <f t="shared" si="2"/>
        <v>1.0491666666666666</v>
      </c>
      <c r="K36" s="28">
        <f t="shared" si="2"/>
        <v>217.53291666666669</v>
      </c>
      <c r="L36" s="28">
        <f t="shared" si="2"/>
        <v>33.441250000000004</v>
      </c>
      <c r="M36" s="28">
        <f t="shared" si="2"/>
        <v>61.764583333333341</v>
      </c>
      <c r="N36" s="28">
        <f t="shared" si="2"/>
        <v>233.36666666666676</v>
      </c>
      <c r="O36" s="28">
        <f t="shared" si="2"/>
        <v>0</v>
      </c>
      <c r="P36" s="28">
        <f t="shared" si="2"/>
        <v>0.55750000000000011</v>
      </c>
      <c r="Q36" s="28">
        <f t="shared" si="2"/>
        <v>9.3541666666666679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2.5012750009614737</v>
      </c>
      <c r="C37" s="28">
        <f t="shared" ref="C37:Q37" si="3">STDEV(C9:C32)</f>
        <v>7.5574754238838731</v>
      </c>
      <c r="D37" s="28">
        <f t="shared" si="3"/>
        <v>11.288365491558741</v>
      </c>
      <c r="E37" s="28">
        <f t="shared" si="3"/>
        <v>3.3570013361651361</v>
      </c>
      <c r="F37" s="28">
        <f t="shared" si="3"/>
        <v>6.7521007868834291</v>
      </c>
      <c r="G37" s="28">
        <f t="shared" si="3"/>
        <v>11.19762228901906</v>
      </c>
      <c r="H37" s="28">
        <f t="shared" si="3"/>
        <v>3.9897506369355509</v>
      </c>
      <c r="I37" s="28">
        <f t="shared" si="3"/>
        <v>5.6773131019850438E-2</v>
      </c>
      <c r="J37" s="28">
        <f t="shared" si="3"/>
        <v>0.46132999286718918</v>
      </c>
      <c r="K37" s="28">
        <f t="shared" si="3"/>
        <v>32.610489973941725</v>
      </c>
      <c r="L37" s="28">
        <f t="shared" si="3"/>
        <v>4.9033549406414352</v>
      </c>
      <c r="M37" s="28">
        <f t="shared" si="3"/>
        <v>18.320279326512672</v>
      </c>
      <c r="N37" s="28">
        <f t="shared" si="3"/>
        <v>262.21444205685617</v>
      </c>
      <c r="O37" s="28">
        <f t="shared" si="3"/>
        <v>0</v>
      </c>
      <c r="P37" s="28">
        <f t="shared" si="3"/>
        <v>0.16529946474044646</v>
      </c>
      <c r="Q37" s="28">
        <f t="shared" si="3"/>
        <v>4.7814557240007591E-2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17/05/2025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7"/>
      <c r="B8" s="58" t="s">
        <v>22</v>
      </c>
      <c r="C8" s="58" t="s">
        <v>22</v>
      </c>
      <c r="D8" s="29" t="s">
        <v>42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58" t="s">
        <v>22</v>
      </c>
      <c r="R8" s="27"/>
      <c r="S8" s="29"/>
      <c r="T8" s="27"/>
      <c r="U8" s="27"/>
    </row>
    <row r="9" spans="1:21" s="11" customFormat="1" x14ac:dyDescent="0.25">
      <c r="A9" s="54" t="s">
        <v>444</v>
      </c>
      <c r="B9" s="55">
        <v>4.7699999999999996</v>
      </c>
      <c r="C9" s="55">
        <v>14.96</v>
      </c>
      <c r="D9" s="55">
        <v>21.31</v>
      </c>
      <c r="E9" s="55">
        <v>5.41</v>
      </c>
      <c r="F9" s="55">
        <v>6.88</v>
      </c>
      <c r="G9" s="55">
        <v>51.96</v>
      </c>
      <c r="H9" s="55">
        <v>13.91</v>
      </c>
      <c r="I9" s="55">
        <v>4.04</v>
      </c>
      <c r="J9" s="55">
        <v>0.88</v>
      </c>
      <c r="K9" s="55">
        <v>234</v>
      </c>
      <c r="L9" s="55">
        <v>27.93</v>
      </c>
      <c r="M9" s="55">
        <v>78.47</v>
      </c>
      <c r="N9" s="55">
        <v>29.4</v>
      </c>
      <c r="O9" s="55">
        <v>0</v>
      </c>
      <c r="P9" s="55">
        <v>0.28000000000000003</v>
      </c>
      <c r="Q9" s="55">
        <v>9.26</v>
      </c>
      <c r="R9" s="43"/>
      <c r="S9" s="43"/>
      <c r="T9" s="43"/>
      <c r="U9" s="43"/>
    </row>
    <row r="10" spans="1:21" s="11" customFormat="1" x14ac:dyDescent="0.25">
      <c r="A10" s="54" t="s">
        <v>445</v>
      </c>
      <c r="B10" s="55">
        <v>4.8600000000000003</v>
      </c>
      <c r="C10" s="55">
        <v>13.95</v>
      </c>
      <c r="D10" s="55">
        <v>19.36</v>
      </c>
      <c r="E10" s="55">
        <v>5.17</v>
      </c>
      <c r="F10" s="55">
        <v>8.64</v>
      </c>
      <c r="G10" s="55">
        <v>32.53</v>
      </c>
      <c r="H10" s="55">
        <v>13.91</v>
      </c>
      <c r="I10" s="55">
        <v>4.17</v>
      </c>
      <c r="J10" s="55">
        <v>1.01</v>
      </c>
      <c r="K10" s="55">
        <v>236.5</v>
      </c>
      <c r="L10" s="55">
        <v>27.44</v>
      </c>
      <c r="M10" s="55">
        <v>84.3</v>
      </c>
      <c r="N10" s="55">
        <v>30.1</v>
      </c>
      <c r="O10" s="55">
        <v>0</v>
      </c>
      <c r="P10" s="55">
        <v>0.31</v>
      </c>
      <c r="Q10" s="55">
        <v>9.27</v>
      </c>
      <c r="R10" s="43"/>
      <c r="S10" s="43"/>
      <c r="T10" s="43"/>
      <c r="U10" s="43"/>
    </row>
    <row r="11" spans="1:21" s="11" customFormat="1" x14ac:dyDescent="0.25">
      <c r="A11" s="54" t="s">
        <v>446</v>
      </c>
      <c r="B11" s="55">
        <v>5.01</v>
      </c>
      <c r="C11" s="55">
        <v>14.91</v>
      </c>
      <c r="D11" s="55">
        <v>20.85</v>
      </c>
      <c r="E11" s="55">
        <v>4.79</v>
      </c>
      <c r="F11" s="55">
        <v>6.74</v>
      </c>
      <c r="G11" s="55">
        <v>18.07</v>
      </c>
      <c r="H11" s="55">
        <v>12.24</v>
      </c>
      <c r="I11" s="55">
        <v>4.16</v>
      </c>
      <c r="J11" s="55">
        <v>0.73</v>
      </c>
      <c r="K11" s="55">
        <v>237.3</v>
      </c>
      <c r="L11" s="55">
        <v>27.02</v>
      </c>
      <c r="M11" s="55">
        <v>82.79</v>
      </c>
      <c r="N11" s="55">
        <v>29.1</v>
      </c>
      <c r="O11" s="55">
        <v>0</v>
      </c>
      <c r="P11" s="55">
        <v>0.3</v>
      </c>
      <c r="Q11" s="55">
        <v>9.26</v>
      </c>
      <c r="R11" s="43"/>
      <c r="S11" s="43"/>
      <c r="T11" s="43"/>
      <c r="U11" s="43"/>
    </row>
    <row r="12" spans="1:21" s="11" customFormat="1" x14ac:dyDescent="0.25">
      <c r="A12" s="54" t="s">
        <v>447</v>
      </c>
      <c r="B12" s="55">
        <v>5.39</v>
      </c>
      <c r="C12" s="55">
        <v>17.940000000000001</v>
      </c>
      <c r="D12" s="55">
        <v>26.29</v>
      </c>
      <c r="E12" s="55">
        <v>5.1100000000000003</v>
      </c>
      <c r="F12" s="55">
        <v>6.1</v>
      </c>
      <c r="G12" s="55">
        <v>12.07</v>
      </c>
      <c r="H12" s="55">
        <v>10.050000000000001</v>
      </c>
      <c r="I12" s="55">
        <v>4.09</v>
      </c>
      <c r="J12" s="55">
        <v>1.31</v>
      </c>
      <c r="K12" s="55">
        <v>235.95</v>
      </c>
      <c r="L12" s="55">
        <v>27.11</v>
      </c>
      <c r="M12" s="55">
        <v>83.64</v>
      </c>
      <c r="N12" s="55">
        <v>29.5</v>
      </c>
      <c r="O12" s="55">
        <v>0</v>
      </c>
      <c r="P12" s="55">
        <v>0.53</v>
      </c>
      <c r="Q12" s="55">
        <v>9.2899999999999991</v>
      </c>
      <c r="R12" s="43"/>
      <c r="S12" s="43"/>
      <c r="T12" s="43"/>
      <c r="U12" s="43"/>
    </row>
    <row r="13" spans="1:21" s="11" customFormat="1" x14ac:dyDescent="0.25">
      <c r="A13" s="54" t="s">
        <v>448</v>
      </c>
      <c r="B13" s="55">
        <v>5.52</v>
      </c>
      <c r="C13" s="55">
        <v>16.7</v>
      </c>
      <c r="D13" s="55">
        <v>23.52</v>
      </c>
      <c r="E13" s="55">
        <v>5.35</v>
      </c>
      <c r="F13" s="55">
        <v>5.04</v>
      </c>
      <c r="G13" s="55">
        <v>29.65</v>
      </c>
      <c r="H13" s="55">
        <v>9.01</v>
      </c>
      <c r="I13" s="55">
        <v>4.03</v>
      </c>
      <c r="J13" s="55">
        <v>1.1100000000000001</v>
      </c>
      <c r="K13" s="55">
        <v>162.02000000000001</v>
      </c>
      <c r="L13" s="55">
        <v>26.66</v>
      </c>
      <c r="M13" s="55">
        <v>86.2</v>
      </c>
      <c r="N13" s="55">
        <v>29.7</v>
      </c>
      <c r="O13" s="55">
        <v>0</v>
      </c>
      <c r="P13" s="55">
        <v>0.36</v>
      </c>
      <c r="Q13" s="55">
        <v>9.3000000000000007</v>
      </c>
      <c r="R13" s="43"/>
      <c r="S13" s="43"/>
      <c r="T13" s="43"/>
      <c r="U13" s="43"/>
    </row>
    <row r="14" spans="1:21" s="11" customFormat="1" x14ac:dyDescent="0.25">
      <c r="A14" s="54" t="s">
        <v>449</v>
      </c>
      <c r="B14" s="55">
        <v>5.55</v>
      </c>
      <c r="C14" s="55">
        <v>16.350000000000001</v>
      </c>
      <c r="D14" s="55">
        <v>22.82</v>
      </c>
      <c r="E14" s="55">
        <v>5.38</v>
      </c>
      <c r="F14" s="55">
        <v>10.02</v>
      </c>
      <c r="G14" s="55">
        <v>29.65</v>
      </c>
      <c r="H14" s="55">
        <v>8.57</v>
      </c>
      <c r="I14" s="55">
        <v>4.12</v>
      </c>
      <c r="J14" s="55">
        <v>1.1499999999999999</v>
      </c>
      <c r="K14" s="55">
        <v>191.98</v>
      </c>
      <c r="L14" s="55">
        <v>26.17</v>
      </c>
      <c r="M14" s="55">
        <v>86.81</v>
      </c>
      <c r="N14" s="55">
        <v>44</v>
      </c>
      <c r="O14" s="55">
        <v>0</v>
      </c>
      <c r="P14" s="55">
        <v>0.35</v>
      </c>
      <c r="Q14" s="55">
        <v>9.2899999999999991</v>
      </c>
      <c r="R14" s="43"/>
      <c r="S14" s="43"/>
      <c r="T14" s="43"/>
      <c r="U14" s="43"/>
    </row>
    <row r="15" spans="1:21" s="11" customFormat="1" x14ac:dyDescent="0.25">
      <c r="A15" s="54" t="s">
        <v>450</v>
      </c>
      <c r="B15" s="55">
        <v>5.84</v>
      </c>
      <c r="C15" s="55">
        <v>17.43</v>
      </c>
      <c r="D15" s="55">
        <v>24.41</v>
      </c>
      <c r="E15" s="55">
        <v>5.21</v>
      </c>
      <c r="F15" s="55">
        <v>10.56</v>
      </c>
      <c r="G15" s="55">
        <v>18.29</v>
      </c>
      <c r="H15" s="55">
        <v>9.7200000000000006</v>
      </c>
      <c r="I15" s="55">
        <v>4.05</v>
      </c>
      <c r="J15" s="55">
        <v>0.71</v>
      </c>
      <c r="K15" s="55">
        <v>214</v>
      </c>
      <c r="L15" s="55">
        <v>26.3</v>
      </c>
      <c r="M15" s="55">
        <v>86.93</v>
      </c>
      <c r="N15" s="55">
        <v>84.7</v>
      </c>
      <c r="O15" s="55">
        <v>0</v>
      </c>
      <c r="P15" s="55">
        <v>0.3</v>
      </c>
      <c r="Q15" s="55">
        <v>9.2799999999999994</v>
      </c>
      <c r="R15" s="43"/>
      <c r="S15" s="43"/>
      <c r="T15" s="43"/>
      <c r="U15" s="43"/>
    </row>
    <row r="16" spans="1:21" s="11" customFormat="1" x14ac:dyDescent="0.25">
      <c r="A16" s="54" t="s">
        <v>451</v>
      </c>
      <c r="B16" s="55">
        <v>6.41</v>
      </c>
      <c r="C16" s="55">
        <v>18.46</v>
      </c>
      <c r="D16" s="55">
        <v>25.67</v>
      </c>
      <c r="E16" s="55">
        <v>4.93</v>
      </c>
      <c r="F16" s="55">
        <v>5.22</v>
      </c>
      <c r="G16" s="55">
        <v>14.71</v>
      </c>
      <c r="H16" s="55">
        <v>14.11</v>
      </c>
      <c r="I16" s="55">
        <v>4.0199999999999996</v>
      </c>
      <c r="J16" s="55">
        <v>0.7</v>
      </c>
      <c r="K16" s="55">
        <v>229.57</v>
      </c>
      <c r="L16" s="55">
        <v>27.46</v>
      </c>
      <c r="M16" s="55">
        <v>86.03</v>
      </c>
      <c r="N16" s="55">
        <v>146</v>
      </c>
      <c r="O16" s="55">
        <v>0</v>
      </c>
      <c r="P16" s="55">
        <v>0.33</v>
      </c>
      <c r="Q16" s="55">
        <v>9.2899999999999991</v>
      </c>
      <c r="R16" s="43"/>
      <c r="S16" s="43"/>
      <c r="T16" s="43"/>
      <c r="U16" s="43"/>
    </row>
    <row r="17" spans="1:21" s="11" customFormat="1" x14ac:dyDescent="0.25">
      <c r="A17" s="54" t="s">
        <v>452</v>
      </c>
      <c r="B17" s="55">
        <v>6.11</v>
      </c>
      <c r="C17" s="55">
        <v>17.829999999999998</v>
      </c>
      <c r="D17" s="55">
        <v>25.22</v>
      </c>
      <c r="E17" s="55">
        <v>4.32</v>
      </c>
      <c r="F17" s="55">
        <v>4.68</v>
      </c>
      <c r="G17" s="55">
        <v>16.309999999999999</v>
      </c>
      <c r="H17" s="55">
        <v>14.11</v>
      </c>
      <c r="I17" s="55">
        <v>4.18</v>
      </c>
      <c r="J17" s="55">
        <v>0.76</v>
      </c>
      <c r="K17" s="55">
        <v>239.22</v>
      </c>
      <c r="L17" s="55">
        <v>28.49</v>
      </c>
      <c r="M17" s="55">
        <v>83.9</v>
      </c>
      <c r="N17" s="55">
        <v>200.5</v>
      </c>
      <c r="O17" s="55">
        <v>0</v>
      </c>
      <c r="P17" s="55">
        <v>0.35</v>
      </c>
      <c r="Q17" s="55">
        <v>9.2899999999999991</v>
      </c>
      <c r="R17" s="43"/>
      <c r="S17" s="43"/>
      <c r="T17" s="43"/>
      <c r="U17" s="43"/>
    </row>
    <row r="18" spans="1:21" s="11" customFormat="1" x14ac:dyDescent="0.25">
      <c r="A18" s="54" t="s">
        <v>453</v>
      </c>
      <c r="B18" s="55">
        <v>6.92</v>
      </c>
      <c r="C18" s="55">
        <v>22.81</v>
      </c>
      <c r="D18" s="55">
        <v>33.03</v>
      </c>
      <c r="E18" s="55">
        <v>4.13</v>
      </c>
      <c r="F18" s="55">
        <v>5.3</v>
      </c>
      <c r="G18" s="55">
        <v>19.190000000000001</v>
      </c>
      <c r="H18" s="55">
        <v>12.93</v>
      </c>
      <c r="I18" s="55">
        <v>4.13</v>
      </c>
      <c r="J18" s="55">
        <v>0.75</v>
      </c>
      <c r="K18" s="55">
        <v>235.09</v>
      </c>
      <c r="L18" s="55">
        <v>31.82</v>
      </c>
      <c r="M18" s="55">
        <v>79.010000000000005</v>
      </c>
      <c r="N18" s="55">
        <v>615.79999999999995</v>
      </c>
      <c r="O18" s="55">
        <v>0</v>
      </c>
      <c r="P18" s="55">
        <v>0.62</v>
      </c>
      <c r="Q18" s="55">
        <v>9.31</v>
      </c>
      <c r="R18" s="43"/>
      <c r="S18" s="43"/>
      <c r="T18" s="43"/>
      <c r="U18" s="43"/>
    </row>
    <row r="19" spans="1:21" s="11" customFormat="1" x14ac:dyDescent="0.25">
      <c r="A19" s="54" t="s">
        <v>454</v>
      </c>
      <c r="B19" s="55">
        <v>7.28</v>
      </c>
      <c r="C19" s="55">
        <v>24.31</v>
      </c>
      <c r="D19" s="55">
        <v>36.03</v>
      </c>
      <c r="E19" s="55">
        <v>4.91</v>
      </c>
      <c r="F19" s="55">
        <v>8.08</v>
      </c>
      <c r="G19" s="55">
        <v>27.51</v>
      </c>
      <c r="H19" s="55">
        <v>15.05</v>
      </c>
      <c r="I19" s="55">
        <v>4.0999999999999996</v>
      </c>
      <c r="J19" s="55">
        <v>0.87</v>
      </c>
      <c r="K19" s="55">
        <v>240.52</v>
      </c>
      <c r="L19" s="55">
        <v>34.630000000000003</v>
      </c>
      <c r="M19" s="55">
        <v>62.4</v>
      </c>
      <c r="N19" s="55">
        <v>725</v>
      </c>
      <c r="O19" s="55">
        <v>0</v>
      </c>
      <c r="P19" s="55">
        <v>0.83</v>
      </c>
      <c r="Q19" s="55">
        <v>9.31</v>
      </c>
      <c r="R19" s="43"/>
      <c r="S19" s="43"/>
      <c r="T19" s="43"/>
      <c r="U19" s="43"/>
    </row>
    <row r="20" spans="1:21" s="11" customFormat="1" x14ac:dyDescent="0.25">
      <c r="A20" s="54" t="s">
        <v>455</v>
      </c>
      <c r="B20" s="55">
        <v>6.34</v>
      </c>
      <c r="C20" s="55">
        <v>25.4</v>
      </c>
      <c r="D20" s="55">
        <v>38.94</v>
      </c>
      <c r="E20" s="55">
        <v>4.57</v>
      </c>
      <c r="F20" s="55">
        <v>8.68</v>
      </c>
      <c r="G20" s="55">
        <v>37.72</v>
      </c>
      <c r="H20" s="55">
        <v>22.5</v>
      </c>
      <c r="I20" s="55">
        <v>4.1100000000000003</v>
      </c>
      <c r="J20" s="55">
        <v>0.86</v>
      </c>
      <c r="K20" s="55">
        <v>241.09</v>
      </c>
      <c r="L20" s="55">
        <v>34.25</v>
      </c>
      <c r="M20" s="55">
        <v>57.79</v>
      </c>
      <c r="N20" s="55">
        <v>469.5</v>
      </c>
      <c r="O20" s="55">
        <v>0</v>
      </c>
      <c r="P20" s="55">
        <v>0.88</v>
      </c>
      <c r="Q20" s="55">
        <v>9.33</v>
      </c>
      <c r="R20" s="43"/>
      <c r="S20" s="43"/>
      <c r="T20" s="43"/>
      <c r="U20" s="43"/>
    </row>
    <row r="21" spans="1:21" s="11" customFormat="1" x14ac:dyDescent="0.25">
      <c r="A21" s="54" t="s">
        <v>456</v>
      </c>
      <c r="B21" s="55">
        <v>6.49</v>
      </c>
      <c r="C21" s="55">
        <v>23.08</v>
      </c>
      <c r="D21" s="55">
        <v>34.46</v>
      </c>
      <c r="E21" s="55">
        <v>4.43</v>
      </c>
      <c r="F21" s="55">
        <v>10.91</v>
      </c>
      <c r="G21" s="55">
        <v>37.72</v>
      </c>
      <c r="H21" s="55">
        <v>22.5</v>
      </c>
      <c r="I21" s="55">
        <v>4.05</v>
      </c>
      <c r="J21" s="55">
        <v>0.85</v>
      </c>
      <c r="K21" s="55">
        <v>243.63</v>
      </c>
      <c r="L21" s="55">
        <v>37.9</v>
      </c>
      <c r="M21" s="55">
        <v>51.86</v>
      </c>
      <c r="N21" s="55">
        <v>646.29999999999995</v>
      </c>
      <c r="O21" s="55">
        <v>0</v>
      </c>
      <c r="P21" s="55">
        <v>0.92</v>
      </c>
      <c r="Q21" s="55">
        <v>9.33</v>
      </c>
      <c r="R21" s="43"/>
      <c r="S21" s="43"/>
      <c r="T21" s="43"/>
      <c r="U21" s="43"/>
    </row>
    <row r="22" spans="1:21" s="11" customFormat="1" x14ac:dyDescent="0.25">
      <c r="A22" s="54" t="s">
        <v>457</v>
      </c>
      <c r="B22" s="55">
        <v>7.77</v>
      </c>
      <c r="C22" s="55">
        <v>23.99</v>
      </c>
      <c r="D22" s="55">
        <v>34.36</v>
      </c>
      <c r="E22" s="55">
        <v>7.19</v>
      </c>
      <c r="F22" s="55">
        <v>24.49</v>
      </c>
      <c r="G22" s="55">
        <v>41.89</v>
      </c>
      <c r="H22" s="55">
        <v>19.940000000000001</v>
      </c>
      <c r="I22" s="55">
        <v>3.97</v>
      </c>
      <c r="J22" s="55">
        <v>0.87</v>
      </c>
      <c r="K22" s="55">
        <v>250.63</v>
      </c>
      <c r="L22" s="55">
        <v>38.5</v>
      </c>
      <c r="M22" s="55">
        <v>44.94</v>
      </c>
      <c r="N22" s="55">
        <v>520.6</v>
      </c>
      <c r="O22" s="55">
        <v>0</v>
      </c>
      <c r="P22" s="55">
        <v>0.86</v>
      </c>
      <c r="Q22" s="55">
        <v>9.33</v>
      </c>
      <c r="R22" s="43"/>
      <c r="S22" s="43"/>
      <c r="T22" s="43"/>
      <c r="U22" s="43"/>
    </row>
    <row r="23" spans="1:21" s="11" customFormat="1" x14ac:dyDescent="0.25">
      <c r="A23" s="54" t="s">
        <v>458</v>
      </c>
      <c r="B23" s="55">
        <v>8.17</v>
      </c>
      <c r="C23" s="55">
        <v>32.090000000000003</v>
      </c>
      <c r="D23" s="55">
        <v>48.87</v>
      </c>
      <c r="E23" s="55">
        <v>9.0399999999999991</v>
      </c>
      <c r="F23" s="55">
        <v>33.06</v>
      </c>
      <c r="G23" s="55">
        <v>41.89</v>
      </c>
      <c r="H23" s="55">
        <v>19.940000000000001</v>
      </c>
      <c r="I23" s="55">
        <v>3.99</v>
      </c>
      <c r="J23" s="55">
        <v>0.68</v>
      </c>
      <c r="K23" s="55">
        <v>250.99</v>
      </c>
      <c r="L23" s="55">
        <v>39.19</v>
      </c>
      <c r="M23" s="55">
        <v>46.92</v>
      </c>
      <c r="N23" s="55">
        <v>362</v>
      </c>
      <c r="O23" s="55">
        <v>0</v>
      </c>
      <c r="P23" s="55">
        <v>0.67</v>
      </c>
      <c r="Q23" s="55">
        <v>9.33</v>
      </c>
      <c r="R23" s="43"/>
      <c r="S23" s="43"/>
      <c r="T23" s="43"/>
      <c r="U23" s="43"/>
    </row>
    <row r="24" spans="1:21" s="11" customFormat="1" x14ac:dyDescent="0.25">
      <c r="A24" s="54" t="s">
        <v>459</v>
      </c>
      <c r="B24" s="55">
        <v>8.7200000000000006</v>
      </c>
      <c r="C24" s="55">
        <v>29.17</v>
      </c>
      <c r="D24" s="55">
        <v>42.44</v>
      </c>
      <c r="E24" s="55">
        <v>8.86</v>
      </c>
      <c r="F24" s="55">
        <v>30.09</v>
      </c>
      <c r="G24" s="55">
        <v>36.69</v>
      </c>
      <c r="H24" s="55">
        <v>19.14</v>
      </c>
      <c r="I24" s="55">
        <v>4.13</v>
      </c>
      <c r="J24" s="55">
        <v>1.1599999999999999</v>
      </c>
      <c r="K24" s="55">
        <v>252.21</v>
      </c>
      <c r="L24" s="55">
        <v>39.44</v>
      </c>
      <c r="M24" s="55">
        <v>43.58</v>
      </c>
      <c r="N24" s="55">
        <v>264.2</v>
      </c>
      <c r="O24" s="55">
        <v>0</v>
      </c>
      <c r="P24" s="55">
        <v>0.62</v>
      </c>
      <c r="Q24" s="55">
        <v>9.33</v>
      </c>
      <c r="R24" s="43"/>
      <c r="S24" s="43"/>
      <c r="T24" s="43"/>
      <c r="U24" s="43"/>
    </row>
    <row r="25" spans="1:21" s="11" customFormat="1" x14ac:dyDescent="0.25">
      <c r="A25" s="54" t="s">
        <v>460</v>
      </c>
      <c r="B25" s="55">
        <v>5.04</v>
      </c>
      <c r="C25" s="55">
        <v>22.03</v>
      </c>
      <c r="D25" s="55">
        <v>34.69</v>
      </c>
      <c r="E25" s="55">
        <v>7.1</v>
      </c>
      <c r="F25" s="55">
        <v>24.69</v>
      </c>
      <c r="G25" s="55">
        <v>43.01</v>
      </c>
      <c r="H25" s="55">
        <v>16.329999999999998</v>
      </c>
      <c r="I25" s="55">
        <v>4.0999999999999996</v>
      </c>
      <c r="J25" s="55">
        <v>1.1299999999999999</v>
      </c>
      <c r="K25" s="55">
        <v>205.56</v>
      </c>
      <c r="L25" s="55">
        <v>36.57</v>
      </c>
      <c r="M25" s="55">
        <v>49.37</v>
      </c>
      <c r="N25" s="55">
        <v>188.2</v>
      </c>
      <c r="O25" s="55">
        <v>0</v>
      </c>
      <c r="P25" s="55">
        <v>0.68</v>
      </c>
      <c r="Q25" s="55">
        <v>9.31</v>
      </c>
      <c r="R25" s="43"/>
      <c r="S25" s="43"/>
      <c r="T25" s="43"/>
      <c r="U25" s="43"/>
    </row>
    <row r="26" spans="1:21" s="11" customFormat="1" x14ac:dyDescent="0.25">
      <c r="A26" s="54" t="s">
        <v>461</v>
      </c>
      <c r="B26" s="55">
        <v>4.8600000000000003</v>
      </c>
      <c r="C26" s="55">
        <v>25.56</v>
      </c>
      <c r="D26" s="55">
        <v>41.61</v>
      </c>
      <c r="E26" s="55">
        <v>6.17</v>
      </c>
      <c r="F26" s="55">
        <v>26.96</v>
      </c>
      <c r="G26" s="55">
        <v>43.01</v>
      </c>
      <c r="H26" s="55">
        <v>16.329999999999998</v>
      </c>
      <c r="I26" s="55">
        <v>4.0999999999999996</v>
      </c>
      <c r="J26" s="55">
        <v>0.76</v>
      </c>
      <c r="K26" s="55">
        <v>210.99</v>
      </c>
      <c r="L26" s="55">
        <v>35.700000000000003</v>
      </c>
      <c r="M26" s="55">
        <v>50.08</v>
      </c>
      <c r="N26" s="55">
        <v>94.6</v>
      </c>
      <c r="O26" s="55">
        <v>0</v>
      </c>
      <c r="P26" s="55">
        <v>0.56999999999999995</v>
      </c>
      <c r="Q26" s="55">
        <v>9.2799999999999994</v>
      </c>
      <c r="R26" s="43"/>
      <c r="S26" s="43"/>
      <c r="T26" s="43"/>
      <c r="U26" s="43"/>
    </row>
    <row r="27" spans="1:21" s="11" customFormat="1" x14ac:dyDescent="0.25">
      <c r="A27" s="54" t="s">
        <v>462</v>
      </c>
      <c r="B27" s="55">
        <v>5.19</v>
      </c>
      <c r="C27" s="55">
        <v>26.66</v>
      </c>
      <c r="D27" s="55">
        <v>43.06</v>
      </c>
      <c r="E27" s="55">
        <v>5.8</v>
      </c>
      <c r="F27" s="55">
        <v>22.45</v>
      </c>
      <c r="G27" s="55">
        <v>40.9</v>
      </c>
      <c r="H27" s="55">
        <v>13.83</v>
      </c>
      <c r="I27" s="55">
        <v>4.1500000000000004</v>
      </c>
      <c r="J27" s="55">
        <v>1.06</v>
      </c>
      <c r="K27" s="55">
        <v>184.63</v>
      </c>
      <c r="L27" s="55">
        <v>34.79</v>
      </c>
      <c r="M27" s="55">
        <v>58.67</v>
      </c>
      <c r="N27" s="55">
        <v>42.7</v>
      </c>
      <c r="O27" s="55">
        <v>0</v>
      </c>
      <c r="P27" s="55">
        <v>0.51</v>
      </c>
      <c r="Q27" s="55">
        <v>9.25</v>
      </c>
      <c r="R27" s="43"/>
      <c r="S27" s="43"/>
      <c r="T27" s="43"/>
      <c r="U27" s="43"/>
    </row>
    <row r="28" spans="1:21" s="11" customFormat="1" x14ac:dyDescent="0.25">
      <c r="A28" s="54" t="s">
        <v>463</v>
      </c>
      <c r="B28" s="55">
        <v>5.64</v>
      </c>
      <c r="C28" s="55">
        <v>32.119999999999997</v>
      </c>
      <c r="D28" s="55">
        <v>53.57</v>
      </c>
      <c r="E28" s="55">
        <v>5.58</v>
      </c>
      <c r="F28" s="55">
        <v>23.63</v>
      </c>
      <c r="G28" s="55">
        <v>32.28</v>
      </c>
      <c r="H28" s="55">
        <v>13.48</v>
      </c>
      <c r="I28" s="55">
        <v>4.07</v>
      </c>
      <c r="J28" s="55">
        <v>0.76</v>
      </c>
      <c r="K28" s="55">
        <v>188.12</v>
      </c>
      <c r="L28" s="55">
        <v>33.35</v>
      </c>
      <c r="M28" s="55">
        <v>62.43</v>
      </c>
      <c r="N28" s="55">
        <v>29.3</v>
      </c>
      <c r="O28" s="55">
        <v>0</v>
      </c>
      <c r="P28" s="55">
        <v>0.61</v>
      </c>
      <c r="Q28" s="55">
        <v>9.2899999999999991</v>
      </c>
      <c r="R28" s="43"/>
      <c r="S28" s="43"/>
      <c r="T28" s="43"/>
      <c r="U28" s="43"/>
    </row>
    <row r="29" spans="1:21" s="11" customFormat="1" x14ac:dyDescent="0.25">
      <c r="A29" s="54" t="s">
        <v>464</v>
      </c>
      <c r="B29" s="55">
        <v>6.89</v>
      </c>
      <c r="C29" s="55">
        <v>43.15</v>
      </c>
      <c r="D29" s="55">
        <v>72.849999999999994</v>
      </c>
      <c r="E29" s="55">
        <v>5.36</v>
      </c>
      <c r="F29" s="55">
        <v>23.02</v>
      </c>
      <c r="G29" s="55">
        <v>36.32</v>
      </c>
      <c r="H29" s="55">
        <v>13.27</v>
      </c>
      <c r="I29" s="55">
        <v>4.22</v>
      </c>
      <c r="J29" s="55">
        <v>0.68</v>
      </c>
      <c r="K29" s="55">
        <v>192.74</v>
      </c>
      <c r="L29" s="55">
        <v>32.67</v>
      </c>
      <c r="M29" s="55">
        <v>64.81</v>
      </c>
      <c r="N29" s="55">
        <v>29.1</v>
      </c>
      <c r="O29" s="55">
        <v>0</v>
      </c>
      <c r="P29" s="55">
        <v>0.73</v>
      </c>
      <c r="Q29" s="55">
        <v>9.32</v>
      </c>
      <c r="R29" s="43"/>
      <c r="S29" s="43"/>
      <c r="T29" s="43"/>
      <c r="U29" s="43"/>
    </row>
    <row r="30" spans="1:21" s="11" customFormat="1" x14ac:dyDescent="0.25">
      <c r="A30" s="54" t="s">
        <v>465</v>
      </c>
      <c r="B30" s="55">
        <v>17.55</v>
      </c>
      <c r="C30" s="55">
        <v>61.83</v>
      </c>
      <c r="D30" s="55">
        <v>91.4</v>
      </c>
      <c r="E30" s="55">
        <v>5.15</v>
      </c>
      <c r="F30" s="55">
        <v>15.73</v>
      </c>
      <c r="G30" s="55">
        <v>36.32</v>
      </c>
      <c r="H30" s="55">
        <v>14.87</v>
      </c>
      <c r="I30" s="55">
        <v>4.0999999999999996</v>
      </c>
      <c r="J30" s="55">
        <v>1.01</v>
      </c>
      <c r="K30" s="55">
        <v>153.30000000000001</v>
      </c>
      <c r="L30" s="55">
        <v>32.450000000000003</v>
      </c>
      <c r="M30" s="55">
        <v>64.27</v>
      </c>
      <c r="N30" s="55">
        <v>29.2</v>
      </c>
      <c r="O30" s="55">
        <v>0</v>
      </c>
      <c r="P30" s="55">
        <v>0.67</v>
      </c>
      <c r="Q30" s="55">
        <v>9.3699999999999992</v>
      </c>
      <c r="R30" s="43"/>
      <c r="S30" s="43"/>
      <c r="T30" s="43"/>
      <c r="U30" s="43"/>
    </row>
    <row r="31" spans="1:21" s="11" customFormat="1" x14ac:dyDescent="0.25">
      <c r="A31" s="54" t="s">
        <v>466</v>
      </c>
      <c r="B31" s="55">
        <v>12.07</v>
      </c>
      <c r="C31" s="55">
        <v>57.52</v>
      </c>
      <c r="D31" s="55">
        <v>91.55</v>
      </c>
      <c r="E31" s="55">
        <v>5.03</v>
      </c>
      <c r="F31" s="55">
        <v>19.12</v>
      </c>
      <c r="G31" s="55">
        <v>36.479999999999997</v>
      </c>
      <c r="H31" s="55">
        <v>15.77</v>
      </c>
      <c r="I31" s="55">
        <v>4.2</v>
      </c>
      <c r="J31" s="55">
        <v>0.51</v>
      </c>
      <c r="K31" s="55">
        <v>175.63</v>
      </c>
      <c r="L31" s="55">
        <v>32.36</v>
      </c>
      <c r="M31" s="55">
        <v>60.25</v>
      </c>
      <c r="N31" s="55">
        <v>29.4</v>
      </c>
      <c r="O31" s="55">
        <v>0</v>
      </c>
      <c r="P31" s="55">
        <v>0.61</v>
      </c>
      <c r="Q31" s="55">
        <v>9.41</v>
      </c>
      <c r="R31" s="43"/>
      <c r="S31" s="43"/>
      <c r="T31" s="43"/>
      <c r="U31" s="43"/>
    </row>
    <row r="32" spans="1:21" s="11" customFormat="1" x14ac:dyDescent="0.25">
      <c r="A32" s="54" t="s">
        <v>467</v>
      </c>
      <c r="B32" s="55">
        <v>14.19</v>
      </c>
      <c r="C32" s="55">
        <v>54.92</v>
      </c>
      <c r="D32" s="55">
        <v>83.33</v>
      </c>
      <c r="E32" s="55">
        <v>5.32</v>
      </c>
      <c r="F32" s="55">
        <v>19.54</v>
      </c>
      <c r="G32" s="55">
        <v>38.880000000000003</v>
      </c>
      <c r="H32" s="55">
        <v>15.77</v>
      </c>
      <c r="I32" s="55">
        <v>4.0599999999999996</v>
      </c>
      <c r="J32" s="55">
        <v>0.36</v>
      </c>
      <c r="K32" s="55">
        <v>248.12</v>
      </c>
      <c r="L32" s="55">
        <v>32.229999999999997</v>
      </c>
      <c r="M32" s="55">
        <v>63.06</v>
      </c>
      <c r="N32" s="55">
        <v>29.7</v>
      </c>
      <c r="O32" s="55">
        <v>0</v>
      </c>
      <c r="P32" s="55">
        <v>0.83</v>
      </c>
      <c r="Q32" s="55">
        <v>9.41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4.7699999999999996</v>
      </c>
      <c r="C34" s="28">
        <f t="shared" si="0"/>
        <v>13.95</v>
      </c>
      <c r="D34" s="28">
        <f t="shared" si="0"/>
        <v>19.36</v>
      </c>
      <c r="E34" s="28">
        <f t="shared" si="0"/>
        <v>4.13</v>
      </c>
      <c r="F34" s="28">
        <f t="shared" si="0"/>
        <v>4.68</v>
      </c>
      <c r="G34" s="28">
        <f t="shared" si="0"/>
        <v>12.07</v>
      </c>
      <c r="H34" s="28">
        <f t="shared" si="0"/>
        <v>8.57</v>
      </c>
      <c r="I34" s="28">
        <f t="shared" si="0"/>
        <v>3.97</v>
      </c>
      <c r="J34" s="28">
        <f t="shared" si="0"/>
        <v>0.36</v>
      </c>
      <c r="K34" s="28">
        <f t="shared" si="0"/>
        <v>153.30000000000001</v>
      </c>
      <c r="L34" s="28">
        <f t="shared" si="0"/>
        <v>26.17</v>
      </c>
      <c r="M34" s="28">
        <f t="shared" si="0"/>
        <v>43.58</v>
      </c>
      <c r="N34" s="28">
        <f t="shared" si="0"/>
        <v>29.1</v>
      </c>
      <c r="O34" s="28">
        <f t="shared" si="0"/>
        <v>0</v>
      </c>
      <c r="P34" s="28">
        <f t="shared" si="0"/>
        <v>0.28000000000000003</v>
      </c>
      <c r="Q34" s="28">
        <f t="shared" si="0"/>
        <v>9.25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17.55</v>
      </c>
      <c r="C35" s="29">
        <f t="shared" si="1"/>
        <v>61.83</v>
      </c>
      <c r="D35" s="29">
        <f t="shared" si="1"/>
        <v>91.55</v>
      </c>
      <c r="E35" s="29">
        <f t="shared" si="1"/>
        <v>9.0399999999999991</v>
      </c>
      <c r="F35" s="29">
        <f t="shared" si="1"/>
        <v>33.06</v>
      </c>
      <c r="G35" s="29">
        <f t="shared" si="1"/>
        <v>51.96</v>
      </c>
      <c r="H35" s="29">
        <f t="shared" si="1"/>
        <v>22.5</v>
      </c>
      <c r="I35" s="29">
        <f t="shared" si="1"/>
        <v>4.22</v>
      </c>
      <c r="J35" s="29">
        <f t="shared" si="1"/>
        <v>1.31</v>
      </c>
      <c r="K35" s="29">
        <f t="shared" si="1"/>
        <v>252.21</v>
      </c>
      <c r="L35" s="29">
        <f t="shared" si="1"/>
        <v>39.44</v>
      </c>
      <c r="M35" s="29">
        <f t="shared" si="1"/>
        <v>86.93</v>
      </c>
      <c r="N35" s="29">
        <f t="shared" si="1"/>
        <v>725</v>
      </c>
      <c r="O35" s="29">
        <f t="shared" si="1"/>
        <v>0</v>
      </c>
      <c r="P35" s="29">
        <f t="shared" si="1"/>
        <v>0.92</v>
      </c>
      <c r="Q35" s="29">
        <f t="shared" si="1"/>
        <v>9.41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7.190833333333333</v>
      </c>
      <c r="C36" s="28">
        <f t="shared" si="2"/>
        <v>27.21541666666667</v>
      </c>
      <c r="D36" s="28">
        <f t="shared" si="2"/>
        <v>41.235000000000007</v>
      </c>
      <c r="E36" s="28">
        <f t="shared" si="2"/>
        <v>5.5962499999999986</v>
      </c>
      <c r="F36" s="28">
        <f t="shared" si="2"/>
        <v>14.984583333333333</v>
      </c>
      <c r="G36" s="28">
        <f t="shared" si="2"/>
        <v>32.210416666666667</v>
      </c>
      <c r="H36" s="28">
        <f t="shared" si="2"/>
        <v>14.886666666666663</v>
      </c>
      <c r="I36" s="28">
        <f t="shared" si="2"/>
        <v>4.0974999999999993</v>
      </c>
      <c r="J36" s="28">
        <f t="shared" si="2"/>
        <v>0.86125000000000007</v>
      </c>
      <c r="K36" s="28">
        <f t="shared" si="2"/>
        <v>218.90791666666669</v>
      </c>
      <c r="L36" s="28">
        <f t="shared" si="2"/>
        <v>32.10125</v>
      </c>
      <c r="M36" s="28">
        <f t="shared" si="2"/>
        <v>67.437916666666652</v>
      </c>
      <c r="N36" s="28">
        <f t="shared" si="2"/>
        <v>195.77500000000001</v>
      </c>
      <c r="O36" s="28">
        <f t="shared" si="2"/>
        <v>0</v>
      </c>
      <c r="P36" s="28">
        <f t="shared" si="2"/>
        <v>0.57166666666666666</v>
      </c>
      <c r="Q36" s="28">
        <f t="shared" si="2"/>
        <v>9.31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3.1620891782197584</v>
      </c>
      <c r="C37" s="28">
        <f t="shared" ref="C37:Q37" si="3">STDEV(C9:C32)</f>
        <v>13.722353068329204</v>
      </c>
      <c r="D37" s="28">
        <f t="shared" si="3"/>
        <v>22.086650305990943</v>
      </c>
      <c r="E37" s="28">
        <f t="shared" si="3"/>
        <v>1.2649447917150234</v>
      </c>
      <c r="F37" s="28">
        <f t="shared" si="3"/>
        <v>9.1166770162620434</v>
      </c>
      <c r="G37" s="28">
        <f t="shared" si="3"/>
        <v>10.686786835261509</v>
      </c>
      <c r="H37" s="28">
        <f t="shared" si="3"/>
        <v>3.8165687602150404</v>
      </c>
      <c r="I37" s="28">
        <f t="shared" si="3"/>
        <v>6.4420493633625606E-2</v>
      </c>
      <c r="J37" s="28">
        <f t="shared" si="3"/>
        <v>0.2228337750529478</v>
      </c>
      <c r="K37" s="28">
        <f t="shared" si="3"/>
        <v>30.024346349785343</v>
      </c>
      <c r="L37" s="28">
        <f t="shared" si="3"/>
        <v>4.4472173151113283</v>
      </c>
      <c r="M37" s="28">
        <f t="shared" si="3"/>
        <v>15.375016996573663</v>
      </c>
      <c r="N37" s="28">
        <f t="shared" si="3"/>
        <v>230.35531203471021</v>
      </c>
      <c r="O37" s="28">
        <f t="shared" si="3"/>
        <v>0</v>
      </c>
      <c r="P37" s="28">
        <f t="shared" si="3"/>
        <v>0.20902811682447991</v>
      </c>
      <c r="Q37" s="28">
        <f t="shared" si="3"/>
        <v>4.15984949560523E-2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18/05/2025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4" t="s">
        <v>468</v>
      </c>
      <c r="B9" s="55">
        <v>14.89</v>
      </c>
      <c r="C9" s="55">
        <v>51.77</v>
      </c>
      <c r="D9" s="55">
        <v>76.23</v>
      </c>
      <c r="E9" s="55">
        <v>5.91</v>
      </c>
      <c r="F9" s="55">
        <v>14.44</v>
      </c>
      <c r="G9" s="55">
        <v>43.3</v>
      </c>
      <c r="H9" s="55">
        <v>16.98</v>
      </c>
      <c r="I9" s="55">
        <v>4.09</v>
      </c>
      <c r="J9" s="55">
        <v>0.4</v>
      </c>
      <c r="K9" s="55">
        <v>267.77999999999997</v>
      </c>
      <c r="L9" s="55">
        <v>31.85</v>
      </c>
      <c r="M9" s="55">
        <v>66.44</v>
      </c>
      <c r="N9" s="55">
        <v>29.6</v>
      </c>
      <c r="O9" s="55">
        <v>0</v>
      </c>
      <c r="P9" s="55">
        <v>0.91</v>
      </c>
      <c r="Q9" s="55">
        <v>9.4499999999999993</v>
      </c>
      <c r="R9" s="43"/>
      <c r="S9" s="43"/>
      <c r="T9" s="43"/>
      <c r="U9" s="43"/>
    </row>
    <row r="10" spans="1:21" s="11" customFormat="1" x14ac:dyDescent="0.25">
      <c r="A10" s="54" t="s">
        <v>469</v>
      </c>
      <c r="B10" s="55">
        <v>8.7200000000000006</v>
      </c>
      <c r="C10" s="55">
        <v>29.03</v>
      </c>
      <c r="D10" s="55">
        <v>42.18</v>
      </c>
      <c r="E10" s="55">
        <v>5.85</v>
      </c>
      <c r="F10" s="55">
        <v>19.98</v>
      </c>
      <c r="G10" s="55">
        <v>44.5</v>
      </c>
      <c r="H10" s="55">
        <v>16.98</v>
      </c>
      <c r="I10" s="55">
        <v>4.09</v>
      </c>
      <c r="J10" s="55">
        <v>1.25</v>
      </c>
      <c r="K10" s="55">
        <v>339.14</v>
      </c>
      <c r="L10" s="55">
        <v>31.49</v>
      </c>
      <c r="M10" s="55">
        <v>64.22</v>
      </c>
      <c r="N10" s="55">
        <v>29.5</v>
      </c>
      <c r="O10" s="55">
        <v>0</v>
      </c>
      <c r="P10" s="55">
        <v>0.6</v>
      </c>
      <c r="Q10" s="55">
        <v>9.4700000000000006</v>
      </c>
      <c r="R10" s="43"/>
      <c r="S10" s="43"/>
      <c r="T10" s="43"/>
      <c r="U10" s="43"/>
    </row>
    <row r="11" spans="1:21" s="11" customFormat="1" x14ac:dyDescent="0.25">
      <c r="A11" s="54" t="s">
        <v>470</v>
      </c>
      <c r="B11" s="55">
        <v>6.8</v>
      </c>
      <c r="C11" s="55">
        <v>24.81</v>
      </c>
      <c r="D11" s="55">
        <v>38.21</v>
      </c>
      <c r="E11" s="55">
        <v>6.47</v>
      </c>
      <c r="F11" s="55">
        <v>14.55</v>
      </c>
      <c r="G11" s="55">
        <v>44.5</v>
      </c>
      <c r="H11" s="55">
        <v>16.47</v>
      </c>
      <c r="I11" s="55">
        <v>4.09</v>
      </c>
      <c r="J11" s="55">
        <v>0.43</v>
      </c>
      <c r="K11" s="55">
        <v>309.74</v>
      </c>
      <c r="L11" s="55">
        <v>31.25</v>
      </c>
      <c r="M11" s="55">
        <v>76.05</v>
      </c>
      <c r="N11" s="55">
        <v>31.3</v>
      </c>
      <c r="O11" s="55">
        <v>0</v>
      </c>
      <c r="P11" s="55">
        <v>0.6</v>
      </c>
      <c r="Q11" s="55">
        <v>9.41</v>
      </c>
      <c r="R11" s="43"/>
      <c r="S11" s="43"/>
      <c r="T11" s="43"/>
      <c r="U11" s="43"/>
    </row>
    <row r="12" spans="1:21" s="11" customFormat="1" x14ac:dyDescent="0.25">
      <c r="A12" s="54" t="s">
        <v>471</v>
      </c>
      <c r="B12" s="55">
        <v>7.24</v>
      </c>
      <c r="C12" s="55">
        <v>21.89</v>
      </c>
      <c r="D12" s="55">
        <v>30.79</v>
      </c>
      <c r="E12" s="55">
        <v>6.12</v>
      </c>
      <c r="F12" s="55">
        <v>14.39</v>
      </c>
      <c r="G12" s="55">
        <v>44.68</v>
      </c>
      <c r="H12" s="55">
        <v>15.15</v>
      </c>
      <c r="I12" s="55">
        <v>4.1900000000000004</v>
      </c>
      <c r="J12" s="55">
        <v>1.01</v>
      </c>
      <c r="K12" s="55">
        <v>261.27999999999997</v>
      </c>
      <c r="L12" s="55">
        <v>28.07</v>
      </c>
      <c r="M12" s="55">
        <v>83.46</v>
      </c>
      <c r="N12" s="55">
        <v>29.6</v>
      </c>
      <c r="O12" s="55">
        <v>0</v>
      </c>
      <c r="P12" s="55">
        <v>0.53</v>
      </c>
      <c r="Q12" s="55">
        <v>9.3800000000000008</v>
      </c>
      <c r="R12" s="43"/>
      <c r="S12" s="43"/>
      <c r="T12" s="43"/>
      <c r="U12" s="43"/>
    </row>
    <row r="13" spans="1:21" s="11" customFormat="1" x14ac:dyDescent="0.25">
      <c r="A13" s="54" t="s">
        <v>472</v>
      </c>
      <c r="B13" s="55">
        <v>8.66</v>
      </c>
      <c r="C13" s="55">
        <v>26.01</v>
      </c>
      <c r="D13" s="55">
        <v>39.35</v>
      </c>
      <c r="E13" s="55">
        <v>6.22</v>
      </c>
      <c r="F13" s="55">
        <v>7.77</v>
      </c>
      <c r="G13" s="55">
        <v>44.68</v>
      </c>
      <c r="H13" s="55">
        <v>14.69</v>
      </c>
      <c r="I13" s="55">
        <v>4.18</v>
      </c>
      <c r="J13" s="55">
        <v>1.28</v>
      </c>
      <c r="K13" s="55">
        <v>250.76</v>
      </c>
      <c r="L13" s="55">
        <v>27.5</v>
      </c>
      <c r="M13" s="55">
        <v>86.72</v>
      </c>
      <c r="N13" s="55">
        <v>30.4</v>
      </c>
      <c r="O13" s="55">
        <v>0.8</v>
      </c>
      <c r="P13" s="55">
        <v>0.56000000000000005</v>
      </c>
      <c r="Q13" s="55">
        <v>9.3800000000000008</v>
      </c>
      <c r="R13" s="43"/>
      <c r="S13" s="43"/>
      <c r="T13" s="43"/>
      <c r="U13" s="43"/>
    </row>
    <row r="14" spans="1:21" s="11" customFormat="1" x14ac:dyDescent="0.25">
      <c r="A14" s="54" t="s">
        <v>473</v>
      </c>
      <c r="B14" s="55">
        <v>7.78</v>
      </c>
      <c r="C14" s="55">
        <v>21.96</v>
      </c>
      <c r="D14" s="55">
        <v>30.65</v>
      </c>
      <c r="E14" s="55">
        <v>5.57</v>
      </c>
      <c r="F14" s="55">
        <v>8.08</v>
      </c>
      <c r="G14" s="55">
        <v>41.12</v>
      </c>
      <c r="H14" s="55">
        <v>16.809999999999999</v>
      </c>
      <c r="I14" s="55">
        <v>4.08</v>
      </c>
      <c r="J14" s="55">
        <v>0.91</v>
      </c>
      <c r="K14" s="55">
        <v>176.64</v>
      </c>
      <c r="L14" s="55">
        <v>24.93</v>
      </c>
      <c r="M14" s="55">
        <v>87.3</v>
      </c>
      <c r="N14" s="55">
        <v>36.299999999999997</v>
      </c>
      <c r="O14" s="55">
        <v>1.2</v>
      </c>
      <c r="P14" s="55">
        <v>0.53</v>
      </c>
      <c r="Q14" s="55">
        <v>9.41</v>
      </c>
      <c r="R14" s="43"/>
      <c r="S14" s="43"/>
      <c r="T14" s="43"/>
      <c r="U14" s="43"/>
    </row>
    <row r="15" spans="1:21" s="11" customFormat="1" x14ac:dyDescent="0.25">
      <c r="A15" s="54" t="s">
        <v>474</v>
      </c>
      <c r="B15" s="55">
        <v>7.28</v>
      </c>
      <c r="C15" s="55">
        <v>18.96</v>
      </c>
      <c r="D15" s="55">
        <v>25.11</v>
      </c>
      <c r="E15" s="55">
        <v>5.18</v>
      </c>
      <c r="F15" s="55">
        <v>4.57</v>
      </c>
      <c r="G15" s="55">
        <v>41.12</v>
      </c>
      <c r="H15" s="55">
        <v>16.809999999999999</v>
      </c>
      <c r="I15" s="55">
        <v>3.97</v>
      </c>
      <c r="J15" s="55">
        <v>1.68</v>
      </c>
      <c r="K15" s="55">
        <v>164.36</v>
      </c>
      <c r="L15" s="55">
        <v>25.22</v>
      </c>
      <c r="M15" s="55">
        <v>86.85</v>
      </c>
      <c r="N15" s="55">
        <v>87.5</v>
      </c>
      <c r="O15" s="55">
        <v>0.2</v>
      </c>
      <c r="P15" s="55">
        <v>0.48</v>
      </c>
      <c r="Q15" s="55">
        <v>9.4</v>
      </c>
      <c r="R15" s="43"/>
      <c r="S15" s="43"/>
      <c r="T15" s="43"/>
      <c r="U15" s="43"/>
    </row>
    <row r="16" spans="1:21" s="11" customFormat="1" x14ac:dyDescent="0.25">
      <c r="A16" s="54" t="s">
        <v>475</v>
      </c>
      <c r="B16" s="55">
        <v>6.68</v>
      </c>
      <c r="C16" s="55">
        <v>20.65</v>
      </c>
      <c r="D16" s="55">
        <v>29.27</v>
      </c>
      <c r="E16" s="55">
        <v>4.87</v>
      </c>
      <c r="F16" s="55">
        <v>5.95</v>
      </c>
      <c r="G16" s="55">
        <v>35.76</v>
      </c>
      <c r="H16" s="55">
        <v>15.09</v>
      </c>
      <c r="I16" s="55">
        <v>4</v>
      </c>
      <c r="J16" s="55">
        <v>0.79</v>
      </c>
      <c r="K16" s="55">
        <v>231.42</v>
      </c>
      <c r="L16" s="55">
        <v>26.78</v>
      </c>
      <c r="M16" s="55">
        <v>85.35</v>
      </c>
      <c r="N16" s="55">
        <v>120.1</v>
      </c>
      <c r="O16" s="55">
        <v>0</v>
      </c>
      <c r="P16" s="55">
        <v>0.43</v>
      </c>
      <c r="Q16" s="55">
        <v>9.35</v>
      </c>
      <c r="R16" s="43"/>
      <c r="S16" s="43"/>
      <c r="T16" s="43"/>
      <c r="U16" s="43"/>
    </row>
    <row r="17" spans="1:21" s="11" customFormat="1" x14ac:dyDescent="0.25">
      <c r="A17" s="54" t="s">
        <v>476</v>
      </c>
      <c r="B17" s="55">
        <v>9.4499999999999993</v>
      </c>
      <c r="C17" s="55">
        <v>23.95</v>
      </c>
      <c r="D17" s="55">
        <v>31.34</v>
      </c>
      <c r="E17" s="55">
        <v>3.56</v>
      </c>
      <c r="F17" s="55">
        <v>12.33</v>
      </c>
      <c r="G17" s="55">
        <v>27.59</v>
      </c>
      <c r="H17" s="55">
        <v>11.59</v>
      </c>
      <c r="I17" s="55">
        <v>4.1399999999999997</v>
      </c>
      <c r="J17" s="55">
        <v>0.79</v>
      </c>
      <c r="K17" s="55">
        <v>232.54</v>
      </c>
      <c r="L17" s="55">
        <v>28.29</v>
      </c>
      <c r="M17" s="55">
        <v>83.24</v>
      </c>
      <c r="N17" s="55">
        <v>185.5</v>
      </c>
      <c r="O17" s="55">
        <v>0</v>
      </c>
      <c r="P17" s="55">
        <v>0.45</v>
      </c>
      <c r="Q17" s="55">
        <v>9.34</v>
      </c>
      <c r="R17" s="43"/>
      <c r="S17" s="43"/>
      <c r="T17" s="43"/>
      <c r="U17" s="43"/>
    </row>
    <row r="18" spans="1:21" s="11" customFormat="1" x14ac:dyDescent="0.25">
      <c r="A18" s="54" t="s">
        <v>477</v>
      </c>
      <c r="B18" s="55">
        <v>9.67</v>
      </c>
      <c r="C18" s="55">
        <v>22.11</v>
      </c>
      <c r="D18" s="55">
        <v>28.21</v>
      </c>
      <c r="E18" s="55">
        <v>3.65</v>
      </c>
      <c r="F18" s="55">
        <v>7.08</v>
      </c>
      <c r="G18" s="55">
        <v>33.1</v>
      </c>
      <c r="H18" s="55">
        <v>11.76</v>
      </c>
      <c r="I18" s="55">
        <v>4</v>
      </c>
      <c r="J18" s="55">
        <v>1.1299999999999999</v>
      </c>
      <c r="K18" s="55">
        <v>233.39</v>
      </c>
      <c r="L18" s="55">
        <v>30.47</v>
      </c>
      <c r="M18" s="55">
        <v>81.78</v>
      </c>
      <c r="N18" s="55">
        <v>293.60000000000002</v>
      </c>
      <c r="O18" s="55">
        <v>0</v>
      </c>
      <c r="P18" s="55">
        <v>0.48</v>
      </c>
      <c r="Q18" s="55">
        <v>9.34</v>
      </c>
      <c r="R18" s="43"/>
      <c r="S18" s="43"/>
      <c r="T18" s="43"/>
      <c r="U18" s="43"/>
    </row>
    <row r="19" spans="1:21" s="11" customFormat="1" x14ac:dyDescent="0.25">
      <c r="A19" s="54" t="s">
        <v>478</v>
      </c>
      <c r="B19" s="55">
        <v>11</v>
      </c>
      <c r="C19" s="55">
        <v>29.32</v>
      </c>
      <c r="D19" s="55">
        <v>39.57</v>
      </c>
      <c r="E19" s="55">
        <v>3.69</v>
      </c>
      <c r="F19" s="55">
        <v>10.58</v>
      </c>
      <c r="G19" s="55">
        <v>42.57</v>
      </c>
      <c r="H19" s="55">
        <v>14.27</v>
      </c>
      <c r="I19" s="55">
        <v>4.07</v>
      </c>
      <c r="J19" s="55">
        <v>0.82</v>
      </c>
      <c r="K19" s="55">
        <v>264.75</v>
      </c>
      <c r="L19" s="55">
        <v>31.86</v>
      </c>
      <c r="M19" s="55">
        <v>80.010000000000005</v>
      </c>
      <c r="N19" s="55">
        <v>298.89999999999998</v>
      </c>
      <c r="O19" s="55">
        <v>0</v>
      </c>
      <c r="P19" s="55">
        <v>0.67</v>
      </c>
      <c r="Q19" s="55">
        <v>9.4</v>
      </c>
      <c r="R19" s="43"/>
      <c r="S19" s="43"/>
      <c r="T19" s="43"/>
      <c r="U19" s="43"/>
    </row>
    <row r="20" spans="1:21" s="11" customFormat="1" x14ac:dyDescent="0.25">
      <c r="A20" s="54" t="s">
        <v>479</v>
      </c>
      <c r="B20" s="55">
        <v>11.21</v>
      </c>
      <c r="C20" s="55">
        <v>33.89</v>
      </c>
      <c r="D20" s="55">
        <v>48.94</v>
      </c>
      <c r="E20" s="55">
        <v>4.1900000000000004</v>
      </c>
      <c r="F20" s="55">
        <v>16.02</v>
      </c>
      <c r="G20" s="55">
        <v>57.58</v>
      </c>
      <c r="H20" s="55">
        <v>20.27</v>
      </c>
      <c r="I20" s="55">
        <v>4.04</v>
      </c>
      <c r="J20" s="55">
        <v>0.86</v>
      </c>
      <c r="K20" s="55">
        <v>250.19</v>
      </c>
      <c r="L20" s="55">
        <v>33.61</v>
      </c>
      <c r="M20" s="55">
        <v>77.11</v>
      </c>
      <c r="N20" s="55">
        <v>490.3</v>
      </c>
      <c r="O20" s="55">
        <v>0</v>
      </c>
      <c r="P20" s="55">
        <v>0.83</v>
      </c>
      <c r="Q20" s="55">
        <v>9.4700000000000006</v>
      </c>
      <c r="R20" s="43"/>
      <c r="S20" s="43"/>
      <c r="T20" s="43"/>
      <c r="U20" s="43"/>
    </row>
    <row r="21" spans="1:21" s="11" customFormat="1" x14ac:dyDescent="0.25">
      <c r="A21" s="54" t="s">
        <v>480</v>
      </c>
      <c r="B21" s="55">
        <v>15.67</v>
      </c>
      <c r="C21" s="55">
        <v>42.89</v>
      </c>
      <c r="D21" s="55">
        <v>58.03</v>
      </c>
      <c r="E21" s="55">
        <v>5.38</v>
      </c>
      <c r="F21" s="55">
        <v>24.42</v>
      </c>
      <c r="G21" s="55">
        <v>68.45</v>
      </c>
      <c r="H21" s="55">
        <v>24.83</v>
      </c>
      <c r="I21" s="55">
        <v>4.04</v>
      </c>
      <c r="J21" s="55">
        <v>0.62</v>
      </c>
      <c r="K21" s="55">
        <v>249.75</v>
      </c>
      <c r="L21" s="55">
        <v>34.26</v>
      </c>
      <c r="M21" s="55">
        <v>71.37</v>
      </c>
      <c r="N21" s="55">
        <v>428.6</v>
      </c>
      <c r="O21" s="55">
        <v>0</v>
      </c>
      <c r="P21" s="55">
        <v>0.94</v>
      </c>
      <c r="Q21" s="55">
        <v>9.4700000000000006</v>
      </c>
      <c r="R21" s="43"/>
      <c r="S21" s="43"/>
      <c r="T21" s="43"/>
      <c r="U21" s="43"/>
    </row>
    <row r="22" spans="1:21" s="11" customFormat="1" x14ac:dyDescent="0.25">
      <c r="A22" s="54" t="s">
        <v>481</v>
      </c>
      <c r="B22" s="55">
        <v>8.9</v>
      </c>
      <c r="C22" s="55">
        <v>30.1</v>
      </c>
      <c r="D22" s="55">
        <v>43.94</v>
      </c>
      <c r="E22" s="55">
        <v>5.36</v>
      </c>
      <c r="F22" s="55">
        <v>30.5</v>
      </c>
      <c r="G22" s="55">
        <v>68.45</v>
      </c>
      <c r="H22" s="55">
        <v>24.83</v>
      </c>
      <c r="I22" s="55">
        <v>4.16</v>
      </c>
      <c r="J22" s="55">
        <v>0.6</v>
      </c>
      <c r="K22" s="55">
        <v>236</v>
      </c>
      <c r="L22" s="55">
        <v>35.42</v>
      </c>
      <c r="M22" s="55">
        <v>70.88</v>
      </c>
      <c r="N22" s="55">
        <v>427.6</v>
      </c>
      <c r="O22" s="55">
        <v>0</v>
      </c>
      <c r="P22" s="55">
        <v>0.72</v>
      </c>
      <c r="Q22" s="55">
        <v>9.43</v>
      </c>
      <c r="R22" s="43"/>
      <c r="S22" s="43"/>
      <c r="T22" s="43"/>
      <c r="U22" s="43"/>
    </row>
    <row r="23" spans="1:21" s="11" customFormat="1" x14ac:dyDescent="0.25">
      <c r="A23" s="54" t="s">
        <v>482</v>
      </c>
      <c r="B23" s="55">
        <v>8.33</v>
      </c>
      <c r="C23" s="55">
        <v>28.71</v>
      </c>
      <c r="D23" s="55">
        <v>43.45</v>
      </c>
      <c r="E23" s="55">
        <v>5.95</v>
      </c>
      <c r="F23" s="55">
        <v>28.19</v>
      </c>
      <c r="G23" s="55">
        <v>60.69</v>
      </c>
      <c r="H23" s="55">
        <v>23.04</v>
      </c>
      <c r="I23" s="55">
        <v>4.18</v>
      </c>
      <c r="J23" s="55">
        <v>0.94</v>
      </c>
      <c r="K23" s="55">
        <v>258.72000000000003</v>
      </c>
      <c r="L23" s="55">
        <v>36.56</v>
      </c>
      <c r="M23" s="55">
        <v>59.77</v>
      </c>
      <c r="N23" s="55">
        <v>391.6</v>
      </c>
      <c r="O23" s="55">
        <v>0</v>
      </c>
      <c r="P23" s="55">
        <v>0.8</v>
      </c>
      <c r="Q23" s="55">
        <v>9.35</v>
      </c>
      <c r="R23" s="43"/>
      <c r="S23" s="43"/>
      <c r="T23" s="43"/>
      <c r="U23" s="43"/>
    </row>
    <row r="24" spans="1:21" s="11" customFormat="1" x14ac:dyDescent="0.25">
      <c r="A24" s="54" t="s">
        <v>483</v>
      </c>
      <c r="B24" s="55">
        <v>7.21</v>
      </c>
      <c r="C24" s="55">
        <v>29.12</v>
      </c>
      <c r="D24" s="55">
        <v>44.68</v>
      </c>
      <c r="E24" s="55">
        <v>7.76</v>
      </c>
      <c r="F24" s="55">
        <v>31.22</v>
      </c>
      <c r="G24" s="55">
        <v>56.72</v>
      </c>
      <c r="H24" s="55">
        <v>22.75</v>
      </c>
      <c r="I24" s="55">
        <v>4.0999999999999996</v>
      </c>
      <c r="J24" s="55">
        <v>0.93</v>
      </c>
      <c r="K24" s="55">
        <v>252.94</v>
      </c>
      <c r="L24" s="55">
        <v>36.82</v>
      </c>
      <c r="M24" s="55">
        <v>58.39</v>
      </c>
      <c r="N24" s="55">
        <v>339.3</v>
      </c>
      <c r="O24" s="55">
        <v>0</v>
      </c>
      <c r="P24" s="55">
        <v>0.84</v>
      </c>
      <c r="Q24" s="55">
        <v>9.35</v>
      </c>
      <c r="R24" s="43"/>
      <c r="S24" s="43"/>
      <c r="T24" s="43"/>
      <c r="U24" s="43"/>
    </row>
    <row r="25" spans="1:21" s="11" customFormat="1" x14ac:dyDescent="0.25">
      <c r="A25" s="54" t="s">
        <v>484</v>
      </c>
      <c r="B25" s="55">
        <v>6.5</v>
      </c>
      <c r="C25" s="55">
        <v>28.97</v>
      </c>
      <c r="D25" s="55">
        <v>45.46</v>
      </c>
      <c r="E25" s="55">
        <v>7.81</v>
      </c>
      <c r="F25" s="55">
        <v>27.64</v>
      </c>
      <c r="G25" s="55">
        <v>51.9</v>
      </c>
      <c r="H25" s="55">
        <v>22.75</v>
      </c>
      <c r="I25" s="55">
        <v>4.09</v>
      </c>
      <c r="J25" s="55">
        <v>1.17</v>
      </c>
      <c r="K25" s="55">
        <v>170.95</v>
      </c>
      <c r="L25" s="55">
        <v>35.020000000000003</v>
      </c>
      <c r="M25" s="55">
        <v>55.99</v>
      </c>
      <c r="N25" s="55">
        <v>283.3</v>
      </c>
      <c r="O25" s="55">
        <v>0</v>
      </c>
      <c r="P25" s="55">
        <v>0.62</v>
      </c>
      <c r="Q25" s="55">
        <v>9.2899999999999991</v>
      </c>
      <c r="R25" s="43"/>
      <c r="S25" s="43"/>
      <c r="T25" s="43"/>
      <c r="U25" s="43"/>
    </row>
    <row r="26" spans="1:21" s="11" customFormat="1" x14ac:dyDescent="0.25">
      <c r="A26" s="54" t="s">
        <v>485</v>
      </c>
      <c r="B26" s="55">
        <v>4.63</v>
      </c>
      <c r="C26" s="55">
        <v>25.48</v>
      </c>
      <c r="D26" s="55">
        <v>41.67</v>
      </c>
      <c r="E26" s="55">
        <v>7.73</v>
      </c>
      <c r="F26" s="55">
        <v>32.369999999999997</v>
      </c>
      <c r="G26" s="55">
        <v>48.25</v>
      </c>
      <c r="H26" s="55">
        <v>19.36</v>
      </c>
      <c r="I26" s="55">
        <v>4.0599999999999996</v>
      </c>
      <c r="J26" s="55">
        <v>1.1399999999999999</v>
      </c>
      <c r="K26" s="55">
        <v>182.16</v>
      </c>
      <c r="L26" s="55">
        <v>34.9</v>
      </c>
      <c r="M26" s="55">
        <v>55.43</v>
      </c>
      <c r="N26" s="55">
        <v>94.1</v>
      </c>
      <c r="O26" s="55">
        <v>0</v>
      </c>
      <c r="P26" s="55">
        <v>0.47</v>
      </c>
      <c r="Q26" s="55">
        <v>9.27</v>
      </c>
      <c r="R26" s="43"/>
      <c r="S26" s="43"/>
      <c r="T26" s="43"/>
      <c r="U26" s="43"/>
    </row>
    <row r="27" spans="1:21" s="11" customFormat="1" x14ac:dyDescent="0.25">
      <c r="A27" s="54" t="s">
        <v>486</v>
      </c>
      <c r="B27" s="55">
        <v>4.5999999999999996</v>
      </c>
      <c r="C27" s="55">
        <v>35.380000000000003</v>
      </c>
      <c r="D27" s="55">
        <v>60.66</v>
      </c>
      <c r="E27" s="55">
        <v>7.18</v>
      </c>
      <c r="F27" s="55">
        <v>28.26</v>
      </c>
      <c r="G27" s="55">
        <v>39.049999999999997</v>
      </c>
      <c r="H27" s="55">
        <v>18.11</v>
      </c>
      <c r="I27" s="55">
        <v>4.05</v>
      </c>
      <c r="J27" s="55">
        <v>0.8</v>
      </c>
      <c r="K27" s="55">
        <v>208.41</v>
      </c>
      <c r="L27" s="55">
        <v>34.14</v>
      </c>
      <c r="M27" s="55">
        <v>61.21</v>
      </c>
      <c r="N27" s="55">
        <v>43.9</v>
      </c>
      <c r="O27" s="55">
        <v>0</v>
      </c>
      <c r="P27" s="55">
        <v>0.54</v>
      </c>
      <c r="Q27" s="55">
        <v>9.26</v>
      </c>
      <c r="R27" s="43"/>
      <c r="S27" s="43"/>
      <c r="T27" s="43"/>
      <c r="U27" s="43"/>
    </row>
    <row r="28" spans="1:21" s="11" customFormat="1" x14ac:dyDescent="0.25">
      <c r="A28" s="54" t="s">
        <v>487</v>
      </c>
      <c r="B28" s="55">
        <v>5.86</v>
      </c>
      <c r="C28" s="55">
        <v>47.29</v>
      </c>
      <c r="D28" s="55">
        <v>81.52</v>
      </c>
      <c r="E28" s="55">
        <v>6.11</v>
      </c>
      <c r="F28" s="55">
        <v>19.899999999999999</v>
      </c>
      <c r="G28" s="55">
        <v>38.520000000000003</v>
      </c>
      <c r="H28" s="55">
        <v>18.11</v>
      </c>
      <c r="I28" s="55">
        <v>4.16</v>
      </c>
      <c r="J28" s="55">
        <v>0.64</v>
      </c>
      <c r="K28" s="55">
        <v>205.49</v>
      </c>
      <c r="L28" s="55">
        <v>32.869999999999997</v>
      </c>
      <c r="M28" s="55">
        <v>67.86</v>
      </c>
      <c r="N28" s="55">
        <v>29.5</v>
      </c>
      <c r="O28" s="55">
        <v>0</v>
      </c>
      <c r="P28" s="55">
        <v>0.71</v>
      </c>
      <c r="Q28" s="55">
        <v>9.2899999999999991</v>
      </c>
      <c r="R28" s="43"/>
      <c r="S28" s="43"/>
      <c r="T28" s="43"/>
      <c r="U28" s="43"/>
    </row>
    <row r="29" spans="1:21" s="11" customFormat="1" x14ac:dyDescent="0.25">
      <c r="A29" s="54" t="s">
        <v>488</v>
      </c>
      <c r="B29" s="55">
        <v>23.29</v>
      </c>
      <c r="C29" s="55">
        <v>66.48</v>
      </c>
      <c r="D29" s="55">
        <v>91.5</v>
      </c>
      <c r="E29" s="55">
        <v>5.88</v>
      </c>
      <c r="F29" s="55">
        <v>16.03</v>
      </c>
      <c r="G29" s="55">
        <v>40.659999999999997</v>
      </c>
      <c r="H29" s="55">
        <v>15.57</v>
      </c>
      <c r="I29" s="55">
        <v>4.21</v>
      </c>
      <c r="J29" s="55">
        <v>0.93</v>
      </c>
      <c r="K29" s="55">
        <v>165.3</v>
      </c>
      <c r="L29" s="55">
        <v>32.270000000000003</v>
      </c>
      <c r="M29" s="55">
        <v>69.650000000000006</v>
      </c>
      <c r="N29" s="55">
        <v>29.7</v>
      </c>
      <c r="O29" s="55">
        <v>0</v>
      </c>
      <c r="P29" s="55">
        <v>0.94</v>
      </c>
      <c r="Q29" s="55">
        <v>9.3800000000000008</v>
      </c>
      <c r="R29" s="43"/>
      <c r="S29" s="43"/>
      <c r="T29" s="43"/>
      <c r="U29" s="43"/>
    </row>
    <row r="30" spans="1:21" s="11" customFormat="1" x14ac:dyDescent="0.25">
      <c r="A30" s="54" t="s">
        <v>489</v>
      </c>
      <c r="B30" s="55">
        <v>31.95</v>
      </c>
      <c r="C30" s="55">
        <v>67.900000000000006</v>
      </c>
      <c r="D30" s="55">
        <v>84.99</v>
      </c>
      <c r="E30" s="55">
        <v>5.86</v>
      </c>
      <c r="F30" s="55">
        <v>15.08</v>
      </c>
      <c r="G30" s="55">
        <v>45.2</v>
      </c>
      <c r="H30" s="55">
        <v>16.57</v>
      </c>
      <c r="I30" s="55">
        <v>4.1100000000000003</v>
      </c>
      <c r="J30" s="55">
        <v>0.5</v>
      </c>
      <c r="K30" s="55">
        <v>239.4</v>
      </c>
      <c r="L30" s="55">
        <v>31.71</v>
      </c>
      <c r="M30" s="55">
        <v>79.760000000000005</v>
      </c>
      <c r="N30" s="55">
        <v>30</v>
      </c>
      <c r="O30" s="55">
        <v>0</v>
      </c>
      <c r="P30" s="55">
        <v>1.71</v>
      </c>
      <c r="Q30" s="55">
        <v>9.48</v>
      </c>
      <c r="R30" s="43"/>
      <c r="S30" s="43"/>
      <c r="T30" s="43"/>
      <c r="U30" s="43"/>
    </row>
    <row r="31" spans="1:21" s="11" customFormat="1" x14ac:dyDescent="0.25">
      <c r="A31" s="54" t="s">
        <v>490</v>
      </c>
      <c r="B31" s="55">
        <v>18.079999999999998</v>
      </c>
      <c r="C31" s="55">
        <v>44.26</v>
      </c>
      <c r="D31" s="55">
        <v>56.95</v>
      </c>
      <c r="E31" s="55">
        <v>6.36</v>
      </c>
      <c r="F31" s="55">
        <v>14.87</v>
      </c>
      <c r="G31" s="55">
        <v>49.21</v>
      </c>
      <c r="H31" s="55">
        <v>18.7</v>
      </c>
      <c r="I31" s="55">
        <v>4.1100000000000003</v>
      </c>
      <c r="J31" s="55">
        <v>1.34</v>
      </c>
      <c r="K31" s="55">
        <v>242.46</v>
      </c>
      <c r="L31" s="55">
        <v>30.73</v>
      </c>
      <c r="M31" s="55">
        <v>79.540000000000006</v>
      </c>
      <c r="N31" s="55">
        <v>29.8</v>
      </c>
      <c r="O31" s="55">
        <v>0</v>
      </c>
      <c r="P31" s="55">
        <v>1.26</v>
      </c>
      <c r="Q31" s="55">
        <v>9.57</v>
      </c>
      <c r="R31" s="43"/>
      <c r="S31" s="43"/>
      <c r="T31" s="43"/>
      <c r="U31" s="43"/>
    </row>
    <row r="32" spans="1:21" s="11" customFormat="1" x14ac:dyDescent="0.25">
      <c r="A32" s="54" t="s">
        <v>491</v>
      </c>
      <c r="B32" s="55">
        <v>13.91</v>
      </c>
      <c r="C32" s="55">
        <v>36.89</v>
      </c>
      <c r="D32" s="55">
        <v>54.36</v>
      </c>
      <c r="E32" s="55">
        <v>6.38</v>
      </c>
      <c r="F32" s="55">
        <v>13.23</v>
      </c>
      <c r="G32" s="55">
        <v>57.03</v>
      </c>
      <c r="H32" s="55">
        <v>20.05</v>
      </c>
      <c r="I32" s="55">
        <v>4.1500000000000004</v>
      </c>
      <c r="J32" s="55">
        <v>0.92</v>
      </c>
      <c r="K32" s="55">
        <v>238.52</v>
      </c>
      <c r="L32" s="55">
        <v>30.29</v>
      </c>
      <c r="M32" s="55">
        <v>70.53</v>
      </c>
      <c r="N32" s="55">
        <v>29.6</v>
      </c>
      <c r="O32" s="55">
        <v>0</v>
      </c>
      <c r="P32" s="55">
        <v>0.88</v>
      </c>
      <c r="Q32" s="55">
        <v>9.61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4.5999999999999996</v>
      </c>
      <c r="C34" s="28">
        <f t="shared" si="0"/>
        <v>18.96</v>
      </c>
      <c r="D34" s="28">
        <f t="shared" si="0"/>
        <v>25.11</v>
      </c>
      <c r="E34" s="28">
        <f t="shared" si="0"/>
        <v>3.56</v>
      </c>
      <c r="F34" s="28">
        <f t="shared" si="0"/>
        <v>4.57</v>
      </c>
      <c r="G34" s="28">
        <f t="shared" si="0"/>
        <v>27.59</v>
      </c>
      <c r="H34" s="28">
        <f t="shared" si="0"/>
        <v>11.59</v>
      </c>
      <c r="I34" s="28">
        <f t="shared" si="0"/>
        <v>3.97</v>
      </c>
      <c r="J34" s="28">
        <f t="shared" si="0"/>
        <v>0.4</v>
      </c>
      <c r="K34" s="28">
        <f t="shared" si="0"/>
        <v>164.36</v>
      </c>
      <c r="L34" s="28">
        <f t="shared" si="0"/>
        <v>24.93</v>
      </c>
      <c r="M34" s="28">
        <f t="shared" si="0"/>
        <v>55.43</v>
      </c>
      <c r="N34" s="28">
        <f t="shared" si="0"/>
        <v>29.5</v>
      </c>
      <c r="O34" s="28">
        <f t="shared" si="0"/>
        <v>0</v>
      </c>
      <c r="P34" s="28">
        <f t="shared" si="0"/>
        <v>0.43</v>
      </c>
      <c r="Q34" s="28">
        <f t="shared" si="0"/>
        <v>9.26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31.95</v>
      </c>
      <c r="C35" s="29">
        <f t="shared" si="1"/>
        <v>67.900000000000006</v>
      </c>
      <c r="D35" s="29">
        <f t="shared" si="1"/>
        <v>91.5</v>
      </c>
      <c r="E35" s="29">
        <f t="shared" si="1"/>
        <v>7.81</v>
      </c>
      <c r="F35" s="29">
        <f t="shared" si="1"/>
        <v>32.369999999999997</v>
      </c>
      <c r="G35" s="29">
        <f t="shared" si="1"/>
        <v>68.45</v>
      </c>
      <c r="H35" s="29">
        <f t="shared" si="1"/>
        <v>24.83</v>
      </c>
      <c r="I35" s="29">
        <f t="shared" si="1"/>
        <v>4.21</v>
      </c>
      <c r="J35" s="29">
        <f t="shared" si="1"/>
        <v>1.68</v>
      </c>
      <c r="K35" s="29">
        <f t="shared" si="1"/>
        <v>339.14</v>
      </c>
      <c r="L35" s="29">
        <f t="shared" si="1"/>
        <v>36.82</v>
      </c>
      <c r="M35" s="29">
        <f t="shared" si="1"/>
        <v>87.3</v>
      </c>
      <c r="N35" s="29">
        <f t="shared" si="1"/>
        <v>490.3</v>
      </c>
      <c r="O35" s="29">
        <f t="shared" si="1"/>
        <v>1.2</v>
      </c>
      <c r="P35" s="29">
        <f t="shared" si="1"/>
        <v>1.71</v>
      </c>
      <c r="Q35" s="29">
        <f t="shared" si="1"/>
        <v>9.61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10.762916666666669</v>
      </c>
      <c r="C36" s="28">
        <f t="shared" si="2"/>
        <v>33.659166666666664</v>
      </c>
      <c r="D36" s="28">
        <f t="shared" si="2"/>
        <v>48.627499999999991</v>
      </c>
      <c r="E36" s="28">
        <f t="shared" si="2"/>
        <v>5.7933333333333339</v>
      </c>
      <c r="F36" s="28">
        <f t="shared" si="2"/>
        <v>17.393750000000001</v>
      </c>
      <c r="G36" s="28">
        <f t="shared" si="2"/>
        <v>46.85958333333334</v>
      </c>
      <c r="H36" s="28">
        <f t="shared" si="2"/>
        <v>17.980833333333333</v>
      </c>
      <c r="I36" s="28">
        <f t="shared" si="2"/>
        <v>4.0983333333333336</v>
      </c>
      <c r="J36" s="28">
        <f t="shared" si="2"/>
        <v>0.91166666666666663</v>
      </c>
      <c r="K36" s="28">
        <f t="shared" si="2"/>
        <v>234.67041666666668</v>
      </c>
      <c r="L36" s="28">
        <f t="shared" si="2"/>
        <v>31.512916666666669</v>
      </c>
      <c r="M36" s="28">
        <f t="shared" si="2"/>
        <v>73.287916666666675</v>
      </c>
      <c r="N36" s="28">
        <f t="shared" si="2"/>
        <v>159.15</v>
      </c>
      <c r="O36" s="28">
        <f t="shared" si="2"/>
        <v>9.1666666666666674E-2</v>
      </c>
      <c r="P36" s="28">
        <f t="shared" si="2"/>
        <v>0.72916666666666663</v>
      </c>
      <c r="Q36" s="28">
        <f t="shared" si="2"/>
        <v>9.3979166666666654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6.3512371127457357</v>
      </c>
      <c r="C37" s="28">
        <f t="shared" ref="C37:Q37" si="3">STDEV(C9:C32)</f>
        <v>13.491622816840245</v>
      </c>
      <c r="D37" s="28">
        <f t="shared" si="3"/>
        <v>18.726172860464608</v>
      </c>
      <c r="E37" s="28">
        <f t="shared" si="3"/>
        <v>1.2048332616614561</v>
      </c>
      <c r="F37" s="28">
        <f t="shared" si="3"/>
        <v>8.5998952534065936</v>
      </c>
      <c r="G37" s="28">
        <f t="shared" si="3"/>
        <v>10.310806690140616</v>
      </c>
      <c r="H37" s="28">
        <f t="shared" si="3"/>
        <v>3.6844195067132595</v>
      </c>
      <c r="I37" s="28">
        <f t="shared" si="3"/>
        <v>6.4042558313689504E-2</v>
      </c>
      <c r="J37" s="28">
        <f t="shared" si="3"/>
        <v>0.30745330740111404</v>
      </c>
      <c r="K37" s="28">
        <f t="shared" si="3"/>
        <v>42.984413401499523</v>
      </c>
      <c r="L37" s="28">
        <f t="shared" si="3"/>
        <v>3.3696554838306807</v>
      </c>
      <c r="M37" s="28">
        <f t="shared" si="3"/>
        <v>10.398151582881365</v>
      </c>
      <c r="N37" s="28">
        <f t="shared" si="3"/>
        <v>161.62944200157079</v>
      </c>
      <c r="O37" s="28">
        <f t="shared" si="3"/>
        <v>0.28880061824976982</v>
      </c>
      <c r="P37" s="28">
        <f t="shared" si="3"/>
        <v>0.29246949549842188</v>
      </c>
      <c r="Q37" s="28">
        <f t="shared" si="3"/>
        <v>8.7027190486985165E-2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19/05/2025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7"/>
      <c r="B8" s="58" t="s">
        <v>22</v>
      </c>
      <c r="C8" s="58" t="s">
        <v>22</v>
      </c>
      <c r="D8" s="29" t="s">
        <v>42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58" t="s">
        <v>22</v>
      </c>
      <c r="R8" s="27"/>
      <c r="S8" s="29"/>
      <c r="T8" s="27"/>
      <c r="U8" s="27"/>
    </row>
    <row r="9" spans="1:21" s="11" customFormat="1" x14ac:dyDescent="0.25">
      <c r="A9" s="54" t="s">
        <v>492</v>
      </c>
      <c r="B9" s="55">
        <v>10.34</v>
      </c>
      <c r="C9" s="55">
        <v>41.23</v>
      </c>
      <c r="D9" s="55">
        <v>67.7</v>
      </c>
      <c r="E9" s="55">
        <v>7.45</v>
      </c>
      <c r="F9" s="55">
        <v>8.39</v>
      </c>
      <c r="G9" s="55">
        <v>60.95</v>
      </c>
      <c r="H9" s="55">
        <v>20.399999999999999</v>
      </c>
      <c r="I9" s="55">
        <v>4.21</v>
      </c>
      <c r="J9" s="55">
        <v>0.55000000000000004</v>
      </c>
      <c r="K9" s="55">
        <v>256.60000000000002</v>
      </c>
      <c r="L9" s="55">
        <v>30.4</v>
      </c>
      <c r="M9" s="55">
        <v>74.42</v>
      </c>
      <c r="N9" s="55">
        <v>29.9</v>
      </c>
      <c r="O9" s="55">
        <v>0</v>
      </c>
      <c r="P9" s="55">
        <v>1.17</v>
      </c>
      <c r="Q9" s="55">
        <v>9.58</v>
      </c>
      <c r="R9" s="43"/>
      <c r="S9" s="43"/>
      <c r="T9" s="43"/>
      <c r="U9" s="43"/>
    </row>
    <row r="10" spans="1:21" s="11" customFormat="1" x14ac:dyDescent="0.25">
      <c r="A10" s="54" t="s">
        <v>493</v>
      </c>
      <c r="B10" s="55">
        <v>10.39</v>
      </c>
      <c r="C10" s="55">
        <v>41.88</v>
      </c>
      <c r="D10" s="55">
        <v>64.23</v>
      </c>
      <c r="E10" s="55">
        <v>9.8699999999999992</v>
      </c>
      <c r="F10" s="55">
        <v>14.7</v>
      </c>
      <c r="G10" s="55">
        <v>68.31</v>
      </c>
      <c r="H10" s="55">
        <v>23.58</v>
      </c>
      <c r="I10" s="55">
        <v>4.1399999999999997</v>
      </c>
      <c r="J10" s="55">
        <v>1.35</v>
      </c>
      <c r="K10" s="55">
        <v>118.96</v>
      </c>
      <c r="L10" s="55">
        <v>30.17</v>
      </c>
      <c r="M10" s="55">
        <v>79.16</v>
      </c>
      <c r="N10" s="55">
        <v>29.5</v>
      </c>
      <c r="O10" s="55">
        <v>0</v>
      </c>
      <c r="P10" s="55">
        <v>1.1599999999999999</v>
      </c>
      <c r="Q10" s="55">
        <v>9.6</v>
      </c>
      <c r="R10" s="43"/>
      <c r="S10" s="43"/>
      <c r="T10" s="43"/>
      <c r="U10" s="43"/>
    </row>
    <row r="11" spans="1:21" s="11" customFormat="1" x14ac:dyDescent="0.25">
      <c r="A11" s="54" t="s">
        <v>494</v>
      </c>
      <c r="B11" s="55">
        <v>7.22</v>
      </c>
      <c r="C11" s="55">
        <v>25.14</v>
      </c>
      <c r="D11" s="55">
        <v>37.799999999999997</v>
      </c>
      <c r="E11" s="55">
        <v>7.61</v>
      </c>
      <c r="F11" s="55">
        <v>16.11</v>
      </c>
      <c r="G11" s="55">
        <v>68.31</v>
      </c>
      <c r="H11" s="55">
        <v>23.58</v>
      </c>
      <c r="I11" s="55">
        <v>4.0599999999999996</v>
      </c>
      <c r="J11" s="55">
        <v>1.31</v>
      </c>
      <c r="K11" s="55">
        <v>106.82</v>
      </c>
      <c r="L11" s="55">
        <v>30.03</v>
      </c>
      <c r="M11" s="55">
        <v>78.91</v>
      </c>
      <c r="N11" s="55">
        <v>29.5</v>
      </c>
      <c r="O11" s="55">
        <v>0</v>
      </c>
      <c r="P11" s="55">
        <v>0.56000000000000005</v>
      </c>
      <c r="Q11" s="55">
        <v>9.57</v>
      </c>
      <c r="R11" s="43"/>
      <c r="S11" s="43"/>
      <c r="T11" s="43"/>
      <c r="U11" s="43"/>
    </row>
    <row r="12" spans="1:21" s="11" customFormat="1" x14ac:dyDescent="0.25">
      <c r="A12" s="54" t="s">
        <v>495</v>
      </c>
      <c r="B12" s="55">
        <v>9.18</v>
      </c>
      <c r="C12" s="55">
        <v>24.24</v>
      </c>
      <c r="D12" s="55">
        <v>32.31</v>
      </c>
      <c r="E12" s="55">
        <v>7.22</v>
      </c>
      <c r="F12" s="55">
        <v>15.19</v>
      </c>
      <c r="G12" s="55">
        <v>65.61</v>
      </c>
      <c r="H12" s="55">
        <v>22.54</v>
      </c>
      <c r="I12" s="55">
        <v>4.22</v>
      </c>
      <c r="J12" s="55">
        <v>1.66</v>
      </c>
      <c r="K12" s="55">
        <v>114.55</v>
      </c>
      <c r="L12" s="55">
        <v>29.69</v>
      </c>
      <c r="M12" s="55">
        <v>73.33</v>
      </c>
      <c r="N12" s="55">
        <v>29.8</v>
      </c>
      <c r="O12" s="55">
        <v>0</v>
      </c>
      <c r="P12" s="55">
        <v>0.63</v>
      </c>
      <c r="Q12" s="55">
        <v>9.5</v>
      </c>
      <c r="R12" s="43"/>
      <c r="S12" s="43"/>
      <c r="T12" s="43"/>
      <c r="U12" s="43"/>
    </row>
    <row r="13" spans="1:21" s="11" customFormat="1" x14ac:dyDescent="0.25">
      <c r="A13" s="54" t="s">
        <v>496</v>
      </c>
      <c r="B13" s="55">
        <v>9.1999999999999993</v>
      </c>
      <c r="C13" s="55">
        <v>21.8</v>
      </c>
      <c r="D13" s="55">
        <v>30.1</v>
      </c>
      <c r="E13" s="55">
        <v>6.69</v>
      </c>
      <c r="F13" s="55">
        <v>8.3699999999999992</v>
      </c>
      <c r="G13" s="55">
        <v>51.98</v>
      </c>
      <c r="H13" s="55">
        <v>19.38</v>
      </c>
      <c r="I13" s="55">
        <v>4.12</v>
      </c>
      <c r="J13" s="55">
        <v>1.23</v>
      </c>
      <c r="K13" s="55">
        <v>108.64</v>
      </c>
      <c r="L13" s="55">
        <v>29.07</v>
      </c>
      <c r="M13" s="55">
        <v>74.87</v>
      </c>
      <c r="N13" s="55">
        <v>29.7</v>
      </c>
      <c r="O13" s="55">
        <v>0</v>
      </c>
      <c r="P13" s="55">
        <v>0.64</v>
      </c>
      <c r="Q13" s="55">
        <v>9.4600000000000009</v>
      </c>
      <c r="R13" s="43"/>
      <c r="S13" s="43"/>
      <c r="T13" s="43"/>
      <c r="U13" s="43"/>
    </row>
    <row r="14" spans="1:21" s="11" customFormat="1" x14ac:dyDescent="0.25">
      <c r="A14" s="54" t="s">
        <v>497</v>
      </c>
      <c r="B14" s="55">
        <v>10.77</v>
      </c>
      <c r="C14" s="55">
        <v>26.94</v>
      </c>
      <c r="D14" s="55">
        <v>35.03</v>
      </c>
      <c r="E14" s="55">
        <v>6.44</v>
      </c>
      <c r="F14" s="55">
        <v>9.81</v>
      </c>
      <c r="G14" s="55">
        <v>47.54</v>
      </c>
      <c r="H14" s="55">
        <v>18.760000000000002</v>
      </c>
      <c r="I14" s="55">
        <v>4.0599999999999996</v>
      </c>
      <c r="J14" s="55">
        <v>1.0900000000000001</v>
      </c>
      <c r="K14" s="55">
        <v>103.65</v>
      </c>
      <c r="L14" s="55">
        <v>28.61</v>
      </c>
      <c r="M14" s="55">
        <v>76.790000000000006</v>
      </c>
      <c r="N14" s="55">
        <v>61.7</v>
      </c>
      <c r="O14" s="55">
        <v>0</v>
      </c>
      <c r="P14" s="55">
        <v>0.52</v>
      </c>
      <c r="Q14" s="55">
        <v>9.44</v>
      </c>
      <c r="R14" s="43"/>
      <c r="S14" s="43"/>
      <c r="T14" s="43"/>
      <c r="U14" s="43"/>
    </row>
    <row r="15" spans="1:21" s="11" customFormat="1" x14ac:dyDescent="0.25">
      <c r="A15" s="54" t="s">
        <v>498</v>
      </c>
      <c r="B15" s="55">
        <v>12.75</v>
      </c>
      <c r="C15" s="55">
        <v>31.22</v>
      </c>
      <c r="D15" s="55">
        <v>40.19</v>
      </c>
      <c r="E15" s="55">
        <v>6.31</v>
      </c>
      <c r="F15" s="55">
        <v>12.18</v>
      </c>
      <c r="G15" s="55">
        <v>39.619999999999997</v>
      </c>
      <c r="H15" s="55">
        <v>14.87</v>
      </c>
      <c r="I15" s="55">
        <v>4.21</v>
      </c>
      <c r="J15" s="55">
        <v>0.88</v>
      </c>
      <c r="K15" s="55">
        <v>150.9</v>
      </c>
      <c r="L15" s="55">
        <v>30.74</v>
      </c>
      <c r="M15" s="55">
        <v>75.91</v>
      </c>
      <c r="N15" s="55">
        <v>223.7</v>
      </c>
      <c r="O15" s="55">
        <v>0</v>
      </c>
      <c r="P15" s="55">
        <v>0.4</v>
      </c>
      <c r="Q15" s="55">
        <v>9.43</v>
      </c>
      <c r="R15" s="43"/>
      <c r="S15" s="43"/>
      <c r="T15" s="43"/>
      <c r="U15" s="43"/>
    </row>
    <row r="16" spans="1:21" s="11" customFormat="1" x14ac:dyDescent="0.25">
      <c r="A16" s="54" t="s">
        <v>499</v>
      </c>
      <c r="B16" s="55">
        <v>9.61</v>
      </c>
      <c r="C16" s="55">
        <v>23.48</v>
      </c>
      <c r="D16" s="55">
        <v>30.2</v>
      </c>
      <c r="E16" s="55">
        <v>6.33</v>
      </c>
      <c r="F16" s="55">
        <v>14.66</v>
      </c>
      <c r="G16" s="55">
        <v>39.619999999999997</v>
      </c>
      <c r="H16" s="55">
        <v>14.59</v>
      </c>
      <c r="I16" s="55">
        <v>4.12</v>
      </c>
      <c r="J16" s="55">
        <v>1.3</v>
      </c>
      <c r="K16" s="55">
        <v>162.56</v>
      </c>
      <c r="L16" s="55">
        <v>32.49</v>
      </c>
      <c r="M16" s="55">
        <v>68.05</v>
      </c>
      <c r="N16" s="55">
        <v>433.3</v>
      </c>
      <c r="O16" s="55">
        <v>0</v>
      </c>
      <c r="P16" s="55">
        <v>0.49</v>
      </c>
      <c r="Q16" s="55">
        <v>9.44</v>
      </c>
      <c r="R16" s="43"/>
      <c r="S16" s="43"/>
      <c r="T16" s="43"/>
      <c r="U16" s="43"/>
    </row>
    <row r="17" spans="1:21" s="11" customFormat="1" x14ac:dyDescent="0.25">
      <c r="A17" s="54" t="s">
        <v>500</v>
      </c>
      <c r="B17" s="55">
        <v>8.27</v>
      </c>
      <c r="C17" s="55">
        <v>20.48</v>
      </c>
      <c r="D17" s="55">
        <v>26.61</v>
      </c>
      <c r="E17" s="55">
        <v>5.15</v>
      </c>
      <c r="F17" s="55">
        <v>11.97</v>
      </c>
      <c r="G17" s="55">
        <v>35.06</v>
      </c>
      <c r="H17" s="55">
        <v>11.89</v>
      </c>
      <c r="I17" s="55">
        <v>4.1900000000000004</v>
      </c>
      <c r="J17" s="55">
        <v>1.5</v>
      </c>
      <c r="K17" s="55">
        <v>212.76</v>
      </c>
      <c r="L17" s="55">
        <v>34.590000000000003</v>
      </c>
      <c r="M17" s="55">
        <v>61.56</v>
      </c>
      <c r="N17" s="55">
        <v>619.79999999999995</v>
      </c>
      <c r="O17" s="55">
        <v>0</v>
      </c>
      <c r="P17" s="55">
        <v>0.46</v>
      </c>
      <c r="Q17" s="55">
        <v>9.41</v>
      </c>
      <c r="R17" s="43"/>
      <c r="S17" s="43"/>
      <c r="T17" s="43"/>
      <c r="U17" s="43"/>
    </row>
    <row r="18" spans="1:21" s="11" customFormat="1" x14ac:dyDescent="0.25">
      <c r="A18" s="54" t="s">
        <v>501</v>
      </c>
      <c r="B18" s="55">
        <v>6.45</v>
      </c>
      <c r="C18" s="55">
        <v>18.309999999999999</v>
      </c>
      <c r="D18" s="55">
        <v>25.15</v>
      </c>
      <c r="E18" s="55">
        <v>5.09</v>
      </c>
      <c r="F18" s="55">
        <v>13.7</v>
      </c>
      <c r="G18" s="55">
        <v>31.43</v>
      </c>
      <c r="H18" s="55">
        <v>13.61</v>
      </c>
      <c r="I18" s="55">
        <v>4.12</v>
      </c>
      <c r="J18" s="55">
        <v>1.05</v>
      </c>
      <c r="K18" s="55">
        <v>170.01</v>
      </c>
      <c r="L18" s="55">
        <v>35.54</v>
      </c>
      <c r="M18" s="55">
        <v>54.42</v>
      </c>
      <c r="N18" s="55">
        <v>781.2</v>
      </c>
      <c r="O18" s="55">
        <v>0</v>
      </c>
      <c r="P18" s="55">
        <v>0.44</v>
      </c>
      <c r="Q18" s="55">
        <v>9.32</v>
      </c>
      <c r="R18" s="43"/>
      <c r="S18" s="43"/>
      <c r="T18" s="43"/>
      <c r="U18" s="43"/>
    </row>
    <row r="19" spans="1:21" s="11" customFormat="1" x14ac:dyDescent="0.25">
      <c r="A19" s="54" t="s">
        <v>502</v>
      </c>
      <c r="B19" s="55">
        <v>5.6</v>
      </c>
      <c r="C19" s="55">
        <v>19.14</v>
      </c>
      <c r="D19" s="55">
        <v>28.39</v>
      </c>
      <c r="E19" s="55">
        <v>5.32</v>
      </c>
      <c r="F19" s="55">
        <v>18.600000000000001</v>
      </c>
      <c r="G19" s="55">
        <v>26.41</v>
      </c>
      <c r="H19" s="55">
        <v>13.61</v>
      </c>
      <c r="I19" s="55">
        <v>4.12</v>
      </c>
      <c r="J19" s="55">
        <v>1.46</v>
      </c>
      <c r="K19" s="55">
        <v>194.32</v>
      </c>
      <c r="L19" s="55">
        <v>36.53</v>
      </c>
      <c r="M19" s="55">
        <v>51.79</v>
      </c>
      <c r="N19" s="55">
        <v>877.5</v>
      </c>
      <c r="O19" s="55">
        <v>0</v>
      </c>
      <c r="P19" s="55">
        <v>0.37</v>
      </c>
      <c r="Q19" s="55">
        <v>9.25</v>
      </c>
      <c r="R19" s="43"/>
      <c r="S19" s="43"/>
      <c r="T19" s="43"/>
      <c r="U19" s="43"/>
    </row>
    <row r="20" spans="1:21" s="11" customFormat="1" x14ac:dyDescent="0.25">
      <c r="A20" s="54" t="s">
        <v>503</v>
      </c>
      <c r="B20" s="55">
        <v>5.0599999999999996</v>
      </c>
      <c r="C20" s="55">
        <v>17.68</v>
      </c>
      <c r="D20" s="55">
        <v>26.07</v>
      </c>
      <c r="E20" s="55">
        <v>5.53</v>
      </c>
      <c r="F20" s="55">
        <v>22.53</v>
      </c>
      <c r="G20" s="59" t="s">
        <v>12</v>
      </c>
      <c r="H20" s="59" t="s">
        <v>12</v>
      </c>
      <c r="I20" s="55">
        <v>4.09</v>
      </c>
      <c r="J20" s="55">
        <v>1.68</v>
      </c>
      <c r="K20" s="55">
        <v>159.03</v>
      </c>
      <c r="L20" s="55">
        <v>33.53</v>
      </c>
      <c r="M20" s="55">
        <v>51.42</v>
      </c>
      <c r="N20" s="55">
        <v>895.7</v>
      </c>
      <c r="O20" s="55">
        <v>0</v>
      </c>
      <c r="P20" s="55">
        <v>0.27</v>
      </c>
      <c r="Q20" s="55">
        <v>9.2100000000000009</v>
      </c>
      <c r="R20" s="43"/>
      <c r="S20" s="43"/>
      <c r="T20" s="43"/>
      <c r="U20" s="43"/>
    </row>
    <row r="21" spans="1:21" s="11" customFormat="1" x14ac:dyDescent="0.25">
      <c r="A21" s="54" t="s">
        <v>504</v>
      </c>
      <c r="B21" s="55">
        <v>8.34</v>
      </c>
      <c r="C21" s="55">
        <v>24.72</v>
      </c>
      <c r="D21" s="55">
        <v>34.520000000000003</v>
      </c>
      <c r="E21" s="55">
        <v>5.97</v>
      </c>
      <c r="F21" s="55">
        <v>31</v>
      </c>
      <c r="G21" s="59" t="s">
        <v>12</v>
      </c>
      <c r="H21" s="59" t="s">
        <v>12</v>
      </c>
      <c r="I21" s="55">
        <v>4.2</v>
      </c>
      <c r="J21" s="55">
        <v>0.89</v>
      </c>
      <c r="K21" s="55">
        <v>210.27</v>
      </c>
      <c r="L21" s="55">
        <v>34.74</v>
      </c>
      <c r="M21" s="55">
        <v>45.76</v>
      </c>
      <c r="N21" s="55">
        <v>891.1</v>
      </c>
      <c r="O21" s="55">
        <v>0</v>
      </c>
      <c r="P21" s="55">
        <v>0.47</v>
      </c>
      <c r="Q21" s="55">
        <v>9.2100000000000009</v>
      </c>
      <c r="R21" s="43"/>
      <c r="S21" s="43"/>
      <c r="T21" s="43"/>
      <c r="U21" s="43"/>
    </row>
    <row r="22" spans="1:21" s="11" customFormat="1" x14ac:dyDescent="0.25">
      <c r="A22" s="54" t="s">
        <v>505</v>
      </c>
      <c r="B22" s="55">
        <v>7.9</v>
      </c>
      <c r="C22" s="55">
        <v>23.63</v>
      </c>
      <c r="D22" s="55">
        <v>33.1</v>
      </c>
      <c r="E22" s="55">
        <v>6.74</v>
      </c>
      <c r="F22" s="55">
        <v>32.369999999999997</v>
      </c>
      <c r="G22" s="55">
        <v>2.81</v>
      </c>
      <c r="H22" s="55">
        <v>0.82</v>
      </c>
      <c r="I22" s="55">
        <v>3.99</v>
      </c>
      <c r="J22" s="55">
        <v>0.91</v>
      </c>
      <c r="K22" s="55">
        <v>201.27</v>
      </c>
      <c r="L22" s="55">
        <v>36.15</v>
      </c>
      <c r="M22" s="55">
        <v>39.89</v>
      </c>
      <c r="N22" s="55">
        <v>599.79999999999995</v>
      </c>
      <c r="O22" s="55">
        <v>0</v>
      </c>
      <c r="P22" s="55">
        <v>0.38</v>
      </c>
      <c r="Q22" s="55">
        <v>9.23</v>
      </c>
      <c r="R22" s="43"/>
      <c r="S22" s="43"/>
      <c r="T22" s="43"/>
      <c r="U22" s="43"/>
    </row>
    <row r="23" spans="1:21" s="11" customFormat="1" x14ac:dyDescent="0.25">
      <c r="A23" s="54" t="s">
        <v>506</v>
      </c>
      <c r="B23" s="55">
        <v>6.54</v>
      </c>
      <c r="C23" s="55">
        <v>19.149999999999999</v>
      </c>
      <c r="D23" s="55">
        <v>29.27</v>
      </c>
      <c r="E23" s="55">
        <v>6.63</v>
      </c>
      <c r="F23" s="55">
        <v>34.65</v>
      </c>
      <c r="G23" s="55">
        <v>27.09</v>
      </c>
      <c r="H23" s="55">
        <v>10.67</v>
      </c>
      <c r="I23" s="55">
        <v>4.03</v>
      </c>
      <c r="J23" s="55">
        <v>0.94</v>
      </c>
      <c r="K23" s="55">
        <v>175.9</v>
      </c>
      <c r="L23" s="55">
        <v>36.450000000000003</v>
      </c>
      <c r="M23" s="55">
        <v>44.53</v>
      </c>
      <c r="N23" s="55">
        <v>344.5</v>
      </c>
      <c r="O23" s="55">
        <v>0</v>
      </c>
      <c r="P23" s="55">
        <v>0.44</v>
      </c>
      <c r="Q23" s="55">
        <v>9.23</v>
      </c>
      <c r="R23" s="43"/>
      <c r="S23" s="43"/>
      <c r="T23" s="43"/>
      <c r="U23" s="43"/>
    </row>
    <row r="24" spans="1:21" s="11" customFormat="1" x14ac:dyDescent="0.25">
      <c r="A24" s="54" t="s">
        <v>507</v>
      </c>
      <c r="B24" s="55">
        <v>4.0199999999999996</v>
      </c>
      <c r="C24" s="55">
        <v>16.579999999999998</v>
      </c>
      <c r="D24" s="55">
        <v>25.94</v>
      </c>
      <c r="E24" s="55">
        <v>6.82</v>
      </c>
      <c r="F24" s="55">
        <v>37</v>
      </c>
      <c r="G24" s="55">
        <v>29.51</v>
      </c>
      <c r="H24" s="55">
        <v>11.8</v>
      </c>
      <c r="I24" s="55">
        <v>4.0999999999999996</v>
      </c>
      <c r="J24" s="55">
        <v>1.03</v>
      </c>
      <c r="K24" s="55">
        <v>199.72</v>
      </c>
      <c r="L24" s="55">
        <v>37.61</v>
      </c>
      <c r="M24" s="55">
        <v>40.78</v>
      </c>
      <c r="N24" s="55">
        <v>366.7</v>
      </c>
      <c r="O24" s="55">
        <v>0</v>
      </c>
      <c r="P24" s="55">
        <v>0.33</v>
      </c>
      <c r="Q24" s="55">
        <v>9.23</v>
      </c>
      <c r="R24" s="43"/>
      <c r="S24" s="43"/>
      <c r="T24" s="43"/>
      <c r="U24" s="43"/>
    </row>
    <row r="25" spans="1:21" s="11" customFormat="1" x14ac:dyDescent="0.25">
      <c r="A25" s="54" t="s">
        <v>508</v>
      </c>
      <c r="B25" s="55">
        <v>6.54</v>
      </c>
      <c r="C25" s="55">
        <v>26.91</v>
      </c>
      <c r="D25" s="55">
        <v>41.45</v>
      </c>
      <c r="E25" s="55">
        <v>5.87</v>
      </c>
      <c r="F25" s="55">
        <v>31.47</v>
      </c>
      <c r="G25" s="55">
        <v>36.19</v>
      </c>
      <c r="H25" s="55">
        <v>12.33</v>
      </c>
      <c r="I25" s="55">
        <v>4.0199999999999996</v>
      </c>
      <c r="J25" s="55">
        <v>0.91</v>
      </c>
      <c r="K25" s="55">
        <v>211.39</v>
      </c>
      <c r="L25" s="55">
        <v>38.18</v>
      </c>
      <c r="M25" s="55">
        <v>38.08</v>
      </c>
      <c r="N25" s="55">
        <v>265.7</v>
      </c>
      <c r="O25" s="55">
        <v>0</v>
      </c>
      <c r="P25" s="55">
        <v>0.48</v>
      </c>
      <c r="Q25" s="55">
        <v>9.14</v>
      </c>
      <c r="R25" s="43"/>
      <c r="S25" s="43"/>
      <c r="T25" s="43"/>
      <c r="U25" s="43"/>
    </row>
    <row r="26" spans="1:21" s="11" customFormat="1" x14ac:dyDescent="0.25">
      <c r="A26" s="54" t="s">
        <v>509</v>
      </c>
      <c r="B26" s="55">
        <v>5.32</v>
      </c>
      <c r="C26" s="55">
        <v>21.67</v>
      </c>
      <c r="D26" s="55">
        <v>35.51</v>
      </c>
      <c r="E26" s="55">
        <v>5.74</v>
      </c>
      <c r="F26" s="55">
        <v>23.04</v>
      </c>
      <c r="G26" s="55">
        <v>22.16</v>
      </c>
      <c r="H26" s="55">
        <v>9.07</v>
      </c>
      <c r="I26" s="55">
        <v>4.1399999999999997</v>
      </c>
      <c r="J26" s="55">
        <v>1.04</v>
      </c>
      <c r="K26" s="55">
        <v>173.4</v>
      </c>
      <c r="L26" s="55">
        <v>37.450000000000003</v>
      </c>
      <c r="M26" s="55">
        <v>39.33</v>
      </c>
      <c r="N26" s="55">
        <v>92</v>
      </c>
      <c r="O26" s="55">
        <v>0</v>
      </c>
      <c r="P26" s="55">
        <v>0.3</v>
      </c>
      <c r="Q26" s="55">
        <v>9.18</v>
      </c>
      <c r="R26" s="43"/>
      <c r="S26" s="43"/>
      <c r="T26" s="43"/>
      <c r="U26" s="43"/>
    </row>
    <row r="27" spans="1:21" s="11" customFormat="1" x14ac:dyDescent="0.25">
      <c r="A27" s="54" t="s">
        <v>510</v>
      </c>
      <c r="B27" s="55">
        <v>9.94</v>
      </c>
      <c r="C27" s="55">
        <v>45.87</v>
      </c>
      <c r="D27" s="55">
        <v>72.540000000000006</v>
      </c>
      <c r="E27" s="55">
        <v>5.35</v>
      </c>
      <c r="F27" s="55">
        <v>19.690000000000001</v>
      </c>
      <c r="G27" s="55">
        <v>23.78</v>
      </c>
      <c r="H27" s="55">
        <v>9.83</v>
      </c>
      <c r="I27" s="55">
        <v>4.1100000000000003</v>
      </c>
      <c r="J27" s="55">
        <v>0.8</v>
      </c>
      <c r="K27" s="55">
        <v>167.77</v>
      </c>
      <c r="L27" s="55">
        <v>36.82</v>
      </c>
      <c r="M27" s="55">
        <v>40.020000000000003</v>
      </c>
      <c r="N27" s="55">
        <v>42.8</v>
      </c>
      <c r="O27" s="55">
        <v>0</v>
      </c>
      <c r="P27" s="55">
        <v>0.44</v>
      </c>
      <c r="Q27" s="55">
        <v>9.2100000000000009</v>
      </c>
      <c r="R27" s="43"/>
      <c r="S27" s="43"/>
      <c r="T27" s="43"/>
      <c r="U27" s="43"/>
    </row>
    <row r="28" spans="1:21" s="11" customFormat="1" x14ac:dyDescent="0.25">
      <c r="A28" s="54" t="s">
        <v>511</v>
      </c>
      <c r="B28" s="55">
        <v>10.63</v>
      </c>
      <c r="C28" s="55">
        <v>50.49</v>
      </c>
      <c r="D28" s="55">
        <v>80.319999999999993</v>
      </c>
      <c r="E28" s="55">
        <v>5.51</v>
      </c>
      <c r="F28" s="55">
        <v>14.04</v>
      </c>
      <c r="G28" s="55">
        <v>36.89</v>
      </c>
      <c r="H28" s="55">
        <v>9.23</v>
      </c>
      <c r="I28" s="55">
        <v>3.99</v>
      </c>
      <c r="J28" s="55">
        <v>0.75</v>
      </c>
      <c r="K28" s="55">
        <v>162.25</v>
      </c>
      <c r="L28" s="55">
        <v>35.65</v>
      </c>
      <c r="M28" s="55">
        <v>42.84</v>
      </c>
      <c r="N28" s="55">
        <v>29.4</v>
      </c>
      <c r="O28" s="55">
        <v>0</v>
      </c>
      <c r="P28" s="55">
        <v>0.71</v>
      </c>
      <c r="Q28" s="55">
        <v>9.32</v>
      </c>
      <c r="R28" s="43"/>
      <c r="S28" s="43"/>
      <c r="T28" s="43"/>
      <c r="U28" s="43"/>
    </row>
    <row r="29" spans="1:21" s="11" customFormat="1" x14ac:dyDescent="0.25">
      <c r="A29" s="54" t="s">
        <v>512</v>
      </c>
      <c r="B29" s="55">
        <v>13.98</v>
      </c>
      <c r="C29" s="55">
        <v>54.81</v>
      </c>
      <c r="D29" s="55">
        <v>83.46</v>
      </c>
      <c r="E29" s="55">
        <v>5.17</v>
      </c>
      <c r="F29" s="55">
        <v>12.28</v>
      </c>
      <c r="G29" s="55">
        <v>45.94</v>
      </c>
      <c r="H29" s="55">
        <v>14.38</v>
      </c>
      <c r="I29" s="55">
        <v>4.07</v>
      </c>
      <c r="J29" s="55">
        <v>0.75</v>
      </c>
      <c r="K29" s="55">
        <v>165.23</v>
      </c>
      <c r="L29" s="55">
        <v>35.299999999999997</v>
      </c>
      <c r="M29" s="55">
        <v>42.4</v>
      </c>
      <c r="N29" s="55">
        <v>29.2</v>
      </c>
      <c r="O29" s="55">
        <v>0</v>
      </c>
      <c r="P29" s="55">
        <v>0.68</v>
      </c>
      <c r="Q29" s="55">
        <v>9.41</v>
      </c>
      <c r="R29" s="43"/>
      <c r="S29" s="43"/>
      <c r="T29" s="43"/>
      <c r="U29" s="43"/>
    </row>
    <row r="30" spans="1:21" s="11" customFormat="1" x14ac:dyDescent="0.25">
      <c r="A30" s="54" t="s">
        <v>513</v>
      </c>
      <c r="B30" s="55">
        <v>13.56</v>
      </c>
      <c r="C30" s="55">
        <v>39.46</v>
      </c>
      <c r="D30" s="55">
        <v>57.88</v>
      </c>
      <c r="E30" s="55">
        <v>5.04</v>
      </c>
      <c r="F30" s="55">
        <v>10.130000000000001</v>
      </c>
      <c r="G30" s="55">
        <v>42.91</v>
      </c>
      <c r="H30" s="55">
        <v>14.78</v>
      </c>
      <c r="I30" s="55">
        <v>4.1500000000000004</v>
      </c>
      <c r="J30" s="55">
        <v>0.87</v>
      </c>
      <c r="K30" s="55">
        <v>171.55</v>
      </c>
      <c r="L30" s="55">
        <v>34.89</v>
      </c>
      <c r="M30" s="55">
        <v>44.67</v>
      </c>
      <c r="N30" s="55">
        <v>29.5</v>
      </c>
      <c r="O30" s="55">
        <v>0</v>
      </c>
      <c r="P30" s="55">
        <v>0.45</v>
      </c>
      <c r="Q30" s="55">
        <v>9.4499999999999993</v>
      </c>
      <c r="R30" s="43"/>
      <c r="S30" s="43"/>
      <c r="T30" s="43"/>
      <c r="U30" s="43"/>
    </row>
    <row r="31" spans="1:21" s="11" customFormat="1" x14ac:dyDescent="0.25">
      <c r="A31" s="54" t="s">
        <v>514</v>
      </c>
      <c r="B31" s="55">
        <v>21.78</v>
      </c>
      <c r="C31" s="55">
        <v>42.05</v>
      </c>
      <c r="D31" s="55">
        <v>60.77</v>
      </c>
      <c r="E31" s="55">
        <v>4.55</v>
      </c>
      <c r="F31" s="55">
        <v>8.4</v>
      </c>
      <c r="G31" s="55">
        <v>36.74</v>
      </c>
      <c r="H31" s="55">
        <v>12.01</v>
      </c>
      <c r="I31" s="55">
        <v>4.09</v>
      </c>
      <c r="J31" s="55">
        <v>0.63</v>
      </c>
      <c r="K31" s="55">
        <v>277.18</v>
      </c>
      <c r="L31" s="55">
        <v>34.22</v>
      </c>
      <c r="M31" s="55">
        <v>59.69</v>
      </c>
      <c r="N31" s="55">
        <v>31.3</v>
      </c>
      <c r="O31" s="55">
        <v>0</v>
      </c>
      <c r="P31" s="55">
        <v>0.46</v>
      </c>
      <c r="Q31" s="55">
        <v>9.5399999999999991</v>
      </c>
      <c r="R31" s="43"/>
      <c r="S31" s="43"/>
      <c r="T31" s="43"/>
      <c r="U31" s="43"/>
    </row>
    <row r="32" spans="1:21" s="11" customFormat="1" x14ac:dyDescent="0.25">
      <c r="A32" s="54" t="s">
        <v>515</v>
      </c>
      <c r="B32" s="55">
        <v>10.65</v>
      </c>
      <c r="C32" s="55">
        <v>24.48</v>
      </c>
      <c r="D32" s="55">
        <v>31.11</v>
      </c>
      <c r="E32" s="55">
        <v>5.32</v>
      </c>
      <c r="F32" s="55">
        <v>17.18</v>
      </c>
      <c r="G32" s="55">
        <v>47.4</v>
      </c>
      <c r="H32" s="55">
        <v>12.72</v>
      </c>
      <c r="I32" s="55">
        <v>4.07</v>
      </c>
      <c r="J32" s="55">
        <v>0.31</v>
      </c>
      <c r="K32" s="55">
        <v>213.09</v>
      </c>
      <c r="L32" s="55">
        <v>31.15</v>
      </c>
      <c r="M32" s="55">
        <v>61.93</v>
      </c>
      <c r="N32" s="55">
        <v>29.9</v>
      </c>
      <c r="O32" s="55">
        <v>0</v>
      </c>
      <c r="P32" s="55">
        <v>0.4</v>
      </c>
      <c r="Q32" s="55">
        <v>9.52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4.0199999999999996</v>
      </c>
      <c r="C34" s="28">
        <f t="shared" si="0"/>
        <v>16.579999999999998</v>
      </c>
      <c r="D34" s="28">
        <f t="shared" si="0"/>
        <v>25.15</v>
      </c>
      <c r="E34" s="28">
        <f t="shared" si="0"/>
        <v>4.55</v>
      </c>
      <c r="F34" s="28">
        <f t="shared" si="0"/>
        <v>8.3699999999999992</v>
      </c>
      <c r="G34" s="28">
        <f t="shared" si="0"/>
        <v>2.81</v>
      </c>
      <c r="H34" s="28">
        <f t="shared" si="0"/>
        <v>0.82</v>
      </c>
      <c r="I34" s="28">
        <f t="shared" si="0"/>
        <v>3.99</v>
      </c>
      <c r="J34" s="28">
        <f t="shared" si="0"/>
        <v>0.31</v>
      </c>
      <c r="K34" s="28">
        <f t="shared" si="0"/>
        <v>103.65</v>
      </c>
      <c r="L34" s="28">
        <f t="shared" si="0"/>
        <v>28.61</v>
      </c>
      <c r="M34" s="28">
        <f t="shared" si="0"/>
        <v>38.08</v>
      </c>
      <c r="N34" s="28">
        <f t="shared" si="0"/>
        <v>29.2</v>
      </c>
      <c r="O34" s="28">
        <f t="shared" si="0"/>
        <v>0</v>
      </c>
      <c r="P34" s="28">
        <f t="shared" si="0"/>
        <v>0.27</v>
      </c>
      <c r="Q34" s="28">
        <f t="shared" si="0"/>
        <v>9.14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21.78</v>
      </c>
      <c r="C35" s="29">
        <f t="shared" si="1"/>
        <v>54.81</v>
      </c>
      <c r="D35" s="29">
        <f t="shared" si="1"/>
        <v>83.46</v>
      </c>
      <c r="E35" s="29">
        <f t="shared" si="1"/>
        <v>9.8699999999999992</v>
      </c>
      <c r="F35" s="29">
        <f t="shared" si="1"/>
        <v>37</v>
      </c>
      <c r="G35" s="29">
        <f t="shared" si="1"/>
        <v>68.31</v>
      </c>
      <c r="H35" s="29">
        <f t="shared" si="1"/>
        <v>23.58</v>
      </c>
      <c r="I35" s="29">
        <f t="shared" si="1"/>
        <v>4.22</v>
      </c>
      <c r="J35" s="29">
        <f t="shared" si="1"/>
        <v>1.68</v>
      </c>
      <c r="K35" s="29">
        <f t="shared" si="1"/>
        <v>277.18</v>
      </c>
      <c r="L35" s="29">
        <f t="shared" si="1"/>
        <v>38.18</v>
      </c>
      <c r="M35" s="29">
        <f t="shared" si="1"/>
        <v>79.16</v>
      </c>
      <c r="N35" s="29">
        <f t="shared" si="1"/>
        <v>895.7</v>
      </c>
      <c r="O35" s="29">
        <f t="shared" si="1"/>
        <v>0</v>
      </c>
      <c r="P35" s="29">
        <f t="shared" si="1"/>
        <v>1.17</v>
      </c>
      <c r="Q35" s="29">
        <f t="shared" si="1"/>
        <v>9.6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9.3349999999999991</v>
      </c>
      <c r="C36" s="28">
        <f t="shared" si="2"/>
        <v>29.223333333333329</v>
      </c>
      <c r="D36" s="28">
        <f t="shared" si="2"/>
        <v>42.902083333333337</v>
      </c>
      <c r="E36" s="28">
        <f t="shared" si="2"/>
        <v>6.1549999999999985</v>
      </c>
      <c r="F36" s="28">
        <f t="shared" si="2"/>
        <v>18.227500000000003</v>
      </c>
      <c r="G36" s="28">
        <f t="shared" si="2"/>
        <v>40.284545454545452</v>
      </c>
      <c r="H36" s="28">
        <f t="shared" si="2"/>
        <v>14.293181818181818</v>
      </c>
      <c r="I36" s="28">
        <f t="shared" si="2"/>
        <v>4.1091666666666669</v>
      </c>
      <c r="J36" s="28">
        <f t="shared" si="2"/>
        <v>1.0370833333333336</v>
      </c>
      <c r="K36" s="28">
        <f t="shared" si="2"/>
        <v>174.49249999999998</v>
      </c>
      <c r="L36" s="28">
        <f t="shared" si="2"/>
        <v>33.749999999999993</v>
      </c>
      <c r="M36" s="28">
        <f t="shared" si="2"/>
        <v>56.689583333333331</v>
      </c>
      <c r="N36" s="28">
        <f t="shared" si="2"/>
        <v>283.05</v>
      </c>
      <c r="O36" s="28">
        <f t="shared" si="2"/>
        <v>0</v>
      </c>
      <c r="P36" s="28">
        <f t="shared" si="2"/>
        <v>0.52708333333333335</v>
      </c>
      <c r="Q36" s="28">
        <f t="shared" si="2"/>
        <v>9.3699999999999992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3.7488467791993139</v>
      </c>
      <c r="C37" s="28">
        <f t="shared" ref="C37:Q37" si="3">STDEV(C9:C32)</f>
        <v>11.27673081930285</v>
      </c>
      <c r="D37" s="28">
        <f t="shared" si="3"/>
        <v>18.626572878824071</v>
      </c>
      <c r="E37" s="28">
        <f t="shared" si="3"/>
        <v>1.1464918134295077</v>
      </c>
      <c r="F37" s="28">
        <f t="shared" si="3"/>
        <v>8.8970641225069276</v>
      </c>
      <c r="G37" s="28">
        <f t="shared" si="3"/>
        <v>16.262121845761914</v>
      </c>
      <c r="H37" s="28">
        <f t="shared" si="3"/>
        <v>5.4171020071477525</v>
      </c>
      <c r="I37" s="28">
        <f t="shared" si="3"/>
        <v>6.6849387279990416E-2</v>
      </c>
      <c r="J37" s="28">
        <f t="shared" si="3"/>
        <v>0.3454609921560593</v>
      </c>
      <c r="K37" s="28">
        <f t="shared" si="3"/>
        <v>44.959493580816513</v>
      </c>
      <c r="L37" s="28">
        <f t="shared" si="3"/>
        <v>3.0287003957071295</v>
      </c>
      <c r="M37" s="28">
        <f t="shared" si="3"/>
        <v>15.04884611470451</v>
      </c>
      <c r="N37" s="28">
        <f t="shared" si="3"/>
        <v>321.83027798217955</v>
      </c>
      <c r="O37" s="28">
        <f t="shared" si="3"/>
        <v>0</v>
      </c>
      <c r="P37" s="28">
        <f t="shared" si="3"/>
        <v>0.22601421976555341</v>
      </c>
      <c r="Q37" s="28">
        <f t="shared" si="3"/>
        <v>0.14452320409449498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COUNT(G9:G32)+2</f>
        <v>24</v>
      </c>
      <c r="H38" s="32">
        <f>COUNT(H9:H32)+2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18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O21" sqref="O21:O3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20/05/2025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4" t="s">
        <v>516</v>
      </c>
      <c r="B9" s="55">
        <v>7.41</v>
      </c>
      <c r="C9" s="55">
        <v>19.25</v>
      </c>
      <c r="D9" s="55">
        <v>25.47</v>
      </c>
      <c r="E9" s="55">
        <v>5.66</v>
      </c>
      <c r="F9" s="55">
        <v>15.72</v>
      </c>
      <c r="G9" s="55">
        <v>33.840000000000003</v>
      </c>
      <c r="H9" s="55">
        <v>11.27</v>
      </c>
      <c r="I9" s="55">
        <v>4.03</v>
      </c>
      <c r="J9" s="55">
        <v>0.48</v>
      </c>
      <c r="K9" s="55">
        <v>176.49</v>
      </c>
      <c r="L9" s="55">
        <v>31.27</v>
      </c>
      <c r="M9" s="55">
        <v>59.16</v>
      </c>
      <c r="N9" s="55">
        <v>29.9</v>
      </c>
      <c r="O9" s="55">
        <v>0</v>
      </c>
      <c r="P9" s="55">
        <v>0.31</v>
      </c>
      <c r="Q9" s="55">
        <v>9.44</v>
      </c>
      <c r="R9" s="43"/>
      <c r="S9" s="43"/>
      <c r="T9" s="43"/>
      <c r="U9" s="43"/>
    </row>
    <row r="10" spans="1:21" s="11" customFormat="1" x14ac:dyDescent="0.25">
      <c r="A10" s="54" t="s">
        <v>517</v>
      </c>
      <c r="B10" s="55">
        <v>5.32</v>
      </c>
      <c r="C10" s="55">
        <v>15.46</v>
      </c>
      <c r="D10" s="55">
        <v>21.69</v>
      </c>
      <c r="E10" s="55">
        <v>5.46</v>
      </c>
      <c r="F10" s="55">
        <v>16.010000000000002</v>
      </c>
      <c r="G10" s="55">
        <v>27.87</v>
      </c>
      <c r="H10" s="55">
        <v>8.4600000000000009</v>
      </c>
      <c r="I10" s="55">
        <v>4.1500000000000004</v>
      </c>
      <c r="J10" s="55">
        <v>0.95</v>
      </c>
      <c r="K10" s="55">
        <v>193.66</v>
      </c>
      <c r="L10" s="55">
        <v>31.22</v>
      </c>
      <c r="M10" s="55">
        <v>59.76</v>
      </c>
      <c r="N10" s="55">
        <v>29.5</v>
      </c>
      <c r="O10" s="55">
        <v>0</v>
      </c>
      <c r="P10" s="55">
        <v>0.3</v>
      </c>
      <c r="Q10" s="55">
        <v>9.33</v>
      </c>
      <c r="R10" s="43"/>
      <c r="S10" s="43"/>
      <c r="T10" s="43"/>
      <c r="U10" s="43"/>
    </row>
    <row r="11" spans="1:21" s="11" customFormat="1" x14ac:dyDescent="0.25">
      <c r="A11" s="54" t="s">
        <v>518</v>
      </c>
      <c r="B11" s="55">
        <v>4.8899999999999997</v>
      </c>
      <c r="C11" s="55">
        <v>16.350000000000001</v>
      </c>
      <c r="D11" s="55">
        <v>24.08</v>
      </c>
      <c r="E11" s="55">
        <v>5.37</v>
      </c>
      <c r="F11" s="55">
        <v>15.41</v>
      </c>
      <c r="G11" s="55">
        <v>21.53</v>
      </c>
      <c r="H11" s="55">
        <v>6.05</v>
      </c>
      <c r="I11" s="55">
        <v>4</v>
      </c>
      <c r="J11" s="55">
        <v>1.52</v>
      </c>
      <c r="K11" s="55">
        <v>113.55</v>
      </c>
      <c r="L11" s="55">
        <v>31.31</v>
      </c>
      <c r="M11" s="55">
        <v>58.78</v>
      </c>
      <c r="N11" s="55">
        <v>29.5</v>
      </c>
      <c r="O11" s="55">
        <v>0</v>
      </c>
      <c r="P11" s="55">
        <v>0.25</v>
      </c>
      <c r="Q11" s="55">
        <v>9.3000000000000007</v>
      </c>
      <c r="R11" s="43"/>
      <c r="S11" s="43"/>
      <c r="T11" s="43"/>
      <c r="U11" s="43"/>
    </row>
    <row r="12" spans="1:21" s="11" customFormat="1" x14ac:dyDescent="0.25">
      <c r="A12" s="54" t="s">
        <v>519</v>
      </c>
      <c r="B12" s="55">
        <v>5.75</v>
      </c>
      <c r="C12" s="55">
        <v>16.34</v>
      </c>
      <c r="D12" s="55">
        <v>22.93</v>
      </c>
      <c r="E12" s="55">
        <v>5.42</v>
      </c>
      <c r="F12" s="55">
        <v>9.4499999999999993</v>
      </c>
      <c r="G12" s="55">
        <v>17.350000000000001</v>
      </c>
      <c r="H12" s="55">
        <v>5.98</v>
      </c>
      <c r="I12" s="55">
        <v>4.1399999999999997</v>
      </c>
      <c r="J12" s="55">
        <v>1.21</v>
      </c>
      <c r="K12" s="55">
        <v>230.62</v>
      </c>
      <c r="L12" s="55">
        <v>30.87</v>
      </c>
      <c r="M12" s="55">
        <v>66.78</v>
      </c>
      <c r="N12" s="55">
        <v>29.6</v>
      </c>
      <c r="O12" s="55">
        <v>0</v>
      </c>
      <c r="P12" s="55">
        <v>0.2</v>
      </c>
      <c r="Q12" s="55">
        <v>9.25</v>
      </c>
      <c r="R12" s="43"/>
      <c r="S12" s="43"/>
      <c r="T12" s="43"/>
      <c r="U12" s="43"/>
    </row>
    <row r="13" spans="1:21" s="11" customFormat="1" x14ac:dyDescent="0.25">
      <c r="A13" s="54" t="s">
        <v>520</v>
      </c>
      <c r="B13" s="55">
        <v>13.39</v>
      </c>
      <c r="C13" s="55">
        <v>35.39</v>
      </c>
      <c r="D13" s="55">
        <v>47.43</v>
      </c>
      <c r="E13" s="55">
        <v>9.4600000000000009</v>
      </c>
      <c r="F13" s="55">
        <v>8.73</v>
      </c>
      <c r="G13" s="55">
        <v>17.2</v>
      </c>
      <c r="H13" s="55">
        <v>6.06</v>
      </c>
      <c r="I13" s="55">
        <v>4.0599999999999996</v>
      </c>
      <c r="J13" s="55">
        <v>0.72</v>
      </c>
      <c r="K13" s="55">
        <v>288.18</v>
      </c>
      <c r="L13" s="55">
        <v>29.75</v>
      </c>
      <c r="M13" s="55">
        <v>69.19</v>
      </c>
      <c r="N13" s="55">
        <v>29.6</v>
      </c>
      <c r="O13" s="55">
        <v>0</v>
      </c>
      <c r="P13" s="55">
        <v>0.5</v>
      </c>
      <c r="Q13" s="55">
        <v>9.2799999999999994</v>
      </c>
      <c r="R13" s="43"/>
      <c r="S13" s="43"/>
      <c r="T13" s="43"/>
      <c r="U13" s="43"/>
    </row>
    <row r="14" spans="1:21" s="11" customFormat="1" x14ac:dyDescent="0.25">
      <c r="A14" s="54" t="s">
        <v>521</v>
      </c>
      <c r="B14" s="55">
        <v>18.18</v>
      </c>
      <c r="C14" s="55">
        <v>45.35</v>
      </c>
      <c r="D14" s="55">
        <v>58.89</v>
      </c>
      <c r="E14" s="55">
        <v>24</v>
      </c>
      <c r="F14" s="55">
        <v>6.85</v>
      </c>
      <c r="G14" s="55">
        <v>44.89</v>
      </c>
      <c r="H14" s="55">
        <v>11.71</v>
      </c>
      <c r="I14" s="55">
        <v>4.2</v>
      </c>
      <c r="J14" s="55">
        <v>1.32</v>
      </c>
      <c r="K14" s="55">
        <v>256.89999999999998</v>
      </c>
      <c r="L14" s="55">
        <v>29.06</v>
      </c>
      <c r="M14" s="55">
        <v>68.540000000000006</v>
      </c>
      <c r="N14" s="55">
        <v>59.6</v>
      </c>
      <c r="O14" s="55">
        <v>0</v>
      </c>
      <c r="P14" s="55">
        <v>0.59</v>
      </c>
      <c r="Q14" s="55">
        <v>9.3800000000000008</v>
      </c>
      <c r="R14" s="43"/>
      <c r="S14" s="43"/>
      <c r="T14" s="43"/>
      <c r="U14" s="43"/>
    </row>
    <row r="15" spans="1:21" s="11" customFormat="1" x14ac:dyDescent="0.25">
      <c r="A15" s="54" t="s">
        <v>522</v>
      </c>
      <c r="B15" s="55">
        <v>22.54</v>
      </c>
      <c r="C15" s="55">
        <v>51.73</v>
      </c>
      <c r="D15" s="55">
        <v>64.41</v>
      </c>
      <c r="E15" s="55">
        <v>25.65</v>
      </c>
      <c r="F15" s="55">
        <v>7</v>
      </c>
      <c r="G15" s="55">
        <v>66.02</v>
      </c>
      <c r="H15" s="55">
        <v>11.47</v>
      </c>
      <c r="I15" s="55">
        <v>4.0599999999999996</v>
      </c>
      <c r="J15" s="55">
        <v>0.49</v>
      </c>
      <c r="K15" s="55">
        <v>205.7</v>
      </c>
      <c r="L15" s="55">
        <v>30.9</v>
      </c>
      <c r="M15" s="55">
        <v>66.319999999999993</v>
      </c>
      <c r="N15" s="55">
        <v>221</v>
      </c>
      <c r="O15" s="55">
        <v>0</v>
      </c>
      <c r="P15" s="55">
        <v>0.72</v>
      </c>
      <c r="Q15" s="55">
        <v>9.51</v>
      </c>
      <c r="R15" s="43"/>
      <c r="S15" s="43"/>
      <c r="T15" s="43"/>
      <c r="U15" s="43"/>
    </row>
    <row r="16" spans="1:21" s="11" customFormat="1" x14ac:dyDescent="0.25">
      <c r="A16" s="54" t="s">
        <v>523</v>
      </c>
      <c r="B16" s="55">
        <v>12.4</v>
      </c>
      <c r="C16" s="55">
        <v>32.47</v>
      </c>
      <c r="D16" s="55">
        <v>43.11</v>
      </c>
      <c r="E16" s="55">
        <v>19.03</v>
      </c>
      <c r="F16" s="55">
        <v>8.81</v>
      </c>
      <c r="G16" s="55">
        <v>76.45</v>
      </c>
      <c r="H16" s="55">
        <v>17.84</v>
      </c>
      <c r="I16" s="55">
        <v>3.99</v>
      </c>
      <c r="J16" s="55">
        <v>1</v>
      </c>
      <c r="K16" s="55">
        <v>162.54</v>
      </c>
      <c r="L16" s="55">
        <v>32.29</v>
      </c>
      <c r="M16" s="55">
        <v>61.03</v>
      </c>
      <c r="N16" s="55">
        <v>376.4</v>
      </c>
      <c r="O16" s="55">
        <v>0</v>
      </c>
      <c r="P16" s="55">
        <v>0.56999999999999995</v>
      </c>
      <c r="Q16" s="55">
        <v>9.5299999999999994</v>
      </c>
      <c r="R16" s="43"/>
      <c r="S16" s="43"/>
      <c r="T16" s="43"/>
      <c r="U16" s="43"/>
    </row>
    <row r="17" spans="1:21" s="11" customFormat="1" x14ac:dyDescent="0.25">
      <c r="A17" s="54" t="s">
        <v>524</v>
      </c>
      <c r="B17" s="55">
        <v>10.65</v>
      </c>
      <c r="C17" s="55">
        <v>21.74</v>
      </c>
      <c r="D17" s="55">
        <v>28.31</v>
      </c>
      <c r="E17" s="55">
        <v>7</v>
      </c>
      <c r="F17" s="55">
        <v>11.24</v>
      </c>
      <c r="G17" s="55">
        <v>57.04</v>
      </c>
      <c r="H17" s="55">
        <v>15.94</v>
      </c>
      <c r="I17" s="55">
        <v>4.08</v>
      </c>
      <c r="J17" s="55">
        <v>1.34</v>
      </c>
      <c r="K17" s="55">
        <v>164.4</v>
      </c>
      <c r="L17" s="55">
        <v>33.979999999999997</v>
      </c>
      <c r="M17" s="55">
        <v>61.94</v>
      </c>
      <c r="N17" s="55">
        <v>575.20000000000005</v>
      </c>
      <c r="O17" s="55">
        <v>0</v>
      </c>
      <c r="P17" s="55">
        <v>0.43</v>
      </c>
      <c r="Q17" s="55">
        <v>9.4700000000000006</v>
      </c>
      <c r="R17" s="43"/>
      <c r="S17" s="43"/>
      <c r="T17" s="43"/>
      <c r="U17" s="43"/>
    </row>
    <row r="18" spans="1:21" s="11" customFormat="1" x14ac:dyDescent="0.25">
      <c r="A18" s="54" t="s">
        <v>525</v>
      </c>
      <c r="B18" s="55">
        <v>7.92</v>
      </c>
      <c r="C18" s="55">
        <v>20.239999999999998</v>
      </c>
      <c r="D18" s="55">
        <v>26.59</v>
      </c>
      <c r="E18" s="55">
        <v>7.05</v>
      </c>
      <c r="F18" s="55">
        <v>14.08</v>
      </c>
      <c r="G18" s="55">
        <v>38.340000000000003</v>
      </c>
      <c r="H18" s="55">
        <v>25.41</v>
      </c>
      <c r="I18" s="55">
        <v>4.17</v>
      </c>
      <c r="J18" s="55">
        <v>1.1599999999999999</v>
      </c>
      <c r="K18" s="55">
        <v>175.13</v>
      </c>
      <c r="L18" s="55">
        <v>34.47</v>
      </c>
      <c r="M18" s="55">
        <v>54.31</v>
      </c>
      <c r="N18" s="55">
        <v>755.7</v>
      </c>
      <c r="O18" s="55">
        <v>0</v>
      </c>
      <c r="P18" s="55">
        <v>0.36</v>
      </c>
      <c r="Q18" s="55">
        <v>9.4</v>
      </c>
      <c r="R18" s="43"/>
      <c r="S18" s="43"/>
      <c r="T18" s="43"/>
      <c r="U18" s="43"/>
    </row>
    <row r="19" spans="1:21" s="11" customFormat="1" x14ac:dyDescent="0.25">
      <c r="A19" s="54" t="s">
        <v>526</v>
      </c>
      <c r="B19" s="55">
        <v>5.79</v>
      </c>
      <c r="C19" s="55">
        <v>18.260000000000002</v>
      </c>
      <c r="D19" s="55">
        <v>27.89</v>
      </c>
      <c r="E19" s="55">
        <v>6.24</v>
      </c>
      <c r="F19" s="55">
        <v>15.85</v>
      </c>
      <c r="G19" s="55">
        <v>25.58</v>
      </c>
      <c r="H19" s="55">
        <v>140.33000000000001</v>
      </c>
      <c r="I19" s="55">
        <v>4.16</v>
      </c>
      <c r="J19" s="55">
        <v>1.42</v>
      </c>
      <c r="K19" s="55">
        <v>187.92</v>
      </c>
      <c r="L19" s="55">
        <v>35.07</v>
      </c>
      <c r="M19" s="55">
        <v>50.21</v>
      </c>
      <c r="N19" s="55">
        <v>849.7</v>
      </c>
      <c r="O19" s="55">
        <v>0</v>
      </c>
      <c r="P19" s="55">
        <v>0.34</v>
      </c>
      <c r="Q19" s="55">
        <v>9.2899999999999991</v>
      </c>
      <c r="R19" s="43"/>
      <c r="S19" s="43"/>
      <c r="T19" s="43"/>
      <c r="U19" s="43"/>
    </row>
    <row r="20" spans="1:21" s="11" customFormat="1" x14ac:dyDescent="0.25">
      <c r="A20" s="54" t="s">
        <v>527</v>
      </c>
      <c r="B20" s="55">
        <v>4.88</v>
      </c>
      <c r="C20" s="55">
        <v>19.010000000000002</v>
      </c>
      <c r="D20" s="55">
        <v>29.25</v>
      </c>
      <c r="E20" s="55">
        <v>5.67</v>
      </c>
      <c r="F20" s="55">
        <v>20.18</v>
      </c>
      <c r="G20" s="55">
        <v>38.9</v>
      </c>
      <c r="H20" s="55">
        <v>112.65</v>
      </c>
      <c r="I20" s="55">
        <v>4.05</v>
      </c>
      <c r="J20" s="55">
        <v>1.07</v>
      </c>
      <c r="K20" s="55">
        <v>184.64</v>
      </c>
      <c r="L20" s="55">
        <v>31.16</v>
      </c>
      <c r="M20" s="55">
        <v>46.22</v>
      </c>
      <c r="N20" s="55">
        <v>889.7</v>
      </c>
      <c r="O20" s="55">
        <v>0</v>
      </c>
      <c r="P20" s="55">
        <v>0.28999999999999998</v>
      </c>
      <c r="Q20" s="55">
        <v>9.19</v>
      </c>
      <c r="R20" s="43"/>
      <c r="S20" s="43"/>
      <c r="T20" s="43"/>
      <c r="U20" s="43"/>
    </row>
    <row r="21" spans="1:21" s="11" customFormat="1" x14ac:dyDescent="0.25">
      <c r="A21" s="54" t="s">
        <v>528</v>
      </c>
      <c r="B21" s="55">
        <v>5.19</v>
      </c>
      <c r="C21" s="55">
        <v>19.940000000000001</v>
      </c>
      <c r="D21" s="55">
        <v>30.19</v>
      </c>
      <c r="E21" s="55">
        <v>5.48</v>
      </c>
      <c r="F21" s="55">
        <v>29.9</v>
      </c>
      <c r="G21" s="55">
        <v>33.92</v>
      </c>
      <c r="H21" s="55">
        <v>12.25</v>
      </c>
      <c r="I21" s="55">
        <v>4.03</v>
      </c>
      <c r="J21" s="55">
        <v>1.95</v>
      </c>
      <c r="K21" s="55">
        <v>164.26</v>
      </c>
      <c r="L21" s="55">
        <v>30</v>
      </c>
      <c r="M21" s="55">
        <v>38.96</v>
      </c>
      <c r="N21" s="55">
        <v>890.3</v>
      </c>
      <c r="O21" s="55">
        <v>0</v>
      </c>
      <c r="P21" s="55">
        <v>0.28000000000000003</v>
      </c>
      <c r="Q21" s="55">
        <v>9.18</v>
      </c>
      <c r="R21" s="43"/>
      <c r="S21" s="43"/>
      <c r="T21" s="43"/>
      <c r="U21" s="43"/>
    </row>
    <row r="22" spans="1:21" s="11" customFormat="1" x14ac:dyDescent="0.25">
      <c r="A22" s="54" t="s">
        <v>529</v>
      </c>
      <c r="B22" s="55">
        <v>7.52</v>
      </c>
      <c r="C22" s="55">
        <v>23.45</v>
      </c>
      <c r="D22" s="55">
        <v>33.35</v>
      </c>
      <c r="E22" s="55">
        <v>5.69</v>
      </c>
      <c r="F22" s="55">
        <v>28.65</v>
      </c>
      <c r="G22" s="55">
        <v>33.92</v>
      </c>
      <c r="H22" s="55">
        <v>20.11</v>
      </c>
      <c r="I22" s="55">
        <v>4.17</v>
      </c>
      <c r="J22" s="55">
        <v>1.28</v>
      </c>
      <c r="K22" s="55">
        <v>150.6</v>
      </c>
      <c r="L22" s="55">
        <v>37.950000000000003</v>
      </c>
      <c r="M22" s="55">
        <v>41.65</v>
      </c>
      <c r="N22" s="55">
        <v>676.8</v>
      </c>
      <c r="O22" s="55">
        <v>0</v>
      </c>
      <c r="P22" s="55">
        <v>0.42</v>
      </c>
      <c r="Q22" s="55">
        <v>9.19</v>
      </c>
      <c r="R22" s="43"/>
      <c r="S22" s="43"/>
      <c r="T22" s="43"/>
      <c r="U22" s="43"/>
    </row>
    <row r="23" spans="1:21" s="11" customFormat="1" x14ac:dyDescent="0.25">
      <c r="A23" s="54" t="s">
        <v>530</v>
      </c>
      <c r="B23" s="55">
        <v>9.0399999999999991</v>
      </c>
      <c r="C23" s="55">
        <v>27.55</v>
      </c>
      <c r="D23" s="55">
        <v>38.86</v>
      </c>
      <c r="E23" s="55">
        <v>6.13</v>
      </c>
      <c r="F23" s="55">
        <v>29.66</v>
      </c>
      <c r="G23" s="55">
        <v>41.56</v>
      </c>
      <c r="H23" s="55">
        <v>21.81</v>
      </c>
      <c r="I23" s="55">
        <v>4.18</v>
      </c>
      <c r="J23" s="55">
        <v>0.54</v>
      </c>
      <c r="K23" s="55">
        <v>241.18</v>
      </c>
      <c r="L23" s="55">
        <v>44.43</v>
      </c>
      <c r="M23" s="55">
        <v>33.51</v>
      </c>
      <c r="N23" s="55">
        <v>272</v>
      </c>
      <c r="O23" s="55">
        <v>0</v>
      </c>
      <c r="P23" s="55">
        <v>0.54</v>
      </c>
      <c r="Q23" s="55">
        <v>9.2100000000000009</v>
      </c>
      <c r="R23" s="43"/>
      <c r="S23" s="43"/>
      <c r="T23" s="43"/>
      <c r="U23" s="43"/>
    </row>
    <row r="24" spans="1:21" s="11" customFormat="1" x14ac:dyDescent="0.25">
      <c r="A24" s="54" t="s">
        <v>531</v>
      </c>
      <c r="B24" s="55">
        <v>8.9600000000000009</v>
      </c>
      <c r="C24" s="55">
        <v>29.86</v>
      </c>
      <c r="D24" s="55">
        <v>43.41</v>
      </c>
      <c r="E24" s="55">
        <v>6.1</v>
      </c>
      <c r="F24" s="55">
        <v>31.26</v>
      </c>
      <c r="G24" s="55">
        <v>41.56</v>
      </c>
      <c r="H24" s="55">
        <v>21.81</v>
      </c>
      <c r="I24" s="55">
        <v>3.99</v>
      </c>
      <c r="J24" s="55">
        <v>1.08</v>
      </c>
      <c r="K24" s="55">
        <v>224.65</v>
      </c>
      <c r="L24" s="55">
        <v>44.39</v>
      </c>
      <c r="M24" s="55">
        <v>34.630000000000003</v>
      </c>
      <c r="N24" s="55">
        <v>368.7</v>
      </c>
      <c r="O24" s="55">
        <v>0</v>
      </c>
      <c r="P24" s="55">
        <v>0.44</v>
      </c>
      <c r="Q24" s="55">
        <v>9.2200000000000006</v>
      </c>
      <c r="R24" s="43"/>
      <c r="S24" s="43"/>
      <c r="T24" s="43"/>
      <c r="U24" s="43"/>
    </row>
    <row r="25" spans="1:21" s="11" customFormat="1" x14ac:dyDescent="0.25">
      <c r="A25" s="54" t="s">
        <v>532</v>
      </c>
      <c r="B25" s="55">
        <v>5.91</v>
      </c>
      <c r="C25" s="55">
        <v>21.11</v>
      </c>
      <c r="D25" s="55">
        <v>31.33</v>
      </c>
      <c r="E25" s="55">
        <v>5.61</v>
      </c>
      <c r="F25" s="55">
        <v>19.850000000000001</v>
      </c>
      <c r="G25" s="55">
        <v>40.83</v>
      </c>
      <c r="H25" s="55">
        <v>16.46</v>
      </c>
      <c r="I25" s="55">
        <v>4.16</v>
      </c>
      <c r="J25" s="55">
        <v>2</v>
      </c>
      <c r="K25" s="55">
        <v>240.72</v>
      </c>
      <c r="L25" s="55">
        <v>41.09</v>
      </c>
      <c r="M25" s="55">
        <v>45.31</v>
      </c>
      <c r="N25" s="55">
        <v>152.69999999999999</v>
      </c>
      <c r="O25" s="55">
        <v>0</v>
      </c>
      <c r="P25" s="55">
        <v>0.4</v>
      </c>
      <c r="Q25" s="55">
        <v>9.23</v>
      </c>
      <c r="R25" s="43"/>
      <c r="S25" s="43"/>
      <c r="T25" s="43"/>
      <c r="U25" s="43"/>
    </row>
    <row r="26" spans="1:21" s="11" customFormat="1" x14ac:dyDescent="0.25">
      <c r="A26" s="54" t="s">
        <v>533</v>
      </c>
      <c r="B26" s="55">
        <v>9.14</v>
      </c>
      <c r="C26" s="55">
        <v>30.95</v>
      </c>
      <c r="D26" s="55">
        <v>49.07</v>
      </c>
      <c r="E26" s="55">
        <v>5.63</v>
      </c>
      <c r="F26" s="55">
        <v>19.57</v>
      </c>
      <c r="G26" s="55">
        <v>40.83</v>
      </c>
      <c r="H26" s="55">
        <v>15.22</v>
      </c>
      <c r="I26" s="55">
        <v>4.1900000000000004</v>
      </c>
      <c r="J26" s="55">
        <v>0.68</v>
      </c>
      <c r="K26" s="55">
        <v>219.32</v>
      </c>
      <c r="L26" s="55">
        <v>37.89</v>
      </c>
      <c r="M26" s="55">
        <v>50.52</v>
      </c>
      <c r="N26" s="55">
        <v>62.7</v>
      </c>
      <c r="O26" s="55">
        <v>0</v>
      </c>
      <c r="P26" s="55">
        <v>0.65</v>
      </c>
      <c r="Q26" s="55">
        <v>9.25</v>
      </c>
      <c r="R26" s="43"/>
      <c r="S26" s="43"/>
      <c r="T26" s="43"/>
      <c r="U26" s="43"/>
    </row>
    <row r="27" spans="1:21" s="11" customFormat="1" x14ac:dyDescent="0.25">
      <c r="A27" s="54" t="s">
        <v>534</v>
      </c>
      <c r="B27" s="55">
        <v>10.25</v>
      </c>
      <c r="C27" s="55">
        <v>34.94</v>
      </c>
      <c r="D27" s="55">
        <v>51.14</v>
      </c>
      <c r="E27" s="55">
        <v>6.07</v>
      </c>
      <c r="F27" s="55">
        <v>21.3</v>
      </c>
      <c r="G27" s="55">
        <v>48.03</v>
      </c>
      <c r="H27" s="55">
        <v>15.22</v>
      </c>
      <c r="I27" s="55">
        <v>3.98</v>
      </c>
      <c r="J27" s="55">
        <v>0.37</v>
      </c>
      <c r="K27" s="55">
        <v>207.33</v>
      </c>
      <c r="L27" s="55">
        <v>36.76</v>
      </c>
      <c r="M27" s="55">
        <v>55.58</v>
      </c>
      <c r="N27" s="55">
        <v>43.3</v>
      </c>
      <c r="O27" s="55">
        <v>0</v>
      </c>
      <c r="P27" s="55">
        <v>0.89</v>
      </c>
      <c r="Q27" s="55">
        <v>9.31</v>
      </c>
      <c r="R27" s="43"/>
      <c r="S27" s="43"/>
      <c r="T27" s="43"/>
      <c r="U27" s="43"/>
    </row>
    <row r="28" spans="1:21" s="11" customFormat="1" x14ac:dyDescent="0.25">
      <c r="A28" s="54" t="s">
        <v>535</v>
      </c>
      <c r="B28" s="55">
        <v>13.91</v>
      </c>
      <c r="C28" s="55">
        <v>43.28</v>
      </c>
      <c r="D28" s="55">
        <v>61.49</v>
      </c>
      <c r="E28" s="55">
        <v>8.61</v>
      </c>
      <c r="F28" s="55">
        <v>13.9</v>
      </c>
      <c r="G28" s="55">
        <v>48.03</v>
      </c>
      <c r="H28" s="55">
        <v>15.12</v>
      </c>
      <c r="I28" s="55">
        <v>4.28</v>
      </c>
      <c r="J28" s="55">
        <v>0.94</v>
      </c>
      <c r="K28" s="55">
        <v>214.66</v>
      </c>
      <c r="L28" s="55">
        <v>36.32</v>
      </c>
      <c r="M28" s="55">
        <v>52.91</v>
      </c>
      <c r="N28" s="55">
        <v>41.6</v>
      </c>
      <c r="O28" s="55">
        <v>0</v>
      </c>
      <c r="P28" s="55">
        <v>2.08</v>
      </c>
      <c r="Q28" s="55">
        <v>9.36</v>
      </c>
      <c r="R28" s="43"/>
      <c r="S28" s="43"/>
      <c r="T28" s="43"/>
      <c r="U28" s="43"/>
    </row>
    <row r="29" spans="1:21" s="11" customFormat="1" x14ac:dyDescent="0.25">
      <c r="A29" s="54" t="s">
        <v>536</v>
      </c>
      <c r="B29" s="55">
        <v>17.04</v>
      </c>
      <c r="C29" s="55">
        <v>35.26</v>
      </c>
      <c r="D29" s="55">
        <v>45.24</v>
      </c>
      <c r="E29" s="55">
        <v>6.42</v>
      </c>
      <c r="F29" s="55">
        <v>12.02</v>
      </c>
      <c r="G29" s="55">
        <v>48.55</v>
      </c>
      <c r="H29" s="55">
        <v>21.52</v>
      </c>
      <c r="I29" s="55">
        <v>4.05</v>
      </c>
      <c r="J29" s="55">
        <v>1.08</v>
      </c>
      <c r="K29" s="55">
        <v>217.89</v>
      </c>
      <c r="L29" s="55">
        <v>35.56</v>
      </c>
      <c r="M29" s="55">
        <v>54.23</v>
      </c>
      <c r="N29" s="55">
        <v>41.2</v>
      </c>
      <c r="O29" s="55">
        <v>0</v>
      </c>
      <c r="P29" s="55">
        <v>0.98</v>
      </c>
      <c r="Q29" s="55">
        <v>9.5</v>
      </c>
      <c r="R29" s="43"/>
      <c r="S29" s="43"/>
      <c r="T29" s="43"/>
      <c r="U29" s="43"/>
    </row>
    <row r="30" spans="1:21" s="11" customFormat="1" x14ac:dyDescent="0.25">
      <c r="A30" s="54" t="s">
        <v>537</v>
      </c>
      <c r="B30" s="55">
        <v>28.55</v>
      </c>
      <c r="C30" s="55">
        <v>59.37</v>
      </c>
      <c r="D30" s="55">
        <v>69.819999999999993</v>
      </c>
      <c r="E30" s="55">
        <v>7</v>
      </c>
      <c r="F30" s="55">
        <v>15</v>
      </c>
      <c r="G30" s="55">
        <v>50.1</v>
      </c>
      <c r="H30" s="55">
        <v>21.52</v>
      </c>
      <c r="I30" s="55">
        <v>4.17</v>
      </c>
      <c r="J30" s="55">
        <v>0.51</v>
      </c>
      <c r="K30" s="55">
        <v>220.36</v>
      </c>
      <c r="L30" s="55">
        <v>35.659999999999997</v>
      </c>
      <c r="M30" s="55">
        <v>53.29</v>
      </c>
      <c r="N30" s="55">
        <v>39.700000000000003</v>
      </c>
      <c r="O30" s="55">
        <v>0</v>
      </c>
      <c r="P30" s="55">
        <v>1.1100000000000001</v>
      </c>
      <c r="Q30" s="55">
        <v>9.6</v>
      </c>
      <c r="R30" s="43"/>
      <c r="S30" s="43"/>
      <c r="T30" s="43"/>
      <c r="U30" s="43"/>
    </row>
    <row r="31" spans="1:21" s="11" customFormat="1" x14ac:dyDescent="0.25">
      <c r="A31" s="54" t="s">
        <v>538</v>
      </c>
      <c r="B31" s="55">
        <v>21.36</v>
      </c>
      <c r="C31" s="55">
        <v>58.67</v>
      </c>
      <c r="D31" s="55">
        <v>79.510000000000005</v>
      </c>
      <c r="E31" s="55">
        <v>16.93</v>
      </c>
      <c r="F31" s="55">
        <v>16.02</v>
      </c>
      <c r="G31" s="55">
        <v>51.5</v>
      </c>
      <c r="H31" s="55">
        <v>15.31</v>
      </c>
      <c r="I31" s="55">
        <v>4.01</v>
      </c>
      <c r="J31" s="55">
        <v>0.61</v>
      </c>
      <c r="K31" s="55">
        <v>219.01</v>
      </c>
      <c r="L31" s="55">
        <v>35.770000000000003</v>
      </c>
      <c r="M31" s="55">
        <v>52.47</v>
      </c>
      <c r="N31" s="55">
        <v>39.799999999999997</v>
      </c>
      <c r="O31" s="55">
        <v>0</v>
      </c>
      <c r="P31" s="55">
        <v>0.94</v>
      </c>
      <c r="Q31" s="55">
        <v>9.61</v>
      </c>
      <c r="R31" s="43"/>
      <c r="S31" s="43"/>
      <c r="T31" s="43"/>
      <c r="U31" s="43"/>
    </row>
    <row r="32" spans="1:21" s="11" customFormat="1" x14ac:dyDescent="0.25">
      <c r="A32" s="54" t="s">
        <v>539</v>
      </c>
      <c r="B32" s="55">
        <v>8.68</v>
      </c>
      <c r="C32" s="55">
        <v>45.69</v>
      </c>
      <c r="D32" s="55">
        <v>74.12</v>
      </c>
      <c r="E32" s="55">
        <v>17.66</v>
      </c>
      <c r="F32" s="55">
        <v>12.05</v>
      </c>
      <c r="G32" s="55">
        <v>61.19</v>
      </c>
      <c r="H32" s="55">
        <v>32.69</v>
      </c>
      <c r="I32" s="55">
        <v>4.16</v>
      </c>
      <c r="J32" s="55">
        <v>0.48</v>
      </c>
      <c r="K32" s="55">
        <v>190.47</v>
      </c>
      <c r="L32" s="55">
        <v>35.909999999999997</v>
      </c>
      <c r="M32" s="55">
        <v>61.53</v>
      </c>
      <c r="N32" s="55">
        <v>40.4</v>
      </c>
      <c r="O32" s="55">
        <v>0</v>
      </c>
      <c r="P32" s="55">
        <v>0.69</v>
      </c>
      <c r="Q32" s="55">
        <v>9.6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4.88</v>
      </c>
      <c r="C34" s="28">
        <f t="shared" si="0"/>
        <v>15.46</v>
      </c>
      <c r="D34" s="28">
        <f t="shared" si="0"/>
        <v>21.69</v>
      </c>
      <c r="E34" s="28">
        <f t="shared" si="0"/>
        <v>5.37</v>
      </c>
      <c r="F34" s="28">
        <f t="shared" si="0"/>
        <v>6.85</v>
      </c>
      <c r="G34" s="28">
        <f t="shared" si="0"/>
        <v>17.2</v>
      </c>
      <c r="H34" s="28">
        <f t="shared" si="0"/>
        <v>5.98</v>
      </c>
      <c r="I34" s="28">
        <f t="shared" si="0"/>
        <v>3.98</v>
      </c>
      <c r="J34" s="28">
        <f t="shared" si="0"/>
        <v>0.37</v>
      </c>
      <c r="K34" s="28">
        <f t="shared" si="0"/>
        <v>113.55</v>
      </c>
      <c r="L34" s="28">
        <f t="shared" si="0"/>
        <v>29.06</v>
      </c>
      <c r="M34" s="28">
        <f t="shared" si="0"/>
        <v>33.51</v>
      </c>
      <c r="N34" s="28">
        <f t="shared" si="0"/>
        <v>29.5</v>
      </c>
      <c r="O34" s="28">
        <f t="shared" si="0"/>
        <v>0</v>
      </c>
      <c r="P34" s="28">
        <f t="shared" si="0"/>
        <v>0.2</v>
      </c>
      <c r="Q34" s="28">
        <f t="shared" si="0"/>
        <v>9.18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28.55</v>
      </c>
      <c r="C35" s="29">
        <f t="shared" si="1"/>
        <v>59.37</v>
      </c>
      <c r="D35" s="29">
        <f t="shared" si="1"/>
        <v>79.510000000000005</v>
      </c>
      <c r="E35" s="29">
        <f t="shared" si="1"/>
        <v>25.65</v>
      </c>
      <c r="F35" s="29">
        <f t="shared" si="1"/>
        <v>31.26</v>
      </c>
      <c r="G35" s="29">
        <f t="shared" si="1"/>
        <v>76.45</v>
      </c>
      <c r="H35" s="29">
        <f t="shared" si="1"/>
        <v>140.33000000000001</v>
      </c>
      <c r="I35" s="29">
        <f t="shared" si="1"/>
        <v>4.28</v>
      </c>
      <c r="J35" s="29">
        <f t="shared" si="1"/>
        <v>2</v>
      </c>
      <c r="K35" s="29">
        <f t="shared" si="1"/>
        <v>288.18</v>
      </c>
      <c r="L35" s="29">
        <f t="shared" si="1"/>
        <v>44.43</v>
      </c>
      <c r="M35" s="29">
        <f t="shared" si="1"/>
        <v>69.19</v>
      </c>
      <c r="N35" s="29">
        <f t="shared" si="1"/>
        <v>890.3</v>
      </c>
      <c r="O35" s="29">
        <f t="shared" si="1"/>
        <v>0</v>
      </c>
      <c r="P35" s="29">
        <f t="shared" si="1"/>
        <v>2.08</v>
      </c>
      <c r="Q35" s="29">
        <f t="shared" si="1"/>
        <v>9.61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11.027916666666668</v>
      </c>
      <c r="C36" s="28">
        <f t="shared" si="2"/>
        <v>30.902499999999993</v>
      </c>
      <c r="D36" s="28">
        <f t="shared" si="2"/>
        <v>42.81583333333333</v>
      </c>
      <c r="E36" s="28">
        <f t="shared" si="2"/>
        <v>9.3058333333333323</v>
      </c>
      <c r="F36" s="28">
        <f t="shared" si="2"/>
        <v>16.604583333333334</v>
      </c>
      <c r="G36" s="28">
        <f t="shared" si="2"/>
        <v>41.876249999999992</v>
      </c>
      <c r="H36" s="28">
        <f t="shared" si="2"/>
        <v>25.092083333333335</v>
      </c>
      <c r="I36" s="28">
        <f t="shared" si="2"/>
        <v>4.1025</v>
      </c>
      <c r="J36" s="28">
        <f t="shared" si="2"/>
        <v>1.0083333333333335</v>
      </c>
      <c r="K36" s="28">
        <f t="shared" si="2"/>
        <v>202.09083333333331</v>
      </c>
      <c r="L36" s="28">
        <f t="shared" si="2"/>
        <v>34.711666666666666</v>
      </c>
      <c r="M36" s="28">
        <f t="shared" si="2"/>
        <v>54.03458333333333</v>
      </c>
      <c r="N36" s="28">
        <f t="shared" si="2"/>
        <v>272.69166666666666</v>
      </c>
      <c r="O36" s="28">
        <f t="shared" si="2"/>
        <v>0</v>
      </c>
      <c r="P36" s="28">
        <f t="shared" si="2"/>
        <v>0.59500000000000008</v>
      </c>
      <c r="Q36" s="28">
        <f t="shared" si="2"/>
        <v>9.3595833333333314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6.345467385510676</v>
      </c>
      <c r="C37" s="28">
        <f t="shared" ref="C37:Q37" si="3">STDEV(C9:C32)</f>
        <v>13.568889688965154</v>
      </c>
      <c r="D37" s="28">
        <f t="shared" si="3"/>
        <v>17.49013956159466</v>
      </c>
      <c r="E37" s="28">
        <f t="shared" si="3"/>
        <v>6.2453321119381462</v>
      </c>
      <c r="F37" s="28">
        <f t="shared" si="3"/>
        <v>7.2617921965446746</v>
      </c>
      <c r="G37" s="28">
        <f t="shared" si="3"/>
        <v>14.702758041324763</v>
      </c>
      <c r="H37" s="28">
        <f t="shared" si="3"/>
        <v>32.143782816150996</v>
      </c>
      <c r="I37" s="28">
        <f t="shared" si="3"/>
        <v>8.378284560332927E-2</v>
      </c>
      <c r="J37" s="28">
        <f t="shared" si="3"/>
        <v>0.45300606260139931</v>
      </c>
      <c r="K37" s="28">
        <f t="shared" si="3"/>
        <v>37.949572938728735</v>
      </c>
      <c r="L37" s="28">
        <f t="shared" si="3"/>
        <v>4.2895268479997446</v>
      </c>
      <c r="M37" s="28">
        <f t="shared" si="3"/>
        <v>10.112423258876536</v>
      </c>
      <c r="N37" s="28">
        <f t="shared" si="3"/>
        <v>318.09573062299927</v>
      </c>
      <c r="O37" s="28">
        <f t="shared" si="3"/>
        <v>0</v>
      </c>
      <c r="P37" s="28">
        <f t="shared" si="3"/>
        <v>0.40329081102954684</v>
      </c>
      <c r="Q37" s="28">
        <f t="shared" si="3"/>
        <v>0.1415589957415716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H47" sqref="H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21/05/2025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7"/>
      <c r="B8" s="58" t="s">
        <v>22</v>
      </c>
      <c r="C8" s="58" t="s">
        <v>22</v>
      </c>
      <c r="D8" s="29" t="s">
        <v>42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58" t="s">
        <v>22</v>
      </c>
      <c r="R8" s="27"/>
      <c r="S8" s="29"/>
      <c r="T8" s="27"/>
      <c r="U8" s="27"/>
    </row>
    <row r="9" spans="1:21" s="11" customFormat="1" x14ac:dyDescent="0.25">
      <c r="A9" s="54" t="s">
        <v>540</v>
      </c>
      <c r="B9" s="55">
        <v>6.3</v>
      </c>
      <c r="C9" s="55">
        <v>38.03</v>
      </c>
      <c r="D9" s="55">
        <v>64.209999999999994</v>
      </c>
      <c r="E9" s="55">
        <v>19.72</v>
      </c>
      <c r="F9" s="55">
        <v>11.92</v>
      </c>
      <c r="G9" s="55">
        <v>61.19</v>
      </c>
      <c r="H9" s="55">
        <v>32.69</v>
      </c>
      <c r="I9" s="55">
        <v>4.1500000000000004</v>
      </c>
      <c r="J9" s="55">
        <v>0.75</v>
      </c>
      <c r="K9" s="55">
        <v>110.23</v>
      </c>
      <c r="L9" s="55">
        <v>35.58</v>
      </c>
      <c r="M9" s="55">
        <v>54.99</v>
      </c>
      <c r="N9" s="55">
        <v>40</v>
      </c>
      <c r="O9" s="55">
        <v>0</v>
      </c>
      <c r="P9" s="55">
        <v>0.72</v>
      </c>
      <c r="Q9" s="55">
        <v>9.57</v>
      </c>
      <c r="R9" s="43"/>
      <c r="S9" s="43"/>
      <c r="T9" s="43"/>
      <c r="U9" s="43"/>
    </row>
    <row r="10" spans="1:21" s="11" customFormat="1" x14ac:dyDescent="0.25">
      <c r="A10" s="54" t="s">
        <v>541</v>
      </c>
      <c r="B10" s="55">
        <v>7.75</v>
      </c>
      <c r="C10" s="55">
        <v>37.46</v>
      </c>
      <c r="D10" s="55">
        <v>64.260000000000005</v>
      </c>
      <c r="E10" s="55">
        <v>23.74</v>
      </c>
      <c r="F10" s="55">
        <v>12.36</v>
      </c>
      <c r="G10" s="55">
        <v>65.88</v>
      </c>
      <c r="H10" s="55">
        <v>14.82</v>
      </c>
      <c r="I10" s="55">
        <v>4.1399999999999997</v>
      </c>
      <c r="J10" s="55">
        <v>0.24</v>
      </c>
      <c r="K10" s="55">
        <v>199.94</v>
      </c>
      <c r="L10" s="55">
        <v>35.49</v>
      </c>
      <c r="M10" s="55">
        <v>59.66</v>
      </c>
      <c r="N10" s="55">
        <v>40.700000000000003</v>
      </c>
      <c r="O10" s="55">
        <v>0</v>
      </c>
      <c r="P10" s="55">
        <v>0.59</v>
      </c>
      <c r="Q10" s="55">
        <v>9.52</v>
      </c>
      <c r="R10" s="43"/>
      <c r="S10" s="43"/>
      <c r="T10" s="43"/>
      <c r="U10" s="43"/>
    </row>
    <row r="11" spans="1:21" s="11" customFormat="1" x14ac:dyDescent="0.25">
      <c r="A11" s="54" t="s">
        <v>542</v>
      </c>
      <c r="B11" s="55">
        <v>9.8699999999999992</v>
      </c>
      <c r="C11" s="55">
        <v>36.979999999999997</v>
      </c>
      <c r="D11" s="55">
        <v>55.63</v>
      </c>
      <c r="E11" s="55">
        <v>16.87</v>
      </c>
      <c r="F11" s="55">
        <v>11.18</v>
      </c>
      <c r="G11" s="55">
        <v>65.88</v>
      </c>
      <c r="H11" s="55">
        <v>23.7</v>
      </c>
      <c r="I11" s="55">
        <v>4.1100000000000003</v>
      </c>
      <c r="J11" s="55">
        <v>0.73</v>
      </c>
      <c r="K11" s="55">
        <v>210.58</v>
      </c>
      <c r="L11" s="55">
        <v>34.659999999999997</v>
      </c>
      <c r="M11" s="55">
        <v>63.27</v>
      </c>
      <c r="N11" s="55">
        <v>40.5</v>
      </c>
      <c r="O11" s="55">
        <v>0</v>
      </c>
      <c r="P11" s="55">
        <v>0.64</v>
      </c>
      <c r="Q11" s="55">
        <v>9.4700000000000006</v>
      </c>
      <c r="R11" s="43"/>
      <c r="S11" s="43"/>
      <c r="T11" s="43"/>
      <c r="U11" s="43"/>
    </row>
    <row r="12" spans="1:21" s="11" customFormat="1" x14ac:dyDescent="0.25">
      <c r="A12" s="54" t="s">
        <v>543</v>
      </c>
      <c r="B12" s="55">
        <v>6.37</v>
      </c>
      <c r="C12" s="55">
        <v>19.04</v>
      </c>
      <c r="D12" s="55">
        <v>30.1</v>
      </c>
      <c r="E12" s="55">
        <v>9.68</v>
      </c>
      <c r="F12" s="55">
        <v>11.48</v>
      </c>
      <c r="G12" s="55">
        <v>65.56</v>
      </c>
      <c r="H12" s="55">
        <v>52.16</v>
      </c>
      <c r="I12" s="55">
        <v>4.0999999999999996</v>
      </c>
      <c r="J12" s="55">
        <v>1.18</v>
      </c>
      <c r="K12" s="55">
        <v>186.4</v>
      </c>
      <c r="L12" s="55">
        <v>33.54</v>
      </c>
      <c r="M12" s="55">
        <v>66.63</v>
      </c>
      <c r="N12" s="55">
        <v>40.799999999999997</v>
      </c>
      <c r="O12" s="55">
        <v>0</v>
      </c>
      <c r="P12" s="55">
        <v>0.66</v>
      </c>
      <c r="Q12" s="55">
        <v>9.42</v>
      </c>
      <c r="R12" s="43"/>
      <c r="S12" s="43"/>
      <c r="T12" s="43"/>
      <c r="U12" s="43"/>
    </row>
    <row r="13" spans="1:21" s="11" customFormat="1" x14ac:dyDescent="0.25">
      <c r="A13" s="54" t="s">
        <v>544</v>
      </c>
      <c r="B13" s="55">
        <v>7.46</v>
      </c>
      <c r="C13" s="55">
        <v>22.01</v>
      </c>
      <c r="D13" s="55">
        <v>31.49</v>
      </c>
      <c r="E13" s="55">
        <v>7.34</v>
      </c>
      <c r="F13" s="55">
        <v>8.35</v>
      </c>
      <c r="G13" s="55">
        <v>54.45</v>
      </c>
      <c r="H13" s="55">
        <v>52.16</v>
      </c>
      <c r="I13" s="55">
        <v>4.1100000000000003</v>
      </c>
      <c r="J13" s="55">
        <v>1.4</v>
      </c>
      <c r="K13" s="55">
        <v>188.83</v>
      </c>
      <c r="L13" s="55">
        <v>33.47</v>
      </c>
      <c r="M13" s="55">
        <v>67.81</v>
      </c>
      <c r="N13" s="55">
        <v>40.6</v>
      </c>
      <c r="O13" s="55">
        <v>0</v>
      </c>
      <c r="P13" s="55">
        <v>0.66</v>
      </c>
      <c r="Q13" s="55">
        <v>9.3800000000000008</v>
      </c>
      <c r="R13" s="43"/>
      <c r="S13" s="43"/>
      <c r="T13" s="43"/>
      <c r="U13" s="43"/>
    </row>
    <row r="14" spans="1:21" s="11" customFormat="1" x14ac:dyDescent="0.25">
      <c r="A14" s="54" t="s">
        <v>545</v>
      </c>
      <c r="B14" s="55">
        <v>6.31</v>
      </c>
      <c r="C14" s="55">
        <v>23.55</v>
      </c>
      <c r="D14" s="55">
        <v>36.03</v>
      </c>
      <c r="E14" s="55">
        <v>6.55</v>
      </c>
      <c r="F14" s="55">
        <v>10.71</v>
      </c>
      <c r="G14" s="55">
        <v>42.7</v>
      </c>
      <c r="H14" s="55">
        <v>26.72</v>
      </c>
      <c r="I14" s="55">
        <v>4.1399999999999997</v>
      </c>
      <c r="J14" s="55">
        <v>0.48</v>
      </c>
      <c r="K14" s="55">
        <v>165.73</v>
      </c>
      <c r="L14" s="55">
        <v>34.08</v>
      </c>
      <c r="M14" s="55">
        <v>67.349999999999994</v>
      </c>
      <c r="N14" s="55">
        <v>94.8</v>
      </c>
      <c r="O14" s="55">
        <v>0</v>
      </c>
      <c r="P14" s="55">
        <v>0.48</v>
      </c>
      <c r="Q14" s="55">
        <v>9.3699999999999992</v>
      </c>
      <c r="R14" s="43"/>
      <c r="S14" s="43"/>
      <c r="T14" s="43"/>
      <c r="U14" s="43"/>
    </row>
    <row r="15" spans="1:21" s="11" customFormat="1" x14ac:dyDescent="0.25">
      <c r="A15" s="54" t="s">
        <v>546</v>
      </c>
      <c r="B15" s="55">
        <v>9.24</v>
      </c>
      <c r="C15" s="55">
        <v>28.76</v>
      </c>
      <c r="D15" s="55">
        <v>41</v>
      </c>
      <c r="E15" s="55">
        <v>6.26</v>
      </c>
      <c r="F15" s="55">
        <v>11.97</v>
      </c>
      <c r="G15" s="55">
        <v>39.799999999999997</v>
      </c>
      <c r="H15" s="55">
        <v>19.09</v>
      </c>
      <c r="I15" s="55">
        <v>4.1399999999999997</v>
      </c>
      <c r="J15" s="55">
        <v>0.82</v>
      </c>
      <c r="K15" s="55">
        <v>164.18</v>
      </c>
      <c r="L15" s="55">
        <v>34.74</v>
      </c>
      <c r="M15" s="55">
        <v>62.56</v>
      </c>
      <c r="N15" s="55">
        <v>221.3</v>
      </c>
      <c r="O15" s="55">
        <v>0</v>
      </c>
      <c r="P15" s="55">
        <v>0.49</v>
      </c>
      <c r="Q15" s="55">
        <v>9.3699999999999992</v>
      </c>
      <c r="R15" s="43"/>
      <c r="S15" s="43"/>
      <c r="T15" s="43"/>
      <c r="U15" s="43"/>
    </row>
    <row r="16" spans="1:21" s="11" customFormat="1" x14ac:dyDescent="0.25">
      <c r="A16" s="54" t="s">
        <v>547</v>
      </c>
      <c r="B16" s="55">
        <v>7.29</v>
      </c>
      <c r="C16" s="55">
        <v>19.86</v>
      </c>
      <c r="D16" s="55">
        <v>27.1</v>
      </c>
      <c r="E16" s="55">
        <v>6.29</v>
      </c>
      <c r="F16" s="55">
        <v>12.85</v>
      </c>
      <c r="G16" s="55">
        <v>36.630000000000003</v>
      </c>
      <c r="H16" s="55">
        <v>733.82</v>
      </c>
      <c r="I16" s="55">
        <v>4.09</v>
      </c>
      <c r="J16" s="55">
        <v>0.54</v>
      </c>
      <c r="K16" s="55">
        <v>208.98</v>
      </c>
      <c r="L16" s="55">
        <v>31.98</v>
      </c>
      <c r="M16" s="55">
        <v>58.78</v>
      </c>
      <c r="N16" s="55">
        <v>490.7</v>
      </c>
      <c r="O16" s="55">
        <v>0</v>
      </c>
      <c r="P16" s="55">
        <v>0.47</v>
      </c>
      <c r="Q16" s="55">
        <v>9.39</v>
      </c>
      <c r="R16" s="43"/>
      <c r="S16" s="43"/>
      <c r="T16" s="43"/>
      <c r="U16" s="43"/>
    </row>
    <row r="17" spans="1:21" s="11" customFormat="1" x14ac:dyDescent="0.25">
      <c r="A17" s="54" t="s">
        <v>548</v>
      </c>
      <c r="B17" s="55">
        <v>6.41</v>
      </c>
      <c r="C17" s="55">
        <v>18.39</v>
      </c>
      <c r="D17" s="55">
        <v>25.35</v>
      </c>
      <c r="E17" s="55">
        <v>7.41</v>
      </c>
      <c r="F17" s="55">
        <v>14.14</v>
      </c>
      <c r="G17" s="55">
        <v>29.48</v>
      </c>
      <c r="H17" s="55">
        <v>733.82</v>
      </c>
      <c r="I17" s="55">
        <v>4.1500000000000004</v>
      </c>
      <c r="J17" s="55">
        <v>0.56000000000000005</v>
      </c>
      <c r="K17" s="55">
        <v>204.64</v>
      </c>
      <c r="L17" s="56" t="s">
        <v>14</v>
      </c>
      <c r="M17" s="56" t="s">
        <v>14</v>
      </c>
      <c r="N17" s="55">
        <v>643</v>
      </c>
      <c r="O17" s="55">
        <v>0</v>
      </c>
      <c r="P17" s="55">
        <v>0.43</v>
      </c>
      <c r="Q17" s="55">
        <v>9.2899999999999991</v>
      </c>
      <c r="R17" s="43"/>
      <c r="S17" s="43"/>
      <c r="T17" s="43"/>
      <c r="U17" s="43"/>
    </row>
    <row r="18" spans="1:21" s="11" customFormat="1" x14ac:dyDescent="0.25">
      <c r="A18" s="54" t="s">
        <v>549</v>
      </c>
      <c r="B18" s="55">
        <v>5.0199999999999996</v>
      </c>
      <c r="C18" s="55">
        <v>17.03</v>
      </c>
      <c r="D18" s="55">
        <v>24.9</v>
      </c>
      <c r="E18" s="55">
        <v>6.82</v>
      </c>
      <c r="F18" s="55">
        <v>13.05</v>
      </c>
      <c r="G18" s="55">
        <v>28.04</v>
      </c>
      <c r="H18" s="55">
        <v>390.6</v>
      </c>
      <c r="I18" s="55">
        <v>4.08</v>
      </c>
      <c r="J18" s="55">
        <v>0.63</v>
      </c>
      <c r="K18" s="55">
        <v>211.11</v>
      </c>
      <c r="L18" s="56" t="s">
        <v>14</v>
      </c>
      <c r="M18" s="56" t="s">
        <v>14</v>
      </c>
      <c r="N18" s="55">
        <v>798.6</v>
      </c>
      <c r="O18" s="55">
        <v>0</v>
      </c>
      <c r="P18" s="55">
        <v>0.42</v>
      </c>
      <c r="Q18" s="55">
        <v>9.2100000000000009</v>
      </c>
      <c r="R18" s="43"/>
      <c r="S18" s="43"/>
      <c r="T18" s="43"/>
      <c r="U18" s="43"/>
    </row>
    <row r="19" spans="1:21" s="11" customFormat="1" x14ac:dyDescent="0.25">
      <c r="A19" s="54" t="s">
        <v>550</v>
      </c>
      <c r="B19" s="55">
        <v>6.77</v>
      </c>
      <c r="C19" s="55">
        <v>19.440000000000001</v>
      </c>
      <c r="D19" s="55">
        <v>27.98</v>
      </c>
      <c r="E19" s="55">
        <v>6.97</v>
      </c>
      <c r="F19" s="55">
        <v>18.09</v>
      </c>
      <c r="G19" s="55">
        <v>25.91</v>
      </c>
      <c r="H19" s="55">
        <v>390.6</v>
      </c>
      <c r="I19" s="55">
        <v>4.2</v>
      </c>
      <c r="J19" s="55">
        <v>0.62</v>
      </c>
      <c r="K19" s="55">
        <v>202.55</v>
      </c>
      <c r="L19" s="56" t="s">
        <v>14</v>
      </c>
      <c r="M19" s="56" t="s">
        <v>14</v>
      </c>
      <c r="N19" s="55">
        <v>821.1</v>
      </c>
      <c r="O19" s="55">
        <v>0</v>
      </c>
      <c r="P19" s="55">
        <v>0.4</v>
      </c>
      <c r="Q19" s="55">
        <v>9.2200000000000006</v>
      </c>
      <c r="R19" s="43"/>
      <c r="S19" s="43"/>
      <c r="T19" s="43"/>
      <c r="U19" s="43"/>
    </row>
    <row r="20" spans="1:21" s="11" customFormat="1" x14ac:dyDescent="0.25">
      <c r="A20" s="54" t="s">
        <v>551</v>
      </c>
      <c r="B20" s="55">
        <v>9.93</v>
      </c>
      <c r="C20" s="55">
        <v>25.27</v>
      </c>
      <c r="D20" s="55">
        <v>33.130000000000003</v>
      </c>
      <c r="E20" s="55">
        <v>8.19</v>
      </c>
      <c r="F20" s="55">
        <v>23.48</v>
      </c>
      <c r="G20" s="55">
        <v>25.91</v>
      </c>
      <c r="H20" s="55">
        <v>50.61</v>
      </c>
      <c r="I20" s="55">
        <v>4.12</v>
      </c>
      <c r="J20" s="55">
        <v>0.73</v>
      </c>
      <c r="K20" s="55">
        <v>209.19</v>
      </c>
      <c r="L20" s="56" t="s">
        <v>14</v>
      </c>
      <c r="M20" s="56" t="s">
        <v>14</v>
      </c>
      <c r="N20" s="55">
        <v>824</v>
      </c>
      <c r="O20" s="55">
        <v>0</v>
      </c>
      <c r="P20" s="55">
        <v>0.4</v>
      </c>
      <c r="Q20" s="55">
        <v>9.25</v>
      </c>
      <c r="R20" s="43"/>
      <c r="S20" s="43"/>
      <c r="T20" s="43"/>
      <c r="U20" s="43"/>
    </row>
    <row r="21" spans="1:21" s="11" customFormat="1" x14ac:dyDescent="0.25">
      <c r="A21" s="54" t="s">
        <v>552</v>
      </c>
      <c r="B21" s="55">
        <v>6.97</v>
      </c>
      <c r="C21" s="55">
        <v>23.04</v>
      </c>
      <c r="D21" s="55">
        <v>34.26</v>
      </c>
      <c r="E21" s="55">
        <v>9.31</v>
      </c>
      <c r="F21" s="55">
        <v>30.1</v>
      </c>
      <c r="G21" s="55">
        <v>25.95</v>
      </c>
      <c r="H21" s="55">
        <v>1.01</v>
      </c>
      <c r="I21" s="55">
        <v>4.1900000000000004</v>
      </c>
      <c r="J21" s="55">
        <v>0.45</v>
      </c>
      <c r="K21" s="55">
        <v>203.7</v>
      </c>
      <c r="L21" s="56" t="s">
        <v>14</v>
      </c>
      <c r="M21" s="56" t="s">
        <v>14</v>
      </c>
      <c r="N21" s="55">
        <v>823.6</v>
      </c>
      <c r="O21" s="55">
        <v>0</v>
      </c>
      <c r="P21" s="55">
        <v>0.48</v>
      </c>
      <c r="Q21" s="55">
        <v>9.26</v>
      </c>
      <c r="R21" s="43"/>
      <c r="S21" s="43"/>
      <c r="T21" s="43"/>
      <c r="U21" s="43"/>
    </row>
    <row r="22" spans="1:21" s="11" customFormat="1" x14ac:dyDescent="0.25">
      <c r="A22" s="54" t="s">
        <v>553</v>
      </c>
      <c r="B22" s="55">
        <v>6.23</v>
      </c>
      <c r="C22" s="55">
        <v>19.37</v>
      </c>
      <c r="D22" s="55">
        <v>28.05</v>
      </c>
      <c r="E22" s="55">
        <v>8.6300000000000008</v>
      </c>
      <c r="F22" s="55">
        <v>24.63</v>
      </c>
      <c r="G22" s="55">
        <v>25.95</v>
      </c>
      <c r="H22" s="55">
        <v>152.03</v>
      </c>
      <c r="I22" s="55">
        <v>4.12</v>
      </c>
      <c r="J22" s="55">
        <v>1.08</v>
      </c>
      <c r="K22" s="55">
        <v>169.56</v>
      </c>
      <c r="L22" s="56" t="s">
        <v>14</v>
      </c>
      <c r="M22" s="56" t="s">
        <v>14</v>
      </c>
      <c r="N22" s="55">
        <v>588.9</v>
      </c>
      <c r="O22" s="55">
        <v>0</v>
      </c>
      <c r="P22" s="55">
        <v>0.39</v>
      </c>
      <c r="Q22" s="55">
        <v>9.2200000000000006</v>
      </c>
      <c r="R22" s="43"/>
      <c r="S22" s="43"/>
      <c r="T22" s="43"/>
      <c r="U22" s="43"/>
    </row>
    <row r="23" spans="1:21" s="11" customFormat="1" x14ac:dyDescent="0.25">
      <c r="A23" s="54" t="s">
        <v>554</v>
      </c>
      <c r="B23" s="55">
        <v>7.39</v>
      </c>
      <c r="C23" s="55">
        <v>23.49</v>
      </c>
      <c r="D23" s="55">
        <v>33.630000000000003</v>
      </c>
      <c r="E23" s="55">
        <v>7.72</v>
      </c>
      <c r="F23" s="55">
        <v>26.78</v>
      </c>
      <c r="G23" s="55">
        <v>27.01</v>
      </c>
      <c r="H23" s="55">
        <v>152.03</v>
      </c>
      <c r="I23" s="55">
        <v>4.0599999999999996</v>
      </c>
      <c r="J23" s="55">
        <v>1.2</v>
      </c>
      <c r="K23" s="55">
        <v>202</v>
      </c>
      <c r="L23" s="56" t="s">
        <v>14</v>
      </c>
      <c r="M23" s="56" t="s">
        <v>14</v>
      </c>
      <c r="N23" s="55">
        <v>526.6</v>
      </c>
      <c r="O23" s="55">
        <v>0</v>
      </c>
      <c r="P23" s="55">
        <v>0.42</v>
      </c>
      <c r="Q23" s="55">
        <v>9.2100000000000009</v>
      </c>
      <c r="R23" s="43"/>
      <c r="S23" s="43"/>
      <c r="T23" s="43"/>
      <c r="U23" s="43"/>
    </row>
    <row r="24" spans="1:21" s="11" customFormat="1" x14ac:dyDescent="0.25">
      <c r="A24" s="54" t="s">
        <v>555</v>
      </c>
      <c r="B24" s="55">
        <v>6.03</v>
      </c>
      <c r="C24" s="55">
        <v>19.149999999999999</v>
      </c>
      <c r="D24" s="55">
        <v>28.06</v>
      </c>
      <c r="E24" s="55">
        <v>7.92</v>
      </c>
      <c r="F24" s="55">
        <v>28.73</v>
      </c>
      <c r="G24" s="55">
        <v>27.01</v>
      </c>
      <c r="H24" s="55">
        <v>793.41</v>
      </c>
      <c r="I24" s="55">
        <v>4.03</v>
      </c>
      <c r="J24" s="55">
        <v>0.86</v>
      </c>
      <c r="K24" s="55">
        <v>155.01</v>
      </c>
      <c r="L24" s="56" t="s">
        <v>14</v>
      </c>
      <c r="M24" s="56" t="s">
        <v>14</v>
      </c>
      <c r="N24" s="55">
        <v>411.6</v>
      </c>
      <c r="O24" s="55">
        <v>0</v>
      </c>
      <c r="P24" s="55">
        <v>0.31</v>
      </c>
      <c r="Q24" s="55">
        <v>9.2200000000000006</v>
      </c>
      <c r="R24" s="43"/>
      <c r="S24" s="43"/>
      <c r="T24" s="43"/>
      <c r="U24" s="43"/>
    </row>
    <row r="25" spans="1:21" s="11" customFormat="1" x14ac:dyDescent="0.25">
      <c r="A25" s="54" t="s">
        <v>556</v>
      </c>
      <c r="B25" s="55">
        <v>7.46</v>
      </c>
      <c r="C25" s="55">
        <v>25.71</v>
      </c>
      <c r="D25" s="55">
        <v>40.85</v>
      </c>
      <c r="E25" s="55">
        <v>7.74</v>
      </c>
      <c r="F25" s="55">
        <v>28.71</v>
      </c>
      <c r="G25" s="55">
        <v>25.15</v>
      </c>
      <c r="H25" s="55">
        <v>793.41</v>
      </c>
      <c r="I25" s="55">
        <v>4.29</v>
      </c>
      <c r="J25" s="55">
        <v>0.84</v>
      </c>
      <c r="K25" s="55">
        <v>114.7</v>
      </c>
      <c r="L25" s="56" t="s">
        <v>14</v>
      </c>
      <c r="M25" s="56" t="s">
        <v>14</v>
      </c>
      <c r="N25" s="55">
        <v>251</v>
      </c>
      <c r="O25" s="55">
        <v>0</v>
      </c>
      <c r="P25" s="55">
        <v>0.31</v>
      </c>
      <c r="Q25" s="55">
        <v>9.23</v>
      </c>
      <c r="R25" s="43"/>
      <c r="S25" s="43"/>
      <c r="T25" s="43"/>
      <c r="U25" s="43"/>
    </row>
    <row r="26" spans="1:21" s="11" customFormat="1" x14ac:dyDescent="0.25">
      <c r="A26" s="54" t="s">
        <v>557</v>
      </c>
      <c r="B26" s="55">
        <v>17.28</v>
      </c>
      <c r="C26" s="55">
        <v>49.86</v>
      </c>
      <c r="D26" s="55">
        <v>68.92</v>
      </c>
      <c r="E26" s="55">
        <v>9.35</v>
      </c>
      <c r="F26" s="55">
        <v>29.19</v>
      </c>
      <c r="G26" s="55">
        <v>29.33</v>
      </c>
      <c r="H26" s="55">
        <v>654.04</v>
      </c>
      <c r="I26" s="55">
        <v>4.03</v>
      </c>
      <c r="J26" s="55">
        <v>0.61</v>
      </c>
      <c r="K26" s="55">
        <v>124.56</v>
      </c>
      <c r="L26" s="56" t="s">
        <v>14</v>
      </c>
      <c r="M26" s="56" t="s">
        <v>14</v>
      </c>
      <c r="N26" s="55">
        <v>110.6</v>
      </c>
      <c r="O26" s="55">
        <v>0</v>
      </c>
      <c r="P26" s="55">
        <v>0.61</v>
      </c>
      <c r="Q26" s="55">
        <v>9.24</v>
      </c>
      <c r="R26" s="43"/>
      <c r="S26" s="43"/>
      <c r="T26" s="43"/>
      <c r="U26" s="43"/>
    </row>
    <row r="27" spans="1:21" s="11" customFormat="1" x14ac:dyDescent="0.25">
      <c r="A27" s="54" t="s">
        <v>558</v>
      </c>
      <c r="B27" s="55">
        <v>4.6100000000000003</v>
      </c>
      <c r="C27" s="55">
        <v>20.86</v>
      </c>
      <c r="D27" s="55">
        <v>34.130000000000003</v>
      </c>
      <c r="E27" s="55">
        <v>7.37</v>
      </c>
      <c r="F27" s="55">
        <v>22.86</v>
      </c>
      <c r="G27" s="55">
        <v>29.33</v>
      </c>
      <c r="H27" s="55">
        <v>654.04</v>
      </c>
      <c r="I27" s="55">
        <v>4.1900000000000004</v>
      </c>
      <c r="J27" s="55">
        <v>0.88</v>
      </c>
      <c r="K27" s="55">
        <v>156.84</v>
      </c>
      <c r="L27" s="56" t="s">
        <v>14</v>
      </c>
      <c r="M27" s="56" t="s">
        <v>14</v>
      </c>
      <c r="N27" s="55">
        <v>52.5</v>
      </c>
      <c r="O27" s="55">
        <v>0</v>
      </c>
      <c r="P27" s="55">
        <v>0.32</v>
      </c>
      <c r="Q27" s="55">
        <v>9.24</v>
      </c>
      <c r="R27" s="43"/>
      <c r="S27" s="43"/>
      <c r="T27" s="43"/>
      <c r="U27" s="43"/>
    </row>
    <row r="28" spans="1:21" s="11" customFormat="1" x14ac:dyDescent="0.25">
      <c r="A28" s="54" t="s">
        <v>559</v>
      </c>
      <c r="B28" s="55">
        <v>8.06</v>
      </c>
      <c r="C28" s="55">
        <v>31.8</v>
      </c>
      <c r="D28" s="55">
        <v>51.23</v>
      </c>
      <c r="E28" s="55">
        <v>6.99</v>
      </c>
      <c r="F28" s="55">
        <v>16.68</v>
      </c>
      <c r="G28" s="55">
        <v>16.57</v>
      </c>
      <c r="H28" s="55">
        <v>0</v>
      </c>
      <c r="I28" s="55">
        <v>4.05</v>
      </c>
      <c r="J28" s="55">
        <v>1.43</v>
      </c>
      <c r="K28" s="55">
        <v>218.17</v>
      </c>
      <c r="L28" s="56" t="s">
        <v>14</v>
      </c>
      <c r="M28" s="56" t="s">
        <v>14</v>
      </c>
      <c r="N28" s="55">
        <v>40</v>
      </c>
      <c r="O28" s="55">
        <v>0</v>
      </c>
      <c r="P28" s="55">
        <v>0.55000000000000004</v>
      </c>
      <c r="Q28" s="55">
        <v>9.31</v>
      </c>
      <c r="R28" s="43"/>
      <c r="S28" s="43"/>
      <c r="T28" s="43"/>
      <c r="U28" s="43"/>
    </row>
    <row r="29" spans="1:21" s="11" customFormat="1" x14ac:dyDescent="0.25">
      <c r="A29" s="54" t="s">
        <v>560</v>
      </c>
      <c r="B29" s="55">
        <v>8.26</v>
      </c>
      <c r="C29" s="55">
        <v>27.11</v>
      </c>
      <c r="D29" s="55">
        <v>39.200000000000003</v>
      </c>
      <c r="E29" s="55">
        <v>5.33</v>
      </c>
      <c r="F29" s="55">
        <v>9.0399999999999991</v>
      </c>
      <c r="G29" s="55">
        <v>107.11</v>
      </c>
      <c r="H29" s="55">
        <v>8.7100000000000009</v>
      </c>
      <c r="I29" s="55">
        <v>4.0999999999999996</v>
      </c>
      <c r="J29" s="55">
        <v>1.84</v>
      </c>
      <c r="K29" s="55">
        <v>202.36</v>
      </c>
      <c r="L29" s="56" t="s">
        <v>14</v>
      </c>
      <c r="M29" s="56" t="s">
        <v>14</v>
      </c>
      <c r="N29" s="55">
        <v>39.6</v>
      </c>
      <c r="O29" s="55">
        <v>0</v>
      </c>
      <c r="P29" s="55">
        <v>0.56000000000000005</v>
      </c>
      <c r="Q29" s="55">
        <v>9.4</v>
      </c>
      <c r="R29" s="43"/>
      <c r="S29" s="43"/>
      <c r="T29" s="43"/>
      <c r="U29" s="43"/>
    </row>
    <row r="30" spans="1:21" s="11" customFormat="1" x14ac:dyDescent="0.25">
      <c r="A30" s="54" t="s">
        <v>561</v>
      </c>
      <c r="B30" s="55">
        <v>7.39</v>
      </c>
      <c r="C30" s="55">
        <v>24.44</v>
      </c>
      <c r="D30" s="55">
        <v>35.450000000000003</v>
      </c>
      <c r="E30" s="55">
        <v>5.59</v>
      </c>
      <c r="F30" s="55">
        <v>4.53</v>
      </c>
      <c r="G30" s="55">
        <v>90.66</v>
      </c>
      <c r="H30" s="55">
        <v>10.85</v>
      </c>
      <c r="I30" s="55">
        <v>4.0199999999999996</v>
      </c>
      <c r="J30" s="55">
        <v>3.37</v>
      </c>
      <c r="K30" s="55">
        <v>200.96</v>
      </c>
      <c r="L30" s="56" t="s">
        <v>14</v>
      </c>
      <c r="M30" s="56" t="s">
        <v>14</v>
      </c>
      <c r="N30" s="55">
        <v>39.5</v>
      </c>
      <c r="O30" s="55">
        <v>0</v>
      </c>
      <c r="P30" s="55">
        <v>0.52</v>
      </c>
      <c r="Q30" s="55">
        <v>9.41</v>
      </c>
      <c r="R30" s="43"/>
      <c r="S30" s="43"/>
      <c r="T30" s="43"/>
      <c r="U30" s="43"/>
    </row>
    <row r="31" spans="1:21" s="11" customFormat="1" x14ac:dyDescent="0.25">
      <c r="A31" s="54" t="s">
        <v>562</v>
      </c>
      <c r="B31" s="55">
        <v>5.82</v>
      </c>
      <c r="C31" s="55">
        <v>20.23</v>
      </c>
      <c r="D31" s="55">
        <v>30.35</v>
      </c>
      <c r="E31" s="55">
        <v>5.0599999999999996</v>
      </c>
      <c r="F31" s="55">
        <v>4.3099999999999996</v>
      </c>
      <c r="G31" s="55">
        <v>37.06</v>
      </c>
      <c r="H31" s="55">
        <v>10.63</v>
      </c>
      <c r="I31" s="55">
        <v>4.12</v>
      </c>
      <c r="J31" s="55">
        <v>2.75</v>
      </c>
      <c r="K31" s="55">
        <v>195.48</v>
      </c>
      <c r="L31" s="56" t="s">
        <v>14</v>
      </c>
      <c r="M31" s="56" t="s">
        <v>14</v>
      </c>
      <c r="N31" s="55">
        <v>39.1</v>
      </c>
      <c r="O31" s="55">
        <v>0</v>
      </c>
      <c r="P31" s="55">
        <v>0.44</v>
      </c>
      <c r="Q31" s="55">
        <v>9.39</v>
      </c>
      <c r="R31" s="43"/>
      <c r="S31" s="43"/>
      <c r="T31" s="43"/>
      <c r="U31" s="43"/>
    </row>
    <row r="32" spans="1:21" s="11" customFormat="1" x14ac:dyDescent="0.25">
      <c r="A32" s="54" t="s">
        <v>563</v>
      </c>
      <c r="B32" s="55">
        <v>5.43</v>
      </c>
      <c r="C32" s="55">
        <v>16.41</v>
      </c>
      <c r="D32" s="55">
        <v>23.84</v>
      </c>
      <c r="E32" s="55">
        <v>5.01</v>
      </c>
      <c r="F32" s="55">
        <v>4.47</v>
      </c>
      <c r="G32" s="55">
        <v>34.369999999999997</v>
      </c>
      <c r="H32" s="55">
        <v>9.64</v>
      </c>
      <c r="I32" s="55">
        <v>4.03</v>
      </c>
      <c r="J32" s="55">
        <v>1.82</v>
      </c>
      <c r="K32" s="55">
        <v>192.62</v>
      </c>
      <c r="L32" s="56" t="s">
        <v>14</v>
      </c>
      <c r="M32" s="56" t="s">
        <v>14</v>
      </c>
      <c r="N32" s="55">
        <v>38.700000000000003</v>
      </c>
      <c r="O32" s="55">
        <v>0</v>
      </c>
      <c r="P32" s="55">
        <v>0.38</v>
      </c>
      <c r="Q32" s="55">
        <v>9.3699999999999992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4.6100000000000003</v>
      </c>
      <c r="C34" s="28">
        <f t="shared" si="0"/>
        <v>16.41</v>
      </c>
      <c r="D34" s="28">
        <f t="shared" si="0"/>
        <v>23.84</v>
      </c>
      <c r="E34" s="28">
        <f t="shared" si="0"/>
        <v>5.01</v>
      </c>
      <c r="F34" s="28">
        <f t="shared" si="0"/>
        <v>4.3099999999999996</v>
      </c>
      <c r="G34" s="28">
        <f t="shared" si="0"/>
        <v>16.57</v>
      </c>
      <c r="H34" s="28">
        <f t="shared" si="0"/>
        <v>0</v>
      </c>
      <c r="I34" s="28">
        <f t="shared" si="0"/>
        <v>4.0199999999999996</v>
      </c>
      <c r="J34" s="28">
        <f t="shared" si="0"/>
        <v>0.24</v>
      </c>
      <c r="K34" s="28">
        <f t="shared" si="0"/>
        <v>110.23</v>
      </c>
      <c r="L34" s="28">
        <f t="shared" si="0"/>
        <v>31.98</v>
      </c>
      <c r="M34" s="28">
        <f t="shared" si="0"/>
        <v>54.99</v>
      </c>
      <c r="N34" s="28">
        <f t="shared" si="0"/>
        <v>38.700000000000003</v>
      </c>
      <c r="O34" s="28">
        <f t="shared" si="0"/>
        <v>0</v>
      </c>
      <c r="P34" s="28">
        <f t="shared" si="0"/>
        <v>0.31</v>
      </c>
      <c r="Q34" s="28">
        <f t="shared" si="0"/>
        <v>9.2100000000000009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17.28</v>
      </c>
      <c r="C35" s="29">
        <f t="shared" si="1"/>
        <v>49.86</v>
      </c>
      <c r="D35" s="29">
        <f t="shared" si="1"/>
        <v>68.92</v>
      </c>
      <c r="E35" s="29">
        <f t="shared" si="1"/>
        <v>23.74</v>
      </c>
      <c r="F35" s="29">
        <f t="shared" si="1"/>
        <v>30.1</v>
      </c>
      <c r="G35" s="29">
        <f t="shared" si="1"/>
        <v>107.11</v>
      </c>
      <c r="H35" s="29">
        <f t="shared" si="1"/>
        <v>793.41</v>
      </c>
      <c r="I35" s="29">
        <f t="shared" si="1"/>
        <v>4.29</v>
      </c>
      <c r="J35" s="29">
        <f t="shared" si="1"/>
        <v>3.37</v>
      </c>
      <c r="K35" s="29">
        <f t="shared" si="1"/>
        <v>218.17</v>
      </c>
      <c r="L35" s="29">
        <f t="shared" si="1"/>
        <v>35.58</v>
      </c>
      <c r="M35" s="29">
        <f t="shared" si="1"/>
        <v>67.81</v>
      </c>
      <c r="N35" s="29">
        <f t="shared" si="1"/>
        <v>824</v>
      </c>
      <c r="O35" s="29">
        <f t="shared" si="1"/>
        <v>0</v>
      </c>
      <c r="P35" s="29">
        <f t="shared" si="1"/>
        <v>0.72</v>
      </c>
      <c r="Q35" s="29">
        <f t="shared" si="1"/>
        <v>9.57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7.4854166666666657</v>
      </c>
      <c r="C36" s="28">
        <f t="shared" si="2"/>
        <v>25.303750000000004</v>
      </c>
      <c r="D36" s="28">
        <f t="shared" si="2"/>
        <v>37.881250000000001</v>
      </c>
      <c r="E36" s="28">
        <f t="shared" si="2"/>
        <v>8.8275000000000006</v>
      </c>
      <c r="F36" s="28">
        <f t="shared" si="2"/>
        <v>16.233750000000001</v>
      </c>
      <c r="G36" s="28">
        <f t="shared" si="2"/>
        <v>42.372083333333343</v>
      </c>
      <c r="H36" s="28">
        <f t="shared" si="2"/>
        <v>240.02458333333337</v>
      </c>
      <c r="I36" s="28">
        <f t="shared" si="2"/>
        <v>4.1149999999999993</v>
      </c>
      <c r="J36" s="28">
        <f t="shared" si="2"/>
        <v>1.0754166666666667</v>
      </c>
      <c r="K36" s="28">
        <f t="shared" si="2"/>
        <v>183.26333333333332</v>
      </c>
      <c r="L36" s="28">
        <f t="shared" si="2"/>
        <v>34.192500000000003</v>
      </c>
      <c r="M36" s="28">
        <f t="shared" si="2"/>
        <v>62.631250000000009</v>
      </c>
      <c r="N36" s="28">
        <f t="shared" si="2"/>
        <v>294.0750000000001</v>
      </c>
      <c r="O36" s="28">
        <f t="shared" si="2"/>
        <v>0</v>
      </c>
      <c r="P36" s="28">
        <f t="shared" si="2"/>
        <v>0.48541666666666666</v>
      </c>
      <c r="Q36" s="28">
        <f t="shared" si="2"/>
        <v>9.3316666666666688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2.4911704585642482</v>
      </c>
      <c r="C37" s="28">
        <f t="shared" ref="C37:Q37" si="3">STDEV(C9:C32)</f>
        <v>8.2010353601396471</v>
      </c>
      <c r="D37" s="28">
        <f t="shared" si="3"/>
        <v>13.239106863511536</v>
      </c>
      <c r="E37" s="28">
        <f t="shared" si="3"/>
        <v>4.6509655379052814</v>
      </c>
      <c r="F37" s="28">
        <f t="shared" si="3"/>
        <v>8.4482773198985974</v>
      </c>
      <c r="G37" s="28">
        <f t="shared" si="3"/>
        <v>22.865478057004655</v>
      </c>
      <c r="H37" s="28">
        <f t="shared" si="3"/>
        <v>307.26920734500476</v>
      </c>
      <c r="I37" s="28">
        <f t="shared" si="3"/>
        <v>6.3861262668109112E-2</v>
      </c>
      <c r="J37" s="28">
        <f t="shared" si="3"/>
        <v>0.74115056949763392</v>
      </c>
      <c r="K37" s="28">
        <f t="shared" si="3"/>
        <v>31.444631347492745</v>
      </c>
      <c r="L37" s="28">
        <f t="shared" si="3"/>
        <v>1.1941853170377583</v>
      </c>
      <c r="M37" s="28">
        <f t="shared" si="3"/>
        <v>4.590958311102999</v>
      </c>
      <c r="N37" s="28">
        <f t="shared" si="3"/>
        <v>308.81353632473963</v>
      </c>
      <c r="O37" s="28">
        <f t="shared" si="3"/>
        <v>0</v>
      </c>
      <c r="P37" s="28">
        <f t="shared" si="3"/>
        <v>0.11702765064074715</v>
      </c>
      <c r="Q37" s="28">
        <f t="shared" si="3"/>
        <v>0.10461800770532698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>COUNT(L9:L32)+16</f>
        <v>24</v>
      </c>
      <c r="M38" s="32">
        <f>COUNT(M9:M32)+16</f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22/05/2025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7"/>
      <c r="B8" s="58" t="s">
        <v>22</v>
      </c>
      <c r="C8" s="58" t="s">
        <v>22</v>
      </c>
      <c r="D8" s="29" t="s">
        <v>42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58" t="s">
        <v>22</v>
      </c>
      <c r="R8" s="27"/>
      <c r="S8" s="29"/>
      <c r="T8" s="27"/>
      <c r="U8" s="27"/>
    </row>
    <row r="9" spans="1:21" s="11" customFormat="1" x14ac:dyDescent="0.25">
      <c r="A9" s="54" t="s">
        <v>564</v>
      </c>
      <c r="B9" s="55">
        <v>5.9</v>
      </c>
      <c r="C9" s="55">
        <v>15.3</v>
      </c>
      <c r="D9" s="55">
        <v>20.93</v>
      </c>
      <c r="E9" s="55">
        <v>5.67</v>
      </c>
      <c r="F9" s="55">
        <v>7.58</v>
      </c>
      <c r="G9" s="55">
        <v>21.59</v>
      </c>
      <c r="H9" s="55">
        <v>8.7100000000000009</v>
      </c>
      <c r="I9" s="55">
        <v>4.07</v>
      </c>
      <c r="J9" s="55">
        <v>0.55000000000000004</v>
      </c>
      <c r="K9" s="55">
        <v>192.07</v>
      </c>
      <c r="L9" s="8" t="s">
        <v>8</v>
      </c>
      <c r="M9" s="8" t="s">
        <v>8</v>
      </c>
      <c r="N9" s="55">
        <v>39.6</v>
      </c>
      <c r="O9" s="8" t="s">
        <v>8</v>
      </c>
      <c r="P9" s="55">
        <v>0.35</v>
      </c>
      <c r="Q9" s="55">
        <v>9.34</v>
      </c>
      <c r="R9" s="43"/>
      <c r="S9" s="43"/>
      <c r="T9" s="43"/>
      <c r="U9" s="43"/>
    </row>
    <row r="10" spans="1:21" s="11" customFormat="1" x14ac:dyDescent="0.25">
      <c r="A10" s="54" t="s">
        <v>565</v>
      </c>
      <c r="B10" s="55">
        <v>6.5</v>
      </c>
      <c r="C10" s="55">
        <v>14.2</v>
      </c>
      <c r="D10" s="55">
        <v>17.52</v>
      </c>
      <c r="E10" s="55">
        <v>5.86</v>
      </c>
      <c r="F10" s="55">
        <v>5.75</v>
      </c>
      <c r="G10" s="55">
        <v>11.89</v>
      </c>
      <c r="H10" s="55">
        <v>6.6</v>
      </c>
      <c r="I10" s="55">
        <v>4.04</v>
      </c>
      <c r="J10" s="55">
        <v>1.3</v>
      </c>
      <c r="K10" s="55">
        <v>169.24</v>
      </c>
      <c r="L10" s="8" t="s">
        <v>8</v>
      </c>
      <c r="M10" s="8" t="s">
        <v>8</v>
      </c>
      <c r="N10" s="55">
        <v>38.700000000000003</v>
      </c>
      <c r="O10" s="8" t="s">
        <v>8</v>
      </c>
      <c r="P10" s="55">
        <v>0.28999999999999998</v>
      </c>
      <c r="Q10" s="55">
        <v>9.31</v>
      </c>
      <c r="R10" s="43"/>
      <c r="S10" s="43"/>
      <c r="T10" s="43"/>
      <c r="U10" s="43"/>
    </row>
    <row r="11" spans="1:21" s="11" customFormat="1" x14ac:dyDescent="0.25">
      <c r="A11" s="54" t="s">
        <v>566</v>
      </c>
      <c r="B11" s="55">
        <v>6.59</v>
      </c>
      <c r="C11" s="55">
        <v>15.63</v>
      </c>
      <c r="D11" s="55">
        <v>20.32</v>
      </c>
      <c r="E11" s="55">
        <v>5.78</v>
      </c>
      <c r="F11" s="55">
        <v>4.47</v>
      </c>
      <c r="G11" s="55">
        <v>10.3</v>
      </c>
      <c r="H11" s="55">
        <v>4.8899999999999997</v>
      </c>
      <c r="I11" s="55">
        <v>4.16</v>
      </c>
      <c r="J11" s="55">
        <v>1.65</v>
      </c>
      <c r="K11" s="55">
        <v>183.32</v>
      </c>
      <c r="L11" s="55">
        <v>27.17</v>
      </c>
      <c r="M11" s="55">
        <v>63.41</v>
      </c>
      <c r="N11" s="55">
        <v>38.700000000000003</v>
      </c>
      <c r="O11" s="8" t="s">
        <v>8</v>
      </c>
      <c r="P11" s="55">
        <v>0.28000000000000003</v>
      </c>
      <c r="Q11" s="55">
        <v>9.3000000000000007</v>
      </c>
      <c r="R11" s="43"/>
      <c r="S11" s="43"/>
      <c r="T11" s="43"/>
      <c r="U11" s="43"/>
    </row>
    <row r="12" spans="1:21" s="11" customFormat="1" x14ac:dyDescent="0.25">
      <c r="A12" s="54" t="s">
        <v>567</v>
      </c>
      <c r="B12" s="55">
        <v>5.57</v>
      </c>
      <c r="C12" s="55">
        <v>15.11</v>
      </c>
      <c r="D12" s="55">
        <v>20.36</v>
      </c>
      <c r="E12" s="55">
        <v>5.84</v>
      </c>
      <c r="F12" s="55">
        <v>4.43</v>
      </c>
      <c r="G12" s="55">
        <v>8.7799999999999994</v>
      </c>
      <c r="H12" s="55">
        <v>4.63</v>
      </c>
      <c r="I12" s="55">
        <v>4.07</v>
      </c>
      <c r="J12" s="55">
        <v>1.04</v>
      </c>
      <c r="K12" s="55">
        <v>179.91</v>
      </c>
      <c r="L12" s="55">
        <v>27.24</v>
      </c>
      <c r="M12" s="55">
        <v>62.77</v>
      </c>
      <c r="N12" s="55">
        <v>39.299999999999997</v>
      </c>
      <c r="O12" s="8" t="s">
        <v>8</v>
      </c>
      <c r="P12" s="55">
        <v>0.24</v>
      </c>
      <c r="Q12" s="55">
        <v>9.25</v>
      </c>
      <c r="R12" s="43"/>
      <c r="S12" s="43"/>
      <c r="T12" s="43"/>
      <c r="U12" s="43"/>
    </row>
    <row r="13" spans="1:21" s="11" customFormat="1" x14ac:dyDescent="0.25">
      <c r="A13" s="54" t="s">
        <v>568</v>
      </c>
      <c r="B13" s="55">
        <v>5.28</v>
      </c>
      <c r="C13" s="55">
        <v>14.36</v>
      </c>
      <c r="D13" s="55">
        <v>19.45</v>
      </c>
      <c r="E13" s="55">
        <v>5.43</v>
      </c>
      <c r="F13" s="55">
        <v>4.5999999999999996</v>
      </c>
      <c r="G13" s="55">
        <v>3.05</v>
      </c>
      <c r="H13" s="55">
        <v>4.28</v>
      </c>
      <c r="I13" s="55">
        <v>4.13</v>
      </c>
      <c r="J13" s="55">
        <v>0.5</v>
      </c>
      <c r="K13" s="55">
        <v>194.8</v>
      </c>
      <c r="L13" s="55">
        <v>27.2</v>
      </c>
      <c r="M13" s="55">
        <v>69.930000000000007</v>
      </c>
      <c r="N13" s="55">
        <v>39.1</v>
      </c>
      <c r="O13" s="8" t="s">
        <v>8</v>
      </c>
      <c r="P13" s="55">
        <v>0.22</v>
      </c>
      <c r="Q13" s="55">
        <v>9.24</v>
      </c>
      <c r="R13" s="43"/>
      <c r="S13" s="43"/>
      <c r="T13" s="43"/>
      <c r="U13" s="43"/>
    </row>
    <row r="14" spans="1:21" s="11" customFormat="1" x14ac:dyDescent="0.25">
      <c r="A14" s="54" t="s">
        <v>569</v>
      </c>
      <c r="B14" s="55">
        <v>6.2</v>
      </c>
      <c r="C14" s="55">
        <v>14.89</v>
      </c>
      <c r="D14" s="55">
        <v>18.97</v>
      </c>
      <c r="E14" s="55">
        <v>5.35</v>
      </c>
      <c r="F14" s="55">
        <v>5.84</v>
      </c>
      <c r="G14" s="55">
        <v>3.03</v>
      </c>
      <c r="H14" s="55">
        <v>6.34</v>
      </c>
      <c r="I14" s="55">
        <v>3.98</v>
      </c>
      <c r="J14" s="55">
        <v>0.37</v>
      </c>
      <c r="K14" s="55">
        <v>184.4</v>
      </c>
      <c r="L14" s="55">
        <v>25.62</v>
      </c>
      <c r="M14" s="55">
        <v>63.6</v>
      </c>
      <c r="N14" s="55">
        <v>38.700000000000003</v>
      </c>
      <c r="O14" s="8" t="s">
        <v>8</v>
      </c>
      <c r="P14" s="55">
        <v>0.2</v>
      </c>
      <c r="Q14" s="55">
        <v>9.24</v>
      </c>
      <c r="R14" s="43"/>
      <c r="S14" s="43"/>
      <c r="T14" s="43"/>
      <c r="U14" s="43"/>
    </row>
    <row r="15" spans="1:21" s="11" customFormat="1" x14ac:dyDescent="0.25">
      <c r="A15" s="54" t="s">
        <v>570</v>
      </c>
      <c r="B15" s="55">
        <v>9.26</v>
      </c>
      <c r="C15" s="55">
        <v>18.91</v>
      </c>
      <c r="D15" s="55">
        <v>21.98</v>
      </c>
      <c r="E15" s="55">
        <v>5.16</v>
      </c>
      <c r="F15" s="55">
        <v>4.8099999999999996</v>
      </c>
      <c r="G15" s="55">
        <v>10.37</v>
      </c>
      <c r="H15" s="55">
        <v>6.09</v>
      </c>
      <c r="I15" s="55">
        <v>4</v>
      </c>
      <c r="J15" s="63" t="s">
        <v>8</v>
      </c>
      <c r="K15" s="63" t="s">
        <v>8</v>
      </c>
      <c r="L15" s="63" t="s">
        <v>8</v>
      </c>
      <c r="M15" s="63" t="s">
        <v>8</v>
      </c>
      <c r="N15" s="63" t="s">
        <v>8</v>
      </c>
      <c r="O15" s="63" t="s">
        <v>8</v>
      </c>
      <c r="P15" s="55">
        <v>0.23</v>
      </c>
      <c r="Q15" s="55">
        <v>9.27</v>
      </c>
      <c r="R15" s="43"/>
      <c r="S15" s="43"/>
      <c r="T15" s="43"/>
      <c r="U15" s="43"/>
    </row>
    <row r="16" spans="1:21" s="11" customFormat="1" x14ac:dyDescent="0.25">
      <c r="A16" s="54" t="s">
        <v>571</v>
      </c>
      <c r="B16" s="55">
        <v>12.62</v>
      </c>
      <c r="C16" s="55">
        <v>22.93</v>
      </c>
      <c r="D16" s="55">
        <v>24.52</v>
      </c>
      <c r="E16" s="55">
        <v>5.83</v>
      </c>
      <c r="F16" s="55">
        <v>3.7</v>
      </c>
      <c r="G16" s="55">
        <v>9.89</v>
      </c>
      <c r="H16" s="55">
        <v>4.76</v>
      </c>
      <c r="I16" s="55">
        <v>4.1500000000000004</v>
      </c>
      <c r="J16" s="63" t="s">
        <v>8</v>
      </c>
      <c r="K16" s="63" t="s">
        <v>8</v>
      </c>
      <c r="L16" s="63" t="s">
        <v>8</v>
      </c>
      <c r="M16" s="63" t="s">
        <v>8</v>
      </c>
      <c r="N16" s="63" t="s">
        <v>8</v>
      </c>
      <c r="O16" s="63" t="s">
        <v>8</v>
      </c>
      <c r="P16" s="55">
        <v>0.33</v>
      </c>
      <c r="Q16" s="55">
        <v>9.43</v>
      </c>
      <c r="R16" s="43"/>
      <c r="S16" s="43"/>
      <c r="T16" s="43"/>
      <c r="U16" s="43"/>
    </row>
    <row r="17" spans="1:21" s="11" customFormat="1" x14ac:dyDescent="0.25">
      <c r="A17" s="54" t="s">
        <v>572</v>
      </c>
      <c r="B17" s="55">
        <v>14.88</v>
      </c>
      <c r="C17" s="55">
        <v>25.22</v>
      </c>
      <c r="D17" s="55">
        <v>25.43</v>
      </c>
      <c r="E17" s="55">
        <v>4.9800000000000004</v>
      </c>
      <c r="F17" s="55">
        <v>4.04</v>
      </c>
      <c r="G17" s="55">
        <v>30.24</v>
      </c>
      <c r="H17" s="55">
        <v>6.38</v>
      </c>
      <c r="I17" s="55">
        <v>4.05</v>
      </c>
      <c r="J17" s="63" t="s">
        <v>8</v>
      </c>
      <c r="K17" s="63" t="s">
        <v>8</v>
      </c>
      <c r="L17" s="63" t="s">
        <v>8</v>
      </c>
      <c r="M17" s="63" t="s">
        <v>8</v>
      </c>
      <c r="N17" s="63" t="s">
        <v>8</v>
      </c>
      <c r="O17" s="63" t="s">
        <v>8</v>
      </c>
      <c r="P17" s="55">
        <v>0.41</v>
      </c>
      <c r="Q17" s="55">
        <v>9.57</v>
      </c>
      <c r="R17" s="43"/>
      <c r="S17" s="43"/>
      <c r="T17" s="43"/>
      <c r="U17" s="43"/>
    </row>
    <row r="18" spans="1:21" s="11" customFormat="1" x14ac:dyDescent="0.25">
      <c r="A18" s="54" t="s">
        <v>573</v>
      </c>
      <c r="B18" s="55">
        <v>17.68</v>
      </c>
      <c r="C18" s="55">
        <v>32.33</v>
      </c>
      <c r="D18" s="55">
        <v>34.75</v>
      </c>
      <c r="E18" s="55">
        <v>5.4</v>
      </c>
      <c r="F18" s="55">
        <v>6.55</v>
      </c>
      <c r="G18" s="55">
        <v>51.7</v>
      </c>
      <c r="H18" s="55">
        <v>6.28</v>
      </c>
      <c r="I18" s="55">
        <v>4.07</v>
      </c>
      <c r="J18" s="63" t="s">
        <v>8</v>
      </c>
      <c r="K18" s="63" t="s">
        <v>8</v>
      </c>
      <c r="L18" s="63" t="s">
        <v>8</v>
      </c>
      <c r="M18" s="63" t="s">
        <v>8</v>
      </c>
      <c r="N18" s="63" t="s">
        <v>8</v>
      </c>
      <c r="O18" s="63" t="s">
        <v>8</v>
      </c>
      <c r="P18" s="55">
        <v>0.56999999999999995</v>
      </c>
      <c r="Q18" s="55">
        <v>9.56</v>
      </c>
      <c r="R18" s="43"/>
      <c r="S18" s="43"/>
      <c r="T18" s="43"/>
      <c r="U18" s="43"/>
    </row>
    <row r="19" spans="1:21" s="11" customFormat="1" x14ac:dyDescent="0.25">
      <c r="A19" s="54" t="s">
        <v>574</v>
      </c>
      <c r="B19" s="55">
        <v>17.760000000000002</v>
      </c>
      <c r="C19" s="55">
        <v>33.700000000000003</v>
      </c>
      <c r="D19" s="55">
        <v>37.64</v>
      </c>
      <c r="E19" s="55">
        <v>5.94</v>
      </c>
      <c r="F19" s="55">
        <v>18.57</v>
      </c>
      <c r="G19" s="55">
        <v>53.85</v>
      </c>
      <c r="H19" s="55">
        <v>8.3699999999999992</v>
      </c>
      <c r="I19" s="55">
        <v>4.07</v>
      </c>
      <c r="J19" s="63" t="s">
        <v>8</v>
      </c>
      <c r="K19" s="63" t="s">
        <v>8</v>
      </c>
      <c r="L19" s="63" t="s">
        <v>8</v>
      </c>
      <c r="M19" s="63" t="s">
        <v>8</v>
      </c>
      <c r="N19" s="63" t="s">
        <v>8</v>
      </c>
      <c r="O19" s="63" t="s">
        <v>8</v>
      </c>
      <c r="P19" s="55">
        <v>0.57999999999999996</v>
      </c>
      <c r="Q19" s="55">
        <v>9.57</v>
      </c>
      <c r="R19" s="43"/>
      <c r="S19" s="43"/>
      <c r="T19" s="43"/>
      <c r="U19" s="43"/>
    </row>
    <row r="20" spans="1:21" s="11" customFormat="1" x14ac:dyDescent="0.25">
      <c r="A20" s="54" t="s">
        <v>575</v>
      </c>
      <c r="B20" s="55">
        <v>13.53</v>
      </c>
      <c r="C20" s="55">
        <v>36.549999999999997</v>
      </c>
      <c r="D20" s="55">
        <v>49.18</v>
      </c>
      <c r="E20" s="55">
        <v>6.94</v>
      </c>
      <c r="F20" s="55">
        <v>18.89</v>
      </c>
      <c r="G20" s="55">
        <v>49.62</v>
      </c>
      <c r="H20" s="55">
        <v>10.76</v>
      </c>
      <c r="I20" s="55">
        <v>4.13</v>
      </c>
      <c r="J20" s="63" t="s">
        <v>8</v>
      </c>
      <c r="K20" s="63" t="s">
        <v>8</v>
      </c>
      <c r="L20" s="63" t="s">
        <v>8</v>
      </c>
      <c r="M20" s="63" t="s">
        <v>8</v>
      </c>
      <c r="N20" s="63" t="s">
        <v>8</v>
      </c>
      <c r="O20" s="63" t="s">
        <v>8</v>
      </c>
      <c r="P20" s="55">
        <v>0.56999999999999995</v>
      </c>
      <c r="Q20" s="55">
        <v>9.36</v>
      </c>
      <c r="R20" s="43"/>
      <c r="S20" s="43"/>
      <c r="T20" s="43"/>
      <c r="U20" s="43"/>
    </row>
    <row r="21" spans="1:21" s="11" customFormat="1" x14ac:dyDescent="0.25">
      <c r="A21" s="54" t="s">
        <v>576</v>
      </c>
      <c r="B21" s="55">
        <v>13.61</v>
      </c>
      <c r="C21" s="55">
        <v>40.130000000000003</v>
      </c>
      <c r="D21" s="55">
        <v>55.91</v>
      </c>
      <c r="E21" s="55">
        <v>6.82</v>
      </c>
      <c r="F21" s="55">
        <v>19.649999999999999</v>
      </c>
      <c r="G21" s="55">
        <v>27.64</v>
      </c>
      <c r="H21" s="55">
        <v>28.44</v>
      </c>
      <c r="I21" s="55">
        <v>4.12</v>
      </c>
      <c r="J21" s="63" t="s">
        <v>8</v>
      </c>
      <c r="K21" s="63" t="s">
        <v>8</v>
      </c>
      <c r="L21" s="63" t="s">
        <v>8</v>
      </c>
      <c r="M21" s="63" t="s">
        <v>8</v>
      </c>
      <c r="N21" s="63" t="s">
        <v>8</v>
      </c>
      <c r="O21" s="63" t="s">
        <v>8</v>
      </c>
      <c r="P21" s="55">
        <v>0.59</v>
      </c>
      <c r="Q21" s="55">
        <v>9.3699999999999992</v>
      </c>
      <c r="R21" s="43"/>
      <c r="S21" s="43"/>
      <c r="T21" s="43"/>
      <c r="U21" s="43"/>
    </row>
    <row r="22" spans="1:21" s="11" customFormat="1" x14ac:dyDescent="0.25">
      <c r="A22" s="54" t="s">
        <v>577</v>
      </c>
      <c r="B22" s="55">
        <v>14.06</v>
      </c>
      <c r="C22" s="55">
        <v>41.89</v>
      </c>
      <c r="D22" s="55">
        <v>58.58</v>
      </c>
      <c r="E22" s="55">
        <v>7.14</v>
      </c>
      <c r="F22" s="55">
        <v>22.41</v>
      </c>
      <c r="G22" s="55">
        <v>39.1</v>
      </c>
      <c r="H22" s="55">
        <v>26.37</v>
      </c>
      <c r="I22" s="55">
        <v>4.12</v>
      </c>
      <c r="J22" s="63" t="s">
        <v>8</v>
      </c>
      <c r="K22" s="63" t="s">
        <v>8</v>
      </c>
      <c r="L22" s="63" t="s">
        <v>8</v>
      </c>
      <c r="M22" s="63" t="s">
        <v>8</v>
      </c>
      <c r="N22" s="63" t="s">
        <v>8</v>
      </c>
      <c r="O22" s="63" t="s">
        <v>8</v>
      </c>
      <c r="P22" s="55">
        <v>0.71</v>
      </c>
      <c r="Q22" s="55">
        <v>9.3699999999999992</v>
      </c>
      <c r="R22" s="43"/>
      <c r="S22" s="43"/>
      <c r="T22" s="43"/>
      <c r="U22" s="43"/>
    </row>
    <row r="23" spans="1:21" s="11" customFormat="1" x14ac:dyDescent="0.25">
      <c r="A23" s="54" t="s">
        <v>578</v>
      </c>
      <c r="B23" s="55">
        <v>16.07</v>
      </c>
      <c r="C23" s="55">
        <v>47.04</v>
      </c>
      <c r="D23" s="55">
        <v>66.27</v>
      </c>
      <c r="E23" s="55">
        <v>8.08</v>
      </c>
      <c r="F23" s="55">
        <v>20.98</v>
      </c>
      <c r="G23" s="55">
        <v>38.28</v>
      </c>
      <c r="H23" s="55">
        <v>22.57</v>
      </c>
      <c r="I23" s="55">
        <v>4.26</v>
      </c>
      <c r="J23" s="63" t="s">
        <v>8</v>
      </c>
      <c r="K23" s="63" t="s">
        <v>8</v>
      </c>
      <c r="L23" s="63" t="s">
        <v>8</v>
      </c>
      <c r="M23" s="63" t="s">
        <v>8</v>
      </c>
      <c r="N23" s="63" t="s">
        <v>8</v>
      </c>
      <c r="O23" s="63" t="s">
        <v>8</v>
      </c>
      <c r="P23" s="55">
        <v>0.73</v>
      </c>
      <c r="Q23" s="55">
        <v>9.32</v>
      </c>
      <c r="R23" s="43"/>
      <c r="S23" s="43"/>
      <c r="T23" s="43"/>
      <c r="U23" s="43"/>
    </row>
    <row r="24" spans="1:21" s="11" customFormat="1" x14ac:dyDescent="0.25">
      <c r="A24" s="54" t="s">
        <v>579</v>
      </c>
      <c r="B24" s="55">
        <v>5.87</v>
      </c>
      <c r="C24" s="55">
        <v>25.33</v>
      </c>
      <c r="D24" s="55">
        <v>39.840000000000003</v>
      </c>
      <c r="E24" s="55">
        <v>7.71</v>
      </c>
      <c r="F24" s="55">
        <v>16.850000000000001</v>
      </c>
      <c r="G24" s="55">
        <v>43.55</v>
      </c>
      <c r="H24" s="55">
        <v>21.95</v>
      </c>
      <c r="I24" s="55">
        <v>4.0599999999999996</v>
      </c>
      <c r="J24" s="63" t="s">
        <v>8</v>
      </c>
      <c r="K24" s="63" t="s">
        <v>8</v>
      </c>
      <c r="L24" s="63" t="s">
        <v>8</v>
      </c>
      <c r="M24" s="63" t="s">
        <v>8</v>
      </c>
      <c r="N24" s="63" t="s">
        <v>8</v>
      </c>
      <c r="O24" s="63" t="s">
        <v>8</v>
      </c>
      <c r="P24" s="55">
        <v>0.51</v>
      </c>
      <c r="Q24" s="55">
        <v>9.32</v>
      </c>
      <c r="R24" s="43"/>
      <c r="S24" s="43"/>
      <c r="T24" s="43"/>
      <c r="U24" s="43"/>
    </row>
    <row r="25" spans="1:21" s="11" customFormat="1" x14ac:dyDescent="0.25">
      <c r="A25" s="54" t="s">
        <v>580</v>
      </c>
      <c r="B25" s="55">
        <v>4.71</v>
      </c>
      <c r="C25" s="55">
        <v>22.66</v>
      </c>
      <c r="D25" s="55">
        <v>36.159999999999997</v>
      </c>
      <c r="E25" s="55">
        <v>5.53</v>
      </c>
      <c r="F25" s="55">
        <v>12.17</v>
      </c>
      <c r="G25" s="55">
        <v>36.799999999999997</v>
      </c>
      <c r="H25" s="55">
        <v>18.27</v>
      </c>
      <c r="I25" s="55">
        <v>4.17</v>
      </c>
      <c r="J25" s="63" t="s">
        <v>8</v>
      </c>
      <c r="K25" s="63" t="s">
        <v>8</v>
      </c>
      <c r="L25" s="63" t="s">
        <v>8</v>
      </c>
      <c r="M25" s="63" t="s">
        <v>8</v>
      </c>
      <c r="N25" s="63" t="s">
        <v>8</v>
      </c>
      <c r="O25" s="63" t="s">
        <v>8</v>
      </c>
      <c r="P25" s="55">
        <v>0.45</v>
      </c>
      <c r="Q25" s="55">
        <v>9.3000000000000007</v>
      </c>
      <c r="R25" s="43"/>
      <c r="S25" s="43"/>
      <c r="T25" s="43"/>
      <c r="U25" s="43"/>
    </row>
    <row r="26" spans="1:21" s="11" customFormat="1" x14ac:dyDescent="0.25">
      <c r="A26" s="54" t="s">
        <v>581</v>
      </c>
      <c r="B26" s="55">
        <v>4.78</v>
      </c>
      <c r="C26" s="55">
        <v>20.57</v>
      </c>
      <c r="D26" s="55">
        <v>32.08</v>
      </c>
      <c r="E26" s="55">
        <v>5.72</v>
      </c>
      <c r="F26" s="55">
        <v>14.54</v>
      </c>
      <c r="G26" s="55">
        <v>40.39</v>
      </c>
      <c r="H26" s="55">
        <v>13.48</v>
      </c>
      <c r="I26" s="55">
        <v>4.05</v>
      </c>
      <c r="J26" s="63" t="s">
        <v>8</v>
      </c>
      <c r="K26" s="63" t="s">
        <v>8</v>
      </c>
      <c r="L26" s="63" t="s">
        <v>8</v>
      </c>
      <c r="M26" s="63" t="s">
        <v>8</v>
      </c>
      <c r="N26" s="63" t="s">
        <v>8</v>
      </c>
      <c r="O26" s="63" t="s">
        <v>8</v>
      </c>
      <c r="P26" s="55">
        <v>0.42</v>
      </c>
      <c r="Q26" s="55">
        <v>9.27</v>
      </c>
      <c r="R26" s="43"/>
      <c r="S26" s="43"/>
      <c r="T26" s="43"/>
      <c r="U26" s="43"/>
    </row>
    <row r="27" spans="1:21" s="11" customFormat="1" x14ac:dyDescent="0.25">
      <c r="A27" s="54" t="s">
        <v>582</v>
      </c>
      <c r="B27" s="55">
        <v>7.06</v>
      </c>
      <c r="C27" s="55">
        <v>31.27</v>
      </c>
      <c r="D27" s="55">
        <v>49.03</v>
      </c>
      <c r="E27" s="55">
        <v>5.64</v>
      </c>
      <c r="F27" s="55">
        <v>17.57</v>
      </c>
      <c r="G27" s="55">
        <v>37.81</v>
      </c>
      <c r="H27" s="55">
        <v>12.65</v>
      </c>
      <c r="I27" s="55">
        <v>4.08</v>
      </c>
      <c r="J27" s="63" t="s">
        <v>8</v>
      </c>
      <c r="K27" s="63" t="s">
        <v>8</v>
      </c>
      <c r="L27" s="63" t="s">
        <v>8</v>
      </c>
      <c r="M27" s="63" t="s">
        <v>8</v>
      </c>
      <c r="N27" s="63" t="s">
        <v>8</v>
      </c>
      <c r="O27" s="63" t="s">
        <v>8</v>
      </c>
      <c r="P27" s="55">
        <v>0.62</v>
      </c>
      <c r="Q27" s="55">
        <v>9.27</v>
      </c>
      <c r="R27" s="43"/>
      <c r="S27" s="43"/>
      <c r="T27" s="43"/>
      <c r="U27" s="43"/>
    </row>
    <row r="28" spans="1:21" s="11" customFormat="1" x14ac:dyDescent="0.25">
      <c r="A28" s="54" t="s">
        <v>583</v>
      </c>
      <c r="B28" s="55">
        <v>19.739999999999998</v>
      </c>
      <c r="C28" s="55">
        <v>47.25</v>
      </c>
      <c r="D28" s="55">
        <v>60.14</v>
      </c>
      <c r="E28" s="55">
        <v>5.9</v>
      </c>
      <c r="F28" s="55">
        <v>11.62</v>
      </c>
      <c r="G28" s="55">
        <v>28.29</v>
      </c>
      <c r="H28" s="55">
        <v>12.59</v>
      </c>
      <c r="I28" s="55">
        <v>4.0199999999999996</v>
      </c>
      <c r="J28" s="63" t="s">
        <v>8</v>
      </c>
      <c r="K28" s="63" t="s">
        <v>8</v>
      </c>
      <c r="L28" s="63" t="s">
        <v>8</v>
      </c>
      <c r="M28" s="63" t="s">
        <v>8</v>
      </c>
      <c r="N28" s="63" t="s">
        <v>8</v>
      </c>
      <c r="O28" s="63" t="s">
        <v>8</v>
      </c>
      <c r="P28" s="55">
        <v>1.03</v>
      </c>
      <c r="Q28" s="55">
        <v>9.3000000000000007</v>
      </c>
      <c r="R28" s="43"/>
      <c r="S28" s="43"/>
      <c r="T28" s="43"/>
      <c r="U28" s="43"/>
    </row>
    <row r="29" spans="1:21" s="11" customFormat="1" x14ac:dyDescent="0.25">
      <c r="A29" s="54" t="s">
        <v>584</v>
      </c>
      <c r="B29" s="55">
        <v>16.73</v>
      </c>
      <c r="C29" s="55">
        <v>38.04</v>
      </c>
      <c r="D29" s="55">
        <v>47.12</v>
      </c>
      <c r="E29" s="55">
        <v>5.79</v>
      </c>
      <c r="F29" s="55">
        <v>8.5</v>
      </c>
      <c r="G29" s="55">
        <v>38.729999999999997</v>
      </c>
      <c r="H29" s="55">
        <v>13.51</v>
      </c>
      <c r="I29" s="55">
        <v>4.07</v>
      </c>
      <c r="J29" s="63" t="s">
        <v>8</v>
      </c>
      <c r="K29" s="63" t="s">
        <v>8</v>
      </c>
      <c r="L29" s="63" t="s">
        <v>8</v>
      </c>
      <c r="M29" s="63" t="s">
        <v>8</v>
      </c>
      <c r="N29" s="63" t="s">
        <v>8</v>
      </c>
      <c r="O29" s="63" t="s">
        <v>8</v>
      </c>
      <c r="P29" s="55">
        <v>0.99</v>
      </c>
      <c r="Q29" s="55">
        <v>9.48</v>
      </c>
      <c r="R29" s="43"/>
      <c r="S29" s="43"/>
      <c r="T29" s="43"/>
      <c r="U29" s="43"/>
    </row>
    <row r="30" spans="1:21" s="11" customFormat="1" x14ac:dyDescent="0.25">
      <c r="A30" s="54" t="s">
        <v>585</v>
      </c>
      <c r="B30" s="55">
        <v>12.44</v>
      </c>
      <c r="C30" s="55">
        <v>31.55</v>
      </c>
      <c r="D30" s="55">
        <v>41.29</v>
      </c>
      <c r="E30" s="55">
        <v>5.63</v>
      </c>
      <c r="F30" s="55">
        <v>8.0500000000000007</v>
      </c>
      <c r="G30" s="55">
        <v>47.1</v>
      </c>
      <c r="H30" s="55">
        <v>12.74</v>
      </c>
      <c r="I30" s="55">
        <v>4.01</v>
      </c>
      <c r="J30" s="63" t="s">
        <v>8</v>
      </c>
      <c r="K30" s="63" t="s">
        <v>8</v>
      </c>
      <c r="L30" s="63" t="s">
        <v>8</v>
      </c>
      <c r="M30" s="63" t="s">
        <v>8</v>
      </c>
      <c r="N30" s="63" t="s">
        <v>8</v>
      </c>
      <c r="O30" s="63" t="s">
        <v>8</v>
      </c>
      <c r="P30" s="55">
        <v>0.82</v>
      </c>
      <c r="Q30" s="55">
        <v>9.5399999999999991</v>
      </c>
      <c r="R30" s="43"/>
      <c r="S30" s="43"/>
      <c r="T30" s="43"/>
      <c r="U30" s="43"/>
    </row>
    <row r="31" spans="1:21" s="11" customFormat="1" x14ac:dyDescent="0.25">
      <c r="A31" s="54" t="s">
        <v>586</v>
      </c>
      <c r="B31" s="55">
        <v>10.31</v>
      </c>
      <c r="C31" s="55">
        <v>26.37</v>
      </c>
      <c r="D31" s="55">
        <v>38.29</v>
      </c>
      <c r="E31" s="55">
        <v>5.15</v>
      </c>
      <c r="F31" s="55">
        <v>10.45</v>
      </c>
      <c r="G31" s="55">
        <v>46.27</v>
      </c>
      <c r="H31" s="55">
        <v>8.93</v>
      </c>
      <c r="I31" s="55">
        <v>4.18</v>
      </c>
      <c r="J31" s="63" t="s">
        <v>8</v>
      </c>
      <c r="K31" s="63" t="s">
        <v>8</v>
      </c>
      <c r="L31" s="63" t="s">
        <v>8</v>
      </c>
      <c r="M31" s="63" t="s">
        <v>8</v>
      </c>
      <c r="N31" s="63" t="s">
        <v>8</v>
      </c>
      <c r="O31" s="63" t="s">
        <v>8</v>
      </c>
      <c r="P31" s="55">
        <v>0.65</v>
      </c>
      <c r="Q31" s="55">
        <v>9.5</v>
      </c>
      <c r="R31" s="43"/>
      <c r="S31" s="43"/>
      <c r="T31" s="43"/>
      <c r="U31" s="43"/>
    </row>
    <row r="32" spans="1:21" s="11" customFormat="1" x14ac:dyDescent="0.25">
      <c r="A32" s="54" t="s">
        <v>587</v>
      </c>
      <c r="B32" s="55">
        <v>8.17</v>
      </c>
      <c r="C32" s="55">
        <v>19.27</v>
      </c>
      <c r="D32" s="55">
        <v>24.9</v>
      </c>
      <c r="E32" s="55">
        <v>5.04</v>
      </c>
      <c r="F32" s="55">
        <v>12.76</v>
      </c>
      <c r="G32" s="55">
        <v>42.57</v>
      </c>
      <c r="H32" s="55">
        <v>21.32</v>
      </c>
      <c r="I32" s="55">
        <v>4.04</v>
      </c>
      <c r="J32" s="63" t="s">
        <v>8</v>
      </c>
      <c r="K32" s="63" t="s">
        <v>8</v>
      </c>
      <c r="L32" s="63" t="s">
        <v>8</v>
      </c>
      <c r="M32" s="63" t="s">
        <v>8</v>
      </c>
      <c r="N32" s="63" t="s">
        <v>8</v>
      </c>
      <c r="O32" s="63" t="s">
        <v>8</v>
      </c>
      <c r="P32" s="55">
        <v>0.52</v>
      </c>
      <c r="Q32" s="55">
        <v>9.44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4.71</v>
      </c>
      <c r="C34" s="28">
        <f t="shared" si="0"/>
        <v>14.2</v>
      </c>
      <c r="D34" s="28">
        <f t="shared" si="0"/>
        <v>17.52</v>
      </c>
      <c r="E34" s="28">
        <f t="shared" si="0"/>
        <v>4.9800000000000004</v>
      </c>
      <c r="F34" s="28">
        <f t="shared" si="0"/>
        <v>3.7</v>
      </c>
      <c r="G34" s="28">
        <f t="shared" si="0"/>
        <v>3.03</v>
      </c>
      <c r="H34" s="28">
        <f t="shared" si="0"/>
        <v>4.28</v>
      </c>
      <c r="I34" s="28">
        <f t="shared" si="0"/>
        <v>3.98</v>
      </c>
      <c r="J34" s="28">
        <f t="shared" si="0"/>
        <v>0.37</v>
      </c>
      <c r="K34" s="28">
        <f t="shared" si="0"/>
        <v>169.24</v>
      </c>
      <c r="L34" s="28">
        <f t="shared" si="0"/>
        <v>25.62</v>
      </c>
      <c r="M34" s="28">
        <f t="shared" si="0"/>
        <v>62.77</v>
      </c>
      <c r="N34" s="28">
        <f t="shared" si="0"/>
        <v>38.700000000000003</v>
      </c>
      <c r="O34" s="28">
        <f t="shared" si="0"/>
        <v>0</v>
      </c>
      <c r="P34" s="28">
        <f t="shared" si="0"/>
        <v>0.2</v>
      </c>
      <c r="Q34" s="28">
        <f t="shared" si="0"/>
        <v>9.24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19.739999999999998</v>
      </c>
      <c r="C35" s="29">
        <f t="shared" si="1"/>
        <v>47.25</v>
      </c>
      <c r="D35" s="29">
        <f t="shared" si="1"/>
        <v>66.27</v>
      </c>
      <c r="E35" s="29">
        <f t="shared" si="1"/>
        <v>8.08</v>
      </c>
      <c r="F35" s="29">
        <f t="shared" si="1"/>
        <v>22.41</v>
      </c>
      <c r="G35" s="29">
        <f t="shared" si="1"/>
        <v>53.85</v>
      </c>
      <c r="H35" s="29">
        <f t="shared" si="1"/>
        <v>28.44</v>
      </c>
      <c r="I35" s="29">
        <f t="shared" si="1"/>
        <v>4.26</v>
      </c>
      <c r="J35" s="29">
        <f t="shared" si="1"/>
        <v>1.65</v>
      </c>
      <c r="K35" s="29">
        <f t="shared" si="1"/>
        <v>194.8</v>
      </c>
      <c r="L35" s="29">
        <f t="shared" si="1"/>
        <v>27.24</v>
      </c>
      <c r="M35" s="29">
        <f t="shared" si="1"/>
        <v>69.930000000000007</v>
      </c>
      <c r="N35" s="29">
        <f t="shared" si="1"/>
        <v>39.6</v>
      </c>
      <c r="O35" s="29">
        <f t="shared" si="1"/>
        <v>0</v>
      </c>
      <c r="P35" s="29">
        <f t="shared" si="1"/>
        <v>1.03</v>
      </c>
      <c r="Q35" s="29">
        <f t="shared" si="1"/>
        <v>9.57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10.638333333333334</v>
      </c>
      <c r="C36" s="28">
        <f t="shared" si="2"/>
        <v>27.104166666666661</v>
      </c>
      <c r="D36" s="28">
        <f t="shared" si="2"/>
        <v>35.860833333333325</v>
      </c>
      <c r="E36" s="28">
        <f t="shared" si="2"/>
        <v>5.9304166666666669</v>
      </c>
      <c r="F36" s="28">
        <f t="shared" si="2"/>
        <v>11.032499999999999</v>
      </c>
      <c r="G36" s="28">
        <f t="shared" si="2"/>
        <v>30.451666666666672</v>
      </c>
      <c r="H36" s="28">
        <f t="shared" si="2"/>
        <v>12.121249999999998</v>
      </c>
      <c r="I36" s="28">
        <f t="shared" si="2"/>
        <v>4.0874999999999995</v>
      </c>
      <c r="J36" s="28">
        <f t="shared" si="2"/>
        <v>0.90166666666666673</v>
      </c>
      <c r="K36" s="28">
        <f t="shared" si="2"/>
        <v>183.95666666666668</v>
      </c>
      <c r="L36" s="28">
        <f t="shared" si="2"/>
        <v>26.807500000000001</v>
      </c>
      <c r="M36" s="28">
        <f t="shared" si="2"/>
        <v>64.927500000000009</v>
      </c>
      <c r="N36" s="28">
        <f t="shared" si="2"/>
        <v>39.016666666666673</v>
      </c>
      <c r="O36" s="28" t="e">
        <f t="shared" si="2"/>
        <v>#DIV/0!</v>
      </c>
      <c r="P36" s="28">
        <f t="shared" si="2"/>
        <v>0.51291666666666658</v>
      </c>
      <c r="Q36" s="28">
        <f t="shared" si="2"/>
        <v>9.3716666666666661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4.876706538911959</v>
      </c>
      <c r="C37" s="28">
        <f t="shared" ref="C37:Q37" si="3">STDEV(C9:C32)</f>
        <v>10.666755309867195</v>
      </c>
      <c r="D37" s="28">
        <f t="shared" si="3"/>
        <v>14.928633391155961</v>
      </c>
      <c r="E37" s="28">
        <f t="shared" si="3"/>
        <v>0.81673517163136122</v>
      </c>
      <c r="F37" s="28">
        <f t="shared" si="3"/>
        <v>6.2089278287485934</v>
      </c>
      <c r="G37" s="28">
        <f t="shared" si="3"/>
        <v>16.484937701262094</v>
      </c>
      <c r="H37" s="28">
        <f t="shared" si="3"/>
        <v>7.3169964807972967</v>
      </c>
      <c r="I37" s="28">
        <f t="shared" si="3"/>
        <v>6.5756467693134646E-2</v>
      </c>
      <c r="J37" s="28">
        <f t="shared" si="3"/>
        <v>0.51097618992147442</v>
      </c>
      <c r="K37" s="28">
        <f t="shared" si="3"/>
        <v>9.1319410130961014</v>
      </c>
      <c r="L37" s="28">
        <f t="shared" si="3"/>
        <v>0.79218579470559325</v>
      </c>
      <c r="M37" s="28">
        <f t="shared" si="3"/>
        <v>3.3538472932837426</v>
      </c>
      <c r="N37" s="28">
        <f t="shared" si="3"/>
        <v>0.38166302763912785</v>
      </c>
      <c r="O37" s="28" t="e">
        <f t="shared" si="3"/>
        <v>#DIV/0!</v>
      </c>
      <c r="P37" s="28">
        <f t="shared" si="3"/>
        <v>0.23292990486348075</v>
      </c>
      <c r="Q37" s="28">
        <f t="shared" si="3"/>
        <v>0.11130321557395116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>COUNT(J9:J32)+18</f>
        <v>24</v>
      </c>
      <c r="K38" s="32">
        <f t="shared" ref="K38:N38" si="5">COUNT(K9:K32)+18</f>
        <v>24</v>
      </c>
      <c r="L38" s="32">
        <f>COUNT(L9:L32)+20</f>
        <v>24</v>
      </c>
      <c r="M38" s="32">
        <f>COUNT(M9:M32)+20</f>
        <v>24</v>
      </c>
      <c r="N38" s="32">
        <f t="shared" si="5"/>
        <v>24</v>
      </c>
      <c r="O38" s="32">
        <f>COUNT(O9:O32)+24</f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6">IF(C38&gt;=22,"&gt;90%",IF(C38&lt;=22,"&lt;90%"))</f>
        <v>&gt;90%</v>
      </c>
      <c r="D39" s="29" t="str">
        <f t="shared" si="6"/>
        <v>&gt;90%</v>
      </c>
      <c r="E39" s="29" t="str">
        <f t="shared" si="6"/>
        <v>&gt;90%</v>
      </c>
      <c r="F39" s="29" t="str">
        <f t="shared" si="6"/>
        <v>&gt;90%</v>
      </c>
      <c r="G39" s="29" t="str">
        <f t="shared" si="6"/>
        <v>&gt;90%</v>
      </c>
      <c r="H39" s="29" t="str">
        <f t="shared" si="6"/>
        <v>&gt;90%</v>
      </c>
      <c r="I39" s="29" t="str">
        <f t="shared" si="6"/>
        <v>&gt;90%</v>
      </c>
      <c r="J39" s="29" t="str">
        <f t="shared" si="6"/>
        <v>&gt;90%</v>
      </c>
      <c r="K39" s="29" t="str">
        <f t="shared" si="6"/>
        <v>&gt;90%</v>
      </c>
      <c r="L39" s="29" t="str">
        <f t="shared" si="6"/>
        <v>&gt;90%</v>
      </c>
      <c r="M39" s="29" t="str">
        <f t="shared" si="6"/>
        <v>&gt;90%</v>
      </c>
      <c r="N39" s="29" t="str">
        <f t="shared" si="6"/>
        <v>&gt;90%</v>
      </c>
      <c r="O39" s="29" t="str">
        <f t="shared" si="6"/>
        <v>&gt;90%</v>
      </c>
      <c r="P39" s="29" t="str">
        <f t="shared" si="6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7">IF(C38&gt;=22,"OK",IF(C38&lt;=22,"LESS"))</f>
        <v>OK</v>
      </c>
      <c r="D40" s="29" t="str">
        <f t="shared" si="7"/>
        <v>OK</v>
      </c>
      <c r="E40" s="29" t="str">
        <f t="shared" si="7"/>
        <v>OK</v>
      </c>
      <c r="F40" s="29" t="str">
        <f t="shared" si="7"/>
        <v>OK</v>
      </c>
      <c r="G40" s="29" t="str">
        <f t="shared" si="7"/>
        <v>OK</v>
      </c>
      <c r="H40" s="29" t="str">
        <f t="shared" si="7"/>
        <v>OK</v>
      </c>
      <c r="I40" s="29" t="str">
        <f t="shared" si="7"/>
        <v>OK</v>
      </c>
      <c r="J40" s="29" t="str">
        <f t="shared" si="7"/>
        <v>OK</v>
      </c>
      <c r="K40" s="29" t="str">
        <f t="shared" si="7"/>
        <v>OK</v>
      </c>
      <c r="L40" s="29" t="str">
        <f t="shared" si="7"/>
        <v>OK</v>
      </c>
      <c r="M40" s="29" t="str">
        <f t="shared" si="7"/>
        <v>OK</v>
      </c>
      <c r="N40" s="29" t="str">
        <f t="shared" si="7"/>
        <v>OK</v>
      </c>
      <c r="O40" s="29" t="str">
        <f t="shared" si="7"/>
        <v>OK</v>
      </c>
      <c r="P40" s="29" t="str">
        <f t="shared" si="7"/>
        <v>OK</v>
      </c>
      <c r="Q40" s="29" t="str">
        <f t="shared" si="7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23/05/2025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7"/>
      <c r="B8" s="58" t="s">
        <v>22</v>
      </c>
      <c r="C8" s="58" t="s">
        <v>22</v>
      </c>
      <c r="D8" s="29" t="s">
        <v>42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58" t="s">
        <v>22</v>
      </c>
      <c r="R8" s="27"/>
      <c r="S8" s="29"/>
      <c r="T8" s="27"/>
      <c r="U8" s="27"/>
    </row>
    <row r="9" spans="1:21" s="11" customFormat="1" x14ac:dyDescent="0.25">
      <c r="A9" s="54" t="s">
        <v>588</v>
      </c>
      <c r="B9" s="55">
        <v>11.22</v>
      </c>
      <c r="C9" s="55">
        <v>21.57</v>
      </c>
      <c r="D9" s="55">
        <v>24.06</v>
      </c>
      <c r="E9" s="55">
        <v>5.0999999999999996</v>
      </c>
      <c r="F9" s="55">
        <v>6.42</v>
      </c>
      <c r="G9" s="55">
        <v>40.97</v>
      </c>
      <c r="H9" s="55">
        <v>160.81</v>
      </c>
      <c r="I9" s="55">
        <v>4.0999999999999996</v>
      </c>
      <c r="J9" s="63" t="s">
        <v>8</v>
      </c>
      <c r="K9" s="63" t="s">
        <v>8</v>
      </c>
      <c r="L9" s="63" t="s">
        <v>8</v>
      </c>
      <c r="M9" s="63" t="s">
        <v>8</v>
      </c>
      <c r="N9" s="63" t="s">
        <v>8</v>
      </c>
      <c r="O9" s="63" t="s">
        <v>8</v>
      </c>
      <c r="P9" s="55">
        <v>0.54</v>
      </c>
      <c r="Q9" s="55">
        <v>9.41</v>
      </c>
      <c r="R9" s="43"/>
      <c r="S9" s="43"/>
      <c r="T9" s="43"/>
      <c r="U9" s="43"/>
    </row>
    <row r="10" spans="1:21" s="11" customFormat="1" x14ac:dyDescent="0.25">
      <c r="A10" s="54" t="s">
        <v>589</v>
      </c>
      <c r="B10" s="55">
        <v>8.98</v>
      </c>
      <c r="C10" s="55">
        <v>18.27</v>
      </c>
      <c r="D10" s="55">
        <v>21.18</v>
      </c>
      <c r="E10" s="55">
        <v>4.8600000000000003</v>
      </c>
      <c r="F10" s="55">
        <v>6.55</v>
      </c>
      <c r="G10" s="55">
        <v>35.200000000000003</v>
      </c>
      <c r="H10" s="55">
        <v>171.78</v>
      </c>
      <c r="I10" s="55">
        <v>4.0999999999999996</v>
      </c>
      <c r="J10" s="63" t="s">
        <v>8</v>
      </c>
      <c r="K10" s="63" t="s">
        <v>8</v>
      </c>
      <c r="L10" s="63" t="s">
        <v>8</v>
      </c>
      <c r="M10" s="63" t="s">
        <v>8</v>
      </c>
      <c r="N10" s="63" t="s">
        <v>8</v>
      </c>
      <c r="O10" s="63" t="s">
        <v>8</v>
      </c>
      <c r="P10" s="55">
        <v>0.5</v>
      </c>
      <c r="Q10" s="55">
        <v>9.3800000000000008</v>
      </c>
      <c r="R10" s="43"/>
      <c r="S10" s="43"/>
      <c r="T10" s="43"/>
      <c r="U10" s="43"/>
    </row>
    <row r="11" spans="1:21" s="11" customFormat="1" x14ac:dyDescent="0.25">
      <c r="A11" s="54" t="s">
        <v>590</v>
      </c>
      <c r="B11" s="55">
        <v>7.85</v>
      </c>
      <c r="C11" s="55">
        <v>16.45</v>
      </c>
      <c r="D11" s="55">
        <v>19.78</v>
      </c>
      <c r="E11" s="55">
        <v>4.6399999999999997</v>
      </c>
      <c r="F11" s="55">
        <v>9.68</v>
      </c>
      <c r="G11" s="55">
        <v>27.57</v>
      </c>
      <c r="H11" s="55">
        <v>139.35</v>
      </c>
      <c r="I11" s="55">
        <v>4.18</v>
      </c>
      <c r="J11" s="63" t="s">
        <v>8</v>
      </c>
      <c r="K11" s="63" t="s">
        <v>8</v>
      </c>
      <c r="L11" s="63" t="s">
        <v>8</v>
      </c>
      <c r="M11" s="63" t="s">
        <v>8</v>
      </c>
      <c r="N11" s="63" t="s">
        <v>8</v>
      </c>
      <c r="O11" s="63" t="s">
        <v>8</v>
      </c>
      <c r="P11" s="55">
        <v>0.47</v>
      </c>
      <c r="Q11" s="55">
        <v>9.34</v>
      </c>
      <c r="R11" s="43"/>
      <c r="S11" s="43"/>
      <c r="T11" s="43"/>
      <c r="U11" s="43"/>
    </row>
    <row r="12" spans="1:21" s="11" customFormat="1" x14ac:dyDescent="0.25">
      <c r="A12" s="54" t="s">
        <v>591</v>
      </c>
      <c r="B12" s="55">
        <v>8.4600000000000009</v>
      </c>
      <c r="C12" s="55">
        <v>18.579999999999998</v>
      </c>
      <c r="D12" s="55">
        <v>22.58</v>
      </c>
      <c r="E12" s="55">
        <v>4.72</v>
      </c>
      <c r="F12" s="55">
        <v>9.7799999999999994</v>
      </c>
      <c r="G12" s="55">
        <v>22.95</v>
      </c>
      <c r="H12" s="55">
        <v>17.350000000000001</v>
      </c>
      <c r="I12" s="55">
        <v>4.08</v>
      </c>
      <c r="J12" s="63" t="s">
        <v>8</v>
      </c>
      <c r="K12" s="63" t="s">
        <v>8</v>
      </c>
      <c r="L12" s="63" t="s">
        <v>8</v>
      </c>
      <c r="M12" s="63" t="s">
        <v>8</v>
      </c>
      <c r="N12" s="63" t="s">
        <v>8</v>
      </c>
      <c r="O12" s="63" t="s">
        <v>8</v>
      </c>
      <c r="P12" s="55">
        <v>0.35</v>
      </c>
      <c r="Q12" s="55">
        <v>9.3000000000000007</v>
      </c>
      <c r="R12" s="43"/>
      <c r="S12" s="43"/>
      <c r="T12" s="43"/>
      <c r="U12" s="43"/>
    </row>
    <row r="13" spans="1:21" s="11" customFormat="1" x14ac:dyDescent="0.25">
      <c r="A13" s="54" t="s">
        <v>592</v>
      </c>
      <c r="B13" s="55">
        <v>8.26</v>
      </c>
      <c r="C13" s="55">
        <v>16.7</v>
      </c>
      <c r="D13" s="55">
        <v>19.29</v>
      </c>
      <c r="E13" s="55">
        <v>4.75</v>
      </c>
      <c r="F13" s="55">
        <v>8.9700000000000006</v>
      </c>
      <c r="G13" s="55">
        <v>17.21</v>
      </c>
      <c r="H13" s="55">
        <v>14.25</v>
      </c>
      <c r="I13" s="55">
        <v>4.0999999999999996</v>
      </c>
      <c r="J13" s="63" t="s">
        <v>8</v>
      </c>
      <c r="K13" s="63" t="s">
        <v>8</v>
      </c>
      <c r="L13" s="63" t="s">
        <v>8</v>
      </c>
      <c r="M13" s="63" t="s">
        <v>8</v>
      </c>
      <c r="N13" s="63" t="s">
        <v>8</v>
      </c>
      <c r="O13" s="63" t="s">
        <v>8</v>
      </c>
      <c r="P13" s="55">
        <v>0.39</v>
      </c>
      <c r="Q13" s="55">
        <v>9.31</v>
      </c>
      <c r="R13" s="43"/>
      <c r="S13" s="43"/>
      <c r="T13" s="43"/>
      <c r="U13" s="43"/>
    </row>
    <row r="14" spans="1:21" s="11" customFormat="1" x14ac:dyDescent="0.25">
      <c r="A14" s="54" t="s">
        <v>593</v>
      </c>
      <c r="B14" s="55">
        <v>8.81</v>
      </c>
      <c r="C14" s="55">
        <v>17.079999999999998</v>
      </c>
      <c r="D14" s="55">
        <v>19.95</v>
      </c>
      <c r="E14" s="55">
        <v>4.6900000000000004</v>
      </c>
      <c r="F14" s="55">
        <v>5.31</v>
      </c>
      <c r="G14" s="55">
        <v>17.63</v>
      </c>
      <c r="H14" s="55">
        <v>9.5</v>
      </c>
      <c r="I14" s="55">
        <v>4.08</v>
      </c>
      <c r="J14" s="63" t="s">
        <v>8</v>
      </c>
      <c r="K14" s="63" t="s">
        <v>8</v>
      </c>
      <c r="L14" s="63" t="s">
        <v>8</v>
      </c>
      <c r="M14" s="63" t="s">
        <v>8</v>
      </c>
      <c r="N14" s="63" t="s">
        <v>8</v>
      </c>
      <c r="O14" s="63" t="s">
        <v>8</v>
      </c>
      <c r="P14" s="55">
        <v>0.37</v>
      </c>
      <c r="Q14" s="55">
        <v>9.31</v>
      </c>
      <c r="R14" s="43"/>
      <c r="S14" s="43"/>
      <c r="T14" s="43"/>
      <c r="U14" s="43"/>
    </row>
    <row r="15" spans="1:21" s="11" customFormat="1" x14ac:dyDescent="0.25">
      <c r="A15" s="54" t="s">
        <v>594</v>
      </c>
      <c r="B15" s="55">
        <v>9.61</v>
      </c>
      <c r="C15" s="55">
        <v>18.3</v>
      </c>
      <c r="D15" s="55">
        <v>20.97</v>
      </c>
      <c r="E15" s="55">
        <v>4.7699999999999996</v>
      </c>
      <c r="F15" s="55">
        <v>4.97</v>
      </c>
      <c r="G15" s="55">
        <v>21.9</v>
      </c>
      <c r="H15" s="55">
        <v>8.8699999999999992</v>
      </c>
      <c r="I15" s="55">
        <v>4.22</v>
      </c>
      <c r="J15" s="63" t="s">
        <v>8</v>
      </c>
      <c r="K15" s="63" t="s">
        <v>8</v>
      </c>
      <c r="L15" s="63" t="s">
        <v>8</v>
      </c>
      <c r="M15" s="63" t="s">
        <v>8</v>
      </c>
      <c r="N15" s="63" t="s">
        <v>8</v>
      </c>
      <c r="O15" s="63" t="s">
        <v>8</v>
      </c>
      <c r="P15" s="55">
        <v>0.37</v>
      </c>
      <c r="Q15" s="55">
        <v>9.34</v>
      </c>
      <c r="R15" s="43"/>
      <c r="S15" s="43"/>
      <c r="T15" s="43"/>
      <c r="U15" s="43"/>
    </row>
    <row r="16" spans="1:21" s="11" customFormat="1" x14ac:dyDescent="0.25">
      <c r="A16" s="54" t="s">
        <v>595</v>
      </c>
      <c r="B16" s="55">
        <v>9.4</v>
      </c>
      <c r="C16" s="55">
        <v>20.21</v>
      </c>
      <c r="D16" s="55">
        <v>24.26</v>
      </c>
      <c r="E16" s="55">
        <v>4.96</v>
      </c>
      <c r="F16" s="55">
        <v>8.69</v>
      </c>
      <c r="G16" s="55">
        <v>21.54</v>
      </c>
      <c r="H16" s="55">
        <v>8.81</v>
      </c>
      <c r="I16" s="55">
        <v>4.1100000000000003</v>
      </c>
      <c r="J16" s="63" t="s">
        <v>8</v>
      </c>
      <c r="K16" s="63" t="s">
        <v>8</v>
      </c>
      <c r="L16" s="63" t="s">
        <v>8</v>
      </c>
      <c r="M16" s="63" t="s">
        <v>8</v>
      </c>
      <c r="N16" s="63" t="s">
        <v>8</v>
      </c>
      <c r="O16" s="63" t="s">
        <v>8</v>
      </c>
      <c r="P16" s="55">
        <v>0.37</v>
      </c>
      <c r="Q16" s="55">
        <v>9.36</v>
      </c>
      <c r="R16" s="43"/>
      <c r="S16" s="43"/>
      <c r="T16" s="43"/>
      <c r="U16" s="43"/>
    </row>
    <row r="17" spans="1:21" s="11" customFormat="1" x14ac:dyDescent="0.25">
      <c r="A17" s="54" t="s">
        <v>596</v>
      </c>
      <c r="B17" s="55">
        <v>11.48</v>
      </c>
      <c r="C17" s="55">
        <v>20.9</v>
      </c>
      <c r="D17" s="55">
        <v>22.39</v>
      </c>
      <c r="E17" s="55">
        <v>5.17</v>
      </c>
      <c r="F17" s="55">
        <v>11.51</v>
      </c>
      <c r="G17" s="55">
        <v>19.21</v>
      </c>
      <c r="H17" s="55">
        <v>47.93</v>
      </c>
      <c r="I17" s="55">
        <v>4.08</v>
      </c>
      <c r="J17" s="63" t="s">
        <v>8</v>
      </c>
      <c r="K17" s="63" t="s">
        <v>8</v>
      </c>
      <c r="L17" s="63" t="s">
        <v>8</v>
      </c>
      <c r="M17" s="63" t="s">
        <v>8</v>
      </c>
      <c r="N17" s="63" t="s">
        <v>8</v>
      </c>
      <c r="O17" s="63" t="s">
        <v>8</v>
      </c>
      <c r="P17" s="55">
        <v>0.35</v>
      </c>
      <c r="Q17" s="55">
        <v>9.34</v>
      </c>
      <c r="R17" s="43"/>
      <c r="S17" s="43"/>
      <c r="T17" s="43"/>
      <c r="U17" s="43"/>
    </row>
    <row r="18" spans="1:21" s="11" customFormat="1" x14ac:dyDescent="0.25">
      <c r="A18" s="54" t="s">
        <v>597</v>
      </c>
      <c r="B18" s="55">
        <v>11.55</v>
      </c>
      <c r="C18" s="55">
        <v>21.55</v>
      </c>
      <c r="D18" s="55">
        <v>23.63</v>
      </c>
      <c r="E18" s="55">
        <v>5.26</v>
      </c>
      <c r="F18" s="55">
        <v>4.79</v>
      </c>
      <c r="G18" s="55">
        <v>17.93</v>
      </c>
      <c r="H18" s="55">
        <v>43.09</v>
      </c>
      <c r="I18" s="55">
        <v>4.0199999999999996</v>
      </c>
      <c r="J18" s="63" t="s">
        <v>8</v>
      </c>
      <c r="K18" s="63" t="s">
        <v>8</v>
      </c>
      <c r="L18" s="63" t="s">
        <v>8</v>
      </c>
      <c r="M18" s="63" t="s">
        <v>8</v>
      </c>
      <c r="N18" s="63" t="s">
        <v>8</v>
      </c>
      <c r="O18" s="63" t="s">
        <v>8</v>
      </c>
      <c r="P18" s="55">
        <v>0.36</v>
      </c>
      <c r="Q18" s="55">
        <v>9.3800000000000008</v>
      </c>
      <c r="R18" s="43"/>
      <c r="S18" s="43"/>
      <c r="T18" s="43"/>
      <c r="U18" s="43"/>
    </row>
    <row r="19" spans="1:21" s="11" customFormat="1" x14ac:dyDescent="0.25">
      <c r="A19" s="54" t="s">
        <v>598</v>
      </c>
      <c r="B19" s="55">
        <v>12.96</v>
      </c>
      <c r="C19" s="55">
        <v>23.41</v>
      </c>
      <c r="D19" s="55">
        <v>25.07</v>
      </c>
      <c r="E19" s="55">
        <v>5.24</v>
      </c>
      <c r="F19" s="55">
        <v>5.4</v>
      </c>
      <c r="G19" s="55">
        <v>21.64</v>
      </c>
      <c r="H19" s="55">
        <v>19.510000000000002</v>
      </c>
      <c r="I19" s="55">
        <v>4.1399999999999997</v>
      </c>
      <c r="J19" s="63" t="s">
        <v>8</v>
      </c>
      <c r="K19" s="63" t="s">
        <v>8</v>
      </c>
      <c r="L19" s="63" t="s">
        <v>8</v>
      </c>
      <c r="M19" s="63" t="s">
        <v>8</v>
      </c>
      <c r="N19" s="63" t="s">
        <v>8</v>
      </c>
      <c r="O19" s="63" t="s">
        <v>8</v>
      </c>
      <c r="P19" s="55">
        <v>0.38</v>
      </c>
      <c r="Q19" s="55">
        <v>9.4</v>
      </c>
      <c r="R19" s="43"/>
      <c r="S19" s="43"/>
      <c r="T19" s="43"/>
      <c r="U19" s="43"/>
    </row>
    <row r="20" spans="1:21" s="11" customFormat="1" x14ac:dyDescent="0.25">
      <c r="A20" s="54" t="s">
        <v>599</v>
      </c>
      <c r="B20" s="55">
        <v>11.95</v>
      </c>
      <c r="C20" s="55">
        <v>23.58</v>
      </c>
      <c r="D20" s="55">
        <v>26.8</v>
      </c>
      <c r="E20" s="55">
        <v>5.33</v>
      </c>
      <c r="F20" s="55">
        <v>12.97</v>
      </c>
      <c r="G20" s="55">
        <v>21.43</v>
      </c>
      <c r="H20" s="55">
        <v>6.27</v>
      </c>
      <c r="I20" s="55">
        <v>4.21</v>
      </c>
      <c r="J20" s="63" t="s">
        <v>8</v>
      </c>
      <c r="K20" s="63" t="s">
        <v>8</v>
      </c>
      <c r="L20" s="63" t="s">
        <v>8</v>
      </c>
      <c r="M20" s="63" t="s">
        <v>8</v>
      </c>
      <c r="N20" s="63" t="s">
        <v>8</v>
      </c>
      <c r="O20" s="63" t="s">
        <v>8</v>
      </c>
      <c r="P20" s="55">
        <v>0.39</v>
      </c>
      <c r="Q20" s="55">
        <v>9.39</v>
      </c>
      <c r="R20" s="43"/>
      <c r="S20" s="43"/>
      <c r="T20" s="43"/>
      <c r="U20" s="43"/>
    </row>
    <row r="21" spans="1:21" s="11" customFormat="1" x14ac:dyDescent="0.25">
      <c r="A21" s="54" t="s">
        <v>600</v>
      </c>
      <c r="B21" s="55">
        <v>10.27</v>
      </c>
      <c r="C21" s="55">
        <v>24.24</v>
      </c>
      <c r="D21" s="55">
        <v>30.62</v>
      </c>
      <c r="E21" s="55">
        <v>5.55</v>
      </c>
      <c r="F21" s="55">
        <v>7.6</v>
      </c>
      <c r="G21" s="55">
        <v>20.34</v>
      </c>
      <c r="H21" s="55">
        <v>260.81</v>
      </c>
      <c r="I21" s="55">
        <v>4.1500000000000004</v>
      </c>
      <c r="J21" s="63" t="s">
        <v>8</v>
      </c>
      <c r="K21" s="63" t="s">
        <v>8</v>
      </c>
      <c r="L21" s="63" t="s">
        <v>8</v>
      </c>
      <c r="M21" s="63" t="s">
        <v>8</v>
      </c>
      <c r="N21" s="63" t="s">
        <v>8</v>
      </c>
      <c r="O21" s="63" t="s">
        <v>8</v>
      </c>
      <c r="P21" s="55">
        <v>0.4</v>
      </c>
      <c r="Q21" s="55">
        <v>9.36</v>
      </c>
      <c r="R21" s="43"/>
      <c r="S21" s="43"/>
      <c r="T21" s="43"/>
      <c r="U21" s="43"/>
    </row>
    <row r="22" spans="1:21" s="11" customFormat="1" x14ac:dyDescent="0.25">
      <c r="A22" s="54" t="s">
        <v>601</v>
      </c>
      <c r="B22" s="55">
        <v>7.59</v>
      </c>
      <c r="C22" s="55">
        <v>20.51</v>
      </c>
      <c r="D22" s="55">
        <v>27.61</v>
      </c>
      <c r="E22" s="55">
        <v>5.53</v>
      </c>
      <c r="F22" s="55">
        <v>10.82</v>
      </c>
      <c r="G22" s="55">
        <v>20.38</v>
      </c>
      <c r="H22" s="55">
        <v>208.65</v>
      </c>
      <c r="I22" s="55">
        <v>4.21</v>
      </c>
      <c r="J22" s="63" t="s">
        <v>8</v>
      </c>
      <c r="K22" s="63" t="s">
        <v>8</v>
      </c>
      <c r="L22" s="63" t="s">
        <v>8</v>
      </c>
      <c r="M22" s="63" t="s">
        <v>8</v>
      </c>
      <c r="N22" s="63" t="s">
        <v>8</v>
      </c>
      <c r="O22" s="63" t="s">
        <v>8</v>
      </c>
      <c r="P22" s="55">
        <v>0.43</v>
      </c>
      <c r="Q22" s="55">
        <v>9.27</v>
      </c>
      <c r="R22" s="43"/>
      <c r="S22" s="43"/>
      <c r="T22" s="43"/>
      <c r="U22" s="43"/>
    </row>
    <row r="23" spans="1:21" s="11" customFormat="1" x14ac:dyDescent="0.25">
      <c r="A23" s="54" t="s">
        <v>602</v>
      </c>
      <c r="B23" s="55">
        <v>6.72</v>
      </c>
      <c r="C23" s="55">
        <v>21.53</v>
      </c>
      <c r="D23" s="55">
        <v>30.9</v>
      </c>
      <c r="E23" s="55">
        <v>5.23</v>
      </c>
      <c r="F23" s="55">
        <v>13.35</v>
      </c>
      <c r="G23" s="55">
        <v>31.8</v>
      </c>
      <c r="H23" s="55">
        <v>275.23</v>
      </c>
      <c r="I23" s="55">
        <v>3.98</v>
      </c>
      <c r="J23" s="63" t="s">
        <v>8</v>
      </c>
      <c r="K23" s="63" t="s">
        <v>8</v>
      </c>
      <c r="L23" s="63" t="s">
        <v>8</v>
      </c>
      <c r="M23" s="63" t="s">
        <v>8</v>
      </c>
      <c r="N23" s="63" t="s">
        <v>8</v>
      </c>
      <c r="O23" s="63" t="s">
        <v>8</v>
      </c>
      <c r="P23" s="55">
        <v>0.46</v>
      </c>
      <c r="Q23" s="55">
        <v>9.23</v>
      </c>
      <c r="R23" s="43"/>
      <c r="S23" s="43"/>
      <c r="T23" s="43"/>
      <c r="U23" s="43"/>
    </row>
    <row r="24" spans="1:21" s="11" customFormat="1" x14ac:dyDescent="0.25">
      <c r="A24" s="54" t="s">
        <v>603</v>
      </c>
      <c r="B24" s="55">
        <v>7.91</v>
      </c>
      <c r="C24" s="55">
        <v>20.89</v>
      </c>
      <c r="D24" s="55">
        <v>30.67</v>
      </c>
      <c r="E24" s="55">
        <v>5.25</v>
      </c>
      <c r="F24" s="55">
        <v>21.44</v>
      </c>
      <c r="G24" s="55">
        <v>31.42</v>
      </c>
      <c r="H24" s="55">
        <v>223.24</v>
      </c>
      <c r="I24" s="55">
        <v>4.07</v>
      </c>
      <c r="J24" s="63" t="s">
        <v>8</v>
      </c>
      <c r="K24" s="63" t="s">
        <v>8</v>
      </c>
      <c r="L24" s="63" t="s">
        <v>8</v>
      </c>
      <c r="M24" s="63" t="s">
        <v>8</v>
      </c>
      <c r="N24" s="63" t="s">
        <v>8</v>
      </c>
      <c r="O24" s="63" t="s">
        <v>8</v>
      </c>
      <c r="P24" s="55">
        <v>0.34</v>
      </c>
      <c r="Q24" s="55">
        <v>9.1999999999999993</v>
      </c>
      <c r="R24" s="43"/>
      <c r="S24" s="43"/>
      <c r="T24" s="43"/>
      <c r="U24" s="43"/>
    </row>
    <row r="25" spans="1:21" s="11" customFormat="1" x14ac:dyDescent="0.25">
      <c r="A25" s="54" t="s">
        <v>604</v>
      </c>
      <c r="B25" s="55">
        <v>5.96</v>
      </c>
      <c r="C25" s="55">
        <v>20.61</v>
      </c>
      <c r="D25" s="55">
        <v>30.3</v>
      </c>
      <c r="E25" s="55">
        <v>5.32</v>
      </c>
      <c r="F25" s="55">
        <v>19.239999999999998</v>
      </c>
      <c r="G25" s="55">
        <v>29.09</v>
      </c>
      <c r="H25" s="55">
        <v>0</v>
      </c>
      <c r="I25" s="55">
        <v>4.0199999999999996</v>
      </c>
      <c r="J25" s="63" t="s">
        <v>8</v>
      </c>
      <c r="K25" s="63" t="s">
        <v>8</v>
      </c>
      <c r="L25" s="63" t="s">
        <v>8</v>
      </c>
      <c r="M25" s="63" t="s">
        <v>8</v>
      </c>
      <c r="N25" s="63" t="s">
        <v>8</v>
      </c>
      <c r="O25" s="63" t="s">
        <v>8</v>
      </c>
      <c r="P25" s="55">
        <v>0.33</v>
      </c>
      <c r="Q25" s="55">
        <v>9.1999999999999993</v>
      </c>
      <c r="R25" s="43"/>
      <c r="S25" s="43"/>
      <c r="T25" s="43"/>
      <c r="U25" s="43"/>
    </row>
    <row r="26" spans="1:21" s="11" customFormat="1" x14ac:dyDescent="0.25">
      <c r="A26" s="54" t="s">
        <v>605</v>
      </c>
      <c r="B26" s="55">
        <v>5.47</v>
      </c>
      <c r="C26" s="55">
        <v>16.579999999999998</v>
      </c>
      <c r="D26" s="55">
        <v>23.38</v>
      </c>
      <c r="E26" s="55">
        <v>5.18</v>
      </c>
      <c r="F26" s="55">
        <v>8.9499999999999993</v>
      </c>
      <c r="G26" s="55">
        <v>25.47</v>
      </c>
      <c r="H26" s="55">
        <v>0</v>
      </c>
      <c r="I26" s="55">
        <v>4.07</v>
      </c>
      <c r="J26" s="63" t="s">
        <v>8</v>
      </c>
      <c r="K26" s="63" t="s">
        <v>8</v>
      </c>
      <c r="L26" s="63" t="s">
        <v>8</v>
      </c>
      <c r="M26" s="63" t="s">
        <v>8</v>
      </c>
      <c r="N26" s="63" t="s">
        <v>8</v>
      </c>
      <c r="O26" s="63" t="s">
        <v>8</v>
      </c>
      <c r="P26" s="55">
        <v>0.34</v>
      </c>
      <c r="Q26" s="55">
        <v>9.1999999999999993</v>
      </c>
      <c r="R26" s="43"/>
      <c r="S26" s="43"/>
      <c r="T26" s="43"/>
      <c r="U26" s="43"/>
    </row>
    <row r="27" spans="1:21" s="11" customFormat="1" x14ac:dyDescent="0.25">
      <c r="A27" s="54" t="s">
        <v>606</v>
      </c>
      <c r="B27" s="55">
        <v>6</v>
      </c>
      <c r="C27" s="55">
        <v>15.88</v>
      </c>
      <c r="D27" s="55">
        <v>21.98</v>
      </c>
      <c r="E27" s="55">
        <v>4.84</v>
      </c>
      <c r="F27" s="55">
        <v>4.7300000000000004</v>
      </c>
      <c r="G27" s="55">
        <v>22.9</v>
      </c>
      <c r="H27" s="55">
        <v>101.65</v>
      </c>
      <c r="I27" s="55">
        <v>4.09</v>
      </c>
      <c r="J27" s="63" t="s">
        <v>8</v>
      </c>
      <c r="K27" s="63" t="s">
        <v>8</v>
      </c>
      <c r="L27" s="63" t="s">
        <v>8</v>
      </c>
      <c r="M27" s="63" t="s">
        <v>8</v>
      </c>
      <c r="N27" s="63" t="s">
        <v>8</v>
      </c>
      <c r="O27" s="63" t="s">
        <v>8</v>
      </c>
      <c r="P27" s="55">
        <v>0.31</v>
      </c>
      <c r="Q27" s="55">
        <v>9.2100000000000009</v>
      </c>
      <c r="R27" s="43"/>
      <c r="S27" s="43"/>
      <c r="T27" s="43"/>
      <c r="U27" s="43"/>
    </row>
    <row r="28" spans="1:21" s="11" customFormat="1" x14ac:dyDescent="0.25">
      <c r="A28" s="54" t="s">
        <v>607</v>
      </c>
      <c r="B28" s="55">
        <v>7.68</v>
      </c>
      <c r="C28" s="55">
        <v>17.28</v>
      </c>
      <c r="D28" s="55">
        <v>21.43</v>
      </c>
      <c r="E28" s="55">
        <v>4.6900000000000004</v>
      </c>
      <c r="F28" s="55">
        <v>5.39</v>
      </c>
      <c r="G28" s="55">
        <v>21.98</v>
      </c>
      <c r="H28" s="55">
        <v>82.45</v>
      </c>
      <c r="I28" s="55">
        <v>4.04</v>
      </c>
      <c r="J28" s="63" t="s">
        <v>8</v>
      </c>
      <c r="K28" s="63" t="s">
        <v>8</v>
      </c>
      <c r="L28" s="63" t="s">
        <v>8</v>
      </c>
      <c r="M28" s="63" t="s">
        <v>8</v>
      </c>
      <c r="N28" s="63" t="s">
        <v>8</v>
      </c>
      <c r="O28" s="63" t="s">
        <v>8</v>
      </c>
      <c r="P28" s="55">
        <v>0.32</v>
      </c>
      <c r="Q28" s="55">
        <v>9.25</v>
      </c>
      <c r="R28" s="43"/>
      <c r="S28" s="43"/>
      <c r="T28" s="43"/>
      <c r="U28" s="43"/>
    </row>
    <row r="29" spans="1:21" s="11" customFormat="1" x14ac:dyDescent="0.25">
      <c r="A29" s="54" t="s">
        <v>608</v>
      </c>
      <c r="B29" s="55">
        <v>9.2100000000000009</v>
      </c>
      <c r="C29" s="55">
        <v>18.5</v>
      </c>
      <c r="D29" s="55">
        <v>22.46</v>
      </c>
      <c r="E29" s="55">
        <v>4.59</v>
      </c>
      <c r="F29" s="55">
        <v>6.82</v>
      </c>
      <c r="G29" s="55">
        <v>17.760000000000002</v>
      </c>
      <c r="H29" s="55">
        <v>1014.77</v>
      </c>
      <c r="I29" s="55">
        <v>4.04</v>
      </c>
      <c r="J29" s="63" t="s">
        <v>8</v>
      </c>
      <c r="K29" s="63" t="s">
        <v>8</v>
      </c>
      <c r="L29" s="63" t="s">
        <v>8</v>
      </c>
      <c r="M29" s="63" t="s">
        <v>8</v>
      </c>
      <c r="N29" s="63" t="s">
        <v>8</v>
      </c>
      <c r="O29" s="63" t="s">
        <v>8</v>
      </c>
      <c r="P29" s="55">
        <v>0.31</v>
      </c>
      <c r="Q29" s="55">
        <v>9.34</v>
      </c>
      <c r="R29" s="43"/>
      <c r="S29" s="43"/>
      <c r="T29" s="43"/>
      <c r="U29" s="43"/>
    </row>
    <row r="30" spans="1:21" s="11" customFormat="1" x14ac:dyDescent="0.25">
      <c r="A30" s="54" t="s">
        <v>609</v>
      </c>
      <c r="B30" s="55">
        <v>9.43</v>
      </c>
      <c r="C30" s="55">
        <v>18.93</v>
      </c>
      <c r="D30" s="55">
        <v>21.94</v>
      </c>
      <c r="E30" s="55">
        <v>4.9400000000000004</v>
      </c>
      <c r="F30" s="55">
        <v>4.5</v>
      </c>
      <c r="G30" s="55">
        <v>15.44</v>
      </c>
      <c r="H30" s="55">
        <v>814.17</v>
      </c>
      <c r="I30" s="55">
        <v>4.0599999999999996</v>
      </c>
      <c r="J30" s="63" t="s">
        <v>8</v>
      </c>
      <c r="K30" s="63" t="s">
        <v>8</v>
      </c>
      <c r="L30" s="63" t="s">
        <v>8</v>
      </c>
      <c r="M30" s="63" t="s">
        <v>8</v>
      </c>
      <c r="N30" s="63" t="s">
        <v>8</v>
      </c>
      <c r="O30" s="63" t="s">
        <v>8</v>
      </c>
      <c r="P30" s="55">
        <v>0.32</v>
      </c>
      <c r="Q30" s="55">
        <v>9.32</v>
      </c>
      <c r="R30" s="43"/>
      <c r="S30" s="43"/>
      <c r="T30" s="43"/>
      <c r="U30" s="43"/>
    </row>
    <row r="31" spans="1:21" s="11" customFormat="1" x14ac:dyDescent="0.25">
      <c r="A31" s="54" t="s">
        <v>610</v>
      </c>
      <c r="B31" s="55">
        <v>9.32</v>
      </c>
      <c r="C31" s="55">
        <v>18.329999999999998</v>
      </c>
      <c r="D31" s="55">
        <v>20.92</v>
      </c>
      <c r="E31" s="55">
        <v>4.67</v>
      </c>
      <c r="F31" s="55">
        <v>4.04</v>
      </c>
      <c r="G31" s="55">
        <v>14.94</v>
      </c>
      <c r="H31" s="55">
        <v>10.33</v>
      </c>
      <c r="I31" s="55">
        <v>4.0999999999999996</v>
      </c>
      <c r="J31" s="63" t="s">
        <v>8</v>
      </c>
      <c r="K31" s="63" t="s">
        <v>8</v>
      </c>
      <c r="L31" s="63" t="s">
        <v>8</v>
      </c>
      <c r="M31" s="63" t="s">
        <v>8</v>
      </c>
      <c r="N31" s="63" t="s">
        <v>8</v>
      </c>
      <c r="O31" s="63" t="s">
        <v>8</v>
      </c>
      <c r="P31" s="55">
        <v>0.31</v>
      </c>
      <c r="Q31" s="55">
        <v>9.35</v>
      </c>
      <c r="R31" s="43"/>
      <c r="S31" s="43"/>
      <c r="T31" s="43"/>
      <c r="U31" s="43"/>
    </row>
    <row r="32" spans="1:21" s="11" customFormat="1" x14ac:dyDescent="0.25">
      <c r="A32" s="54" t="s">
        <v>611</v>
      </c>
      <c r="B32" s="55">
        <v>9.02</v>
      </c>
      <c r="C32" s="55">
        <v>18.059999999999999</v>
      </c>
      <c r="D32" s="55">
        <v>21.13</v>
      </c>
      <c r="E32" s="55">
        <v>5.23</v>
      </c>
      <c r="F32" s="55">
        <v>8.6999999999999993</v>
      </c>
      <c r="G32" s="55">
        <v>12.86</v>
      </c>
      <c r="H32" s="55">
        <v>4.33</v>
      </c>
      <c r="I32" s="55">
        <v>4.1500000000000004</v>
      </c>
      <c r="J32" s="63" t="s">
        <v>8</v>
      </c>
      <c r="K32" s="63" t="s">
        <v>8</v>
      </c>
      <c r="L32" s="63" t="s">
        <v>8</v>
      </c>
      <c r="M32" s="63" t="s">
        <v>8</v>
      </c>
      <c r="N32" s="63" t="s">
        <v>8</v>
      </c>
      <c r="O32" s="63" t="s">
        <v>8</v>
      </c>
      <c r="P32" s="55">
        <v>0.28999999999999998</v>
      </c>
      <c r="Q32" s="55">
        <v>9.32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5.47</v>
      </c>
      <c r="C34" s="28">
        <f t="shared" si="0"/>
        <v>15.88</v>
      </c>
      <c r="D34" s="28">
        <f t="shared" si="0"/>
        <v>19.29</v>
      </c>
      <c r="E34" s="28">
        <f t="shared" si="0"/>
        <v>4.59</v>
      </c>
      <c r="F34" s="28">
        <f t="shared" si="0"/>
        <v>4.04</v>
      </c>
      <c r="G34" s="28">
        <f t="shared" si="0"/>
        <v>12.86</v>
      </c>
      <c r="H34" s="28">
        <f t="shared" si="0"/>
        <v>0</v>
      </c>
      <c r="I34" s="28">
        <f t="shared" si="0"/>
        <v>3.98</v>
      </c>
      <c r="J34" s="28">
        <f t="shared" si="0"/>
        <v>0</v>
      </c>
      <c r="K34" s="28">
        <f t="shared" si="0"/>
        <v>0</v>
      </c>
      <c r="L34" s="28">
        <f t="shared" si="0"/>
        <v>0</v>
      </c>
      <c r="M34" s="28">
        <f t="shared" si="0"/>
        <v>0</v>
      </c>
      <c r="N34" s="28">
        <f t="shared" si="0"/>
        <v>0</v>
      </c>
      <c r="O34" s="28">
        <f t="shared" si="0"/>
        <v>0</v>
      </c>
      <c r="P34" s="28">
        <f t="shared" si="0"/>
        <v>0.28999999999999998</v>
      </c>
      <c r="Q34" s="28">
        <f t="shared" si="0"/>
        <v>9.1999999999999993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12.96</v>
      </c>
      <c r="C35" s="29">
        <f t="shared" si="1"/>
        <v>24.24</v>
      </c>
      <c r="D35" s="29">
        <f t="shared" si="1"/>
        <v>30.9</v>
      </c>
      <c r="E35" s="29">
        <f t="shared" si="1"/>
        <v>5.55</v>
      </c>
      <c r="F35" s="29">
        <f t="shared" si="1"/>
        <v>21.44</v>
      </c>
      <c r="G35" s="29">
        <f t="shared" si="1"/>
        <v>40.97</v>
      </c>
      <c r="H35" s="29">
        <f t="shared" si="1"/>
        <v>1014.77</v>
      </c>
      <c r="I35" s="29">
        <f t="shared" si="1"/>
        <v>4.22</v>
      </c>
      <c r="J35" s="29">
        <f t="shared" si="1"/>
        <v>0</v>
      </c>
      <c r="K35" s="29">
        <f t="shared" si="1"/>
        <v>0</v>
      </c>
      <c r="L35" s="29">
        <f t="shared" si="1"/>
        <v>0</v>
      </c>
      <c r="M35" s="29">
        <f t="shared" si="1"/>
        <v>0</v>
      </c>
      <c r="N35" s="29">
        <f t="shared" si="1"/>
        <v>0</v>
      </c>
      <c r="O35" s="29">
        <f t="shared" si="1"/>
        <v>0</v>
      </c>
      <c r="P35" s="29">
        <f t="shared" si="1"/>
        <v>0.54</v>
      </c>
      <c r="Q35" s="29">
        <f t="shared" si="1"/>
        <v>9.41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8.9629166666666684</v>
      </c>
      <c r="C36" s="28">
        <f t="shared" si="2"/>
        <v>19.497499999999999</v>
      </c>
      <c r="D36" s="28">
        <f t="shared" si="2"/>
        <v>23.887499999999999</v>
      </c>
      <c r="E36" s="28">
        <f t="shared" si="2"/>
        <v>5.0212500000000011</v>
      </c>
      <c r="F36" s="28">
        <f t="shared" si="2"/>
        <v>8.7758333333333312</v>
      </c>
      <c r="G36" s="28">
        <f t="shared" si="2"/>
        <v>22.898333333333337</v>
      </c>
      <c r="H36" s="28">
        <f t="shared" si="2"/>
        <v>151.79791666666668</v>
      </c>
      <c r="I36" s="28">
        <f t="shared" si="2"/>
        <v>4.1000000000000005</v>
      </c>
      <c r="J36" s="28" t="e">
        <f t="shared" si="2"/>
        <v>#DIV/0!</v>
      </c>
      <c r="K36" s="28" t="e">
        <f t="shared" si="2"/>
        <v>#DIV/0!</v>
      </c>
      <c r="L36" s="28" t="e">
        <f t="shared" si="2"/>
        <v>#DIV/0!</v>
      </c>
      <c r="M36" s="28" t="e">
        <f t="shared" si="2"/>
        <v>#DIV/0!</v>
      </c>
      <c r="N36" s="28" t="e">
        <f t="shared" si="2"/>
        <v>#DIV/0!</v>
      </c>
      <c r="O36" s="28" t="e">
        <f t="shared" si="2"/>
        <v>#DIV/0!</v>
      </c>
      <c r="P36" s="28">
        <f t="shared" si="2"/>
        <v>0.375</v>
      </c>
      <c r="Q36" s="28">
        <f t="shared" si="2"/>
        <v>9.3129166666666645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1.9496587865721418</v>
      </c>
      <c r="C37" s="28">
        <f t="shared" ref="C37:Q37" si="3">STDEV(C9:C32)</f>
        <v>2.3936823551572877</v>
      </c>
      <c r="D37" s="28">
        <f t="shared" si="3"/>
        <v>3.6776625965296366</v>
      </c>
      <c r="E37" s="28">
        <f t="shared" si="3"/>
        <v>0.29426862173723256</v>
      </c>
      <c r="F37" s="28">
        <f t="shared" si="3"/>
        <v>4.4720892079718197</v>
      </c>
      <c r="G37" s="28">
        <f t="shared" si="3"/>
        <v>6.7932080317268904</v>
      </c>
      <c r="H37" s="28">
        <f t="shared" si="3"/>
        <v>253.16433351686061</v>
      </c>
      <c r="I37" s="28">
        <f t="shared" si="3"/>
        <v>6.2831728346087412E-2</v>
      </c>
      <c r="J37" s="28" t="e">
        <f t="shared" si="3"/>
        <v>#DIV/0!</v>
      </c>
      <c r="K37" s="28" t="e">
        <f t="shared" si="3"/>
        <v>#DIV/0!</v>
      </c>
      <c r="L37" s="28" t="e">
        <f t="shared" si="3"/>
        <v>#DIV/0!</v>
      </c>
      <c r="M37" s="28" t="e">
        <f t="shared" si="3"/>
        <v>#DIV/0!</v>
      </c>
      <c r="N37" s="28" t="e">
        <f t="shared" si="3"/>
        <v>#DIV/0!</v>
      </c>
      <c r="O37" s="28" t="e">
        <f t="shared" si="3"/>
        <v>#DIV/0!</v>
      </c>
      <c r="P37" s="28">
        <f t="shared" si="3"/>
        <v>6.4336074132500476E-2</v>
      </c>
      <c r="Q37" s="28">
        <f t="shared" si="3"/>
        <v>6.6755828058006797E-2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>COUNT(J9:J32)+24</f>
        <v>24</v>
      </c>
      <c r="K38" s="32">
        <f t="shared" ref="K38:O38" si="5">COUNT(K9:K32)+24</f>
        <v>24</v>
      </c>
      <c r="L38" s="32">
        <f t="shared" si="5"/>
        <v>24</v>
      </c>
      <c r="M38" s="32">
        <f t="shared" si="5"/>
        <v>24</v>
      </c>
      <c r="N38" s="32">
        <f t="shared" si="5"/>
        <v>24</v>
      </c>
      <c r="O38" s="32">
        <f t="shared" si="5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6">IF(C38&gt;=22,"&gt;90%",IF(C38&lt;=22,"&lt;90%"))</f>
        <v>&gt;90%</v>
      </c>
      <c r="D39" s="29" t="str">
        <f t="shared" si="6"/>
        <v>&gt;90%</v>
      </c>
      <c r="E39" s="29" t="str">
        <f t="shared" si="6"/>
        <v>&gt;90%</v>
      </c>
      <c r="F39" s="29" t="str">
        <f t="shared" si="6"/>
        <v>&gt;90%</v>
      </c>
      <c r="G39" s="29" t="str">
        <f t="shared" si="6"/>
        <v>&gt;90%</v>
      </c>
      <c r="H39" s="29" t="str">
        <f t="shared" si="6"/>
        <v>&gt;90%</v>
      </c>
      <c r="I39" s="29" t="str">
        <f t="shared" si="6"/>
        <v>&gt;90%</v>
      </c>
      <c r="J39" s="29" t="str">
        <f t="shared" si="6"/>
        <v>&gt;90%</v>
      </c>
      <c r="K39" s="29" t="str">
        <f t="shared" si="6"/>
        <v>&gt;90%</v>
      </c>
      <c r="L39" s="29" t="str">
        <f t="shared" si="6"/>
        <v>&gt;90%</v>
      </c>
      <c r="M39" s="29" t="str">
        <f t="shared" si="6"/>
        <v>&gt;90%</v>
      </c>
      <c r="N39" s="29" t="str">
        <f t="shared" si="6"/>
        <v>&gt;90%</v>
      </c>
      <c r="O39" s="29" t="str">
        <f t="shared" si="6"/>
        <v>&gt;90%</v>
      </c>
      <c r="P39" s="29" t="str">
        <f t="shared" si="6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7">IF(C38&gt;=22,"OK",IF(C38&lt;=22,"LESS"))</f>
        <v>OK</v>
      </c>
      <c r="D40" s="29" t="str">
        <f t="shared" si="7"/>
        <v>OK</v>
      </c>
      <c r="E40" s="29" t="str">
        <f t="shared" si="7"/>
        <v>OK</v>
      </c>
      <c r="F40" s="29" t="str">
        <f t="shared" si="7"/>
        <v>OK</v>
      </c>
      <c r="G40" s="29" t="str">
        <f t="shared" si="7"/>
        <v>OK</v>
      </c>
      <c r="H40" s="29" t="str">
        <f t="shared" si="7"/>
        <v>OK</v>
      </c>
      <c r="I40" s="29" t="str">
        <f t="shared" si="7"/>
        <v>OK</v>
      </c>
      <c r="J40" s="29" t="str">
        <f t="shared" si="7"/>
        <v>OK</v>
      </c>
      <c r="K40" s="29" t="str">
        <f t="shared" si="7"/>
        <v>OK</v>
      </c>
      <c r="L40" s="29" t="str">
        <f t="shared" si="7"/>
        <v>OK</v>
      </c>
      <c r="M40" s="29" t="str">
        <f t="shared" si="7"/>
        <v>OK</v>
      </c>
      <c r="N40" s="29" t="str">
        <f t="shared" si="7"/>
        <v>OK</v>
      </c>
      <c r="O40" s="29" t="str">
        <f t="shared" si="7"/>
        <v>OK</v>
      </c>
      <c r="P40" s="29" t="str">
        <f t="shared" si="7"/>
        <v>OK</v>
      </c>
      <c r="Q40" s="29" t="str">
        <f t="shared" si="7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24/05/2025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7"/>
      <c r="B8" s="58" t="s">
        <v>22</v>
      </c>
      <c r="C8" s="58" t="s">
        <v>22</v>
      </c>
      <c r="D8" s="29" t="s">
        <v>42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58" t="s">
        <v>22</v>
      </c>
      <c r="R8" s="27"/>
      <c r="S8" s="29"/>
      <c r="T8" s="27"/>
      <c r="U8" s="27"/>
    </row>
    <row r="9" spans="1:21" s="11" customFormat="1" x14ac:dyDescent="0.25">
      <c r="A9" s="54" t="s">
        <v>612</v>
      </c>
      <c r="B9" s="55">
        <v>8.5500000000000007</v>
      </c>
      <c r="C9" s="55">
        <v>16.64</v>
      </c>
      <c r="D9" s="55">
        <v>19.37</v>
      </c>
      <c r="E9" s="55">
        <v>4.2300000000000004</v>
      </c>
      <c r="F9" s="55">
        <v>7.8</v>
      </c>
      <c r="G9" s="55">
        <v>12.25</v>
      </c>
      <c r="H9" s="55">
        <v>3.69</v>
      </c>
      <c r="I9" s="55">
        <v>4.1500000000000004</v>
      </c>
      <c r="J9" s="63" t="s">
        <v>8</v>
      </c>
      <c r="K9" s="63" t="s">
        <v>8</v>
      </c>
      <c r="L9" s="63" t="s">
        <v>8</v>
      </c>
      <c r="M9" s="63" t="s">
        <v>8</v>
      </c>
      <c r="N9" s="63" t="s">
        <v>8</v>
      </c>
      <c r="O9" s="63" t="s">
        <v>8</v>
      </c>
      <c r="P9" s="55">
        <v>0.26</v>
      </c>
      <c r="Q9" s="55">
        <v>9.33</v>
      </c>
      <c r="R9" s="43"/>
      <c r="S9" s="43"/>
      <c r="T9" s="43"/>
      <c r="U9" s="43"/>
    </row>
    <row r="10" spans="1:21" s="11" customFormat="1" x14ac:dyDescent="0.25">
      <c r="A10" s="54" t="s">
        <v>613</v>
      </c>
      <c r="B10" s="55">
        <v>9.75</v>
      </c>
      <c r="C10" s="55">
        <v>17.38</v>
      </c>
      <c r="D10" s="55">
        <v>18.61</v>
      </c>
      <c r="E10" s="55">
        <v>4.22</v>
      </c>
      <c r="F10" s="55">
        <v>7.2</v>
      </c>
      <c r="G10" s="55">
        <v>11.9</v>
      </c>
      <c r="H10" s="55">
        <v>1.05</v>
      </c>
      <c r="I10" s="55">
        <v>4.01</v>
      </c>
      <c r="J10" s="63" t="s">
        <v>8</v>
      </c>
      <c r="K10" s="63" t="s">
        <v>8</v>
      </c>
      <c r="L10" s="63" t="s">
        <v>8</v>
      </c>
      <c r="M10" s="63" t="s">
        <v>8</v>
      </c>
      <c r="N10" s="63" t="s">
        <v>8</v>
      </c>
      <c r="O10" s="63" t="s">
        <v>8</v>
      </c>
      <c r="P10" s="55">
        <v>0.27</v>
      </c>
      <c r="Q10" s="55">
        <v>9.33</v>
      </c>
      <c r="R10" s="43"/>
      <c r="S10" s="43"/>
      <c r="T10" s="43"/>
      <c r="U10" s="43"/>
    </row>
    <row r="11" spans="1:21" s="11" customFormat="1" x14ac:dyDescent="0.25">
      <c r="A11" s="54" t="s">
        <v>614</v>
      </c>
      <c r="B11" s="55">
        <v>9.32</v>
      </c>
      <c r="C11" s="55">
        <v>16.920000000000002</v>
      </c>
      <c r="D11" s="55">
        <v>18.25</v>
      </c>
      <c r="E11" s="55">
        <v>4.53</v>
      </c>
      <c r="F11" s="55">
        <v>5.37</v>
      </c>
      <c r="G11" s="55">
        <v>11.62</v>
      </c>
      <c r="H11" s="55">
        <v>0.64</v>
      </c>
      <c r="I11" s="55">
        <v>4.0999999999999996</v>
      </c>
      <c r="J11" s="63" t="s">
        <v>8</v>
      </c>
      <c r="K11" s="63" t="s">
        <v>8</v>
      </c>
      <c r="L11" s="63" t="s">
        <v>8</v>
      </c>
      <c r="M11" s="63" t="s">
        <v>8</v>
      </c>
      <c r="N11" s="63" t="s">
        <v>8</v>
      </c>
      <c r="O11" s="63" t="s">
        <v>8</v>
      </c>
      <c r="P11" s="55">
        <v>0.25</v>
      </c>
      <c r="Q11" s="55">
        <v>9.32</v>
      </c>
      <c r="R11" s="43"/>
      <c r="S11" s="43"/>
      <c r="T11" s="43"/>
      <c r="U11" s="43"/>
    </row>
    <row r="12" spans="1:21" s="11" customFormat="1" x14ac:dyDescent="0.25">
      <c r="A12" s="54" t="s">
        <v>615</v>
      </c>
      <c r="B12" s="55">
        <v>10.45</v>
      </c>
      <c r="C12" s="55">
        <v>18.11</v>
      </c>
      <c r="D12" s="55">
        <v>18.989999999999998</v>
      </c>
      <c r="E12" s="55">
        <v>4.2699999999999996</v>
      </c>
      <c r="F12" s="55">
        <v>4.28</v>
      </c>
      <c r="G12" s="55">
        <v>9.91</v>
      </c>
      <c r="H12" s="55">
        <v>0.8</v>
      </c>
      <c r="I12" s="55">
        <v>4.04</v>
      </c>
      <c r="J12" s="63" t="s">
        <v>8</v>
      </c>
      <c r="K12" s="63" t="s">
        <v>8</v>
      </c>
      <c r="L12" s="63" t="s">
        <v>8</v>
      </c>
      <c r="M12" s="63" t="s">
        <v>8</v>
      </c>
      <c r="N12" s="63" t="s">
        <v>8</v>
      </c>
      <c r="O12" s="63" t="s">
        <v>8</v>
      </c>
      <c r="P12" s="55">
        <v>0.26</v>
      </c>
      <c r="Q12" s="55">
        <v>9.34</v>
      </c>
      <c r="R12" s="43"/>
      <c r="S12" s="43"/>
      <c r="T12" s="43"/>
      <c r="U12" s="43"/>
    </row>
    <row r="13" spans="1:21" s="11" customFormat="1" x14ac:dyDescent="0.25">
      <c r="A13" s="54" t="s">
        <v>616</v>
      </c>
      <c r="B13" s="55">
        <v>10.33</v>
      </c>
      <c r="C13" s="55">
        <v>20.82</v>
      </c>
      <c r="D13" s="55">
        <v>23.99</v>
      </c>
      <c r="E13" s="55">
        <v>3.99</v>
      </c>
      <c r="F13" s="55">
        <v>7.82</v>
      </c>
      <c r="G13" s="55">
        <v>7.64</v>
      </c>
      <c r="H13" s="55">
        <v>20.86</v>
      </c>
      <c r="I13" s="55">
        <v>3.96</v>
      </c>
      <c r="J13" s="63" t="s">
        <v>8</v>
      </c>
      <c r="K13" s="63" t="s">
        <v>8</v>
      </c>
      <c r="L13" s="63" t="s">
        <v>8</v>
      </c>
      <c r="M13" s="63" t="s">
        <v>8</v>
      </c>
      <c r="N13" s="63" t="s">
        <v>8</v>
      </c>
      <c r="O13" s="63" t="s">
        <v>8</v>
      </c>
      <c r="P13" s="55">
        <v>0.23</v>
      </c>
      <c r="Q13" s="55">
        <v>9.3800000000000008</v>
      </c>
      <c r="R13" s="43"/>
      <c r="S13" s="43"/>
      <c r="T13" s="43"/>
      <c r="U13" s="43"/>
    </row>
    <row r="14" spans="1:21" s="11" customFormat="1" x14ac:dyDescent="0.25">
      <c r="A14" s="54" t="s">
        <v>617</v>
      </c>
      <c r="B14" s="55">
        <v>10.83</v>
      </c>
      <c r="C14" s="55">
        <v>20.010000000000002</v>
      </c>
      <c r="D14" s="55">
        <v>22.91</v>
      </c>
      <c r="E14" s="55">
        <v>4.3499999999999996</v>
      </c>
      <c r="F14" s="55">
        <v>7.8</v>
      </c>
      <c r="G14" s="55">
        <v>7.31</v>
      </c>
      <c r="H14" s="55">
        <v>18.28</v>
      </c>
      <c r="I14" s="55">
        <v>4.0999999999999996</v>
      </c>
      <c r="J14" s="63" t="s">
        <v>8</v>
      </c>
      <c r="K14" s="63" t="s">
        <v>8</v>
      </c>
      <c r="L14" s="63" t="s">
        <v>8</v>
      </c>
      <c r="M14" s="63" t="s">
        <v>8</v>
      </c>
      <c r="N14" s="63" t="s">
        <v>8</v>
      </c>
      <c r="O14" s="63" t="s">
        <v>8</v>
      </c>
      <c r="P14" s="55">
        <v>0.23</v>
      </c>
      <c r="Q14" s="55">
        <v>9.4</v>
      </c>
      <c r="R14" s="43"/>
      <c r="S14" s="43"/>
      <c r="T14" s="43"/>
      <c r="U14" s="43"/>
    </row>
    <row r="15" spans="1:21" s="11" customFormat="1" x14ac:dyDescent="0.25">
      <c r="A15" s="54" t="s">
        <v>618</v>
      </c>
      <c r="B15" s="55">
        <v>13.87</v>
      </c>
      <c r="C15" s="55">
        <v>22.4</v>
      </c>
      <c r="D15" s="55">
        <v>21.88</v>
      </c>
      <c r="E15" s="55">
        <v>4.16</v>
      </c>
      <c r="F15" s="55">
        <v>4.55</v>
      </c>
      <c r="G15" s="55">
        <v>9.41</v>
      </c>
      <c r="H15" s="55">
        <v>6.3</v>
      </c>
      <c r="I15" s="55">
        <v>4.1399999999999997</v>
      </c>
      <c r="J15" s="63" t="s">
        <v>8</v>
      </c>
      <c r="K15" s="63" t="s">
        <v>8</v>
      </c>
      <c r="L15" s="63" t="s">
        <v>8</v>
      </c>
      <c r="M15" s="63" t="s">
        <v>8</v>
      </c>
      <c r="N15" s="63" t="s">
        <v>8</v>
      </c>
      <c r="O15" s="63" t="s">
        <v>8</v>
      </c>
      <c r="P15" s="55">
        <v>0.25</v>
      </c>
      <c r="Q15" s="55">
        <v>9.41</v>
      </c>
      <c r="R15" s="43"/>
      <c r="S15" s="43"/>
      <c r="T15" s="43"/>
      <c r="U15" s="43"/>
    </row>
    <row r="16" spans="1:21" s="11" customFormat="1" x14ac:dyDescent="0.25">
      <c r="A16" s="54" t="s">
        <v>619</v>
      </c>
      <c r="B16" s="55">
        <v>15.11</v>
      </c>
      <c r="C16" s="55">
        <v>26.25</v>
      </c>
      <c r="D16" s="55">
        <v>27.05</v>
      </c>
      <c r="E16" s="55">
        <v>4.92</v>
      </c>
      <c r="F16" s="55">
        <v>4.26</v>
      </c>
      <c r="G16" s="55">
        <v>10.61</v>
      </c>
      <c r="H16" s="55">
        <v>2.44</v>
      </c>
      <c r="I16" s="55">
        <v>4.03</v>
      </c>
      <c r="J16" s="63" t="s">
        <v>8</v>
      </c>
      <c r="K16" s="63" t="s">
        <v>8</v>
      </c>
      <c r="L16" s="63" t="s">
        <v>8</v>
      </c>
      <c r="M16" s="63" t="s">
        <v>8</v>
      </c>
      <c r="N16" s="63" t="s">
        <v>8</v>
      </c>
      <c r="O16" s="63" t="s">
        <v>8</v>
      </c>
      <c r="P16" s="55">
        <v>0.37</v>
      </c>
      <c r="Q16" s="55">
        <v>9.5</v>
      </c>
      <c r="R16" s="43"/>
      <c r="S16" s="43"/>
      <c r="T16" s="43"/>
      <c r="U16" s="43"/>
    </row>
    <row r="17" spans="1:21" s="11" customFormat="1" x14ac:dyDescent="0.25">
      <c r="A17" s="54" t="s">
        <v>620</v>
      </c>
      <c r="B17" s="55">
        <v>15.82</v>
      </c>
      <c r="C17" s="55">
        <v>24.83</v>
      </c>
      <c r="D17" s="55">
        <v>25.48</v>
      </c>
      <c r="E17" s="55">
        <v>5.14</v>
      </c>
      <c r="F17" s="55">
        <v>8</v>
      </c>
      <c r="G17" s="55">
        <v>11.53</v>
      </c>
      <c r="H17" s="55">
        <v>6.03</v>
      </c>
      <c r="I17" s="55">
        <v>4.03</v>
      </c>
      <c r="J17" s="63" t="s">
        <v>8</v>
      </c>
      <c r="K17" s="63" t="s">
        <v>8</v>
      </c>
      <c r="L17" s="63" t="s">
        <v>8</v>
      </c>
      <c r="M17" s="63" t="s">
        <v>8</v>
      </c>
      <c r="N17" s="63" t="s">
        <v>8</v>
      </c>
      <c r="O17" s="63" t="s">
        <v>8</v>
      </c>
      <c r="P17" s="55">
        <v>0.4</v>
      </c>
      <c r="Q17" s="55">
        <v>9.58</v>
      </c>
      <c r="R17" s="43"/>
      <c r="S17" s="43"/>
      <c r="T17" s="43"/>
      <c r="U17" s="43"/>
    </row>
    <row r="18" spans="1:21" s="11" customFormat="1" x14ac:dyDescent="0.25">
      <c r="A18" s="54" t="s">
        <v>621</v>
      </c>
      <c r="B18" s="55">
        <v>18.809999999999999</v>
      </c>
      <c r="C18" s="55">
        <v>29.21</v>
      </c>
      <c r="D18" s="55">
        <v>27.04</v>
      </c>
      <c r="E18" s="55">
        <v>4.97</v>
      </c>
      <c r="F18" s="55">
        <v>6.97</v>
      </c>
      <c r="G18" s="55">
        <v>11.54</v>
      </c>
      <c r="H18" s="55">
        <v>5.26</v>
      </c>
      <c r="I18" s="55">
        <v>4.03</v>
      </c>
      <c r="J18" s="63" t="s">
        <v>8</v>
      </c>
      <c r="K18" s="63" t="s">
        <v>8</v>
      </c>
      <c r="L18" s="63" t="s">
        <v>8</v>
      </c>
      <c r="M18" s="63" t="s">
        <v>8</v>
      </c>
      <c r="N18" s="63" t="s">
        <v>8</v>
      </c>
      <c r="O18" s="63" t="s">
        <v>8</v>
      </c>
      <c r="P18" s="55">
        <v>0.53</v>
      </c>
      <c r="Q18" s="55">
        <v>9.59</v>
      </c>
      <c r="R18" s="43"/>
      <c r="S18" s="43"/>
      <c r="T18" s="43"/>
      <c r="U18" s="43"/>
    </row>
    <row r="19" spans="1:21" s="11" customFormat="1" x14ac:dyDescent="0.25">
      <c r="A19" s="54" t="s">
        <v>622</v>
      </c>
      <c r="B19" s="55">
        <v>13.55</v>
      </c>
      <c r="C19" s="55">
        <v>22.73</v>
      </c>
      <c r="D19" s="55">
        <v>22.91</v>
      </c>
      <c r="E19" s="55">
        <v>4.7699999999999996</v>
      </c>
      <c r="F19" s="55">
        <v>5</v>
      </c>
      <c r="G19" s="55">
        <v>11.14</v>
      </c>
      <c r="H19" s="55">
        <v>1.91</v>
      </c>
      <c r="I19" s="55">
        <v>4.0599999999999996</v>
      </c>
      <c r="J19" s="63" t="s">
        <v>8</v>
      </c>
      <c r="K19" s="63" t="s">
        <v>8</v>
      </c>
      <c r="L19" s="63" t="s">
        <v>8</v>
      </c>
      <c r="M19" s="63" t="s">
        <v>8</v>
      </c>
      <c r="N19" s="63" t="s">
        <v>8</v>
      </c>
      <c r="O19" s="63" t="s">
        <v>8</v>
      </c>
      <c r="P19" s="55">
        <v>0.37</v>
      </c>
      <c r="Q19" s="55">
        <v>9.48</v>
      </c>
      <c r="R19" s="43"/>
      <c r="S19" s="43"/>
      <c r="T19" s="43"/>
      <c r="U19" s="43"/>
    </row>
    <row r="20" spans="1:21" s="11" customFormat="1" x14ac:dyDescent="0.25">
      <c r="A20" s="54" t="s">
        <v>623</v>
      </c>
      <c r="B20" s="55">
        <v>15.58</v>
      </c>
      <c r="C20" s="55">
        <v>24.63</v>
      </c>
      <c r="D20" s="55">
        <v>24.32</v>
      </c>
      <c r="E20" s="55">
        <v>4.8499999999999996</v>
      </c>
      <c r="F20" s="55">
        <v>4.08</v>
      </c>
      <c r="G20" s="55">
        <v>10.16</v>
      </c>
      <c r="H20" s="55">
        <v>7.05</v>
      </c>
      <c r="I20" s="55">
        <v>4.2</v>
      </c>
      <c r="J20" s="63" t="s">
        <v>8</v>
      </c>
      <c r="K20" s="63" t="s">
        <v>8</v>
      </c>
      <c r="L20" s="63" t="s">
        <v>8</v>
      </c>
      <c r="M20" s="63" t="s">
        <v>8</v>
      </c>
      <c r="N20" s="63" t="s">
        <v>8</v>
      </c>
      <c r="O20" s="63" t="s">
        <v>8</v>
      </c>
      <c r="P20" s="55">
        <v>0.45</v>
      </c>
      <c r="Q20" s="55">
        <v>9.52</v>
      </c>
      <c r="R20" s="43"/>
      <c r="S20" s="43"/>
      <c r="T20" s="43"/>
      <c r="U20" s="43"/>
    </row>
    <row r="21" spans="1:21" s="11" customFormat="1" x14ac:dyDescent="0.25">
      <c r="A21" s="54" t="s">
        <v>624</v>
      </c>
      <c r="B21" s="55">
        <v>15.69</v>
      </c>
      <c r="C21" s="55">
        <v>24.6</v>
      </c>
      <c r="D21" s="55">
        <v>23.29</v>
      </c>
      <c r="E21" s="55">
        <v>5</v>
      </c>
      <c r="F21" s="55">
        <v>4.8</v>
      </c>
      <c r="G21" s="55">
        <v>11.08</v>
      </c>
      <c r="H21" s="55">
        <v>7.7</v>
      </c>
      <c r="I21" s="55">
        <v>4.1500000000000004</v>
      </c>
      <c r="J21" s="63" t="s">
        <v>8</v>
      </c>
      <c r="K21" s="63" t="s">
        <v>8</v>
      </c>
      <c r="L21" s="63" t="s">
        <v>8</v>
      </c>
      <c r="M21" s="63" t="s">
        <v>8</v>
      </c>
      <c r="N21" s="63" t="s">
        <v>8</v>
      </c>
      <c r="O21" s="63" t="s">
        <v>8</v>
      </c>
      <c r="P21" s="55">
        <v>0.5</v>
      </c>
      <c r="Q21" s="55">
        <v>9.52</v>
      </c>
      <c r="R21" s="43"/>
      <c r="S21" s="43"/>
      <c r="T21" s="43"/>
      <c r="U21" s="43"/>
    </row>
    <row r="22" spans="1:21" s="11" customFormat="1" x14ac:dyDescent="0.25">
      <c r="A22" s="54" t="s">
        <v>625</v>
      </c>
      <c r="B22" s="55">
        <v>15.04</v>
      </c>
      <c r="C22" s="55">
        <v>28.94</v>
      </c>
      <c r="D22" s="55">
        <v>33.840000000000003</v>
      </c>
      <c r="E22" s="55">
        <v>4.57</v>
      </c>
      <c r="F22" s="55">
        <v>7.74</v>
      </c>
      <c r="G22" s="55">
        <v>16.27</v>
      </c>
      <c r="H22" s="55">
        <v>6.71</v>
      </c>
      <c r="I22" s="55">
        <v>4.0599999999999996</v>
      </c>
      <c r="J22" s="63" t="s">
        <v>8</v>
      </c>
      <c r="K22" s="63" t="s">
        <v>8</v>
      </c>
      <c r="L22" s="63" t="s">
        <v>8</v>
      </c>
      <c r="M22" s="63" t="s">
        <v>8</v>
      </c>
      <c r="N22" s="63" t="s">
        <v>8</v>
      </c>
      <c r="O22" s="63" t="s">
        <v>8</v>
      </c>
      <c r="P22" s="55">
        <v>0.71</v>
      </c>
      <c r="Q22" s="55">
        <v>9.48</v>
      </c>
      <c r="R22" s="43"/>
      <c r="S22" s="43"/>
      <c r="T22" s="43"/>
      <c r="U22" s="43"/>
    </row>
    <row r="23" spans="1:21" s="11" customFormat="1" x14ac:dyDescent="0.25">
      <c r="A23" s="54" t="s">
        <v>626</v>
      </c>
      <c r="B23" s="55">
        <v>15.07</v>
      </c>
      <c r="C23" s="55">
        <v>26.18</v>
      </c>
      <c r="D23" s="55">
        <v>27.04</v>
      </c>
      <c r="E23" s="55">
        <v>5.01</v>
      </c>
      <c r="F23" s="55">
        <v>10.35</v>
      </c>
      <c r="G23" s="55">
        <v>27.72</v>
      </c>
      <c r="H23" s="55">
        <v>21.04</v>
      </c>
      <c r="I23" s="55">
        <v>4.13</v>
      </c>
      <c r="J23" s="63" t="s">
        <v>8</v>
      </c>
      <c r="K23" s="63" t="s">
        <v>8</v>
      </c>
      <c r="L23" s="63" t="s">
        <v>8</v>
      </c>
      <c r="M23" s="63" t="s">
        <v>8</v>
      </c>
      <c r="N23" s="63" t="s">
        <v>8</v>
      </c>
      <c r="O23" s="63" t="s">
        <v>8</v>
      </c>
      <c r="P23" s="55">
        <v>0.67</v>
      </c>
      <c r="Q23" s="55">
        <v>9.4499999999999993</v>
      </c>
      <c r="R23" s="43"/>
      <c r="S23" s="43"/>
      <c r="T23" s="43"/>
      <c r="U23" s="43"/>
    </row>
    <row r="24" spans="1:21" s="11" customFormat="1" x14ac:dyDescent="0.25">
      <c r="A24" s="54" t="s">
        <v>627</v>
      </c>
      <c r="B24" s="55">
        <v>12.91</v>
      </c>
      <c r="C24" s="55">
        <v>25.53</v>
      </c>
      <c r="D24" s="55">
        <v>29.04</v>
      </c>
      <c r="E24" s="55">
        <v>4.91</v>
      </c>
      <c r="F24" s="55">
        <v>6.57</v>
      </c>
      <c r="G24" s="55">
        <v>31.1</v>
      </c>
      <c r="H24" s="55">
        <v>19.350000000000001</v>
      </c>
      <c r="I24" s="55">
        <v>4.08</v>
      </c>
      <c r="J24" s="63" t="s">
        <v>8</v>
      </c>
      <c r="K24" s="63" t="s">
        <v>8</v>
      </c>
      <c r="L24" s="63" t="s">
        <v>8</v>
      </c>
      <c r="M24" s="63" t="s">
        <v>8</v>
      </c>
      <c r="N24" s="63" t="s">
        <v>8</v>
      </c>
      <c r="O24" s="63" t="s">
        <v>8</v>
      </c>
      <c r="P24" s="55">
        <v>0.66</v>
      </c>
      <c r="Q24" s="55">
        <v>9.43</v>
      </c>
      <c r="R24" s="43"/>
      <c r="S24" s="43"/>
      <c r="T24" s="43"/>
      <c r="U24" s="43"/>
    </row>
    <row r="25" spans="1:21" s="11" customFormat="1" x14ac:dyDescent="0.25">
      <c r="A25" s="54" t="s">
        <v>628</v>
      </c>
      <c r="B25" s="55">
        <v>10.39</v>
      </c>
      <c r="C25" s="55">
        <v>22.61</v>
      </c>
      <c r="D25" s="55">
        <v>27.31</v>
      </c>
      <c r="E25" s="55">
        <v>4.08</v>
      </c>
      <c r="F25" s="55">
        <v>7.76</v>
      </c>
      <c r="G25" s="55">
        <v>30.86</v>
      </c>
      <c r="H25" s="55">
        <v>93.85</v>
      </c>
      <c r="I25" s="55">
        <v>4.16</v>
      </c>
      <c r="J25" s="63" t="s">
        <v>8</v>
      </c>
      <c r="K25" s="63" t="s">
        <v>8</v>
      </c>
      <c r="L25" s="63" t="s">
        <v>8</v>
      </c>
      <c r="M25" s="63" t="s">
        <v>8</v>
      </c>
      <c r="N25" s="63" t="s">
        <v>8</v>
      </c>
      <c r="O25" s="63" t="s">
        <v>8</v>
      </c>
      <c r="P25" s="55">
        <v>0.64</v>
      </c>
      <c r="Q25" s="55">
        <v>9.41</v>
      </c>
      <c r="R25" s="43"/>
      <c r="S25" s="43"/>
      <c r="T25" s="43"/>
      <c r="U25" s="43"/>
    </row>
    <row r="26" spans="1:21" s="11" customFormat="1" x14ac:dyDescent="0.25">
      <c r="A26" s="54" t="s">
        <v>629</v>
      </c>
      <c r="B26" s="55">
        <v>8.06</v>
      </c>
      <c r="C26" s="55">
        <v>19.690000000000001</v>
      </c>
      <c r="D26" s="55">
        <v>25.3</v>
      </c>
      <c r="E26" s="55">
        <v>4.0599999999999996</v>
      </c>
      <c r="F26" s="55">
        <v>4.38</v>
      </c>
      <c r="G26" s="55">
        <v>29.87</v>
      </c>
      <c r="H26" s="55">
        <v>75.08</v>
      </c>
      <c r="I26" s="55">
        <v>4.2300000000000004</v>
      </c>
      <c r="J26" s="63" t="s">
        <v>8</v>
      </c>
      <c r="K26" s="63" t="s">
        <v>8</v>
      </c>
      <c r="L26" s="63" t="s">
        <v>8</v>
      </c>
      <c r="M26" s="63" t="s">
        <v>8</v>
      </c>
      <c r="N26" s="63" t="s">
        <v>8</v>
      </c>
      <c r="O26" s="63" t="s">
        <v>8</v>
      </c>
      <c r="P26" s="55">
        <v>0.48</v>
      </c>
      <c r="Q26" s="55">
        <v>9.32</v>
      </c>
      <c r="R26" s="43"/>
      <c r="S26" s="43"/>
      <c r="T26" s="43"/>
      <c r="U26" s="43"/>
    </row>
    <row r="27" spans="1:21" s="11" customFormat="1" x14ac:dyDescent="0.25">
      <c r="A27" s="54" t="s">
        <v>630</v>
      </c>
      <c r="B27" s="55">
        <v>7.54</v>
      </c>
      <c r="C27" s="55">
        <v>19.84</v>
      </c>
      <c r="D27" s="55">
        <v>28.62</v>
      </c>
      <c r="E27" s="55">
        <v>4.26</v>
      </c>
      <c r="F27" s="55">
        <v>9.9700000000000006</v>
      </c>
      <c r="G27" s="55">
        <v>28.92</v>
      </c>
      <c r="H27" s="55">
        <v>0</v>
      </c>
      <c r="I27" s="55">
        <v>4.0599999999999996</v>
      </c>
      <c r="J27" s="63" t="s">
        <v>8</v>
      </c>
      <c r="K27" s="63" t="s">
        <v>8</v>
      </c>
      <c r="L27" s="63" t="s">
        <v>8</v>
      </c>
      <c r="M27" s="63" t="s">
        <v>8</v>
      </c>
      <c r="N27" s="63" t="s">
        <v>8</v>
      </c>
      <c r="O27" s="63" t="s">
        <v>8</v>
      </c>
      <c r="P27" s="55">
        <v>0.65</v>
      </c>
      <c r="Q27" s="55">
        <v>9.3000000000000007</v>
      </c>
      <c r="R27" s="43"/>
      <c r="S27" s="43"/>
      <c r="T27" s="43"/>
      <c r="U27" s="43"/>
    </row>
    <row r="28" spans="1:21" s="11" customFormat="1" x14ac:dyDescent="0.25">
      <c r="A28" s="54" t="s">
        <v>631</v>
      </c>
      <c r="B28" s="55">
        <v>18.59</v>
      </c>
      <c r="C28" s="55">
        <v>39.380000000000003</v>
      </c>
      <c r="D28" s="55">
        <v>48.99</v>
      </c>
      <c r="E28" s="55">
        <v>4.72</v>
      </c>
      <c r="F28" s="55">
        <v>9.7899999999999991</v>
      </c>
      <c r="G28" s="55">
        <v>27.94</v>
      </c>
      <c r="H28" s="55">
        <v>36.03</v>
      </c>
      <c r="I28" s="55">
        <v>4.25</v>
      </c>
      <c r="J28" s="63" t="s">
        <v>8</v>
      </c>
      <c r="K28" s="63" t="s">
        <v>8</v>
      </c>
      <c r="L28" s="63" t="s">
        <v>8</v>
      </c>
      <c r="M28" s="63" t="s">
        <v>8</v>
      </c>
      <c r="N28" s="63" t="s">
        <v>8</v>
      </c>
      <c r="O28" s="63" t="s">
        <v>8</v>
      </c>
      <c r="P28" s="55">
        <v>1.08</v>
      </c>
      <c r="Q28" s="55">
        <v>9.26</v>
      </c>
      <c r="R28" s="43"/>
      <c r="S28" s="43"/>
      <c r="T28" s="43"/>
      <c r="U28" s="43"/>
    </row>
    <row r="29" spans="1:21" s="11" customFormat="1" x14ac:dyDescent="0.25">
      <c r="A29" s="54" t="s">
        <v>632</v>
      </c>
      <c r="B29" s="55">
        <v>25.46</v>
      </c>
      <c r="C29" s="55">
        <v>61.63</v>
      </c>
      <c r="D29" s="55">
        <v>78.87</v>
      </c>
      <c r="E29" s="55">
        <v>4.62</v>
      </c>
      <c r="F29" s="55">
        <v>7.07</v>
      </c>
      <c r="G29" s="55">
        <v>35.409999999999997</v>
      </c>
      <c r="H29" s="55">
        <v>31.74</v>
      </c>
      <c r="I29" s="55">
        <v>4.0999999999999996</v>
      </c>
      <c r="J29" s="63" t="s">
        <v>8</v>
      </c>
      <c r="K29" s="63" t="s">
        <v>8</v>
      </c>
      <c r="L29" s="63" t="s">
        <v>8</v>
      </c>
      <c r="M29" s="63" t="s">
        <v>8</v>
      </c>
      <c r="N29" s="63" t="s">
        <v>8</v>
      </c>
      <c r="O29" s="63" t="s">
        <v>8</v>
      </c>
      <c r="P29" s="55">
        <v>1.38</v>
      </c>
      <c r="Q29" s="55">
        <v>9.4499999999999993</v>
      </c>
      <c r="R29" s="43"/>
      <c r="S29" s="43"/>
      <c r="T29" s="43"/>
      <c r="U29" s="43"/>
    </row>
    <row r="30" spans="1:21" s="11" customFormat="1" x14ac:dyDescent="0.25">
      <c r="A30" s="54" t="s">
        <v>633</v>
      </c>
      <c r="B30" s="55">
        <v>58.34</v>
      </c>
      <c r="C30" s="55">
        <v>88.42</v>
      </c>
      <c r="D30" s="55">
        <v>79.69</v>
      </c>
      <c r="E30" s="55">
        <v>4.96</v>
      </c>
      <c r="F30" s="55">
        <v>5.19</v>
      </c>
      <c r="G30" s="55">
        <v>44.31</v>
      </c>
      <c r="H30" s="55">
        <v>27.36</v>
      </c>
      <c r="I30" s="55">
        <v>4.09</v>
      </c>
      <c r="J30" s="63" t="s">
        <v>8</v>
      </c>
      <c r="K30" s="63" t="s">
        <v>8</v>
      </c>
      <c r="L30" s="63" t="s">
        <v>8</v>
      </c>
      <c r="M30" s="63" t="s">
        <v>8</v>
      </c>
      <c r="N30" s="63" t="s">
        <v>8</v>
      </c>
      <c r="O30" s="63" t="s">
        <v>8</v>
      </c>
      <c r="P30" s="55">
        <v>2.04</v>
      </c>
      <c r="Q30" s="55">
        <v>9.59</v>
      </c>
      <c r="R30" s="43"/>
      <c r="S30" s="43"/>
      <c r="T30" s="43"/>
      <c r="U30" s="43"/>
    </row>
    <row r="31" spans="1:21" s="11" customFormat="1" x14ac:dyDescent="0.25">
      <c r="A31" s="54" t="s">
        <v>634</v>
      </c>
      <c r="B31" s="55">
        <v>52.01</v>
      </c>
      <c r="C31" s="55">
        <v>81.93</v>
      </c>
      <c r="D31" s="55">
        <v>76.98</v>
      </c>
      <c r="E31" s="55">
        <v>5.18</v>
      </c>
      <c r="F31" s="55">
        <v>4.95</v>
      </c>
      <c r="G31" s="55">
        <v>61.81</v>
      </c>
      <c r="H31" s="55">
        <v>24.41</v>
      </c>
      <c r="I31" s="55">
        <v>4.1399999999999997</v>
      </c>
      <c r="J31" s="63" t="s">
        <v>8</v>
      </c>
      <c r="K31" s="63" t="s">
        <v>8</v>
      </c>
      <c r="L31" s="63" t="s">
        <v>8</v>
      </c>
      <c r="M31" s="63" t="s">
        <v>8</v>
      </c>
      <c r="N31" s="63" t="s">
        <v>8</v>
      </c>
      <c r="O31" s="63" t="s">
        <v>8</v>
      </c>
      <c r="P31" s="55">
        <v>2.08</v>
      </c>
      <c r="Q31" s="55">
        <v>9.6199999999999992</v>
      </c>
      <c r="R31" s="43"/>
      <c r="S31" s="43"/>
      <c r="T31" s="43"/>
      <c r="U31" s="43"/>
    </row>
    <row r="32" spans="1:21" s="11" customFormat="1" x14ac:dyDescent="0.25">
      <c r="A32" s="54" t="s">
        <v>635</v>
      </c>
      <c r="B32" s="55">
        <v>23.44</v>
      </c>
      <c r="C32" s="55">
        <v>38.92</v>
      </c>
      <c r="D32" s="55">
        <v>41.81</v>
      </c>
      <c r="E32" s="55">
        <v>5.86</v>
      </c>
      <c r="F32" s="55">
        <v>7.42</v>
      </c>
      <c r="G32" s="55">
        <v>61.66</v>
      </c>
      <c r="H32" s="55">
        <v>25.32</v>
      </c>
      <c r="I32" s="55">
        <v>4.0599999999999996</v>
      </c>
      <c r="J32" s="63" t="s">
        <v>8</v>
      </c>
      <c r="K32" s="63" t="s">
        <v>8</v>
      </c>
      <c r="L32" s="63" t="s">
        <v>8</v>
      </c>
      <c r="M32" s="63" t="s">
        <v>8</v>
      </c>
      <c r="N32" s="63" t="s">
        <v>8</v>
      </c>
      <c r="O32" s="63" t="s">
        <v>8</v>
      </c>
      <c r="P32" s="55">
        <v>1.08</v>
      </c>
      <c r="Q32" s="55">
        <v>9.6300000000000008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7.54</v>
      </c>
      <c r="C34" s="28">
        <f t="shared" si="0"/>
        <v>16.64</v>
      </c>
      <c r="D34" s="28">
        <f t="shared" si="0"/>
        <v>18.25</v>
      </c>
      <c r="E34" s="28">
        <f t="shared" si="0"/>
        <v>3.99</v>
      </c>
      <c r="F34" s="28">
        <f t="shared" si="0"/>
        <v>4.08</v>
      </c>
      <c r="G34" s="28">
        <f t="shared" si="0"/>
        <v>7.31</v>
      </c>
      <c r="H34" s="28">
        <f t="shared" si="0"/>
        <v>0</v>
      </c>
      <c r="I34" s="28">
        <f t="shared" si="0"/>
        <v>3.96</v>
      </c>
      <c r="J34" s="28">
        <f t="shared" si="0"/>
        <v>0</v>
      </c>
      <c r="K34" s="28">
        <f t="shared" si="0"/>
        <v>0</v>
      </c>
      <c r="L34" s="28">
        <f t="shared" si="0"/>
        <v>0</v>
      </c>
      <c r="M34" s="28">
        <f t="shared" si="0"/>
        <v>0</v>
      </c>
      <c r="N34" s="28">
        <f t="shared" si="0"/>
        <v>0</v>
      </c>
      <c r="O34" s="28">
        <f t="shared" si="0"/>
        <v>0</v>
      </c>
      <c r="P34" s="28">
        <f t="shared" si="0"/>
        <v>0.23</v>
      </c>
      <c r="Q34" s="28">
        <f t="shared" si="0"/>
        <v>9.26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58.34</v>
      </c>
      <c r="C35" s="29">
        <f t="shared" si="1"/>
        <v>88.42</v>
      </c>
      <c r="D35" s="29">
        <f t="shared" si="1"/>
        <v>79.69</v>
      </c>
      <c r="E35" s="29">
        <f t="shared" si="1"/>
        <v>5.86</v>
      </c>
      <c r="F35" s="29">
        <f t="shared" si="1"/>
        <v>10.35</v>
      </c>
      <c r="G35" s="29">
        <f t="shared" si="1"/>
        <v>61.81</v>
      </c>
      <c r="H35" s="29">
        <f t="shared" si="1"/>
        <v>93.85</v>
      </c>
      <c r="I35" s="29">
        <f t="shared" si="1"/>
        <v>4.25</v>
      </c>
      <c r="J35" s="29">
        <f t="shared" si="1"/>
        <v>0</v>
      </c>
      <c r="K35" s="29">
        <f t="shared" si="1"/>
        <v>0</v>
      </c>
      <c r="L35" s="29">
        <f t="shared" si="1"/>
        <v>0</v>
      </c>
      <c r="M35" s="29">
        <f t="shared" si="1"/>
        <v>0</v>
      </c>
      <c r="N35" s="29">
        <f t="shared" si="1"/>
        <v>0</v>
      </c>
      <c r="O35" s="29">
        <f t="shared" si="1"/>
        <v>0</v>
      </c>
      <c r="P35" s="29">
        <f t="shared" si="1"/>
        <v>2.08</v>
      </c>
      <c r="Q35" s="29">
        <f t="shared" si="1"/>
        <v>9.6300000000000008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17.271249999999998</v>
      </c>
      <c r="C36" s="28">
        <f t="shared" si="2"/>
        <v>30.733333333333334</v>
      </c>
      <c r="D36" s="28">
        <f t="shared" si="2"/>
        <v>32.982500000000009</v>
      </c>
      <c r="E36" s="28">
        <f t="shared" si="2"/>
        <v>4.6512500000000001</v>
      </c>
      <c r="F36" s="28">
        <f t="shared" si="2"/>
        <v>6.6299999999999981</v>
      </c>
      <c r="G36" s="28">
        <f t="shared" si="2"/>
        <v>22.165416666666669</v>
      </c>
      <c r="H36" s="28">
        <f t="shared" si="2"/>
        <v>18.454166666666666</v>
      </c>
      <c r="I36" s="28">
        <f t="shared" si="2"/>
        <v>4.0983333333333336</v>
      </c>
      <c r="J36" s="28" t="e">
        <f t="shared" si="2"/>
        <v>#DIV/0!</v>
      </c>
      <c r="K36" s="28" t="e">
        <f t="shared" si="2"/>
        <v>#DIV/0!</v>
      </c>
      <c r="L36" s="28" t="e">
        <f t="shared" si="2"/>
        <v>#DIV/0!</v>
      </c>
      <c r="M36" s="28" t="e">
        <f t="shared" si="2"/>
        <v>#DIV/0!</v>
      </c>
      <c r="N36" s="28" t="e">
        <f t="shared" si="2"/>
        <v>#DIV/0!</v>
      </c>
      <c r="O36" s="28" t="e">
        <f t="shared" si="2"/>
        <v>#DIV/0!</v>
      </c>
      <c r="P36" s="28">
        <f t="shared" si="2"/>
        <v>0.66</v>
      </c>
      <c r="Q36" s="28">
        <f t="shared" si="2"/>
        <v>9.4433333333333334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12.559398459875103</v>
      </c>
      <c r="C37" s="28">
        <f t="shared" ref="C37:Q37" si="3">STDEV(C9:C32)</f>
        <v>19.346793165718744</v>
      </c>
      <c r="D37" s="28">
        <f t="shared" si="3"/>
        <v>18.912320403469209</v>
      </c>
      <c r="E37" s="28">
        <f t="shared" si="3"/>
        <v>0.45462179694870503</v>
      </c>
      <c r="F37" s="28">
        <f t="shared" si="3"/>
        <v>1.9144916455470831</v>
      </c>
      <c r="G37" s="28">
        <f t="shared" si="3"/>
        <v>16.10328348347862</v>
      </c>
      <c r="H37" s="28">
        <f t="shared" si="3"/>
        <v>23.249211471746108</v>
      </c>
      <c r="I37" s="28">
        <f t="shared" si="3"/>
        <v>7.0690179298650624E-2</v>
      </c>
      <c r="J37" s="28" t="e">
        <f t="shared" si="3"/>
        <v>#DIV/0!</v>
      </c>
      <c r="K37" s="28" t="e">
        <f t="shared" si="3"/>
        <v>#DIV/0!</v>
      </c>
      <c r="L37" s="28" t="e">
        <f t="shared" si="3"/>
        <v>#DIV/0!</v>
      </c>
      <c r="M37" s="28" t="e">
        <f t="shared" si="3"/>
        <v>#DIV/0!</v>
      </c>
      <c r="N37" s="28" t="e">
        <f t="shared" si="3"/>
        <v>#DIV/0!</v>
      </c>
      <c r="O37" s="28" t="e">
        <f t="shared" si="3"/>
        <v>#DIV/0!</v>
      </c>
      <c r="P37" s="28">
        <f t="shared" si="3"/>
        <v>0.52452877402732512</v>
      </c>
      <c r="Q37" s="28">
        <f t="shared" si="3"/>
        <v>0.10929285217356101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>COUNT(J9:J32)+24</f>
        <v>24</v>
      </c>
      <c r="K38" s="32">
        <f t="shared" ref="K38:O38" si="5">COUNT(K9:K32)+24</f>
        <v>24</v>
      </c>
      <c r="L38" s="32">
        <f t="shared" si="5"/>
        <v>24</v>
      </c>
      <c r="M38" s="32">
        <f t="shared" si="5"/>
        <v>24</v>
      </c>
      <c r="N38" s="32">
        <f t="shared" si="5"/>
        <v>24</v>
      </c>
      <c r="O38" s="32">
        <f t="shared" si="5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6">IF(C38&gt;=22,"&gt;90%",IF(C38&lt;=22,"&lt;90%"))</f>
        <v>&gt;90%</v>
      </c>
      <c r="D39" s="29" t="str">
        <f t="shared" si="6"/>
        <v>&gt;90%</v>
      </c>
      <c r="E39" s="29" t="str">
        <f t="shared" si="6"/>
        <v>&gt;90%</v>
      </c>
      <c r="F39" s="29" t="str">
        <f t="shared" si="6"/>
        <v>&gt;90%</v>
      </c>
      <c r="G39" s="29" t="str">
        <f t="shared" si="6"/>
        <v>&gt;90%</v>
      </c>
      <c r="H39" s="29" t="str">
        <f t="shared" si="6"/>
        <v>&gt;90%</v>
      </c>
      <c r="I39" s="29" t="str">
        <f t="shared" si="6"/>
        <v>&gt;90%</v>
      </c>
      <c r="J39" s="29" t="str">
        <f t="shared" si="6"/>
        <v>&gt;90%</v>
      </c>
      <c r="K39" s="29" t="str">
        <f t="shared" si="6"/>
        <v>&gt;90%</v>
      </c>
      <c r="L39" s="29" t="str">
        <f t="shared" si="6"/>
        <v>&gt;90%</v>
      </c>
      <c r="M39" s="29" t="str">
        <f t="shared" si="6"/>
        <v>&gt;90%</v>
      </c>
      <c r="N39" s="29" t="str">
        <f t="shared" si="6"/>
        <v>&gt;90%</v>
      </c>
      <c r="O39" s="29" t="str">
        <f t="shared" si="6"/>
        <v>&gt;90%</v>
      </c>
      <c r="P39" s="29" t="str">
        <f t="shared" si="6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7">IF(C38&gt;=22,"OK",IF(C38&lt;=22,"LESS"))</f>
        <v>OK</v>
      </c>
      <c r="D40" s="29" t="str">
        <f t="shared" si="7"/>
        <v>OK</v>
      </c>
      <c r="E40" s="29" t="str">
        <f t="shared" si="7"/>
        <v>OK</v>
      </c>
      <c r="F40" s="29" t="str">
        <f t="shared" si="7"/>
        <v>OK</v>
      </c>
      <c r="G40" s="29" t="str">
        <f t="shared" si="7"/>
        <v>OK</v>
      </c>
      <c r="H40" s="29" t="str">
        <f t="shared" si="7"/>
        <v>OK</v>
      </c>
      <c r="I40" s="29" t="str">
        <f t="shared" si="7"/>
        <v>OK</v>
      </c>
      <c r="J40" s="29" t="str">
        <f t="shared" si="7"/>
        <v>OK</v>
      </c>
      <c r="K40" s="29" t="str">
        <f t="shared" si="7"/>
        <v>OK</v>
      </c>
      <c r="L40" s="29" t="str">
        <f t="shared" si="7"/>
        <v>OK</v>
      </c>
      <c r="M40" s="29" t="str">
        <f t="shared" si="7"/>
        <v>OK</v>
      </c>
      <c r="N40" s="29" t="str">
        <f t="shared" si="7"/>
        <v>OK</v>
      </c>
      <c r="O40" s="29" t="str">
        <f t="shared" si="7"/>
        <v>OK</v>
      </c>
      <c r="P40" s="29" t="str">
        <f t="shared" si="7"/>
        <v>OK</v>
      </c>
      <c r="Q40" s="29" t="str">
        <f t="shared" si="7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25/05/2025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7"/>
      <c r="B8" s="58" t="s">
        <v>22</v>
      </c>
      <c r="C8" s="58" t="s">
        <v>22</v>
      </c>
      <c r="D8" s="29" t="s">
        <v>42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58" t="s">
        <v>22</v>
      </c>
      <c r="R8" s="27"/>
      <c r="S8" s="29"/>
      <c r="T8" s="27"/>
      <c r="U8" s="27"/>
    </row>
    <row r="9" spans="1:21" s="11" customFormat="1" x14ac:dyDescent="0.25">
      <c r="A9" s="54" t="s">
        <v>636</v>
      </c>
      <c r="B9" s="55">
        <v>19.489999999999998</v>
      </c>
      <c r="C9" s="55">
        <v>27.78</v>
      </c>
      <c r="D9" s="55">
        <v>23.77</v>
      </c>
      <c r="E9" s="55">
        <v>5.57</v>
      </c>
      <c r="F9" s="55">
        <v>4.88</v>
      </c>
      <c r="G9" s="55">
        <v>57.31</v>
      </c>
      <c r="H9" s="55">
        <v>52.54</v>
      </c>
      <c r="I9" s="55">
        <v>4.12</v>
      </c>
      <c r="J9" s="63" t="s">
        <v>8</v>
      </c>
      <c r="K9" s="63" t="s">
        <v>8</v>
      </c>
      <c r="L9" s="63" t="s">
        <v>8</v>
      </c>
      <c r="M9" s="63" t="s">
        <v>8</v>
      </c>
      <c r="N9" s="63" t="s">
        <v>8</v>
      </c>
      <c r="O9" s="63" t="s">
        <v>8</v>
      </c>
      <c r="P9" s="55">
        <v>0.92</v>
      </c>
      <c r="Q9" s="55">
        <v>9.64</v>
      </c>
      <c r="R9" s="43"/>
      <c r="S9" s="43"/>
      <c r="T9" s="43"/>
      <c r="U9" s="43"/>
    </row>
    <row r="10" spans="1:21" s="11" customFormat="1" x14ac:dyDescent="0.25">
      <c r="A10" s="54" t="s">
        <v>637</v>
      </c>
      <c r="B10" s="55">
        <v>15.13</v>
      </c>
      <c r="C10" s="55">
        <v>23.36</v>
      </c>
      <c r="D10" s="55">
        <v>21.74</v>
      </c>
      <c r="E10" s="55">
        <v>5.59</v>
      </c>
      <c r="F10" s="55">
        <v>5.63</v>
      </c>
      <c r="G10" s="55">
        <v>39.6</v>
      </c>
      <c r="H10" s="55">
        <v>44.28</v>
      </c>
      <c r="I10" s="55">
        <v>4.0999999999999996</v>
      </c>
      <c r="J10" s="63" t="s">
        <v>8</v>
      </c>
      <c r="K10" s="63" t="s">
        <v>8</v>
      </c>
      <c r="L10" s="63" t="s">
        <v>8</v>
      </c>
      <c r="M10" s="63" t="s">
        <v>8</v>
      </c>
      <c r="N10" s="63" t="s">
        <v>8</v>
      </c>
      <c r="O10" s="63" t="s">
        <v>8</v>
      </c>
      <c r="P10" s="55">
        <v>0.74</v>
      </c>
      <c r="Q10" s="55">
        <v>9.64</v>
      </c>
      <c r="R10" s="43"/>
      <c r="S10" s="43"/>
      <c r="T10" s="43"/>
      <c r="U10" s="43"/>
    </row>
    <row r="11" spans="1:21" s="11" customFormat="1" x14ac:dyDescent="0.25">
      <c r="A11" s="54" t="s">
        <v>638</v>
      </c>
      <c r="B11" s="55">
        <v>9.49</v>
      </c>
      <c r="C11" s="55">
        <v>16.7</v>
      </c>
      <c r="D11" s="55">
        <v>18.41</v>
      </c>
      <c r="E11" s="55">
        <v>5.72</v>
      </c>
      <c r="F11" s="55">
        <v>11.84</v>
      </c>
      <c r="G11" s="55">
        <v>25.09</v>
      </c>
      <c r="H11" s="55">
        <v>7.58</v>
      </c>
      <c r="I11" s="55">
        <v>4.1900000000000004</v>
      </c>
      <c r="J11" s="63" t="s">
        <v>8</v>
      </c>
      <c r="K11" s="63" t="s">
        <v>8</v>
      </c>
      <c r="L11" s="63" t="s">
        <v>8</v>
      </c>
      <c r="M11" s="63" t="s">
        <v>8</v>
      </c>
      <c r="N11" s="63" t="s">
        <v>8</v>
      </c>
      <c r="O11" s="63" t="s">
        <v>8</v>
      </c>
      <c r="P11" s="55">
        <v>0.3</v>
      </c>
      <c r="Q11" s="55">
        <v>9.5500000000000007</v>
      </c>
      <c r="R11" s="43"/>
      <c r="S11" s="43"/>
      <c r="T11" s="43"/>
      <c r="U11" s="43"/>
    </row>
    <row r="12" spans="1:21" s="11" customFormat="1" x14ac:dyDescent="0.25">
      <c r="A12" s="54" t="s">
        <v>639</v>
      </c>
      <c r="B12" s="55">
        <v>10.29</v>
      </c>
      <c r="C12" s="55">
        <v>18.47</v>
      </c>
      <c r="D12" s="55">
        <v>19.559999999999999</v>
      </c>
      <c r="E12" s="55">
        <v>5.77</v>
      </c>
      <c r="F12" s="55">
        <v>10.67</v>
      </c>
      <c r="G12" s="55">
        <v>15.07</v>
      </c>
      <c r="H12" s="55">
        <v>1.89</v>
      </c>
      <c r="I12" s="55">
        <v>4.08</v>
      </c>
      <c r="J12" s="63" t="s">
        <v>8</v>
      </c>
      <c r="K12" s="63" t="s">
        <v>8</v>
      </c>
      <c r="L12" s="63" t="s">
        <v>8</v>
      </c>
      <c r="M12" s="63" t="s">
        <v>8</v>
      </c>
      <c r="N12" s="63" t="s">
        <v>8</v>
      </c>
      <c r="O12" s="63" t="s">
        <v>8</v>
      </c>
      <c r="P12" s="55">
        <v>0.42</v>
      </c>
      <c r="Q12" s="55">
        <v>9.51</v>
      </c>
      <c r="R12" s="43"/>
      <c r="S12" s="43"/>
      <c r="T12" s="43"/>
      <c r="U12" s="43"/>
    </row>
    <row r="13" spans="1:21" s="11" customFormat="1" x14ac:dyDescent="0.25">
      <c r="A13" s="54" t="s">
        <v>640</v>
      </c>
      <c r="B13" s="55">
        <v>11.82</v>
      </c>
      <c r="C13" s="55">
        <v>19.809999999999999</v>
      </c>
      <c r="D13" s="55">
        <v>19.79</v>
      </c>
      <c r="E13" s="55">
        <v>5.67</v>
      </c>
      <c r="F13" s="55">
        <v>6.57</v>
      </c>
      <c r="G13" s="55">
        <v>11.5</v>
      </c>
      <c r="H13" s="55">
        <v>0.81</v>
      </c>
      <c r="I13" s="55">
        <v>4.12</v>
      </c>
      <c r="J13" s="63" t="s">
        <v>8</v>
      </c>
      <c r="K13" s="63" t="s">
        <v>8</v>
      </c>
      <c r="L13" s="63" t="s">
        <v>8</v>
      </c>
      <c r="M13" s="63" t="s">
        <v>8</v>
      </c>
      <c r="N13" s="63" t="s">
        <v>8</v>
      </c>
      <c r="O13" s="63" t="s">
        <v>8</v>
      </c>
      <c r="P13" s="55">
        <v>0.41</v>
      </c>
      <c r="Q13" s="55">
        <v>9.4600000000000009</v>
      </c>
      <c r="R13" s="43"/>
      <c r="S13" s="43"/>
      <c r="T13" s="43"/>
      <c r="U13" s="43"/>
    </row>
    <row r="14" spans="1:21" s="11" customFormat="1" x14ac:dyDescent="0.25">
      <c r="A14" s="54" t="s">
        <v>641</v>
      </c>
      <c r="B14" s="55">
        <v>14.9</v>
      </c>
      <c r="C14" s="55">
        <v>24.56</v>
      </c>
      <c r="D14" s="55">
        <v>24.13</v>
      </c>
      <c r="E14" s="55">
        <v>5.57</v>
      </c>
      <c r="F14" s="55">
        <v>5.01</v>
      </c>
      <c r="G14" s="55">
        <v>11.3</v>
      </c>
      <c r="H14" s="55">
        <v>0.87</v>
      </c>
      <c r="I14" s="55">
        <v>4.04</v>
      </c>
      <c r="J14" s="63" t="s">
        <v>8</v>
      </c>
      <c r="K14" s="63" t="s">
        <v>8</v>
      </c>
      <c r="L14" s="63" t="s">
        <v>8</v>
      </c>
      <c r="M14" s="63" t="s">
        <v>8</v>
      </c>
      <c r="N14" s="63" t="s">
        <v>8</v>
      </c>
      <c r="O14" s="63" t="s">
        <v>8</v>
      </c>
      <c r="P14" s="55">
        <v>0.46</v>
      </c>
      <c r="Q14" s="55">
        <v>9.4499999999999993</v>
      </c>
      <c r="R14" s="43"/>
      <c r="S14" s="43"/>
      <c r="T14" s="43"/>
      <c r="U14" s="43"/>
    </row>
    <row r="15" spans="1:21" s="11" customFormat="1" x14ac:dyDescent="0.25">
      <c r="A15" s="54" t="s">
        <v>642</v>
      </c>
      <c r="B15" s="55">
        <v>28.32</v>
      </c>
      <c r="C15" s="55">
        <v>44.27</v>
      </c>
      <c r="D15" s="55">
        <v>41.26</v>
      </c>
      <c r="E15" s="55">
        <v>5.83</v>
      </c>
      <c r="F15" s="55">
        <v>8.91</v>
      </c>
      <c r="G15" s="55">
        <v>16.420000000000002</v>
      </c>
      <c r="H15" s="55">
        <v>6.9</v>
      </c>
      <c r="I15" s="55">
        <v>4.01</v>
      </c>
      <c r="J15" s="63" t="s">
        <v>8</v>
      </c>
      <c r="K15" s="63" t="s">
        <v>8</v>
      </c>
      <c r="L15" s="63" t="s">
        <v>8</v>
      </c>
      <c r="M15" s="63" t="s">
        <v>8</v>
      </c>
      <c r="N15" s="63" t="s">
        <v>8</v>
      </c>
      <c r="O15" s="63" t="s">
        <v>8</v>
      </c>
      <c r="P15" s="55">
        <v>0.67</v>
      </c>
      <c r="Q15" s="55">
        <v>9.57</v>
      </c>
      <c r="R15" s="43"/>
      <c r="S15" s="43"/>
      <c r="T15" s="43"/>
      <c r="U15" s="43"/>
    </row>
    <row r="16" spans="1:21" s="11" customFormat="1" x14ac:dyDescent="0.25">
      <c r="A16" s="54" t="s">
        <v>643</v>
      </c>
      <c r="B16" s="55">
        <v>21.35</v>
      </c>
      <c r="C16" s="55">
        <v>35.590000000000003</v>
      </c>
      <c r="D16" s="55">
        <v>35.68</v>
      </c>
      <c r="E16" s="55">
        <v>5.96</v>
      </c>
      <c r="F16" s="55">
        <v>9.66</v>
      </c>
      <c r="G16" s="55">
        <v>43.55</v>
      </c>
      <c r="H16" s="55">
        <v>21.5</v>
      </c>
      <c r="I16" s="55">
        <v>4.03</v>
      </c>
      <c r="J16" s="63" t="s">
        <v>8</v>
      </c>
      <c r="K16" s="63" t="s">
        <v>8</v>
      </c>
      <c r="L16" s="63" t="s">
        <v>8</v>
      </c>
      <c r="M16" s="63" t="s">
        <v>8</v>
      </c>
      <c r="N16" s="63" t="s">
        <v>8</v>
      </c>
      <c r="O16" s="63" t="s">
        <v>8</v>
      </c>
      <c r="P16" s="55">
        <v>0.56999999999999995</v>
      </c>
      <c r="Q16" s="55">
        <v>9.6300000000000008</v>
      </c>
      <c r="R16" s="43"/>
      <c r="S16" s="43"/>
      <c r="T16" s="43"/>
      <c r="U16" s="43"/>
    </row>
    <row r="17" spans="1:21" s="11" customFormat="1" x14ac:dyDescent="0.25">
      <c r="A17" s="54" t="s">
        <v>644</v>
      </c>
      <c r="B17" s="55">
        <v>19.239999999999998</v>
      </c>
      <c r="C17" s="55">
        <v>32.94</v>
      </c>
      <c r="D17" s="55">
        <v>33.520000000000003</v>
      </c>
      <c r="E17" s="55">
        <v>4.93</v>
      </c>
      <c r="F17" s="55">
        <v>9.82</v>
      </c>
      <c r="G17" s="55">
        <v>46.4</v>
      </c>
      <c r="H17" s="55">
        <v>19.940000000000001</v>
      </c>
      <c r="I17" s="55">
        <v>4.05</v>
      </c>
      <c r="J17" s="63" t="s">
        <v>8</v>
      </c>
      <c r="K17" s="63" t="s">
        <v>8</v>
      </c>
      <c r="L17" s="63" t="s">
        <v>8</v>
      </c>
      <c r="M17" s="63" t="s">
        <v>8</v>
      </c>
      <c r="N17" s="63" t="s">
        <v>8</v>
      </c>
      <c r="O17" s="63" t="s">
        <v>8</v>
      </c>
      <c r="P17" s="55">
        <v>0.55000000000000004</v>
      </c>
      <c r="Q17" s="55">
        <v>9.6300000000000008</v>
      </c>
      <c r="R17" s="43"/>
      <c r="S17" s="43"/>
      <c r="T17" s="43"/>
      <c r="U17" s="43"/>
    </row>
    <row r="18" spans="1:21" s="11" customFormat="1" x14ac:dyDescent="0.25">
      <c r="A18" s="54" t="s">
        <v>645</v>
      </c>
      <c r="B18" s="55">
        <v>14.67</v>
      </c>
      <c r="C18" s="55">
        <v>23.94</v>
      </c>
      <c r="D18" s="55">
        <v>23.37</v>
      </c>
      <c r="E18" s="55">
        <v>5.24</v>
      </c>
      <c r="F18" s="55">
        <v>6.6</v>
      </c>
      <c r="G18" s="55">
        <v>44.75</v>
      </c>
      <c r="H18" s="55">
        <v>13.02</v>
      </c>
      <c r="I18" s="55">
        <v>3.97</v>
      </c>
      <c r="J18" s="63" t="s">
        <v>8</v>
      </c>
      <c r="K18" s="63" t="s">
        <v>8</v>
      </c>
      <c r="L18" s="63" t="s">
        <v>8</v>
      </c>
      <c r="M18" s="63" t="s">
        <v>8</v>
      </c>
      <c r="N18" s="63" t="s">
        <v>8</v>
      </c>
      <c r="O18" s="63" t="s">
        <v>8</v>
      </c>
      <c r="P18" s="55">
        <v>0.44</v>
      </c>
      <c r="Q18" s="55">
        <v>9.58</v>
      </c>
      <c r="R18" s="43"/>
      <c r="S18" s="43"/>
      <c r="T18" s="43"/>
      <c r="U18" s="43"/>
    </row>
    <row r="19" spans="1:21" s="11" customFormat="1" x14ac:dyDescent="0.25">
      <c r="A19" s="54" t="s">
        <v>646</v>
      </c>
      <c r="B19" s="55">
        <v>13.84</v>
      </c>
      <c r="C19" s="55">
        <v>26.83</v>
      </c>
      <c r="D19" s="55">
        <v>30.1</v>
      </c>
      <c r="E19" s="55">
        <v>4.5599999999999996</v>
      </c>
      <c r="F19" s="55">
        <v>16.59</v>
      </c>
      <c r="G19" s="55">
        <v>35.81</v>
      </c>
      <c r="H19" s="55">
        <v>9.58</v>
      </c>
      <c r="I19" s="55">
        <v>4.0999999999999996</v>
      </c>
      <c r="J19" s="63" t="s">
        <v>8</v>
      </c>
      <c r="K19" s="63" t="s">
        <v>8</v>
      </c>
      <c r="L19" s="63" t="s">
        <v>8</v>
      </c>
      <c r="M19" s="63" t="s">
        <v>8</v>
      </c>
      <c r="N19" s="63" t="s">
        <v>8</v>
      </c>
      <c r="O19" s="63" t="s">
        <v>8</v>
      </c>
      <c r="P19" s="55">
        <v>0.38</v>
      </c>
      <c r="Q19" s="55">
        <v>9.4499999999999993</v>
      </c>
      <c r="R19" s="43"/>
      <c r="S19" s="43"/>
      <c r="T19" s="43"/>
      <c r="U19" s="43"/>
    </row>
    <row r="20" spans="1:21" s="11" customFormat="1" x14ac:dyDescent="0.25">
      <c r="A20" s="54" t="s">
        <v>647</v>
      </c>
      <c r="B20" s="55">
        <v>10</v>
      </c>
      <c r="C20" s="55">
        <v>20.29</v>
      </c>
      <c r="D20" s="55">
        <v>23.74</v>
      </c>
      <c r="E20" s="55">
        <v>5.24</v>
      </c>
      <c r="F20" s="55">
        <v>16.940000000000001</v>
      </c>
      <c r="G20" s="55">
        <v>28.44</v>
      </c>
      <c r="H20" s="55">
        <v>8.2799999999999994</v>
      </c>
      <c r="I20" s="55">
        <v>4.0599999999999996</v>
      </c>
      <c r="J20" s="63" t="s">
        <v>8</v>
      </c>
      <c r="K20" s="63" t="s">
        <v>8</v>
      </c>
      <c r="L20" s="63" t="s">
        <v>8</v>
      </c>
      <c r="M20" s="63" t="s">
        <v>8</v>
      </c>
      <c r="N20" s="63" t="s">
        <v>8</v>
      </c>
      <c r="O20" s="63" t="s">
        <v>8</v>
      </c>
      <c r="P20" s="55">
        <v>0.36</v>
      </c>
      <c r="Q20" s="55">
        <v>9.39</v>
      </c>
      <c r="R20" s="43"/>
      <c r="S20" s="43"/>
      <c r="T20" s="43"/>
      <c r="U20" s="43"/>
    </row>
    <row r="21" spans="1:21" s="11" customFormat="1" x14ac:dyDescent="0.25">
      <c r="A21" s="54" t="s">
        <v>648</v>
      </c>
      <c r="B21" s="55">
        <v>12.63</v>
      </c>
      <c r="C21" s="55">
        <v>24.52</v>
      </c>
      <c r="D21" s="55">
        <v>29.73</v>
      </c>
      <c r="E21" s="55">
        <v>5.14</v>
      </c>
      <c r="F21" s="55">
        <v>10.88</v>
      </c>
      <c r="G21" s="55">
        <v>27.51</v>
      </c>
      <c r="H21" s="55">
        <v>8.1199999999999992</v>
      </c>
      <c r="I21" s="55">
        <v>4.1100000000000003</v>
      </c>
      <c r="J21" s="63" t="s">
        <v>8</v>
      </c>
      <c r="K21" s="63" t="s">
        <v>8</v>
      </c>
      <c r="L21" s="63" t="s">
        <v>8</v>
      </c>
      <c r="M21" s="63" t="s">
        <v>8</v>
      </c>
      <c r="N21" s="63" t="s">
        <v>8</v>
      </c>
      <c r="O21" s="63" t="s">
        <v>8</v>
      </c>
      <c r="P21" s="55">
        <v>0.48</v>
      </c>
      <c r="Q21" s="55">
        <v>9.36</v>
      </c>
      <c r="R21" s="43"/>
      <c r="S21" s="43"/>
      <c r="T21" s="43"/>
      <c r="U21" s="43"/>
    </row>
    <row r="22" spans="1:21" s="11" customFormat="1" x14ac:dyDescent="0.25">
      <c r="A22" s="54" t="s">
        <v>649</v>
      </c>
      <c r="B22" s="55">
        <v>10.71</v>
      </c>
      <c r="C22" s="55">
        <v>23.66</v>
      </c>
      <c r="D22" s="55">
        <v>28.85</v>
      </c>
      <c r="E22" s="55">
        <v>4.96</v>
      </c>
      <c r="F22" s="55">
        <v>12.48</v>
      </c>
      <c r="G22" s="55">
        <v>26.47</v>
      </c>
      <c r="H22" s="55">
        <v>6.62</v>
      </c>
      <c r="I22" s="55">
        <v>4.25</v>
      </c>
      <c r="J22" s="63" t="s">
        <v>8</v>
      </c>
      <c r="K22" s="63" t="s">
        <v>8</v>
      </c>
      <c r="L22" s="63" t="s">
        <v>8</v>
      </c>
      <c r="M22" s="63" t="s">
        <v>8</v>
      </c>
      <c r="N22" s="63" t="s">
        <v>8</v>
      </c>
      <c r="O22" s="63" t="s">
        <v>8</v>
      </c>
      <c r="P22" s="55">
        <v>0.43</v>
      </c>
      <c r="Q22" s="55">
        <v>9.32</v>
      </c>
      <c r="R22" s="43"/>
      <c r="S22" s="43"/>
      <c r="T22" s="43"/>
      <c r="U22" s="43"/>
    </row>
    <row r="23" spans="1:21" s="11" customFormat="1" x14ac:dyDescent="0.25">
      <c r="A23" s="54" t="s">
        <v>650</v>
      </c>
      <c r="B23" s="55">
        <v>7.14</v>
      </c>
      <c r="C23" s="55">
        <v>20.69</v>
      </c>
      <c r="D23" s="55">
        <v>28.72</v>
      </c>
      <c r="E23" s="55">
        <v>4.82</v>
      </c>
      <c r="F23" s="55">
        <v>16.72</v>
      </c>
      <c r="G23" s="55">
        <v>27.02</v>
      </c>
      <c r="H23" s="55">
        <v>7.03</v>
      </c>
      <c r="I23" s="55">
        <v>4.22</v>
      </c>
      <c r="J23" s="63" t="s">
        <v>8</v>
      </c>
      <c r="K23" s="63" t="s">
        <v>8</v>
      </c>
      <c r="L23" s="63" t="s">
        <v>8</v>
      </c>
      <c r="M23" s="63" t="s">
        <v>8</v>
      </c>
      <c r="N23" s="63" t="s">
        <v>8</v>
      </c>
      <c r="O23" s="63" t="s">
        <v>8</v>
      </c>
      <c r="P23" s="55">
        <v>0.45</v>
      </c>
      <c r="Q23" s="55">
        <v>9.27</v>
      </c>
      <c r="R23" s="43"/>
      <c r="S23" s="43"/>
      <c r="T23" s="43"/>
      <c r="U23" s="43"/>
    </row>
    <row r="24" spans="1:21" s="11" customFormat="1" x14ac:dyDescent="0.25">
      <c r="A24" s="54" t="s">
        <v>651</v>
      </c>
      <c r="B24" s="55">
        <v>10.08</v>
      </c>
      <c r="C24" s="55">
        <v>25.43</v>
      </c>
      <c r="D24" s="55">
        <v>33.200000000000003</v>
      </c>
      <c r="E24" s="55">
        <v>4.9400000000000004</v>
      </c>
      <c r="F24" s="55">
        <v>13.68</v>
      </c>
      <c r="G24" s="55">
        <v>36.68</v>
      </c>
      <c r="H24" s="55">
        <v>9.43</v>
      </c>
      <c r="I24" s="55">
        <v>4.12</v>
      </c>
      <c r="J24" s="63" t="s">
        <v>8</v>
      </c>
      <c r="K24" s="63" t="s">
        <v>8</v>
      </c>
      <c r="L24" s="63" t="s">
        <v>8</v>
      </c>
      <c r="M24" s="63" t="s">
        <v>8</v>
      </c>
      <c r="N24" s="63" t="s">
        <v>8</v>
      </c>
      <c r="O24" s="63" t="s">
        <v>8</v>
      </c>
      <c r="P24" s="55">
        <v>0.43</v>
      </c>
      <c r="Q24" s="55">
        <v>9.23</v>
      </c>
      <c r="R24" s="43"/>
      <c r="S24" s="43"/>
      <c r="T24" s="43"/>
      <c r="U24" s="43"/>
    </row>
    <row r="25" spans="1:21" s="11" customFormat="1" x14ac:dyDescent="0.25">
      <c r="A25" s="54" t="s">
        <v>652</v>
      </c>
      <c r="B25" s="55">
        <v>10.53</v>
      </c>
      <c r="C25" s="55">
        <v>25.45</v>
      </c>
      <c r="D25" s="55">
        <v>32.56</v>
      </c>
      <c r="E25" s="55">
        <v>4.54</v>
      </c>
      <c r="F25" s="55">
        <v>5.46</v>
      </c>
      <c r="G25" s="55">
        <v>34.549999999999997</v>
      </c>
      <c r="H25" s="55">
        <v>8.7799999999999994</v>
      </c>
      <c r="I25" s="55">
        <v>4.0199999999999996</v>
      </c>
      <c r="J25" s="63" t="s">
        <v>8</v>
      </c>
      <c r="K25" s="63" t="s">
        <v>8</v>
      </c>
      <c r="L25" s="63" t="s">
        <v>8</v>
      </c>
      <c r="M25" s="63" t="s">
        <v>8</v>
      </c>
      <c r="N25" s="63" t="s">
        <v>8</v>
      </c>
      <c r="O25" s="63" t="s">
        <v>8</v>
      </c>
      <c r="P25" s="55">
        <v>0.5</v>
      </c>
      <c r="Q25" s="55">
        <v>9.3000000000000007</v>
      </c>
      <c r="R25" s="43"/>
      <c r="S25" s="43"/>
      <c r="T25" s="43"/>
      <c r="U25" s="43"/>
    </row>
    <row r="26" spans="1:21" s="11" customFormat="1" x14ac:dyDescent="0.25">
      <c r="A26" s="54" t="s">
        <v>653</v>
      </c>
      <c r="B26" s="55">
        <v>8.51</v>
      </c>
      <c r="C26" s="55">
        <v>18.66</v>
      </c>
      <c r="D26" s="55">
        <v>23.02</v>
      </c>
      <c r="E26" s="55">
        <v>4.18</v>
      </c>
      <c r="F26" s="55">
        <v>3.99</v>
      </c>
      <c r="G26" s="55">
        <v>25.08</v>
      </c>
      <c r="H26" s="55">
        <v>7.73</v>
      </c>
      <c r="I26" s="55">
        <v>4.05</v>
      </c>
      <c r="J26" s="63" t="s">
        <v>8</v>
      </c>
      <c r="K26" s="63" t="s">
        <v>8</v>
      </c>
      <c r="L26" s="63" t="s">
        <v>8</v>
      </c>
      <c r="M26" s="63" t="s">
        <v>8</v>
      </c>
      <c r="N26" s="63" t="s">
        <v>8</v>
      </c>
      <c r="O26" s="63" t="s">
        <v>8</v>
      </c>
      <c r="P26" s="55">
        <v>0.55000000000000004</v>
      </c>
      <c r="Q26" s="55">
        <v>9.31</v>
      </c>
      <c r="R26" s="43"/>
      <c r="S26" s="43"/>
      <c r="T26" s="43"/>
      <c r="U26" s="43"/>
    </row>
    <row r="27" spans="1:21" s="11" customFormat="1" x14ac:dyDescent="0.25">
      <c r="A27" s="54" t="s">
        <v>654</v>
      </c>
      <c r="B27" s="55">
        <v>10</v>
      </c>
      <c r="C27" s="55">
        <v>20.16</v>
      </c>
      <c r="D27" s="55">
        <v>23.24</v>
      </c>
      <c r="E27" s="55">
        <v>4.17</v>
      </c>
      <c r="F27" s="55">
        <v>4.18</v>
      </c>
      <c r="G27" s="55">
        <v>23.47</v>
      </c>
      <c r="H27" s="55">
        <v>7.01</v>
      </c>
      <c r="I27" s="55">
        <v>4.12</v>
      </c>
      <c r="J27" s="63" t="s">
        <v>8</v>
      </c>
      <c r="K27" s="63" t="s">
        <v>8</v>
      </c>
      <c r="L27" s="63" t="s">
        <v>8</v>
      </c>
      <c r="M27" s="63" t="s">
        <v>8</v>
      </c>
      <c r="N27" s="63" t="s">
        <v>8</v>
      </c>
      <c r="O27" s="63" t="s">
        <v>8</v>
      </c>
      <c r="P27" s="55">
        <v>1.03</v>
      </c>
      <c r="Q27" s="55">
        <v>9.33</v>
      </c>
      <c r="R27" s="43"/>
      <c r="S27" s="43"/>
      <c r="T27" s="43"/>
      <c r="U27" s="43"/>
    </row>
    <row r="28" spans="1:21" s="11" customFormat="1" x14ac:dyDescent="0.25">
      <c r="A28" s="54" t="s">
        <v>655</v>
      </c>
      <c r="B28" s="55">
        <v>14.11</v>
      </c>
      <c r="C28" s="55">
        <v>24</v>
      </c>
      <c r="D28" s="55">
        <v>24.82</v>
      </c>
      <c r="E28" s="55">
        <v>3.96</v>
      </c>
      <c r="F28" s="55">
        <v>4.47</v>
      </c>
      <c r="G28" s="55">
        <v>30.38</v>
      </c>
      <c r="H28" s="55">
        <v>6.11</v>
      </c>
      <c r="I28" s="55">
        <v>4.0999999999999996</v>
      </c>
      <c r="J28" s="63" t="s">
        <v>8</v>
      </c>
      <c r="K28" s="63" t="s">
        <v>8</v>
      </c>
      <c r="L28" s="63" t="s">
        <v>8</v>
      </c>
      <c r="M28" s="63" t="s">
        <v>8</v>
      </c>
      <c r="N28" s="63" t="s">
        <v>8</v>
      </c>
      <c r="O28" s="63" t="s">
        <v>8</v>
      </c>
      <c r="P28" s="55">
        <v>1.06</v>
      </c>
      <c r="Q28" s="55">
        <v>9.49</v>
      </c>
      <c r="R28" s="43"/>
      <c r="S28" s="43"/>
      <c r="T28" s="43"/>
      <c r="U28" s="43"/>
    </row>
    <row r="29" spans="1:21" s="11" customFormat="1" x14ac:dyDescent="0.25">
      <c r="A29" s="54" t="s">
        <v>656</v>
      </c>
      <c r="B29" s="55">
        <v>15.4</v>
      </c>
      <c r="C29" s="55">
        <v>23.44</v>
      </c>
      <c r="D29" s="55">
        <v>22.23</v>
      </c>
      <c r="E29" s="55">
        <v>4.0999999999999996</v>
      </c>
      <c r="F29" s="55">
        <v>4.3600000000000003</v>
      </c>
      <c r="G29" s="55">
        <v>34.18</v>
      </c>
      <c r="H29" s="55">
        <v>9.8800000000000008</v>
      </c>
      <c r="I29" s="55">
        <v>4.08</v>
      </c>
      <c r="J29" s="63" t="s">
        <v>8</v>
      </c>
      <c r="K29" s="63" t="s">
        <v>8</v>
      </c>
      <c r="L29" s="63" t="s">
        <v>8</v>
      </c>
      <c r="M29" s="63" t="s">
        <v>8</v>
      </c>
      <c r="N29" s="63" t="s">
        <v>8</v>
      </c>
      <c r="O29" s="63" t="s">
        <v>8</v>
      </c>
      <c r="P29" s="55">
        <v>0.74</v>
      </c>
      <c r="Q29" s="55">
        <v>9.5500000000000007</v>
      </c>
      <c r="R29" s="43"/>
      <c r="S29" s="43"/>
      <c r="T29" s="43"/>
      <c r="U29" s="43"/>
    </row>
    <row r="30" spans="1:21" s="11" customFormat="1" x14ac:dyDescent="0.25">
      <c r="A30" s="54" t="s">
        <v>657</v>
      </c>
      <c r="B30" s="55">
        <v>20.59</v>
      </c>
      <c r="C30" s="55">
        <v>29.21</v>
      </c>
      <c r="D30" s="55">
        <v>24.32</v>
      </c>
      <c r="E30" s="55">
        <v>4.13</v>
      </c>
      <c r="F30" s="55">
        <v>4.03</v>
      </c>
      <c r="G30" s="55">
        <v>39.57</v>
      </c>
      <c r="H30" s="55">
        <v>9.6999999999999993</v>
      </c>
      <c r="I30" s="55">
        <v>4.07</v>
      </c>
      <c r="J30" s="63" t="s">
        <v>8</v>
      </c>
      <c r="K30" s="63" t="s">
        <v>8</v>
      </c>
      <c r="L30" s="63" t="s">
        <v>8</v>
      </c>
      <c r="M30" s="63" t="s">
        <v>8</v>
      </c>
      <c r="N30" s="63" t="s">
        <v>8</v>
      </c>
      <c r="O30" s="63" t="s">
        <v>8</v>
      </c>
      <c r="P30" s="55">
        <v>1.52</v>
      </c>
      <c r="Q30" s="55">
        <v>9.59</v>
      </c>
      <c r="R30" s="43"/>
      <c r="S30" s="43"/>
      <c r="T30" s="43"/>
      <c r="U30" s="43"/>
    </row>
    <row r="31" spans="1:21" s="11" customFormat="1" x14ac:dyDescent="0.25">
      <c r="A31" s="54" t="s">
        <v>658</v>
      </c>
      <c r="B31" s="55">
        <v>25.48</v>
      </c>
      <c r="C31" s="55">
        <v>33.770000000000003</v>
      </c>
      <c r="D31" s="55">
        <v>25.52</v>
      </c>
      <c r="E31" s="55">
        <v>4.49</v>
      </c>
      <c r="F31" s="55">
        <v>4.58</v>
      </c>
      <c r="G31" s="55">
        <v>49.04</v>
      </c>
      <c r="H31" s="55">
        <v>10.1</v>
      </c>
      <c r="I31" s="55">
        <v>3.96</v>
      </c>
      <c r="J31" s="63" t="s">
        <v>8</v>
      </c>
      <c r="K31" s="63" t="s">
        <v>8</v>
      </c>
      <c r="L31" s="63" t="s">
        <v>8</v>
      </c>
      <c r="M31" s="63" t="s">
        <v>8</v>
      </c>
      <c r="N31" s="63" t="s">
        <v>8</v>
      </c>
      <c r="O31" s="63" t="s">
        <v>8</v>
      </c>
      <c r="P31" s="55">
        <v>1</v>
      </c>
      <c r="Q31" s="55">
        <v>9.6300000000000008</v>
      </c>
      <c r="R31" s="43"/>
      <c r="S31" s="43"/>
      <c r="T31" s="43"/>
      <c r="U31" s="43"/>
    </row>
    <row r="32" spans="1:21" s="11" customFormat="1" x14ac:dyDescent="0.25">
      <c r="A32" s="54" t="s">
        <v>659</v>
      </c>
      <c r="B32" s="55">
        <v>24.83</v>
      </c>
      <c r="C32" s="55">
        <v>32.229999999999997</v>
      </c>
      <c r="D32" s="55">
        <v>24.22</v>
      </c>
      <c r="E32" s="55">
        <v>5.23</v>
      </c>
      <c r="F32" s="55">
        <v>4.45</v>
      </c>
      <c r="G32" s="55">
        <v>48.65</v>
      </c>
      <c r="H32" s="55">
        <v>13.2</v>
      </c>
      <c r="I32" s="55">
        <v>4.17</v>
      </c>
      <c r="J32" s="63" t="s">
        <v>8</v>
      </c>
      <c r="K32" s="63" t="s">
        <v>8</v>
      </c>
      <c r="L32" s="63" t="s">
        <v>8</v>
      </c>
      <c r="M32" s="63" t="s">
        <v>8</v>
      </c>
      <c r="N32" s="63" t="s">
        <v>8</v>
      </c>
      <c r="O32" s="63" t="s">
        <v>8</v>
      </c>
      <c r="P32" s="55">
        <v>0.75</v>
      </c>
      <c r="Q32" s="55">
        <v>9.65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7.14</v>
      </c>
      <c r="C34" s="28">
        <f t="shared" si="0"/>
        <v>16.7</v>
      </c>
      <c r="D34" s="28">
        <f t="shared" si="0"/>
        <v>18.41</v>
      </c>
      <c r="E34" s="28">
        <f t="shared" si="0"/>
        <v>3.96</v>
      </c>
      <c r="F34" s="28">
        <f t="shared" si="0"/>
        <v>3.99</v>
      </c>
      <c r="G34" s="28">
        <f t="shared" si="0"/>
        <v>11.3</v>
      </c>
      <c r="H34" s="28">
        <f t="shared" si="0"/>
        <v>0.81</v>
      </c>
      <c r="I34" s="28">
        <f t="shared" si="0"/>
        <v>3.96</v>
      </c>
      <c r="J34" s="28">
        <f t="shared" si="0"/>
        <v>0</v>
      </c>
      <c r="K34" s="28">
        <f t="shared" si="0"/>
        <v>0</v>
      </c>
      <c r="L34" s="28">
        <f t="shared" si="0"/>
        <v>0</v>
      </c>
      <c r="M34" s="28">
        <f t="shared" si="0"/>
        <v>0</v>
      </c>
      <c r="N34" s="28">
        <f t="shared" si="0"/>
        <v>0</v>
      </c>
      <c r="O34" s="28">
        <f t="shared" si="0"/>
        <v>0</v>
      </c>
      <c r="P34" s="28">
        <f t="shared" si="0"/>
        <v>0.3</v>
      </c>
      <c r="Q34" s="28">
        <f t="shared" si="0"/>
        <v>9.23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28.32</v>
      </c>
      <c r="C35" s="29">
        <f t="shared" si="1"/>
        <v>44.27</v>
      </c>
      <c r="D35" s="29">
        <f t="shared" si="1"/>
        <v>41.26</v>
      </c>
      <c r="E35" s="29">
        <f t="shared" si="1"/>
        <v>5.96</v>
      </c>
      <c r="F35" s="29">
        <f t="shared" si="1"/>
        <v>16.940000000000001</v>
      </c>
      <c r="G35" s="29">
        <f t="shared" si="1"/>
        <v>57.31</v>
      </c>
      <c r="H35" s="29">
        <f t="shared" si="1"/>
        <v>52.54</v>
      </c>
      <c r="I35" s="29">
        <f t="shared" si="1"/>
        <v>4.25</v>
      </c>
      <c r="J35" s="29">
        <f t="shared" si="1"/>
        <v>0</v>
      </c>
      <c r="K35" s="29">
        <f t="shared" si="1"/>
        <v>0</v>
      </c>
      <c r="L35" s="29">
        <f t="shared" si="1"/>
        <v>0</v>
      </c>
      <c r="M35" s="29">
        <f t="shared" si="1"/>
        <v>0</v>
      </c>
      <c r="N35" s="29">
        <f t="shared" si="1"/>
        <v>0</v>
      </c>
      <c r="O35" s="29">
        <f t="shared" si="1"/>
        <v>0</v>
      </c>
      <c r="P35" s="29">
        <f t="shared" si="1"/>
        <v>1.52</v>
      </c>
      <c r="Q35" s="29">
        <f t="shared" si="1"/>
        <v>9.65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14.939583333333331</v>
      </c>
      <c r="C36" s="28">
        <f t="shared" si="2"/>
        <v>25.65666666666667</v>
      </c>
      <c r="D36" s="28">
        <f t="shared" si="2"/>
        <v>26.479166666666675</v>
      </c>
      <c r="E36" s="28">
        <f t="shared" si="2"/>
        <v>5.0129166666666656</v>
      </c>
      <c r="F36" s="28">
        <f t="shared" si="2"/>
        <v>8.4333333333333353</v>
      </c>
      <c r="G36" s="28">
        <f t="shared" si="2"/>
        <v>32.410000000000004</v>
      </c>
      <c r="H36" s="28">
        <f t="shared" si="2"/>
        <v>12.120833333333335</v>
      </c>
      <c r="I36" s="28">
        <f t="shared" si="2"/>
        <v>4.0891666666666664</v>
      </c>
      <c r="J36" s="28" t="e">
        <f t="shared" si="2"/>
        <v>#DIV/0!</v>
      </c>
      <c r="K36" s="28" t="e">
        <f t="shared" si="2"/>
        <v>#DIV/0!</v>
      </c>
      <c r="L36" s="28" t="e">
        <f t="shared" si="2"/>
        <v>#DIV/0!</v>
      </c>
      <c r="M36" s="28" t="e">
        <f t="shared" si="2"/>
        <v>#DIV/0!</v>
      </c>
      <c r="N36" s="28" t="e">
        <f t="shared" si="2"/>
        <v>#DIV/0!</v>
      </c>
      <c r="O36" s="28" t="e">
        <f t="shared" si="2"/>
        <v>#DIV/0!</v>
      </c>
      <c r="P36" s="28">
        <f t="shared" si="2"/>
        <v>0.63166666666666671</v>
      </c>
      <c r="Q36" s="28">
        <f t="shared" si="2"/>
        <v>9.4804166666666685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5.8261050298497601</v>
      </c>
      <c r="C37" s="28">
        <f t="shared" ref="C37:Q37" si="3">STDEV(C9:C32)</f>
        <v>6.4162325846021275</v>
      </c>
      <c r="D37" s="28">
        <f t="shared" si="3"/>
        <v>5.6466210878847267</v>
      </c>
      <c r="E37" s="28">
        <f t="shared" si="3"/>
        <v>0.62796759239745836</v>
      </c>
      <c r="F37" s="28">
        <f t="shared" si="3"/>
        <v>4.4027260988448065</v>
      </c>
      <c r="G37" s="28">
        <f t="shared" si="3"/>
        <v>12.349168604298475</v>
      </c>
      <c r="H37" s="28">
        <f t="shared" si="3"/>
        <v>12.219642746029022</v>
      </c>
      <c r="I37" s="28">
        <f t="shared" si="3"/>
        <v>7.1195790463412567E-2</v>
      </c>
      <c r="J37" s="28" t="e">
        <f t="shared" si="3"/>
        <v>#DIV/0!</v>
      </c>
      <c r="K37" s="28" t="e">
        <f t="shared" si="3"/>
        <v>#DIV/0!</v>
      </c>
      <c r="L37" s="28" t="e">
        <f t="shared" si="3"/>
        <v>#DIV/0!</v>
      </c>
      <c r="M37" s="28" t="e">
        <f t="shared" si="3"/>
        <v>#DIV/0!</v>
      </c>
      <c r="N37" s="28" t="e">
        <f t="shared" si="3"/>
        <v>#DIV/0!</v>
      </c>
      <c r="O37" s="28" t="e">
        <f t="shared" si="3"/>
        <v>#DIV/0!</v>
      </c>
      <c r="P37" s="28">
        <f t="shared" si="3"/>
        <v>0.29252523736039171</v>
      </c>
      <c r="Q37" s="28">
        <f t="shared" si="3"/>
        <v>0.1366200433021601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>COUNT(J9:J32)+24</f>
        <v>24</v>
      </c>
      <c r="K38" s="32">
        <f t="shared" ref="K38:O38" si="5">COUNT(K9:K32)+24</f>
        <v>24</v>
      </c>
      <c r="L38" s="32">
        <f t="shared" si="5"/>
        <v>24</v>
      </c>
      <c r="M38" s="32">
        <f t="shared" si="5"/>
        <v>24</v>
      </c>
      <c r="N38" s="32">
        <f t="shared" si="5"/>
        <v>24</v>
      </c>
      <c r="O38" s="32">
        <f t="shared" si="5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6">IF(C38&gt;=22,"&gt;90%",IF(C38&lt;=22,"&lt;90%"))</f>
        <v>&gt;90%</v>
      </c>
      <c r="D39" s="29" t="str">
        <f t="shared" si="6"/>
        <v>&gt;90%</v>
      </c>
      <c r="E39" s="29" t="str">
        <f t="shared" si="6"/>
        <v>&gt;90%</v>
      </c>
      <c r="F39" s="29" t="str">
        <f t="shared" si="6"/>
        <v>&gt;90%</v>
      </c>
      <c r="G39" s="29" t="str">
        <f t="shared" si="6"/>
        <v>&gt;90%</v>
      </c>
      <c r="H39" s="29" t="str">
        <f t="shared" si="6"/>
        <v>&gt;90%</v>
      </c>
      <c r="I39" s="29" t="str">
        <f t="shared" si="6"/>
        <v>&gt;90%</v>
      </c>
      <c r="J39" s="29" t="str">
        <f t="shared" si="6"/>
        <v>&gt;90%</v>
      </c>
      <c r="K39" s="29" t="str">
        <f t="shared" si="6"/>
        <v>&gt;90%</v>
      </c>
      <c r="L39" s="29" t="str">
        <f t="shared" si="6"/>
        <v>&gt;90%</v>
      </c>
      <c r="M39" s="29" t="str">
        <f t="shared" si="6"/>
        <v>&gt;90%</v>
      </c>
      <c r="N39" s="29" t="str">
        <f t="shared" si="6"/>
        <v>&gt;90%</v>
      </c>
      <c r="O39" s="29" t="str">
        <f t="shared" si="6"/>
        <v>&gt;90%</v>
      </c>
      <c r="P39" s="29" t="str">
        <f t="shared" si="6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7">IF(C38&gt;=22,"OK",IF(C38&lt;=22,"LESS"))</f>
        <v>OK</v>
      </c>
      <c r="D40" s="29" t="str">
        <f t="shared" si="7"/>
        <v>OK</v>
      </c>
      <c r="E40" s="29" t="str">
        <f t="shared" si="7"/>
        <v>OK</v>
      </c>
      <c r="F40" s="29" t="str">
        <f t="shared" si="7"/>
        <v>OK</v>
      </c>
      <c r="G40" s="29" t="str">
        <f t="shared" si="7"/>
        <v>OK</v>
      </c>
      <c r="H40" s="29" t="str">
        <f t="shared" si="7"/>
        <v>OK</v>
      </c>
      <c r="I40" s="29" t="str">
        <f t="shared" si="7"/>
        <v>OK</v>
      </c>
      <c r="J40" s="29" t="str">
        <f t="shared" si="7"/>
        <v>OK</v>
      </c>
      <c r="K40" s="29" t="str">
        <f t="shared" si="7"/>
        <v>OK</v>
      </c>
      <c r="L40" s="29" t="str">
        <f t="shared" si="7"/>
        <v>OK</v>
      </c>
      <c r="M40" s="29" t="str">
        <f t="shared" si="7"/>
        <v>OK</v>
      </c>
      <c r="N40" s="29" t="str">
        <f t="shared" si="7"/>
        <v>OK</v>
      </c>
      <c r="O40" s="29" t="str">
        <f t="shared" si="7"/>
        <v>OK</v>
      </c>
      <c r="P40" s="29" t="str">
        <f t="shared" si="7"/>
        <v>OK</v>
      </c>
      <c r="Q40" s="29" t="str">
        <f t="shared" si="7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34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J9" sqref="J9:O3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26/05/2025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51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60"/>
      <c r="B8" s="61" t="s">
        <v>22</v>
      </c>
      <c r="C8" s="61" t="s">
        <v>22</v>
      </c>
      <c r="D8" s="29" t="s">
        <v>42</v>
      </c>
      <c r="E8" s="61" t="s">
        <v>22</v>
      </c>
      <c r="F8" s="61" t="s">
        <v>22</v>
      </c>
      <c r="G8" s="61" t="s">
        <v>23</v>
      </c>
      <c r="H8" s="61" t="s">
        <v>22</v>
      </c>
      <c r="I8" s="61" t="s">
        <v>22</v>
      </c>
      <c r="J8" s="61" t="s">
        <v>24</v>
      </c>
      <c r="K8" s="61" t="s">
        <v>25</v>
      </c>
      <c r="L8" s="60" t="s">
        <v>27</v>
      </c>
      <c r="M8" s="61" t="s">
        <v>26</v>
      </c>
      <c r="N8" s="61" t="s">
        <v>28</v>
      </c>
      <c r="O8" s="60" t="s">
        <v>29</v>
      </c>
      <c r="P8" s="61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4" t="s">
        <v>660</v>
      </c>
      <c r="B9" s="55">
        <v>22.99</v>
      </c>
      <c r="C9" s="55">
        <v>30.21</v>
      </c>
      <c r="D9" s="55">
        <v>22.54</v>
      </c>
      <c r="E9" s="55">
        <v>4.5</v>
      </c>
      <c r="F9" s="55">
        <v>5.41</v>
      </c>
      <c r="G9" s="55">
        <v>44.37</v>
      </c>
      <c r="H9" s="55">
        <v>12.2</v>
      </c>
      <c r="I9" s="55">
        <v>4.0199999999999996</v>
      </c>
      <c r="J9" s="64" t="s">
        <v>15</v>
      </c>
      <c r="K9" s="64" t="s">
        <v>15</v>
      </c>
      <c r="L9" s="64" t="s">
        <v>15</v>
      </c>
      <c r="M9" s="64" t="s">
        <v>15</v>
      </c>
      <c r="N9" s="64" t="s">
        <v>15</v>
      </c>
      <c r="O9" s="64" t="s">
        <v>15</v>
      </c>
      <c r="P9" s="55">
        <v>0.4</v>
      </c>
      <c r="Q9" s="55">
        <v>9.69</v>
      </c>
      <c r="R9" s="43"/>
      <c r="S9" s="43"/>
      <c r="T9" s="43"/>
      <c r="U9" s="43"/>
    </row>
    <row r="10" spans="1:21" s="11" customFormat="1" x14ac:dyDescent="0.25">
      <c r="A10" s="54" t="s">
        <v>661</v>
      </c>
      <c r="B10" s="55">
        <v>22.39</v>
      </c>
      <c r="C10" s="55">
        <v>27.92</v>
      </c>
      <c r="D10" s="55">
        <v>19.07</v>
      </c>
      <c r="E10" s="55">
        <v>4.68</v>
      </c>
      <c r="F10" s="55">
        <v>4.0999999999999996</v>
      </c>
      <c r="G10" s="55">
        <v>32.14</v>
      </c>
      <c r="H10" s="55">
        <v>7.63</v>
      </c>
      <c r="I10" s="55">
        <v>4.04</v>
      </c>
      <c r="J10" s="64" t="s">
        <v>15</v>
      </c>
      <c r="K10" s="64" t="s">
        <v>15</v>
      </c>
      <c r="L10" s="64" t="s">
        <v>15</v>
      </c>
      <c r="M10" s="64" t="s">
        <v>15</v>
      </c>
      <c r="N10" s="64" t="s">
        <v>15</v>
      </c>
      <c r="O10" s="64" t="s">
        <v>15</v>
      </c>
      <c r="P10" s="55">
        <v>0.43</v>
      </c>
      <c r="Q10" s="55">
        <v>9.69</v>
      </c>
      <c r="R10" s="43"/>
      <c r="S10" s="43"/>
      <c r="T10" s="43"/>
      <c r="U10" s="43"/>
    </row>
    <row r="11" spans="1:21" s="11" customFormat="1" x14ac:dyDescent="0.25">
      <c r="A11" s="54" t="s">
        <v>662</v>
      </c>
      <c r="B11" s="55">
        <v>21.02</v>
      </c>
      <c r="C11" s="55">
        <v>27.12</v>
      </c>
      <c r="D11" s="55">
        <v>20.61</v>
      </c>
      <c r="E11" s="55">
        <v>4.49</v>
      </c>
      <c r="F11" s="55">
        <v>4.2</v>
      </c>
      <c r="G11" s="55">
        <v>27.67</v>
      </c>
      <c r="H11" s="55">
        <v>5.89</v>
      </c>
      <c r="I11" s="55">
        <v>4.09</v>
      </c>
      <c r="J11" s="64" t="s">
        <v>15</v>
      </c>
      <c r="K11" s="64" t="s">
        <v>15</v>
      </c>
      <c r="L11" s="64" t="s">
        <v>15</v>
      </c>
      <c r="M11" s="64" t="s">
        <v>15</v>
      </c>
      <c r="N11" s="64" t="s">
        <v>15</v>
      </c>
      <c r="O11" s="64" t="s">
        <v>15</v>
      </c>
      <c r="P11" s="55">
        <v>0.52</v>
      </c>
      <c r="Q11" s="55">
        <v>9.67</v>
      </c>
      <c r="R11" s="43"/>
      <c r="S11" s="43"/>
      <c r="T11" s="43"/>
      <c r="U11" s="43"/>
    </row>
    <row r="12" spans="1:21" s="11" customFormat="1" x14ac:dyDescent="0.25">
      <c r="A12" s="54" t="s">
        <v>663</v>
      </c>
      <c r="B12" s="55">
        <v>19.18</v>
      </c>
      <c r="C12" s="55">
        <v>26.02</v>
      </c>
      <c r="D12" s="55">
        <v>20.36</v>
      </c>
      <c r="E12" s="55">
        <v>4.5599999999999996</v>
      </c>
      <c r="F12" s="55">
        <v>4.3099999999999996</v>
      </c>
      <c r="G12" s="55">
        <v>24.54</v>
      </c>
      <c r="H12" s="55">
        <v>5.68</v>
      </c>
      <c r="I12" s="55">
        <v>4.12</v>
      </c>
      <c r="J12" s="64" t="s">
        <v>15</v>
      </c>
      <c r="K12" s="64" t="s">
        <v>15</v>
      </c>
      <c r="L12" s="64" t="s">
        <v>15</v>
      </c>
      <c r="M12" s="64" t="s">
        <v>15</v>
      </c>
      <c r="N12" s="64" t="s">
        <v>15</v>
      </c>
      <c r="O12" s="64" t="s">
        <v>15</v>
      </c>
      <c r="P12" s="55">
        <v>0.48</v>
      </c>
      <c r="Q12" s="55">
        <v>9.64</v>
      </c>
      <c r="R12" s="43"/>
      <c r="S12" s="43"/>
      <c r="T12" s="43"/>
      <c r="U12" s="43"/>
    </row>
    <row r="13" spans="1:21" s="11" customFormat="1" x14ac:dyDescent="0.25">
      <c r="A13" s="54" t="s">
        <v>664</v>
      </c>
      <c r="B13" s="55">
        <v>20.25</v>
      </c>
      <c r="C13" s="55">
        <v>26.34</v>
      </c>
      <c r="D13" s="55">
        <v>20.65</v>
      </c>
      <c r="E13" s="55">
        <v>4.3499999999999996</v>
      </c>
      <c r="F13" s="55">
        <v>3.72</v>
      </c>
      <c r="G13" s="55">
        <v>20.28</v>
      </c>
      <c r="H13" s="55">
        <v>4.55</v>
      </c>
      <c r="I13" s="55">
        <v>4.1500000000000004</v>
      </c>
      <c r="J13" s="64" t="s">
        <v>15</v>
      </c>
      <c r="K13" s="64" t="s">
        <v>15</v>
      </c>
      <c r="L13" s="64" t="s">
        <v>15</v>
      </c>
      <c r="M13" s="64" t="s">
        <v>15</v>
      </c>
      <c r="N13" s="64" t="s">
        <v>15</v>
      </c>
      <c r="O13" s="64" t="s">
        <v>15</v>
      </c>
      <c r="P13" s="55">
        <v>0.45</v>
      </c>
      <c r="Q13" s="55">
        <v>9.66</v>
      </c>
      <c r="R13" s="43"/>
      <c r="S13" s="43"/>
      <c r="T13" s="43"/>
      <c r="U13" s="43"/>
    </row>
    <row r="14" spans="1:21" s="11" customFormat="1" x14ac:dyDescent="0.25">
      <c r="A14" s="54" t="s">
        <v>665</v>
      </c>
      <c r="B14" s="55">
        <v>21.41</v>
      </c>
      <c r="C14" s="55">
        <v>26.53</v>
      </c>
      <c r="D14" s="55">
        <v>18.02</v>
      </c>
      <c r="E14" s="55">
        <v>4.53</v>
      </c>
      <c r="F14" s="55">
        <v>3.57</v>
      </c>
      <c r="G14" s="55">
        <v>23.85</v>
      </c>
      <c r="H14" s="55">
        <v>5.76</v>
      </c>
      <c r="I14" s="55">
        <v>4.08</v>
      </c>
      <c r="J14" s="64" t="s">
        <v>15</v>
      </c>
      <c r="K14" s="64" t="s">
        <v>15</v>
      </c>
      <c r="L14" s="64" t="s">
        <v>15</v>
      </c>
      <c r="M14" s="64" t="s">
        <v>15</v>
      </c>
      <c r="N14" s="64" t="s">
        <v>15</v>
      </c>
      <c r="O14" s="64" t="s">
        <v>15</v>
      </c>
      <c r="P14" s="55">
        <v>0.48</v>
      </c>
      <c r="Q14" s="55">
        <v>9.67</v>
      </c>
      <c r="R14" s="43"/>
      <c r="S14" s="43"/>
      <c r="T14" s="43"/>
      <c r="U14" s="43"/>
    </row>
    <row r="15" spans="1:21" s="11" customFormat="1" x14ac:dyDescent="0.25">
      <c r="A15" s="54" t="s">
        <v>666</v>
      </c>
      <c r="B15" s="55">
        <v>25.27</v>
      </c>
      <c r="C15" s="55">
        <v>31.47</v>
      </c>
      <c r="D15" s="55">
        <v>21.44</v>
      </c>
      <c r="E15" s="55">
        <v>4.51</v>
      </c>
      <c r="F15" s="55">
        <v>3.48</v>
      </c>
      <c r="G15" s="55">
        <v>27.22</v>
      </c>
      <c r="H15" s="55">
        <v>7.02</v>
      </c>
      <c r="I15" s="55">
        <v>4.0599999999999996</v>
      </c>
      <c r="J15" s="64" t="s">
        <v>15</v>
      </c>
      <c r="K15" s="64" t="s">
        <v>15</v>
      </c>
      <c r="L15" s="64" t="s">
        <v>15</v>
      </c>
      <c r="M15" s="64" t="s">
        <v>15</v>
      </c>
      <c r="N15" s="64" t="s">
        <v>15</v>
      </c>
      <c r="O15" s="64" t="s">
        <v>15</v>
      </c>
      <c r="P15" s="55">
        <v>0.72</v>
      </c>
      <c r="Q15" s="55">
        <v>9.66</v>
      </c>
      <c r="R15" s="43"/>
      <c r="S15" s="43"/>
      <c r="T15" s="43"/>
      <c r="U15" s="43"/>
    </row>
    <row r="16" spans="1:21" s="11" customFormat="1" x14ac:dyDescent="0.25">
      <c r="A16" s="54" t="s">
        <v>667</v>
      </c>
      <c r="B16" s="55">
        <v>25.55</v>
      </c>
      <c r="C16" s="55">
        <v>32.31</v>
      </c>
      <c r="D16" s="55">
        <v>22.91</v>
      </c>
      <c r="E16" s="55">
        <v>4.3499999999999996</v>
      </c>
      <c r="F16" s="55">
        <v>4.79</v>
      </c>
      <c r="G16" s="55">
        <v>40.96</v>
      </c>
      <c r="H16" s="55">
        <v>12.86</v>
      </c>
      <c r="I16" s="55">
        <v>3.93</v>
      </c>
      <c r="J16" s="64" t="s">
        <v>15</v>
      </c>
      <c r="K16" s="64" t="s">
        <v>15</v>
      </c>
      <c r="L16" s="64" t="s">
        <v>15</v>
      </c>
      <c r="M16" s="64" t="s">
        <v>15</v>
      </c>
      <c r="N16" s="64" t="s">
        <v>15</v>
      </c>
      <c r="O16" s="64" t="s">
        <v>15</v>
      </c>
      <c r="P16" s="55">
        <v>0.56000000000000005</v>
      </c>
      <c r="Q16" s="55">
        <v>9.66</v>
      </c>
      <c r="R16" s="43"/>
      <c r="S16" s="43"/>
      <c r="T16" s="43"/>
      <c r="U16" s="43"/>
    </row>
    <row r="17" spans="1:21" s="11" customFormat="1" x14ac:dyDescent="0.25">
      <c r="A17" s="54" t="s">
        <v>668</v>
      </c>
      <c r="B17" s="55">
        <v>22.67</v>
      </c>
      <c r="C17" s="55">
        <v>30.4</v>
      </c>
      <c r="D17" s="55">
        <v>23.87</v>
      </c>
      <c r="E17" s="55">
        <v>4.2</v>
      </c>
      <c r="F17" s="55">
        <v>6.65</v>
      </c>
      <c r="G17" s="55">
        <v>40.89</v>
      </c>
      <c r="H17" s="55">
        <v>12.27</v>
      </c>
      <c r="I17" s="55">
        <v>4.0599999999999996</v>
      </c>
      <c r="J17" s="64" t="s">
        <v>15</v>
      </c>
      <c r="K17" s="64" t="s">
        <v>15</v>
      </c>
      <c r="L17" s="64" t="s">
        <v>15</v>
      </c>
      <c r="M17" s="64" t="s">
        <v>15</v>
      </c>
      <c r="N17" s="64" t="s">
        <v>15</v>
      </c>
      <c r="O17" s="64" t="s">
        <v>15</v>
      </c>
      <c r="P17" s="55">
        <v>0.49</v>
      </c>
      <c r="Q17" s="55">
        <v>9.66</v>
      </c>
      <c r="R17" s="43"/>
      <c r="S17" s="43"/>
      <c r="T17" s="43"/>
      <c r="U17" s="43"/>
    </row>
    <row r="18" spans="1:21" s="11" customFormat="1" x14ac:dyDescent="0.25">
      <c r="A18" s="54" t="s">
        <v>669</v>
      </c>
      <c r="B18" s="55">
        <v>18.28</v>
      </c>
      <c r="C18" s="55">
        <v>26.5</v>
      </c>
      <c r="D18" s="55">
        <v>22.68</v>
      </c>
      <c r="E18" s="55">
        <v>4.2</v>
      </c>
      <c r="F18" s="55">
        <v>8.14</v>
      </c>
      <c r="G18" s="55">
        <v>41.62</v>
      </c>
      <c r="H18" s="55">
        <v>13.29</v>
      </c>
      <c r="I18" s="55">
        <v>4.0599999999999996</v>
      </c>
      <c r="J18" s="64" t="s">
        <v>15</v>
      </c>
      <c r="K18" s="64" t="s">
        <v>15</v>
      </c>
      <c r="L18" s="64" t="s">
        <v>15</v>
      </c>
      <c r="M18" s="64" t="s">
        <v>15</v>
      </c>
      <c r="N18" s="64" t="s">
        <v>15</v>
      </c>
      <c r="O18" s="64" t="s">
        <v>15</v>
      </c>
      <c r="P18" s="55">
        <v>0.5</v>
      </c>
      <c r="Q18" s="55">
        <v>9.64</v>
      </c>
      <c r="R18" s="43"/>
      <c r="S18" s="43"/>
      <c r="T18" s="43"/>
      <c r="U18" s="43"/>
    </row>
    <row r="19" spans="1:21" s="11" customFormat="1" x14ac:dyDescent="0.25">
      <c r="A19" s="54" t="s">
        <v>670</v>
      </c>
      <c r="B19" s="55">
        <v>15.64</v>
      </c>
      <c r="C19" s="55">
        <v>23.23</v>
      </c>
      <c r="D19" s="55">
        <v>21.68</v>
      </c>
      <c r="E19" s="55">
        <v>4.2300000000000004</v>
      </c>
      <c r="F19" s="55">
        <v>6.39</v>
      </c>
      <c r="G19" s="55">
        <v>41.57</v>
      </c>
      <c r="H19" s="55">
        <v>13.92</v>
      </c>
      <c r="I19" s="55">
        <v>4.04</v>
      </c>
      <c r="J19" s="64" t="s">
        <v>15</v>
      </c>
      <c r="K19" s="64" t="s">
        <v>15</v>
      </c>
      <c r="L19" s="64" t="s">
        <v>15</v>
      </c>
      <c r="M19" s="64" t="s">
        <v>15</v>
      </c>
      <c r="N19" s="64" t="s">
        <v>15</v>
      </c>
      <c r="O19" s="64" t="s">
        <v>15</v>
      </c>
      <c r="P19" s="55">
        <v>0.49</v>
      </c>
      <c r="Q19" s="55">
        <v>9.56</v>
      </c>
      <c r="R19" s="43"/>
      <c r="S19" s="43"/>
      <c r="T19" s="43"/>
      <c r="U19" s="43"/>
    </row>
    <row r="20" spans="1:21" s="11" customFormat="1" x14ac:dyDescent="0.25">
      <c r="A20" s="54" t="s">
        <v>671</v>
      </c>
      <c r="B20" s="55">
        <v>12.93</v>
      </c>
      <c r="C20" s="55">
        <v>22.21</v>
      </c>
      <c r="D20" s="55">
        <v>24.42</v>
      </c>
      <c r="E20" s="55">
        <v>4.04</v>
      </c>
      <c r="F20" s="55">
        <v>4.57</v>
      </c>
      <c r="G20" s="55">
        <v>40.85</v>
      </c>
      <c r="H20" s="55">
        <v>13.69</v>
      </c>
      <c r="I20" s="55">
        <v>4.0999999999999996</v>
      </c>
      <c r="J20" s="64" t="s">
        <v>15</v>
      </c>
      <c r="K20" s="64" t="s">
        <v>15</v>
      </c>
      <c r="L20" s="64" t="s">
        <v>15</v>
      </c>
      <c r="M20" s="64" t="s">
        <v>15</v>
      </c>
      <c r="N20" s="64" t="s">
        <v>15</v>
      </c>
      <c r="O20" s="64" t="s">
        <v>15</v>
      </c>
      <c r="P20" s="55">
        <v>0.68</v>
      </c>
      <c r="Q20" s="55">
        <v>9.43</v>
      </c>
      <c r="R20" s="43"/>
      <c r="S20" s="43"/>
      <c r="T20" s="43"/>
      <c r="U20" s="43"/>
    </row>
    <row r="21" spans="1:21" s="11" customFormat="1" x14ac:dyDescent="0.25">
      <c r="A21" s="54" t="s">
        <v>672</v>
      </c>
      <c r="B21" s="55">
        <v>11.01</v>
      </c>
      <c r="C21" s="55">
        <v>21.73</v>
      </c>
      <c r="D21" s="55">
        <v>24.99</v>
      </c>
      <c r="E21" s="55">
        <v>3.97</v>
      </c>
      <c r="F21" s="55">
        <v>5.99</v>
      </c>
      <c r="G21" s="55">
        <v>39.57</v>
      </c>
      <c r="H21" s="55">
        <v>12.27</v>
      </c>
      <c r="I21" s="55">
        <v>4.07</v>
      </c>
      <c r="J21" s="64" t="s">
        <v>15</v>
      </c>
      <c r="K21" s="64" t="s">
        <v>15</v>
      </c>
      <c r="L21" s="64" t="s">
        <v>15</v>
      </c>
      <c r="M21" s="64" t="s">
        <v>15</v>
      </c>
      <c r="N21" s="64" t="s">
        <v>15</v>
      </c>
      <c r="O21" s="64" t="s">
        <v>15</v>
      </c>
      <c r="P21" s="55">
        <v>0.45</v>
      </c>
      <c r="Q21" s="55">
        <v>9.36</v>
      </c>
      <c r="R21" s="43"/>
      <c r="S21" s="43"/>
      <c r="T21" s="43"/>
      <c r="U21" s="43"/>
    </row>
    <row r="22" spans="1:21" s="11" customFormat="1" x14ac:dyDescent="0.25">
      <c r="A22" s="54" t="s">
        <v>673</v>
      </c>
      <c r="B22" s="55">
        <v>11.5</v>
      </c>
      <c r="C22" s="55">
        <v>20.68</v>
      </c>
      <c r="D22" s="55">
        <v>23.41</v>
      </c>
      <c r="E22" s="55">
        <v>3.94</v>
      </c>
      <c r="F22" s="55">
        <v>5.33</v>
      </c>
      <c r="G22" s="55">
        <v>37.340000000000003</v>
      </c>
      <c r="H22" s="55">
        <v>10.71</v>
      </c>
      <c r="I22" s="55">
        <v>4.0199999999999996</v>
      </c>
      <c r="J22" s="64" t="s">
        <v>15</v>
      </c>
      <c r="K22" s="64" t="s">
        <v>15</v>
      </c>
      <c r="L22" s="64" t="s">
        <v>15</v>
      </c>
      <c r="M22" s="64" t="s">
        <v>15</v>
      </c>
      <c r="N22" s="64" t="s">
        <v>15</v>
      </c>
      <c r="O22" s="64" t="s">
        <v>15</v>
      </c>
      <c r="P22" s="55">
        <v>0.51</v>
      </c>
      <c r="Q22" s="55">
        <v>9.3800000000000008</v>
      </c>
      <c r="R22" s="43"/>
      <c r="S22" s="43"/>
      <c r="T22" s="43"/>
      <c r="U22" s="43"/>
    </row>
    <row r="23" spans="1:21" s="11" customFormat="1" x14ac:dyDescent="0.25">
      <c r="A23" s="54" t="s">
        <v>674</v>
      </c>
      <c r="B23" s="55">
        <v>14.49</v>
      </c>
      <c r="C23" s="55">
        <v>23.35</v>
      </c>
      <c r="D23" s="55">
        <v>22.44</v>
      </c>
      <c r="E23" s="55">
        <v>4.1500000000000004</v>
      </c>
      <c r="F23" s="55">
        <v>6.3</v>
      </c>
      <c r="G23" s="55">
        <v>30.03</v>
      </c>
      <c r="H23" s="55">
        <v>10.36</v>
      </c>
      <c r="I23" s="55">
        <v>4.0599999999999996</v>
      </c>
      <c r="J23" s="64" t="s">
        <v>15</v>
      </c>
      <c r="K23" s="64" t="s">
        <v>15</v>
      </c>
      <c r="L23" s="64" t="s">
        <v>15</v>
      </c>
      <c r="M23" s="64" t="s">
        <v>15</v>
      </c>
      <c r="N23" s="64" t="s">
        <v>15</v>
      </c>
      <c r="O23" s="64" t="s">
        <v>15</v>
      </c>
      <c r="P23" s="55">
        <v>0.53</v>
      </c>
      <c r="Q23" s="55">
        <v>9.5</v>
      </c>
      <c r="R23" s="43"/>
      <c r="S23" s="43"/>
      <c r="T23" s="43"/>
      <c r="U23" s="43"/>
    </row>
    <row r="24" spans="1:21" s="11" customFormat="1" x14ac:dyDescent="0.25">
      <c r="A24" s="54" t="s">
        <v>675</v>
      </c>
      <c r="B24" s="55">
        <v>13.92</v>
      </c>
      <c r="C24" s="55">
        <v>23.1</v>
      </c>
      <c r="D24" s="55">
        <v>25.29</v>
      </c>
      <c r="E24" s="55">
        <v>3.97</v>
      </c>
      <c r="F24" s="55">
        <v>3.65</v>
      </c>
      <c r="G24" s="55">
        <v>29.63</v>
      </c>
      <c r="H24" s="55">
        <v>9.14</v>
      </c>
      <c r="I24" s="55">
        <v>4.0599999999999996</v>
      </c>
      <c r="J24" s="64" t="s">
        <v>15</v>
      </c>
      <c r="K24" s="64" t="s">
        <v>15</v>
      </c>
      <c r="L24" s="64" t="s">
        <v>15</v>
      </c>
      <c r="M24" s="64" t="s">
        <v>15</v>
      </c>
      <c r="N24" s="64" t="s">
        <v>15</v>
      </c>
      <c r="O24" s="64" t="s">
        <v>15</v>
      </c>
      <c r="P24" s="55">
        <v>0.41</v>
      </c>
      <c r="Q24" s="55">
        <v>9.49</v>
      </c>
      <c r="R24" s="43"/>
      <c r="S24" s="43"/>
      <c r="T24" s="43"/>
      <c r="U24" s="43"/>
    </row>
    <row r="25" spans="1:21" s="11" customFormat="1" x14ac:dyDescent="0.25">
      <c r="A25" s="54" t="s">
        <v>676</v>
      </c>
      <c r="B25" s="55">
        <v>11.95</v>
      </c>
      <c r="C25" s="55">
        <v>23.88</v>
      </c>
      <c r="D25" s="55">
        <v>27.58</v>
      </c>
      <c r="E25" s="55">
        <v>3.57</v>
      </c>
      <c r="F25" s="55">
        <v>4.04</v>
      </c>
      <c r="G25" s="55">
        <v>27.17</v>
      </c>
      <c r="H25" s="55">
        <v>9.5299999999999994</v>
      </c>
      <c r="I25" s="55">
        <v>4.28</v>
      </c>
      <c r="J25" s="64" t="s">
        <v>15</v>
      </c>
      <c r="K25" s="64" t="s">
        <v>15</v>
      </c>
      <c r="L25" s="64" t="s">
        <v>15</v>
      </c>
      <c r="M25" s="64" t="s">
        <v>15</v>
      </c>
      <c r="N25" s="64" t="s">
        <v>15</v>
      </c>
      <c r="O25" s="64" t="s">
        <v>15</v>
      </c>
      <c r="P25" s="55">
        <v>0.56999999999999995</v>
      </c>
      <c r="Q25" s="55">
        <v>9.42</v>
      </c>
      <c r="R25" s="43"/>
      <c r="S25" s="43"/>
      <c r="T25" s="43"/>
      <c r="U25" s="43"/>
    </row>
    <row r="26" spans="1:21" s="11" customFormat="1" x14ac:dyDescent="0.25">
      <c r="A26" s="54" t="s">
        <v>677</v>
      </c>
      <c r="B26" s="55">
        <v>10.98</v>
      </c>
      <c r="C26" s="55">
        <v>24.28</v>
      </c>
      <c r="D26" s="55">
        <v>30.51</v>
      </c>
      <c r="E26" s="55">
        <v>3.7</v>
      </c>
      <c r="F26" s="55">
        <v>4.53</v>
      </c>
      <c r="G26" s="55">
        <v>35.049999999999997</v>
      </c>
      <c r="H26" s="55">
        <v>9.33</v>
      </c>
      <c r="I26" s="55">
        <v>4.09</v>
      </c>
      <c r="J26" s="64" t="s">
        <v>15</v>
      </c>
      <c r="K26" s="64" t="s">
        <v>15</v>
      </c>
      <c r="L26" s="64" t="s">
        <v>15</v>
      </c>
      <c r="M26" s="64" t="s">
        <v>15</v>
      </c>
      <c r="N26" s="64" t="s">
        <v>15</v>
      </c>
      <c r="O26" s="64" t="s">
        <v>15</v>
      </c>
      <c r="P26" s="55">
        <v>0.82</v>
      </c>
      <c r="Q26" s="55">
        <v>9.42</v>
      </c>
      <c r="R26" s="43"/>
      <c r="S26" s="43"/>
      <c r="T26" s="43"/>
      <c r="U26" s="43"/>
    </row>
    <row r="27" spans="1:21" s="11" customFormat="1" x14ac:dyDescent="0.25">
      <c r="A27" s="54" t="s">
        <v>678</v>
      </c>
      <c r="B27" s="55">
        <v>10.88</v>
      </c>
      <c r="C27" s="55">
        <v>22.71</v>
      </c>
      <c r="D27" s="55">
        <v>27.98</v>
      </c>
      <c r="E27" s="55">
        <v>3.83</v>
      </c>
      <c r="F27" s="55">
        <v>4.74</v>
      </c>
      <c r="G27" s="55">
        <v>44.43</v>
      </c>
      <c r="H27" s="55">
        <v>14.01</v>
      </c>
      <c r="I27" s="55">
        <v>4.18</v>
      </c>
      <c r="J27" s="64" t="s">
        <v>15</v>
      </c>
      <c r="K27" s="64" t="s">
        <v>15</v>
      </c>
      <c r="L27" s="64" t="s">
        <v>15</v>
      </c>
      <c r="M27" s="64" t="s">
        <v>15</v>
      </c>
      <c r="N27" s="64" t="s">
        <v>15</v>
      </c>
      <c r="O27" s="64" t="s">
        <v>15</v>
      </c>
      <c r="P27" s="55">
        <v>1.08</v>
      </c>
      <c r="Q27" s="55">
        <v>9.41</v>
      </c>
      <c r="R27" s="43"/>
      <c r="S27" s="43"/>
      <c r="T27" s="43"/>
      <c r="U27" s="43"/>
    </row>
    <row r="28" spans="1:21" s="11" customFormat="1" x14ac:dyDescent="0.25">
      <c r="A28" s="54" t="s">
        <v>679</v>
      </c>
      <c r="B28" s="55">
        <v>13.27</v>
      </c>
      <c r="C28" s="55">
        <v>24.75</v>
      </c>
      <c r="D28" s="55">
        <v>27.01</v>
      </c>
      <c r="E28" s="55">
        <v>4.08</v>
      </c>
      <c r="F28" s="55">
        <v>4.42</v>
      </c>
      <c r="G28" s="55">
        <v>44.15</v>
      </c>
      <c r="H28" s="55">
        <v>13.52</v>
      </c>
      <c r="I28" s="55">
        <v>4.2</v>
      </c>
      <c r="J28" s="64" t="s">
        <v>15</v>
      </c>
      <c r="K28" s="64" t="s">
        <v>15</v>
      </c>
      <c r="L28" s="64" t="s">
        <v>15</v>
      </c>
      <c r="M28" s="64" t="s">
        <v>15</v>
      </c>
      <c r="N28" s="64" t="s">
        <v>15</v>
      </c>
      <c r="O28" s="64" t="s">
        <v>15</v>
      </c>
      <c r="P28" s="55">
        <v>1.19</v>
      </c>
      <c r="Q28" s="55">
        <v>9.4600000000000009</v>
      </c>
      <c r="R28" s="43"/>
      <c r="S28" s="43"/>
      <c r="T28" s="43"/>
      <c r="U28" s="43"/>
    </row>
    <row r="29" spans="1:21" s="11" customFormat="1" x14ac:dyDescent="0.25">
      <c r="A29" s="54" t="s">
        <v>680</v>
      </c>
      <c r="B29" s="55">
        <v>14.26</v>
      </c>
      <c r="C29" s="55">
        <v>25.53</v>
      </c>
      <c r="D29" s="55">
        <v>27.24</v>
      </c>
      <c r="E29" s="55">
        <v>3.91</v>
      </c>
      <c r="F29" s="55">
        <v>3.68</v>
      </c>
      <c r="G29" s="55">
        <v>41.78</v>
      </c>
      <c r="H29" s="55">
        <v>11.25</v>
      </c>
      <c r="I29" s="55">
        <v>4.08</v>
      </c>
      <c r="J29" s="64" t="s">
        <v>15</v>
      </c>
      <c r="K29" s="64" t="s">
        <v>15</v>
      </c>
      <c r="L29" s="64" t="s">
        <v>15</v>
      </c>
      <c r="M29" s="64" t="s">
        <v>15</v>
      </c>
      <c r="N29" s="64" t="s">
        <v>15</v>
      </c>
      <c r="O29" s="64" t="s">
        <v>15</v>
      </c>
      <c r="P29" s="55">
        <v>0.7</v>
      </c>
      <c r="Q29" s="55">
        <v>9.51</v>
      </c>
      <c r="R29" s="43"/>
      <c r="S29" s="43"/>
      <c r="T29" s="43"/>
      <c r="U29" s="43"/>
    </row>
    <row r="30" spans="1:21" s="11" customFormat="1" x14ac:dyDescent="0.25">
      <c r="A30" s="54" t="s">
        <v>681</v>
      </c>
      <c r="B30" s="55">
        <v>14.72</v>
      </c>
      <c r="C30" s="55">
        <v>25.96</v>
      </c>
      <c r="D30" s="55">
        <v>27.75</v>
      </c>
      <c r="E30" s="55">
        <v>3.89</v>
      </c>
      <c r="F30" s="55">
        <v>3.89</v>
      </c>
      <c r="G30" s="55">
        <v>35.590000000000003</v>
      </c>
      <c r="H30" s="55">
        <v>9.8800000000000008</v>
      </c>
      <c r="I30" s="55">
        <v>4.09</v>
      </c>
      <c r="J30" s="64" t="s">
        <v>15</v>
      </c>
      <c r="K30" s="64" t="s">
        <v>15</v>
      </c>
      <c r="L30" s="64" t="s">
        <v>15</v>
      </c>
      <c r="M30" s="64" t="s">
        <v>15</v>
      </c>
      <c r="N30" s="64" t="s">
        <v>15</v>
      </c>
      <c r="O30" s="64" t="s">
        <v>15</v>
      </c>
      <c r="P30" s="55">
        <v>0.72</v>
      </c>
      <c r="Q30" s="55">
        <v>9.5399999999999991</v>
      </c>
      <c r="R30" s="43"/>
      <c r="S30" s="43"/>
      <c r="T30" s="43"/>
      <c r="U30" s="43"/>
    </row>
    <row r="31" spans="1:21" s="11" customFormat="1" x14ac:dyDescent="0.25">
      <c r="A31" s="54" t="s">
        <v>682</v>
      </c>
      <c r="B31" s="55">
        <v>15.4</v>
      </c>
      <c r="C31" s="55">
        <v>26.2</v>
      </c>
      <c r="D31" s="55">
        <v>27.24</v>
      </c>
      <c r="E31" s="55">
        <v>3.72</v>
      </c>
      <c r="F31" s="55">
        <v>4.76</v>
      </c>
      <c r="G31" s="55">
        <v>31.88</v>
      </c>
      <c r="H31" s="55">
        <v>10.11</v>
      </c>
      <c r="I31" s="55">
        <v>4.09</v>
      </c>
      <c r="J31" s="64" t="s">
        <v>15</v>
      </c>
      <c r="K31" s="64" t="s">
        <v>15</v>
      </c>
      <c r="L31" s="64" t="s">
        <v>15</v>
      </c>
      <c r="M31" s="64" t="s">
        <v>15</v>
      </c>
      <c r="N31" s="64" t="s">
        <v>15</v>
      </c>
      <c r="O31" s="64" t="s">
        <v>15</v>
      </c>
      <c r="P31" s="55">
        <v>0.5</v>
      </c>
      <c r="Q31" s="55">
        <v>9.58</v>
      </c>
      <c r="R31" s="43"/>
      <c r="S31" s="43"/>
      <c r="T31" s="43"/>
      <c r="U31" s="43"/>
    </row>
    <row r="32" spans="1:21" s="11" customFormat="1" x14ac:dyDescent="0.25">
      <c r="A32" s="54" t="s">
        <v>683</v>
      </c>
      <c r="B32" s="55">
        <v>15.32</v>
      </c>
      <c r="C32" s="55">
        <v>23.57</v>
      </c>
      <c r="D32" s="55">
        <v>21.6</v>
      </c>
      <c r="E32" s="55">
        <v>3.75</v>
      </c>
      <c r="F32" s="55">
        <v>4.8</v>
      </c>
      <c r="G32" s="55">
        <v>30.56</v>
      </c>
      <c r="H32" s="55">
        <v>9.83</v>
      </c>
      <c r="I32" s="55">
        <v>4.04</v>
      </c>
      <c r="J32" s="64" t="s">
        <v>15</v>
      </c>
      <c r="K32" s="64" t="s">
        <v>15</v>
      </c>
      <c r="L32" s="64" t="s">
        <v>15</v>
      </c>
      <c r="M32" s="64" t="s">
        <v>15</v>
      </c>
      <c r="N32" s="64" t="s">
        <v>15</v>
      </c>
      <c r="O32" s="64" t="s">
        <v>15</v>
      </c>
      <c r="P32" s="55">
        <v>0.42</v>
      </c>
      <c r="Q32" s="55">
        <v>9.56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10.88</v>
      </c>
      <c r="C34" s="28">
        <f t="shared" si="0"/>
        <v>20.68</v>
      </c>
      <c r="D34" s="28">
        <f t="shared" si="0"/>
        <v>18.02</v>
      </c>
      <c r="E34" s="28">
        <f t="shared" si="0"/>
        <v>3.57</v>
      </c>
      <c r="F34" s="28">
        <f t="shared" si="0"/>
        <v>3.48</v>
      </c>
      <c r="G34" s="28">
        <f t="shared" si="0"/>
        <v>20.28</v>
      </c>
      <c r="H34" s="28">
        <f t="shared" si="0"/>
        <v>4.55</v>
      </c>
      <c r="I34" s="28">
        <f t="shared" si="0"/>
        <v>3.93</v>
      </c>
      <c r="J34" s="28">
        <f t="shared" si="0"/>
        <v>0</v>
      </c>
      <c r="K34" s="28">
        <f t="shared" si="0"/>
        <v>0</v>
      </c>
      <c r="L34" s="28">
        <f t="shared" si="0"/>
        <v>0</v>
      </c>
      <c r="M34" s="28">
        <f t="shared" si="0"/>
        <v>0</v>
      </c>
      <c r="N34" s="28">
        <f t="shared" si="0"/>
        <v>0</v>
      </c>
      <c r="O34" s="28">
        <f t="shared" si="0"/>
        <v>0</v>
      </c>
      <c r="P34" s="28">
        <f t="shared" si="0"/>
        <v>0.4</v>
      </c>
      <c r="Q34" s="28">
        <f t="shared" si="0"/>
        <v>9.36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25.55</v>
      </c>
      <c r="C35" s="29">
        <f t="shared" si="1"/>
        <v>32.31</v>
      </c>
      <c r="D35" s="29">
        <f t="shared" si="1"/>
        <v>30.51</v>
      </c>
      <c r="E35" s="29">
        <f t="shared" si="1"/>
        <v>4.68</v>
      </c>
      <c r="F35" s="29">
        <f t="shared" si="1"/>
        <v>8.14</v>
      </c>
      <c r="G35" s="29">
        <f t="shared" si="1"/>
        <v>44.43</v>
      </c>
      <c r="H35" s="29">
        <f t="shared" si="1"/>
        <v>14.01</v>
      </c>
      <c r="I35" s="29">
        <f t="shared" si="1"/>
        <v>4.28</v>
      </c>
      <c r="J35" s="29">
        <f t="shared" si="1"/>
        <v>0</v>
      </c>
      <c r="K35" s="29">
        <f t="shared" si="1"/>
        <v>0</v>
      </c>
      <c r="L35" s="29">
        <f t="shared" si="1"/>
        <v>0</v>
      </c>
      <c r="M35" s="29">
        <f t="shared" si="1"/>
        <v>0</v>
      </c>
      <c r="N35" s="29">
        <f t="shared" si="1"/>
        <v>0</v>
      </c>
      <c r="O35" s="29">
        <f t="shared" si="1"/>
        <v>0</v>
      </c>
      <c r="P35" s="29">
        <f t="shared" si="1"/>
        <v>1.19</v>
      </c>
      <c r="Q35" s="29">
        <f t="shared" si="1"/>
        <v>9.69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16.886666666666667</v>
      </c>
      <c r="C36" s="28">
        <f t="shared" si="2"/>
        <v>25.666666666666671</v>
      </c>
      <c r="D36" s="28">
        <f t="shared" si="2"/>
        <v>23.803750000000004</v>
      </c>
      <c r="E36" s="28">
        <f t="shared" si="2"/>
        <v>4.13</v>
      </c>
      <c r="F36" s="28">
        <f t="shared" si="2"/>
        <v>4.810833333333334</v>
      </c>
      <c r="G36" s="28">
        <f t="shared" si="2"/>
        <v>34.714166666666657</v>
      </c>
      <c r="H36" s="28">
        <f t="shared" si="2"/>
        <v>10.195833333333331</v>
      </c>
      <c r="I36" s="28">
        <f t="shared" si="2"/>
        <v>4.0837500000000011</v>
      </c>
      <c r="J36" s="28" t="e">
        <f t="shared" si="2"/>
        <v>#DIV/0!</v>
      </c>
      <c r="K36" s="28" t="e">
        <f t="shared" si="2"/>
        <v>#DIV/0!</v>
      </c>
      <c r="L36" s="28" t="e">
        <f t="shared" si="2"/>
        <v>#DIV/0!</v>
      </c>
      <c r="M36" s="28" t="e">
        <f t="shared" si="2"/>
        <v>#DIV/0!</v>
      </c>
      <c r="N36" s="28" t="e">
        <f t="shared" si="2"/>
        <v>#DIV/0!</v>
      </c>
      <c r="O36" s="28" t="e">
        <f t="shared" si="2"/>
        <v>#DIV/0!</v>
      </c>
      <c r="P36" s="28">
        <f t="shared" si="2"/>
        <v>0.58750000000000002</v>
      </c>
      <c r="Q36" s="28">
        <f t="shared" si="2"/>
        <v>9.5525000000000002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4.7656366577429301</v>
      </c>
      <c r="C37" s="28">
        <f t="shared" ref="C37:Q37" si="3">STDEV(C9:C32)</f>
        <v>3.091037066249346</v>
      </c>
      <c r="D37" s="28">
        <f t="shared" si="3"/>
        <v>3.2211067669898239</v>
      </c>
      <c r="E37" s="28">
        <f t="shared" si="3"/>
        <v>0.31486366960127771</v>
      </c>
      <c r="F37" s="28">
        <f t="shared" si="3"/>
        <v>1.1645559581703846</v>
      </c>
      <c r="G37" s="28">
        <f t="shared" si="3"/>
        <v>7.3417584178905901</v>
      </c>
      <c r="H37" s="28">
        <f t="shared" si="3"/>
        <v>2.8898246022698473</v>
      </c>
      <c r="I37" s="28">
        <f t="shared" si="3"/>
        <v>6.8512931181861178E-2</v>
      </c>
      <c r="J37" s="28" t="e">
        <f t="shared" si="3"/>
        <v>#DIV/0!</v>
      </c>
      <c r="K37" s="28" t="e">
        <f t="shared" si="3"/>
        <v>#DIV/0!</v>
      </c>
      <c r="L37" s="28" t="e">
        <f t="shared" si="3"/>
        <v>#DIV/0!</v>
      </c>
      <c r="M37" s="28" t="e">
        <f t="shared" si="3"/>
        <v>#DIV/0!</v>
      </c>
      <c r="N37" s="28" t="e">
        <f t="shared" si="3"/>
        <v>#DIV/0!</v>
      </c>
      <c r="O37" s="28" t="e">
        <f t="shared" si="3"/>
        <v>#DIV/0!</v>
      </c>
      <c r="P37" s="28">
        <f t="shared" si="3"/>
        <v>0.20276887678168021</v>
      </c>
      <c r="Q37" s="28">
        <f t="shared" si="3"/>
        <v>0.11077788195499487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0</v>
      </c>
      <c r="K38" s="32">
        <f t="shared" si="4"/>
        <v>0</v>
      </c>
      <c r="L38" s="32">
        <f t="shared" si="4"/>
        <v>0</v>
      </c>
      <c r="M38" s="32">
        <f t="shared" si="4"/>
        <v>0</v>
      </c>
      <c r="N38" s="32">
        <f t="shared" si="4"/>
        <v>0</v>
      </c>
      <c r="O38" s="32">
        <f t="shared" si="4"/>
        <v>0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&lt;90%</v>
      </c>
      <c r="K39" s="29" t="str">
        <f t="shared" si="5"/>
        <v>&lt;90%</v>
      </c>
      <c r="L39" s="29" t="str">
        <f t="shared" si="5"/>
        <v>&lt;90%</v>
      </c>
      <c r="M39" s="29" t="str">
        <f t="shared" si="5"/>
        <v>&lt;90%</v>
      </c>
      <c r="N39" s="29" t="str">
        <f t="shared" si="5"/>
        <v>&lt;90%</v>
      </c>
      <c r="O39" s="29" t="str">
        <f t="shared" si="5"/>
        <v>&lt;90%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LESS</v>
      </c>
      <c r="K40" s="29" t="str">
        <f t="shared" si="6"/>
        <v>LESS</v>
      </c>
      <c r="L40" s="29" t="str">
        <f t="shared" si="6"/>
        <v>LESS</v>
      </c>
      <c r="M40" s="29" t="str">
        <f t="shared" si="6"/>
        <v>LESS</v>
      </c>
      <c r="N40" s="29" t="str">
        <f t="shared" si="6"/>
        <v>LESS</v>
      </c>
      <c r="O40" s="29" t="str">
        <f t="shared" si="6"/>
        <v>LESS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33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27/05/2025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7"/>
      <c r="B8" s="58" t="s">
        <v>22</v>
      </c>
      <c r="C8" s="58" t="s">
        <v>22</v>
      </c>
      <c r="D8" s="29" t="s">
        <v>42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58" t="s">
        <v>22</v>
      </c>
      <c r="R8" s="27"/>
      <c r="S8" s="29"/>
      <c r="T8" s="27"/>
      <c r="U8" s="27"/>
    </row>
    <row r="9" spans="1:21" s="11" customFormat="1" x14ac:dyDescent="0.25">
      <c r="A9" s="54" t="s">
        <v>684</v>
      </c>
      <c r="B9" s="55">
        <v>14.94</v>
      </c>
      <c r="C9" s="55">
        <v>23.92</v>
      </c>
      <c r="D9" s="55">
        <v>23.43</v>
      </c>
      <c r="E9" s="55">
        <v>4.01</v>
      </c>
      <c r="F9" s="55">
        <v>3.95</v>
      </c>
      <c r="G9" s="55">
        <v>28.55</v>
      </c>
      <c r="H9" s="55">
        <v>8.6300000000000008</v>
      </c>
      <c r="I9" s="55">
        <v>4.09</v>
      </c>
      <c r="J9" s="64" t="s">
        <v>15</v>
      </c>
      <c r="K9" s="64" t="s">
        <v>15</v>
      </c>
      <c r="L9" s="64" t="s">
        <v>15</v>
      </c>
      <c r="M9" s="64" t="s">
        <v>15</v>
      </c>
      <c r="N9" s="64" t="s">
        <v>15</v>
      </c>
      <c r="O9" s="64" t="s">
        <v>15</v>
      </c>
      <c r="P9" s="55">
        <v>0.49</v>
      </c>
      <c r="Q9" s="55">
        <v>9.51</v>
      </c>
      <c r="R9" s="43"/>
      <c r="S9" s="43"/>
      <c r="T9" s="43"/>
      <c r="U9" s="43"/>
    </row>
    <row r="10" spans="1:21" s="11" customFormat="1" x14ac:dyDescent="0.25">
      <c r="A10" s="54" t="s">
        <v>685</v>
      </c>
      <c r="B10" s="55">
        <v>13.2</v>
      </c>
      <c r="C10" s="55">
        <v>21.67</v>
      </c>
      <c r="D10" s="55">
        <v>21.21</v>
      </c>
      <c r="E10" s="55">
        <v>4.03</v>
      </c>
      <c r="F10" s="55">
        <v>4.22</v>
      </c>
      <c r="G10" s="55">
        <v>25.3</v>
      </c>
      <c r="H10" s="55">
        <v>7.91</v>
      </c>
      <c r="I10" s="55">
        <v>4.21</v>
      </c>
      <c r="J10" s="64" t="s">
        <v>15</v>
      </c>
      <c r="K10" s="64" t="s">
        <v>15</v>
      </c>
      <c r="L10" s="64" t="s">
        <v>15</v>
      </c>
      <c r="M10" s="64" t="s">
        <v>15</v>
      </c>
      <c r="N10" s="64" t="s">
        <v>15</v>
      </c>
      <c r="O10" s="64" t="s">
        <v>15</v>
      </c>
      <c r="P10" s="55">
        <v>0.46</v>
      </c>
      <c r="Q10" s="55">
        <v>9.4600000000000009</v>
      </c>
      <c r="R10" s="43"/>
      <c r="S10" s="43"/>
      <c r="T10" s="43"/>
      <c r="U10" s="43"/>
    </row>
    <row r="11" spans="1:21" s="11" customFormat="1" x14ac:dyDescent="0.25">
      <c r="A11" s="54" t="s">
        <v>686</v>
      </c>
      <c r="B11" s="55">
        <v>12.3</v>
      </c>
      <c r="C11" s="55">
        <v>20.25</v>
      </c>
      <c r="D11" s="55">
        <v>20.09</v>
      </c>
      <c r="E11" s="55">
        <v>3.77</v>
      </c>
      <c r="F11" s="55">
        <v>4.6100000000000003</v>
      </c>
      <c r="G11" s="55">
        <v>18.8</v>
      </c>
      <c r="H11" s="55">
        <v>6.91</v>
      </c>
      <c r="I11" s="55">
        <v>4.09</v>
      </c>
      <c r="J11" s="64" t="s">
        <v>15</v>
      </c>
      <c r="K11" s="64" t="s">
        <v>15</v>
      </c>
      <c r="L11" s="64" t="s">
        <v>15</v>
      </c>
      <c r="M11" s="64" t="s">
        <v>15</v>
      </c>
      <c r="N11" s="64" t="s">
        <v>15</v>
      </c>
      <c r="O11" s="64" t="s">
        <v>15</v>
      </c>
      <c r="P11" s="55">
        <v>0.35</v>
      </c>
      <c r="Q11" s="55">
        <v>9.43</v>
      </c>
      <c r="R11" s="43"/>
      <c r="S11" s="43"/>
      <c r="T11" s="43"/>
      <c r="U11" s="43"/>
    </row>
    <row r="12" spans="1:21" s="11" customFormat="1" x14ac:dyDescent="0.25">
      <c r="A12" s="54" t="s">
        <v>687</v>
      </c>
      <c r="B12" s="55">
        <v>13.53</v>
      </c>
      <c r="C12" s="55">
        <v>19.649999999999999</v>
      </c>
      <c r="D12" s="55">
        <v>17.239999999999998</v>
      </c>
      <c r="E12" s="55">
        <v>3.84</v>
      </c>
      <c r="F12" s="55">
        <v>4.25</v>
      </c>
      <c r="G12" s="55">
        <v>16.32</v>
      </c>
      <c r="H12" s="55">
        <v>6.56</v>
      </c>
      <c r="I12" s="55">
        <v>4.09</v>
      </c>
      <c r="J12" s="64" t="s">
        <v>15</v>
      </c>
      <c r="K12" s="64" t="s">
        <v>15</v>
      </c>
      <c r="L12" s="64" t="s">
        <v>15</v>
      </c>
      <c r="M12" s="64" t="s">
        <v>15</v>
      </c>
      <c r="N12" s="64" t="s">
        <v>15</v>
      </c>
      <c r="O12" s="64" t="s">
        <v>15</v>
      </c>
      <c r="P12" s="55">
        <v>0.2</v>
      </c>
      <c r="Q12" s="55">
        <v>9.4499999999999993</v>
      </c>
      <c r="R12" s="43"/>
      <c r="S12" s="43"/>
      <c r="T12" s="43"/>
      <c r="U12" s="43"/>
    </row>
    <row r="13" spans="1:21" s="11" customFormat="1" x14ac:dyDescent="0.25">
      <c r="A13" s="54" t="s">
        <v>688</v>
      </c>
      <c r="B13" s="55">
        <v>13.88</v>
      </c>
      <c r="C13" s="55">
        <v>21.36</v>
      </c>
      <c r="D13" s="55">
        <v>19.7</v>
      </c>
      <c r="E13" s="55">
        <v>3.81</v>
      </c>
      <c r="F13" s="55">
        <v>4.1500000000000004</v>
      </c>
      <c r="G13" s="55">
        <v>17.489999999999998</v>
      </c>
      <c r="H13" s="55">
        <v>4.8</v>
      </c>
      <c r="I13" s="55">
        <v>4.05</v>
      </c>
      <c r="J13" s="64" t="s">
        <v>15</v>
      </c>
      <c r="K13" s="64" t="s">
        <v>15</v>
      </c>
      <c r="L13" s="64" t="s">
        <v>15</v>
      </c>
      <c r="M13" s="64" t="s">
        <v>15</v>
      </c>
      <c r="N13" s="64" t="s">
        <v>15</v>
      </c>
      <c r="O13" s="64" t="s">
        <v>15</v>
      </c>
      <c r="P13" s="55">
        <v>0.28000000000000003</v>
      </c>
      <c r="Q13" s="55">
        <v>9.4600000000000009</v>
      </c>
      <c r="R13" s="43"/>
      <c r="S13" s="43"/>
      <c r="T13" s="43"/>
      <c r="U13" s="43"/>
    </row>
    <row r="14" spans="1:21" s="11" customFormat="1" x14ac:dyDescent="0.25">
      <c r="A14" s="54" t="s">
        <v>689</v>
      </c>
      <c r="B14" s="55">
        <v>13.68</v>
      </c>
      <c r="C14" s="55">
        <v>21.6</v>
      </c>
      <c r="D14" s="55">
        <v>20.38</v>
      </c>
      <c r="E14" s="55">
        <v>3.83</v>
      </c>
      <c r="F14" s="55">
        <v>3.9</v>
      </c>
      <c r="G14" s="55">
        <v>16.57</v>
      </c>
      <c r="H14" s="55">
        <v>3.43</v>
      </c>
      <c r="I14" s="55">
        <v>4.2</v>
      </c>
      <c r="J14" s="64" t="s">
        <v>15</v>
      </c>
      <c r="K14" s="64" t="s">
        <v>15</v>
      </c>
      <c r="L14" s="64" t="s">
        <v>15</v>
      </c>
      <c r="M14" s="64" t="s">
        <v>15</v>
      </c>
      <c r="N14" s="64" t="s">
        <v>15</v>
      </c>
      <c r="O14" s="64" t="s">
        <v>15</v>
      </c>
      <c r="P14" s="55">
        <v>0.4</v>
      </c>
      <c r="Q14" s="55">
        <v>9.43</v>
      </c>
      <c r="R14" s="43"/>
      <c r="S14" s="43"/>
      <c r="T14" s="43"/>
      <c r="U14" s="43"/>
    </row>
    <row r="15" spans="1:21" s="11" customFormat="1" x14ac:dyDescent="0.25">
      <c r="A15" s="54" t="s">
        <v>690</v>
      </c>
      <c r="B15" s="55">
        <v>15.35</v>
      </c>
      <c r="C15" s="55">
        <v>23.51</v>
      </c>
      <c r="D15" s="55">
        <v>21.44</v>
      </c>
      <c r="E15" s="55">
        <v>3.75</v>
      </c>
      <c r="F15" s="55">
        <v>3.83</v>
      </c>
      <c r="G15" s="55">
        <v>18.57</v>
      </c>
      <c r="H15" s="55">
        <v>2.56</v>
      </c>
      <c r="I15" s="55">
        <v>4.0199999999999996</v>
      </c>
      <c r="J15" s="64" t="s">
        <v>15</v>
      </c>
      <c r="K15" s="64" t="s">
        <v>15</v>
      </c>
      <c r="L15" s="64" t="s">
        <v>15</v>
      </c>
      <c r="M15" s="64" t="s">
        <v>15</v>
      </c>
      <c r="N15" s="64" t="s">
        <v>15</v>
      </c>
      <c r="O15" s="64" t="s">
        <v>15</v>
      </c>
      <c r="P15" s="55">
        <v>0.33</v>
      </c>
      <c r="Q15" s="55">
        <v>9.5</v>
      </c>
      <c r="R15" s="43"/>
      <c r="S15" s="43"/>
      <c r="T15" s="43"/>
      <c r="U15" s="43"/>
    </row>
    <row r="16" spans="1:21" s="11" customFormat="1" x14ac:dyDescent="0.25">
      <c r="A16" s="54" t="s">
        <v>691</v>
      </c>
      <c r="B16" s="55">
        <v>16.05</v>
      </c>
      <c r="C16" s="55">
        <v>22.93</v>
      </c>
      <c r="D16" s="55">
        <v>19.940000000000001</v>
      </c>
      <c r="E16" s="55">
        <v>4.01</v>
      </c>
      <c r="F16" s="55">
        <v>4.08</v>
      </c>
      <c r="G16" s="55">
        <v>19.75</v>
      </c>
      <c r="H16" s="55">
        <v>2.9</v>
      </c>
      <c r="I16" s="55">
        <v>4.04</v>
      </c>
      <c r="J16" s="64" t="s">
        <v>15</v>
      </c>
      <c r="K16" s="64" t="s">
        <v>15</v>
      </c>
      <c r="L16" s="64" t="s">
        <v>15</v>
      </c>
      <c r="M16" s="64" t="s">
        <v>15</v>
      </c>
      <c r="N16" s="64" t="s">
        <v>15</v>
      </c>
      <c r="O16" s="64" t="s">
        <v>15</v>
      </c>
      <c r="P16" s="55">
        <v>0.31</v>
      </c>
      <c r="Q16" s="55">
        <v>9.56</v>
      </c>
      <c r="R16" s="43"/>
      <c r="S16" s="43"/>
      <c r="T16" s="43"/>
      <c r="U16" s="43"/>
    </row>
    <row r="17" spans="1:21" s="11" customFormat="1" x14ac:dyDescent="0.25">
      <c r="A17" s="54" t="s">
        <v>692</v>
      </c>
      <c r="B17" s="55">
        <v>16.64</v>
      </c>
      <c r="C17" s="55">
        <v>23.44</v>
      </c>
      <c r="D17" s="55">
        <v>19.329999999999998</v>
      </c>
      <c r="E17" s="55">
        <v>4.5</v>
      </c>
      <c r="F17" s="55">
        <v>3.9</v>
      </c>
      <c r="G17" s="55">
        <v>19.489999999999998</v>
      </c>
      <c r="H17" s="55">
        <v>2.77</v>
      </c>
      <c r="I17" s="55">
        <v>4.22</v>
      </c>
      <c r="J17" s="64" t="s">
        <v>15</v>
      </c>
      <c r="K17" s="64" t="s">
        <v>15</v>
      </c>
      <c r="L17" s="64" t="s">
        <v>15</v>
      </c>
      <c r="M17" s="64" t="s">
        <v>15</v>
      </c>
      <c r="N17" s="64" t="s">
        <v>15</v>
      </c>
      <c r="O17" s="64" t="s">
        <v>15</v>
      </c>
      <c r="P17" s="55">
        <v>0.36</v>
      </c>
      <c r="Q17" s="55">
        <v>9.5500000000000007</v>
      </c>
      <c r="R17" s="43"/>
      <c r="S17" s="43"/>
      <c r="T17" s="43"/>
      <c r="U17" s="43"/>
    </row>
    <row r="18" spans="1:21" s="11" customFormat="1" x14ac:dyDescent="0.25">
      <c r="A18" s="54" t="s">
        <v>693</v>
      </c>
      <c r="B18" s="55">
        <v>17.12</v>
      </c>
      <c r="C18" s="55">
        <v>26.34</v>
      </c>
      <c r="D18" s="55">
        <v>24.91</v>
      </c>
      <c r="E18" s="55">
        <v>4.58</v>
      </c>
      <c r="F18" s="55">
        <v>3.43</v>
      </c>
      <c r="G18" s="55">
        <v>27.55</v>
      </c>
      <c r="H18" s="55">
        <v>4.51</v>
      </c>
      <c r="I18" s="55">
        <v>4.1100000000000003</v>
      </c>
      <c r="J18" s="64" t="s">
        <v>15</v>
      </c>
      <c r="K18" s="64" t="s">
        <v>15</v>
      </c>
      <c r="L18" s="64" t="s">
        <v>15</v>
      </c>
      <c r="M18" s="64" t="s">
        <v>15</v>
      </c>
      <c r="N18" s="64" t="s">
        <v>15</v>
      </c>
      <c r="O18" s="64" t="s">
        <v>15</v>
      </c>
      <c r="P18" s="55">
        <v>0.45</v>
      </c>
      <c r="Q18" s="55">
        <v>9.57</v>
      </c>
      <c r="R18" s="43"/>
      <c r="S18" s="43"/>
      <c r="T18" s="43"/>
      <c r="U18" s="43"/>
    </row>
    <row r="19" spans="1:21" s="11" customFormat="1" x14ac:dyDescent="0.25">
      <c r="A19" s="54" t="s">
        <v>694</v>
      </c>
      <c r="B19" s="55">
        <v>16.600000000000001</v>
      </c>
      <c r="C19" s="55">
        <v>27.21</v>
      </c>
      <c r="D19" s="55">
        <v>26.61</v>
      </c>
      <c r="E19" s="55">
        <v>4.32</v>
      </c>
      <c r="F19" s="55">
        <v>3.41</v>
      </c>
      <c r="G19" s="55">
        <v>36.35</v>
      </c>
      <c r="H19" s="55">
        <v>8.7200000000000006</v>
      </c>
      <c r="I19" s="55">
        <v>4.1399999999999997</v>
      </c>
      <c r="J19" s="64" t="s">
        <v>15</v>
      </c>
      <c r="K19" s="64" t="s">
        <v>15</v>
      </c>
      <c r="L19" s="64" t="s">
        <v>15</v>
      </c>
      <c r="M19" s="64" t="s">
        <v>15</v>
      </c>
      <c r="N19" s="64" t="s">
        <v>15</v>
      </c>
      <c r="O19" s="64" t="s">
        <v>15</v>
      </c>
      <c r="P19" s="55">
        <v>0.53</v>
      </c>
      <c r="Q19" s="55">
        <v>9.58</v>
      </c>
      <c r="R19" s="43"/>
      <c r="S19" s="43"/>
      <c r="T19" s="43"/>
      <c r="U19" s="43"/>
    </row>
    <row r="20" spans="1:21" s="11" customFormat="1" x14ac:dyDescent="0.25">
      <c r="A20" s="54" t="s">
        <v>695</v>
      </c>
      <c r="B20" s="55">
        <v>15.71</v>
      </c>
      <c r="C20" s="55">
        <v>27.19</v>
      </c>
      <c r="D20" s="55">
        <v>35.53</v>
      </c>
      <c r="E20" s="55">
        <v>4.8</v>
      </c>
      <c r="F20" s="55">
        <v>11.48</v>
      </c>
      <c r="G20" s="55">
        <v>35.94</v>
      </c>
      <c r="H20" s="55">
        <v>8.49</v>
      </c>
      <c r="I20" s="55">
        <v>4.17</v>
      </c>
      <c r="J20" s="55">
        <v>0.26</v>
      </c>
      <c r="K20" s="55">
        <v>269.61</v>
      </c>
      <c r="L20" s="55">
        <v>38.68</v>
      </c>
      <c r="M20" s="55">
        <v>72.78</v>
      </c>
      <c r="N20" s="55">
        <v>799.4</v>
      </c>
      <c r="O20" s="55">
        <v>0</v>
      </c>
      <c r="P20" s="55">
        <v>0.51</v>
      </c>
      <c r="Q20" s="55">
        <v>9.59</v>
      </c>
      <c r="R20" s="43"/>
      <c r="S20" s="43"/>
      <c r="T20" s="43"/>
      <c r="U20" s="43"/>
    </row>
    <row r="21" spans="1:21" s="11" customFormat="1" x14ac:dyDescent="0.25">
      <c r="A21" s="54" t="s">
        <v>696</v>
      </c>
      <c r="B21" s="55">
        <v>6.38</v>
      </c>
      <c r="C21" s="55">
        <v>22.63</v>
      </c>
      <c r="D21" s="55">
        <v>33.520000000000003</v>
      </c>
      <c r="E21" s="55">
        <v>4.97</v>
      </c>
      <c r="F21" s="55">
        <v>18</v>
      </c>
      <c r="G21" s="55">
        <v>33.1</v>
      </c>
      <c r="H21" s="55">
        <v>7.07</v>
      </c>
      <c r="I21" s="55">
        <v>4.08</v>
      </c>
      <c r="J21" s="55">
        <v>0.45</v>
      </c>
      <c r="K21" s="55">
        <v>310.13</v>
      </c>
      <c r="L21" s="55">
        <v>34.479999999999997</v>
      </c>
      <c r="M21" s="55">
        <v>71.400000000000006</v>
      </c>
      <c r="N21" s="55">
        <v>693</v>
      </c>
      <c r="O21" s="55">
        <v>0</v>
      </c>
      <c r="P21" s="55">
        <v>0.41</v>
      </c>
      <c r="Q21" s="55">
        <v>9.18</v>
      </c>
      <c r="R21" s="43"/>
      <c r="S21" s="43"/>
      <c r="T21" s="43"/>
      <c r="U21" s="43"/>
    </row>
    <row r="22" spans="1:21" s="11" customFormat="1" x14ac:dyDescent="0.25">
      <c r="A22" s="54" t="s">
        <v>697</v>
      </c>
      <c r="B22" s="55">
        <v>7.47</v>
      </c>
      <c r="C22" s="55">
        <v>23.66</v>
      </c>
      <c r="D22" s="55">
        <v>33.83</v>
      </c>
      <c r="E22" s="55">
        <v>6.16</v>
      </c>
      <c r="F22" s="55">
        <v>24.42</v>
      </c>
      <c r="G22" s="55">
        <v>42.73</v>
      </c>
      <c r="H22" s="55">
        <v>8.4</v>
      </c>
      <c r="I22" s="55">
        <v>4.0599999999999996</v>
      </c>
      <c r="J22" s="55">
        <v>0.59</v>
      </c>
      <c r="K22" s="55">
        <v>349.33</v>
      </c>
      <c r="L22" s="55">
        <v>34.6</v>
      </c>
      <c r="M22" s="55">
        <v>69.13</v>
      </c>
      <c r="N22" s="55">
        <v>418.6</v>
      </c>
      <c r="O22" s="55">
        <v>0</v>
      </c>
      <c r="P22" s="55">
        <v>0.5</v>
      </c>
      <c r="Q22" s="55">
        <v>9.19</v>
      </c>
      <c r="R22" s="43"/>
      <c r="S22" s="43"/>
      <c r="T22" s="43"/>
      <c r="U22" s="43"/>
    </row>
    <row r="23" spans="1:21" s="11" customFormat="1" x14ac:dyDescent="0.25">
      <c r="A23" s="54" t="s">
        <v>698</v>
      </c>
      <c r="B23" s="55">
        <v>9.7100000000000009</v>
      </c>
      <c r="C23" s="55">
        <v>30.85</v>
      </c>
      <c r="D23" s="55">
        <v>44.14</v>
      </c>
      <c r="E23" s="55">
        <v>5.24</v>
      </c>
      <c r="F23" s="55">
        <v>29.16</v>
      </c>
      <c r="G23" s="55">
        <v>43.12</v>
      </c>
      <c r="H23" s="55">
        <v>9.3800000000000008</v>
      </c>
      <c r="I23" s="55">
        <v>4.09</v>
      </c>
      <c r="J23" s="55">
        <v>0.75</v>
      </c>
      <c r="K23" s="55">
        <v>343.93</v>
      </c>
      <c r="L23" s="55">
        <v>35.43</v>
      </c>
      <c r="M23" s="55">
        <v>64.239999999999995</v>
      </c>
      <c r="N23" s="55">
        <v>442.5</v>
      </c>
      <c r="O23" s="55">
        <v>0</v>
      </c>
      <c r="P23" s="55">
        <v>0.48</v>
      </c>
      <c r="Q23" s="55">
        <v>9.19</v>
      </c>
      <c r="R23" s="43"/>
      <c r="S23" s="43"/>
      <c r="T23" s="43"/>
      <c r="U23" s="43"/>
    </row>
    <row r="24" spans="1:21" s="11" customFormat="1" x14ac:dyDescent="0.25">
      <c r="A24" s="54" t="s">
        <v>699</v>
      </c>
      <c r="B24" s="55">
        <v>8.0500000000000007</v>
      </c>
      <c r="C24" s="55">
        <v>28.11</v>
      </c>
      <c r="D24" s="55">
        <v>41.45</v>
      </c>
      <c r="E24" s="55">
        <v>5.52</v>
      </c>
      <c r="F24" s="55">
        <v>26.98</v>
      </c>
      <c r="G24" s="55">
        <v>42.66</v>
      </c>
      <c r="H24" s="55">
        <v>17.12</v>
      </c>
      <c r="I24" s="55">
        <v>4.1900000000000004</v>
      </c>
      <c r="J24" s="55">
        <v>0.88</v>
      </c>
      <c r="K24" s="55">
        <v>355.54</v>
      </c>
      <c r="L24" s="55">
        <v>34</v>
      </c>
      <c r="M24" s="55">
        <v>93.85</v>
      </c>
      <c r="N24" s="55">
        <v>213.4</v>
      </c>
      <c r="O24" s="55">
        <v>5.8</v>
      </c>
      <c r="P24" s="55">
        <v>0.48</v>
      </c>
      <c r="Q24" s="55">
        <v>9.1999999999999993</v>
      </c>
      <c r="R24" s="43"/>
      <c r="S24" s="43"/>
      <c r="T24" s="43"/>
      <c r="U24" s="43"/>
    </row>
    <row r="25" spans="1:21" s="11" customFormat="1" x14ac:dyDescent="0.25">
      <c r="A25" s="54" t="s">
        <v>700</v>
      </c>
      <c r="B25" s="55">
        <v>5.09</v>
      </c>
      <c r="C25" s="55">
        <v>18.329999999999998</v>
      </c>
      <c r="D25" s="55">
        <v>27.28</v>
      </c>
      <c r="E25" s="55">
        <v>3.88</v>
      </c>
      <c r="F25" s="55">
        <v>7.33</v>
      </c>
      <c r="G25" s="55">
        <v>41.63</v>
      </c>
      <c r="H25" s="55">
        <v>35.47</v>
      </c>
      <c r="I25" s="55">
        <v>4.07</v>
      </c>
      <c r="J25" s="55">
        <v>1.69</v>
      </c>
      <c r="K25" s="55">
        <v>164.83</v>
      </c>
      <c r="L25" s="55">
        <v>22.71</v>
      </c>
      <c r="M25" s="55">
        <v>103.11</v>
      </c>
      <c r="N25" s="55">
        <v>32.5</v>
      </c>
      <c r="O25" s="55">
        <v>9.8000000000000007</v>
      </c>
      <c r="P25" s="55">
        <v>0.4</v>
      </c>
      <c r="Q25" s="55">
        <v>9.24</v>
      </c>
      <c r="R25" s="43"/>
      <c r="S25" s="43"/>
      <c r="T25" s="43"/>
      <c r="U25" s="43"/>
    </row>
    <row r="26" spans="1:21" s="11" customFormat="1" x14ac:dyDescent="0.25">
      <c r="A26" s="54" t="s">
        <v>701</v>
      </c>
      <c r="B26" s="55">
        <v>23.49</v>
      </c>
      <c r="C26" s="55">
        <v>41.66</v>
      </c>
      <c r="D26" s="55">
        <v>43.69</v>
      </c>
      <c r="E26" s="55">
        <v>4.05</v>
      </c>
      <c r="F26" s="55">
        <v>9.6300000000000008</v>
      </c>
      <c r="G26" s="55">
        <v>40.090000000000003</v>
      </c>
      <c r="H26" s="55">
        <v>33.81</v>
      </c>
      <c r="I26" s="55">
        <v>4.1500000000000004</v>
      </c>
      <c r="J26" s="55">
        <v>0.35</v>
      </c>
      <c r="K26" s="55">
        <v>344.62</v>
      </c>
      <c r="L26" s="55">
        <v>23.25</v>
      </c>
      <c r="M26" s="55">
        <v>102.23</v>
      </c>
      <c r="N26" s="55">
        <v>30.7</v>
      </c>
      <c r="O26" s="55">
        <v>0</v>
      </c>
      <c r="P26" s="55">
        <v>0.65</v>
      </c>
      <c r="Q26" s="55">
        <v>9.26</v>
      </c>
      <c r="R26" s="43"/>
      <c r="S26" s="43"/>
      <c r="T26" s="43"/>
      <c r="U26" s="43"/>
    </row>
    <row r="27" spans="1:21" s="11" customFormat="1" x14ac:dyDescent="0.25">
      <c r="A27" s="54" t="s">
        <v>702</v>
      </c>
      <c r="B27" s="55">
        <v>6.55</v>
      </c>
      <c r="C27" s="55">
        <v>19.079999999999998</v>
      </c>
      <c r="D27" s="55">
        <v>26.59</v>
      </c>
      <c r="E27" s="55">
        <v>3.85</v>
      </c>
      <c r="F27" s="55">
        <v>5.21</v>
      </c>
      <c r="G27" s="55">
        <v>32.619999999999997</v>
      </c>
      <c r="H27" s="55">
        <v>25.09</v>
      </c>
      <c r="I27" s="55">
        <v>4.07</v>
      </c>
      <c r="J27" s="55">
        <v>0.56999999999999995</v>
      </c>
      <c r="K27" s="55">
        <v>171.75</v>
      </c>
      <c r="L27" s="55">
        <v>23.46</v>
      </c>
      <c r="M27" s="55">
        <v>102.38</v>
      </c>
      <c r="N27" s="55">
        <v>27.9</v>
      </c>
      <c r="O27" s="55">
        <v>0</v>
      </c>
      <c r="P27" s="55">
        <v>0.41</v>
      </c>
      <c r="Q27" s="55">
        <v>9.2799999999999994</v>
      </c>
      <c r="R27" s="43"/>
      <c r="S27" s="43"/>
      <c r="T27" s="43"/>
      <c r="U27" s="43"/>
    </row>
    <row r="28" spans="1:21" s="11" customFormat="1" x14ac:dyDescent="0.25">
      <c r="A28" s="54" t="s">
        <v>703</v>
      </c>
      <c r="B28" s="55">
        <v>6.26</v>
      </c>
      <c r="C28" s="55">
        <v>15.98</v>
      </c>
      <c r="D28" s="55">
        <v>21.37</v>
      </c>
      <c r="E28" s="55">
        <v>3.84</v>
      </c>
      <c r="F28" s="55">
        <v>5.68</v>
      </c>
      <c r="G28" s="55">
        <v>28.36</v>
      </c>
      <c r="H28" s="55">
        <v>17.57</v>
      </c>
      <c r="I28" s="55">
        <v>4.18</v>
      </c>
      <c r="J28" s="55">
        <v>0.99</v>
      </c>
      <c r="K28" s="55">
        <v>164.92</v>
      </c>
      <c r="L28" s="55">
        <v>23.65</v>
      </c>
      <c r="M28" s="55">
        <v>102.65</v>
      </c>
      <c r="N28" s="55">
        <v>27</v>
      </c>
      <c r="O28" s="55">
        <v>0</v>
      </c>
      <c r="P28" s="55">
        <v>0.4</v>
      </c>
      <c r="Q28" s="55">
        <v>9.25</v>
      </c>
      <c r="R28" s="43"/>
      <c r="S28" s="43"/>
      <c r="T28" s="43"/>
      <c r="U28" s="43"/>
    </row>
    <row r="29" spans="1:21" s="11" customFormat="1" x14ac:dyDescent="0.25">
      <c r="A29" s="54" t="s">
        <v>704</v>
      </c>
      <c r="B29" s="55">
        <v>14.78</v>
      </c>
      <c r="C29" s="55">
        <v>29.35</v>
      </c>
      <c r="D29" s="55">
        <v>33.479999999999997</v>
      </c>
      <c r="E29" s="55">
        <v>3.84</v>
      </c>
      <c r="F29" s="55">
        <v>10.62</v>
      </c>
      <c r="G29" s="55">
        <v>25.08</v>
      </c>
      <c r="H29" s="55">
        <v>13.44</v>
      </c>
      <c r="I29" s="55">
        <v>4</v>
      </c>
      <c r="J29" s="55">
        <v>0.41</v>
      </c>
      <c r="K29" s="55">
        <v>340.26</v>
      </c>
      <c r="L29" s="55">
        <v>23.72</v>
      </c>
      <c r="M29" s="55">
        <v>103.06</v>
      </c>
      <c r="N29" s="55">
        <v>26.5</v>
      </c>
      <c r="O29" s="55">
        <v>0</v>
      </c>
      <c r="P29" s="55">
        <v>0.64</v>
      </c>
      <c r="Q29" s="55">
        <v>9.24</v>
      </c>
      <c r="R29" s="43"/>
      <c r="S29" s="43"/>
      <c r="T29" s="43"/>
      <c r="U29" s="43"/>
    </row>
    <row r="30" spans="1:21" s="11" customFormat="1" x14ac:dyDescent="0.25">
      <c r="A30" s="54" t="s">
        <v>705</v>
      </c>
      <c r="B30" s="55">
        <v>12.86</v>
      </c>
      <c r="C30" s="55">
        <v>25.74</v>
      </c>
      <c r="D30" s="55">
        <v>29.52</v>
      </c>
      <c r="E30" s="55">
        <v>4.08</v>
      </c>
      <c r="F30" s="55">
        <v>9.48</v>
      </c>
      <c r="G30" s="55">
        <v>27.51</v>
      </c>
      <c r="H30" s="55">
        <v>9.67</v>
      </c>
      <c r="I30" s="55">
        <v>4.0999999999999996</v>
      </c>
      <c r="J30" s="55">
        <v>0.22</v>
      </c>
      <c r="K30" s="55">
        <v>309.39999999999998</v>
      </c>
      <c r="L30" s="55">
        <v>23.88</v>
      </c>
      <c r="M30" s="55">
        <v>102.5</v>
      </c>
      <c r="N30" s="55">
        <v>26.3</v>
      </c>
      <c r="O30" s="55">
        <v>0</v>
      </c>
      <c r="P30" s="55">
        <v>0.61</v>
      </c>
      <c r="Q30" s="55">
        <v>9.32</v>
      </c>
      <c r="R30" s="43"/>
      <c r="S30" s="43"/>
      <c r="T30" s="43"/>
      <c r="U30" s="43"/>
    </row>
    <row r="31" spans="1:21" s="11" customFormat="1" x14ac:dyDescent="0.25">
      <c r="A31" s="54" t="s">
        <v>706</v>
      </c>
      <c r="B31" s="55">
        <v>11.66</v>
      </c>
      <c r="C31" s="55">
        <v>21.76</v>
      </c>
      <c r="D31" s="55">
        <v>23.76</v>
      </c>
      <c r="E31" s="55">
        <v>3.94</v>
      </c>
      <c r="F31" s="55">
        <v>5</v>
      </c>
      <c r="G31" s="55">
        <v>27.95</v>
      </c>
      <c r="H31" s="55">
        <v>10.82</v>
      </c>
      <c r="I31" s="55">
        <v>4.16</v>
      </c>
      <c r="J31" s="55">
        <v>0.14000000000000001</v>
      </c>
      <c r="K31" s="55">
        <v>313.36</v>
      </c>
      <c r="L31" s="55">
        <v>24.07</v>
      </c>
      <c r="M31" s="55">
        <v>102.2</v>
      </c>
      <c r="N31" s="55">
        <v>26.1</v>
      </c>
      <c r="O31" s="55">
        <v>0</v>
      </c>
      <c r="P31" s="55">
        <v>0.51</v>
      </c>
      <c r="Q31" s="55">
        <v>9.36</v>
      </c>
      <c r="R31" s="43"/>
      <c r="S31" s="43"/>
      <c r="T31" s="43"/>
      <c r="U31" s="43"/>
    </row>
    <row r="32" spans="1:21" s="11" customFormat="1" x14ac:dyDescent="0.25">
      <c r="A32" s="54" t="s">
        <v>707</v>
      </c>
      <c r="B32" s="55">
        <v>26.81</v>
      </c>
      <c r="C32" s="55">
        <v>38.03</v>
      </c>
      <c r="D32" s="55">
        <v>31.63</v>
      </c>
      <c r="E32" s="55">
        <v>4.97</v>
      </c>
      <c r="F32" s="55">
        <v>5.8</v>
      </c>
      <c r="G32" s="55">
        <v>31.51</v>
      </c>
      <c r="H32" s="55">
        <v>10.42</v>
      </c>
      <c r="I32" s="55">
        <v>4.2300000000000004</v>
      </c>
      <c r="J32" s="55">
        <v>0.3</v>
      </c>
      <c r="K32" s="55">
        <v>317.55</v>
      </c>
      <c r="L32" s="55">
        <v>24.12</v>
      </c>
      <c r="M32" s="55">
        <v>102.27</v>
      </c>
      <c r="N32" s="55">
        <v>26.1</v>
      </c>
      <c r="O32" s="55">
        <v>0</v>
      </c>
      <c r="P32" s="55">
        <v>0.67</v>
      </c>
      <c r="Q32" s="55">
        <v>9.4499999999999993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5.09</v>
      </c>
      <c r="C34" s="28">
        <f t="shared" si="0"/>
        <v>15.98</v>
      </c>
      <c r="D34" s="28">
        <f t="shared" si="0"/>
        <v>17.239999999999998</v>
      </c>
      <c r="E34" s="28">
        <f t="shared" si="0"/>
        <v>3.75</v>
      </c>
      <c r="F34" s="28">
        <f t="shared" si="0"/>
        <v>3.41</v>
      </c>
      <c r="G34" s="28">
        <f t="shared" si="0"/>
        <v>16.32</v>
      </c>
      <c r="H34" s="28">
        <f t="shared" si="0"/>
        <v>2.56</v>
      </c>
      <c r="I34" s="28">
        <f t="shared" si="0"/>
        <v>4</v>
      </c>
      <c r="J34" s="28">
        <f t="shared" si="0"/>
        <v>0.14000000000000001</v>
      </c>
      <c r="K34" s="28">
        <f t="shared" si="0"/>
        <v>164.83</v>
      </c>
      <c r="L34" s="28">
        <f t="shared" si="0"/>
        <v>22.71</v>
      </c>
      <c r="M34" s="28">
        <f t="shared" si="0"/>
        <v>64.239999999999995</v>
      </c>
      <c r="N34" s="28">
        <f t="shared" si="0"/>
        <v>26.1</v>
      </c>
      <c r="O34" s="28">
        <f t="shared" si="0"/>
        <v>0</v>
      </c>
      <c r="P34" s="28">
        <f t="shared" si="0"/>
        <v>0.2</v>
      </c>
      <c r="Q34" s="28">
        <f t="shared" si="0"/>
        <v>9.18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26.81</v>
      </c>
      <c r="C35" s="29">
        <f t="shared" si="1"/>
        <v>41.66</v>
      </c>
      <c r="D35" s="29">
        <f t="shared" si="1"/>
        <v>44.14</v>
      </c>
      <c r="E35" s="29">
        <f t="shared" si="1"/>
        <v>6.16</v>
      </c>
      <c r="F35" s="29">
        <f t="shared" si="1"/>
        <v>29.16</v>
      </c>
      <c r="G35" s="29">
        <f t="shared" si="1"/>
        <v>43.12</v>
      </c>
      <c r="H35" s="29">
        <f t="shared" si="1"/>
        <v>35.47</v>
      </c>
      <c r="I35" s="29">
        <f t="shared" si="1"/>
        <v>4.2300000000000004</v>
      </c>
      <c r="J35" s="29">
        <f t="shared" si="1"/>
        <v>1.69</v>
      </c>
      <c r="K35" s="29">
        <f t="shared" si="1"/>
        <v>355.54</v>
      </c>
      <c r="L35" s="29">
        <f t="shared" si="1"/>
        <v>38.68</v>
      </c>
      <c r="M35" s="29">
        <f t="shared" si="1"/>
        <v>103.11</v>
      </c>
      <c r="N35" s="29">
        <f t="shared" si="1"/>
        <v>799.4</v>
      </c>
      <c r="O35" s="29">
        <f t="shared" si="1"/>
        <v>9.8000000000000007</v>
      </c>
      <c r="P35" s="29">
        <f t="shared" si="1"/>
        <v>0.67</v>
      </c>
      <c r="Q35" s="29">
        <f t="shared" si="1"/>
        <v>9.59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13.254583333333336</v>
      </c>
      <c r="C36" s="28">
        <f t="shared" si="2"/>
        <v>24.760416666666668</v>
      </c>
      <c r="D36" s="28">
        <f t="shared" si="2"/>
        <v>27.50291666666666</v>
      </c>
      <c r="E36" s="28">
        <f t="shared" si="2"/>
        <v>4.3162499999999993</v>
      </c>
      <c r="F36" s="28">
        <f t="shared" si="2"/>
        <v>8.8550000000000004</v>
      </c>
      <c r="G36" s="28">
        <f t="shared" si="2"/>
        <v>29.04333333333334</v>
      </c>
      <c r="H36" s="28">
        <f t="shared" si="2"/>
        <v>11.102083333333333</v>
      </c>
      <c r="I36" s="28">
        <f t="shared" si="2"/>
        <v>4.1170833333333325</v>
      </c>
      <c r="J36" s="28">
        <f t="shared" si="2"/>
        <v>0.58461538461538454</v>
      </c>
      <c r="K36" s="28">
        <f t="shared" si="2"/>
        <v>288.86384615384617</v>
      </c>
      <c r="L36" s="28">
        <f t="shared" si="2"/>
        <v>28.157692307692308</v>
      </c>
      <c r="M36" s="28">
        <f t="shared" si="2"/>
        <v>91.676923076923075</v>
      </c>
      <c r="N36" s="28">
        <f t="shared" si="2"/>
        <v>214.61538461538461</v>
      </c>
      <c r="O36" s="28">
        <f t="shared" si="2"/>
        <v>1.2000000000000002</v>
      </c>
      <c r="P36" s="28">
        <f t="shared" si="2"/>
        <v>0.4512500000000001</v>
      </c>
      <c r="Q36" s="28">
        <f t="shared" si="2"/>
        <v>9.3854166666666643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5.253068651143173</v>
      </c>
      <c r="C37" s="28">
        <f t="shared" ref="C37:Q37" si="3">STDEV(C9:C32)</f>
        <v>5.885847786569637</v>
      </c>
      <c r="D37" s="28">
        <f t="shared" si="3"/>
        <v>8.0209028436664589</v>
      </c>
      <c r="E37" s="28">
        <f t="shared" si="3"/>
        <v>0.64711945339058385</v>
      </c>
      <c r="F37" s="28">
        <f t="shared" si="3"/>
        <v>7.7760267041946189</v>
      </c>
      <c r="G37" s="28">
        <f t="shared" si="3"/>
        <v>9.0097337057914668</v>
      </c>
      <c r="H37" s="28">
        <f t="shared" si="3"/>
        <v>8.9356189922893599</v>
      </c>
      <c r="I37" s="28">
        <f t="shared" si="3"/>
        <v>6.6035508673721224E-2</v>
      </c>
      <c r="J37" s="28">
        <f t="shared" si="3"/>
        <v>0.42048811684785625</v>
      </c>
      <c r="K37" s="28">
        <f t="shared" si="3"/>
        <v>73.037795756541968</v>
      </c>
      <c r="L37" s="28">
        <f t="shared" si="3"/>
        <v>6.0989564050556391</v>
      </c>
      <c r="M37" s="28">
        <f t="shared" si="3"/>
        <v>15.760781698367307</v>
      </c>
      <c r="N37" s="28">
        <f t="shared" si="3"/>
        <v>280.37871961020221</v>
      </c>
      <c r="O37" s="28">
        <f t="shared" si="3"/>
        <v>3.0408332191467964</v>
      </c>
      <c r="P37" s="28">
        <f t="shared" si="3"/>
        <v>0.11866329786783038</v>
      </c>
      <c r="Q37" s="28">
        <f t="shared" si="3"/>
        <v>0.14276703939016155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13</v>
      </c>
      <c r="K38" s="32">
        <f t="shared" si="4"/>
        <v>13</v>
      </c>
      <c r="L38" s="32">
        <f t="shared" si="4"/>
        <v>13</v>
      </c>
      <c r="M38" s="32">
        <f t="shared" si="4"/>
        <v>13</v>
      </c>
      <c r="N38" s="32">
        <f t="shared" si="4"/>
        <v>13</v>
      </c>
      <c r="O38" s="32">
        <f t="shared" si="4"/>
        <v>13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&lt;90%</v>
      </c>
      <c r="K39" s="29" t="str">
        <f t="shared" si="5"/>
        <v>&lt;90%</v>
      </c>
      <c r="L39" s="29" t="str">
        <f t="shared" si="5"/>
        <v>&lt;90%</v>
      </c>
      <c r="M39" s="29" t="str">
        <f t="shared" si="5"/>
        <v>&lt;90%</v>
      </c>
      <c r="N39" s="29" t="str">
        <f t="shared" si="5"/>
        <v>&lt;90%</v>
      </c>
      <c r="O39" s="29" t="str">
        <f t="shared" si="5"/>
        <v>&lt;90%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LESS</v>
      </c>
      <c r="K40" s="29" t="str">
        <f t="shared" si="6"/>
        <v>LESS</v>
      </c>
      <c r="L40" s="29" t="str">
        <f t="shared" si="6"/>
        <v>LESS</v>
      </c>
      <c r="M40" s="29" t="str">
        <f t="shared" si="6"/>
        <v>LESS</v>
      </c>
      <c r="N40" s="29" t="str">
        <f t="shared" si="6"/>
        <v>LESS</v>
      </c>
      <c r="O40" s="29" t="str">
        <f t="shared" si="6"/>
        <v>LESS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66929133858267698" right="2.63779527559055" top="0.196850393700787" bottom="2.0866141732283499" header="0.31496062992126" footer="0.15748031496063"/>
  <pageSetup paperSize="9" scale="9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36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C14" sqref="C14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28/05/2025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4" t="s">
        <v>708</v>
      </c>
      <c r="B9" s="55">
        <v>12.48</v>
      </c>
      <c r="C9" s="55">
        <v>23.79</v>
      </c>
      <c r="D9" s="55">
        <v>29.8</v>
      </c>
      <c r="E9" s="55">
        <v>5.89</v>
      </c>
      <c r="F9" s="55">
        <v>8.1999999999999993</v>
      </c>
      <c r="G9" s="55">
        <v>36.47</v>
      </c>
      <c r="H9" s="55">
        <v>11.7</v>
      </c>
      <c r="I9" s="55">
        <v>4.01</v>
      </c>
      <c r="J9" s="55">
        <v>0.28000000000000003</v>
      </c>
      <c r="K9" s="55">
        <v>338.88</v>
      </c>
      <c r="L9" s="55">
        <v>24.1</v>
      </c>
      <c r="M9" s="55">
        <v>102.33</v>
      </c>
      <c r="N9" s="55">
        <v>26</v>
      </c>
      <c r="O9" s="55">
        <v>0</v>
      </c>
      <c r="P9" s="55">
        <v>0.73</v>
      </c>
      <c r="Q9" s="55">
        <v>9.4700000000000006</v>
      </c>
      <c r="R9" s="43"/>
      <c r="S9" s="43"/>
      <c r="T9" s="43"/>
      <c r="U9" s="43"/>
    </row>
    <row r="10" spans="1:21" s="11" customFormat="1" x14ac:dyDescent="0.25">
      <c r="A10" s="54" t="s">
        <v>709</v>
      </c>
      <c r="B10" s="55">
        <v>10.02</v>
      </c>
      <c r="C10" s="55">
        <v>21.51</v>
      </c>
      <c r="D10" s="55">
        <v>27.52</v>
      </c>
      <c r="E10" s="55">
        <v>5.68</v>
      </c>
      <c r="F10" s="55">
        <v>7.77</v>
      </c>
      <c r="G10" s="55">
        <v>38.520000000000003</v>
      </c>
      <c r="H10" s="55">
        <v>11.88</v>
      </c>
      <c r="I10" s="55">
        <v>4.17</v>
      </c>
      <c r="J10" s="55">
        <v>0.17</v>
      </c>
      <c r="K10" s="55">
        <v>311.64</v>
      </c>
      <c r="L10" s="55">
        <v>24.16</v>
      </c>
      <c r="M10" s="55">
        <v>102.4</v>
      </c>
      <c r="N10" s="55">
        <v>26</v>
      </c>
      <c r="O10" s="55">
        <v>0</v>
      </c>
      <c r="P10" s="55">
        <v>0.65</v>
      </c>
      <c r="Q10" s="55">
        <v>9.4700000000000006</v>
      </c>
      <c r="R10" s="43"/>
      <c r="S10" s="43"/>
      <c r="T10" s="43"/>
      <c r="U10" s="43"/>
    </row>
    <row r="11" spans="1:21" s="11" customFormat="1" x14ac:dyDescent="0.25">
      <c r="A11" s="54" t="s">
        <v>710</v>
      </c>
      <c r="B11" s="55">
        <v>12.14</v>
      </c>
      <c r="C11" s="55">
        <v>23.42</v>
      </c>
      <c r="D11" s="55">
        <v>30.41</v>
      </c>
      <c r="E11" s="55">
        <v>6.08</v>
      </c>
      <c r="F11" s="55">
        <v>7.57</v>
      </c>
      <c r="G11" s="55">
        <v>41.24</v>
      </c>
      <c r="H11" s="55">
        <v>17.670000000000002</v>
      </c>
      <c r="I11" s="55">
        <v>4.03</v>
      </c>
      <c r="J11" s="55">
        <v>0.4</v>
      </c>
      <c r="K11" s="55">
        <v>356.6</v>
      </c>
      <c r="L11" s="55">
        <v>24.06</v>
      </c>
      <c r="M11" s="55">
        <v>102.45</v>
      </c>
      <c r="N11" s="55">
        <v>25.8</v>
      </c>
      <c r="O11" s="55">
        <v>0</v>
      </c>
      <c r="P11" s="55">
        <v>0.64</v>
      </c>
      <c r="Q11" s="55">
        <v>9.48</v>
      </c>
      <c r="R11" s="43"/>
      <c r="S11" s="43"/>
      <c r="T11" s="43"/>
      <c r="U11" s="43"/>
    </row>
    <row r="12" spans="1:21" s="11" customFormat="1" x14ac:dyDescent="0.25">
      <c r="A12" s="54" t="s">
        <v>711</v>
      </c>
      <c r="B12" s="55">
        <v>11.36</v>
      </c>
      <c r="C12" s="55">
        <v>20.05</v>
      </c>
      <c r="D12" s="55">
        <v>20.94</v>
      </c>
      <c r="E12" s="55">
        <v>5.79</v>
      </c>
      <c r="F12" s="55">
        <v>6.57</v>
      </c>
      <c r="G12" s="55">
        <v>42.33</v>
      </c>
      <c r="H12" s="55">
        <v>19.579999999999998</v>
      </c>
      <c r="I12" s="55">
        <v>4.17</v>
      </c>
      <c r="J12" s="55">
        <v>0.16</v>
      </c>
      <c r="K12" s="55">
        <v>351.48</v>
      </c>
      <c r="L12" s="55">
        <v>24.05</v>
      </c>
      <c r="M12" s="55">
        <v>102.5</v>
      </c>
      <c r="N12" s="55">
        <v>26.1</v>
      </c>
      <c r="O12" s="55">
        <v>0</v>
      </c>
      <c r="P12" s="55">
        <v>0.61</v>
      </c>
      <c r="Q12" s="55">
        <v>9.4600000000000009</v>
      </c>
      <c r="R12" s="43"/>
      <c r="S12" s="43"/>
      <c r="T12" s="43"/>
      <c r="U12" s="43"/>
    </row>
    <row r="13" spans="1:21" s="11" customFormat="1" x14ac:dyDescent="0.25">
      <c r="A13" s="54" t="s">
        <v>712</v>
      </c>
      <c r="B13" s="55">
        <v>10.7</v>
      </c>
      <c r="C13" s="55">
        <v>18.579999999999998</v>
      </c>
      <c r="D13" s="55">
        <v>21.89</v>
      </c>
      <c r="E13" s="55">
        <v>5.71</v>
      </c>
      <c r="F13" s="55">
        <v>5.32</v>
      </c>
      <c r="G13" s="55">
        <v>45.98</v>
      </c>
      <c r="H13" s="55">
        <v>21.37</v>
      </c>
      <c r="I13" s="55">
        <v>4.0599999999999996</v>
      </c>
      <c r="J13" s="55">
        <v>0.16</v>
      </c>
      <c r="K13" s="55">
        <v>321.66000000000003</v>
      </c>
      <c r="L13" s="55">
        <v>23.89</v>
      </c>
      <c r="M13" s="55">
        <v>102.64</v>
      </c>
      <c r="N13" s="55">
        <v>26.1</v>
      </c>
      <c r="O13" s="55">
        <v>0</v>
      </c>
      <c r="P13" s="55">
        <v>0.65</v>
      </c>
      <c r="Q13" s="55">
        <v>9.3800000000000008</v>
      </c>
      <c r="R13" s="43"/>
      <c r="S13" s="43"/>
      <c r="T13" s="43"/>
      <c r="U13" s="43"/>
    </row>
    <row r="14" spans="1:21" s="11" customFormat="1" x14ac:dyDescent="0.25">
      <c r="A14" s="54" t="s">
        <v>713</v>
      </c>
      <c r="B14" s="55">
        <v>9.3699999999999992</v>
      </c>
      <c r="C14" s="55">
        <v>18.45</v>
      </c>
      <c r="D14" s="55">
        <v>20.92</v>
      </c>
      <c r="E14" s="55">
        <v>5.86</v>
      </c>
      <c r="F14" s="55">
        <v>7.85</v>
      </c>
      <c r="G14" s="55">
        <v>45.18</v>
      </c>
      <c r="H14" s="55">
        <v>21.08</v>
      </c>
      <c r="I14" s="55">
        <v>4.09</v>
      </c>
      <c r="J14" s="55">
        <v>0.5</v>
      </c>
      <c r="K14" s="55">
        <v>220.85</v>
      </c>
      <c r="L14" s="55">
        <v>23.75</v>
      </c>
      <c r="M14" s="55">
        <v>102.9</v>
      </c>
      <c r="N14" s="55">
        <v>45.9</v>
      </c>
      <c r="O14" s="55">
        <v>0</v>
      </c>
      <c r="P14" s="55">
        <v>0.62</v>
      </c>
      <c r="Q14" s="55">
        <v>9.3800000000000008</v>
      </c>
      <c r="R14" s="43"/>
      <c r="S14" s="43"/>
      <c r="T14" s="43"/>
      <c r="U14" s="43"/>
    </row>
    <row r="15" spans="1:21" s="11" customFormat="1" x14ac:dyDescent="0.25">
      <c r="A15" s="54" t="s">
        <v>714</v>
      </c>
      <c r="B15" s="55">
        <v>11.21</v>
      </c>
      <c r="C15" s="55">
        <v>19.13</v>
      </c>
      <c r="D15" s="55">
        <v>21.65</v>
      </c>
      <c r="E15" s="55">
        <v>5.94</v>
      </c>
      <c r="F15" s="55">
        <v>8.91</v>
      </c>
      <c r="G15" s="55">
        <v>41.12</v>
      </c>
      <c r="H15" s="55">
        <v>19.54</v>
      </c>
      <c r="I15" s="55">
        <v>4.1500000000000004</v>
      </c>
      <c r="J15" s="55">
        <v>0.43</v>
      </c>
      <c r="K15" s="55">
        <v>270.13</v>
      </c>
      <c r="L15" s="55">
        <v>24.74</v>
      </c>
      <c r="M15" s="55">
        <v>102.98</v>
      </c>
      <c r="N15" s="55">
        <v>168</v>
      </c>
      <c r="O15" s="55">
        <v>0</v>
      </c>
      <c r="P15" s="55">
        <v>0.56999999999999995</v>
      </c>
      <c r="Q15" s="55">
        <v>9.4</v>
      </c>
      <c r="R15" s="43"/>
      <c r="S15" s="43"/>
      <c r="T15" s="43"/>
      <c r="U15" s="43"/>
    </row>
    <row r="16" spans="1:21" s="11" customFormat="1" x14ac:dyDescent="0.25">
      <c r="A16" s="54" t="s">
        <v>715</v>
      </c>
      <c r="B16" s="55">
        <v>16.47</v>
      </c>
      <c r="C16" s="55">
        <v>24.19</v>
      </c>
      <c r="D16" s="55">
        <v>21.78</v>
      </c>
      <c r="E16" s="55">
        <v>5.55</v>
      </c>
      <c r="F16" s="55">
        <v>4.76</v>
      </c>
      <c r="G16" s="55">
        <v>38.090000000000003</v>
      </c>
      <c r="H16" s="55">
        <v>18.14</v>
      </c>
      <c r="I16" s="55">
        <v>4.03</v>
      </c>
      <c r="J16" s="55">
        <v>0.13</v>
      </c>
      <c r="K16" s="55">
        <v>310.94</v>
      </c>
      <c r="L16" s="55">
        <v>26.81</v>
      </c>
      <c r="M16" s="55">
        <v>103.18</v>
      </c>
      <c r="N16" s="55">
        <v>347.7</v>
      </c>
      <c r="O16" s="55">
        <v>0</v>
      </c>
      <c r="P16" s="55">
        <v>0.61</v>
      </c>
      <c r="Q16" s="55">
        <v>9.4</v>
      </c>
      <c r="R16" s="43"/>
      <c r="S16" s="43"/>
      <c r="T16" s="43"/>
      <c r="U16" s="43"/>
    </row>
    <row r="17" spans="1:21" s="11" customFormat="1" x14ac:dyDescent="0.25">
      <c r="A17" s="54" t="s">
        <v>716</v>
      </c>
      <c r="B17" s="55">
        <v>14.43</v>
      </c>
      <c r="C17" s="55">
        <v>24.15</v>
      </c>
      <c r="D17" s="55">
        <v>24.53</v>
      </c>
      <c r="E17" s="55">
        <v>5.28</v>
      </c>
      <c r="F17" s="55">
        <v>9.02</v>
      </c>
      <c r="G17" s="55">
        <v>36.380000000000003</v>
      </c>
      <c r="H17" s="55">
        <v>16.25</v>
      </c>
      <c r="I17" s="55">
        <v>4.0999999999999996</v>
      </c>
      <c r="J17" s="55">
        <v>0.54</v>
      </c>
      <c r="K17" s="55">
        <v>340.66</v>
      </c>
      <c r="L17" s="55">
        <v>31.96</v>
      </c>
      <c r="M17" s="55">
        <v>93.98</v>
      </c>
      <c r="N17" s="55">
        <v>516.9</v>
      </c>
      <c r="O17" s="55">
        <v>0</v>
      </c>
      <c r="P17" s="55">
        <v>0.6</v>
      </c>
      <c r="Q17" s="55">
        <v>9.42</v>
      </c>
      <c r="R17" s="43"/>
      <c r="S17" s="43"/>
      <c r="T17" s="43"/>
      <c r="U17" s="43"/>
    </row>
    <row r="18" spans="1:21" s="11" customFormat="1" x14ac:dyDescent="0.25">
      <c r="A18" s="54" t="s">
        <v>717</v>
      </c>
      <c r="B18" s="55">
        <v>17.28</v>
      </c>
      <c r="C18" s="55">
        <v>40.06</v>
      </c>
      <c r="D18" s="55">
        <v>50.15</v>
      </c>
      <c r="E18" s="55">
        <v>6.46</v>
      </c>
      <c r="F18" s="55">
        <v>16.43</v>
      </c>
      <c r="G18" s="55">
        <v>41.45</v>
      </c>
      <c r="H18" s="55">
        <v>17.18</v>
      </c>
      <c r="I18" s="55">
        <v>3.98</v>
      </c>
      <c r="J18" s="55">
        <v>0.74</v>
      </c>
      <c r="K18" s="55">
        <v>354.56</v>
      </c>
      <c r="L18" s="55">
        <v>32.71</v>
      </c>
      <c r="M18" s="55">
        <v>77.069999999999993</v>
      </c>
      <c r="N18" s="55">
        <v>675.1</v>
      </c>
      <c r="O18" s="55">
        <v>0</v>
      </c>
      <c r="P18" s="55">
        <v>0.95</v>
      </c>
      <c r="Q18" s="55">
        <v>9.4</v>
      </c>
      <c r="R18" s="43"/>
      <c r="S18" s="43"/>
      <c r="T18" s="43"/>
      <c r="U18" s="43"/>
    </row>
    <row r="19" spans="1:21" s="11" customFormat="1" x14ac:dyDescent="0.25">
      <c r="A19" s="54" t="s">
        <v>718</v>
      </c>
      <c r="B19" s="55">
        <v>11.15</v>
      </c>
      <c r="C19" s="55">
        <v>30.95</v>
      </c>
      <c r="D19" s="55">
        <v>42.12</v>
      </c>
      <c r="E19" s="55">
        <v>7.82</v>
      </c>
      <c r="F19" s="55">
        <v>21.34</v>
      </c>
      <c r="G19" s="55">
        <v>61.73</v>
      </c>
      <c r="H19" s="55">
        <v>23.51</v>
      </c>
      <c r="I19" s="55">
        <v>4.26</v>
      </c>
      <c r="J19" s="55">
        <v>1.27</v>
      </c>
      <c r="K19" s="55">
        <v>113.46</v>
      </c>
      <c r="L19" s="55">
        <v>31.26</v>
      </c>
      <c r="M19" s="55">
        <v>82.13</v>
      </c>
      <c r="N19" s="55">
        <v>764.7</v>
      </c>
      <c r="O19" s="55">
        <v>0</v>
      </c>
      <c r="P19" s="55">
        <v>0.86</v>
      </c>
      <c r="Q19" s="55">
        <v>9.4</v>
      </c>
      <c r="R19" s="43"/>
      <c r="S19" s="43"/>
      <c r="T19" s="43"/>
      <c r="U19" s="43"/>
    </row>
    <row r="20" spans="1:21" s="11" customFormat="1" x14ac:dyDescent="0.25">
      <c r="A20" s="54" t="s">
        <v>719</v>
      </c>
      <c r="B20" s="55">
        <v>6.81</v>
      </c>
      <c r="C20" s="55">
        <v>22.74</v>
      </c>
      <c r="D20" s="55">
        <v>33.78</v>
      </c>
      <c r="E20" s="55">
        <v>8.2899999999999991</v>
      </c>
      <c r="F20" s="55">
        <v>19.52</v>
      </c>
      <c r="G20" s="55">
        <v>59.36</v>
      </c>
      <c r="H20" s="55">
        <v>21.87</v>
      </c>
      <c r="I20" s="55">
        <v>4.2300000000000004</v>
      </c>
      <c r="J20" s="55">
        <v>0.62</v>
      </c>
      <c r="K20" s="55">
        <v>359.93</v>
      </c>
      <c r="L20" s="55">
        <v>33.049999999999997</v>
      </c>
      <c r="M20" s="55">
        <v>70.959999999999994</v>
      </c>
      <c r="N20" s="55">
        <v>889.5</v>
      </c>
      <c r="O20" s="55">
        <v>0</v>
      </c>
      <c r="P20" s="55">
        <v>0.5</v>
      </c>
      <c r="Q20" s="55">
        <v>9.1999999999999993</v>
      </c>
      <c r="R20" s="43"/>
      <c r="S20" s="43"/>
      <c r="T20" s="43"/>
      <c r="U20" s="43"/>
    </row>
    <row r="21" spans="1:21" s="11" customFormat="1" x14ac:dyDescent="0.25">
      <c r="A21" s="54" t="s">
        <v>720</v>
      </c>
      <c r="B21" s="55">
        <v>9.5399999999999991</v>
      </c>
      <c r="C21" s="55">
        <v>26.08</v>
      </c>
      <c r="D21" s="55">
        <v>35.270000000000003</v>
      </c>
      <c r="E21" s="55">
        <v>8.9</v>
      </c>
      <c r="F21" s="55">
        <v>23.27</v>
      </c>
      <c r="G21" s="55">
        <v>48.54</v>
      </c>
      <c r="H21" s="55">
        <v>19.600000000000001</v>
      </c>
      <c r="I21" s="55">
        <v>4.1100000000000003</v>
      </c>
      <c r="J21" s="55">
        <v>0.91</v>
      </c>
      <c r="K21" s="55">
        <v>105.24</v>
      </c>
      <c r="L21" s="55">
        <v>33.51</v>
      </c>
      <c r="M21" s="55">
        <v>67.260000000000005</v>
      </c>
      <c r="N21" s="55">
        <v>761</v>
      </c>
      <c r="O21" s="55">
        <v>0</v>
      </c>
      <c r="P21" s="55">
        <v>0.41</v>
      </c>
      <c r="Q21" s="55">
        <v>9.17</v>
      </c>
      <c r="R21" s="43"/>
      <c r="S21" s="43"/>
      <c r="T21" s="43"/>
      <c r="U21" s="43"/>
    </row>
    <row r="22" spans="1:21" s="11" customFormat="1" x14ac:dyDescent="0.25">
      <c r="A22" s="54" t="s">
        <v>721</v>
      </c>
      <c r="B22" s="55">
        <v>6.53</v>
      </c>
      <c r="C22" s="55">
        <v>25.15</v>
      </c>
      <c r="D22" s="55">
        <v>38.119999999999997</v>
      </c>
      <c r="E22" s="55">
        <v>9.48</v>
      </c>
      <c r="F22" s="55">
        <v>22.92</v>
      </c>
      <c r="G22" s="55">
        <v>44.85</v>
      </c>
      <c r="H22" s="55">
        <v>19.600000000000001</v>
      </c>
      <c r="I22" s="55">
        <v>4.17</v>
      </c>
      <c r="J22" s="55">
        <v>1.24</v>
      </c>
      <c r="K22" s="55">
        <v>350.25</v>
      </c>
      <c r="L22" s="55">
        <v>32.94</v>
      </c>
      <c r="M22" s="55">
        <v>64.92</v>
      </c>
      <c r="N22" s="55">
        <v>506.3</v>
      </c>
      <c r="O22" s="55">
        <v>0</v>
      </c>
      <c r="P22" s="55">
        <v>0</v>
      </c>
      <c r="Q22" s="55">
        <v>9.17</v>
      </c>
      <c r="R22" s="43"/>
      <c r="S22" s="43"/>
      <c r="T22" s="43"/>
      <c r="U22" s="43"/>
    </row>
    <row r="23" spans="1:21" s="11" customFormat="1" x14ac:dyDescent="0.25">
      <c r="A23" s="54" t="s">
        <v>722</v>
      </c>
      <c r="B23" s="55">
        <v>6.38</v>
      </c>
      <c r="C23" s="55">
        <v>27.55</v>
      </c>
      <c r="D23" s="55">
        <v>42.94</v>
      </c>
      <c r="E23" s="55">
        <v>12.42</v>
      </c>
      <c r="F23" s="55">
        <v>32.01</v>
      </c>
      <c r="G23" s="55">
        <v>53.08</v>
      </c>
      <c r="H23" s="55">
        <v>22.8</v>
      </c>
      <c r="I23" s="55">
        <v>4.17</v>
      </c>
      <c r="J23" s="55">
        <v>0.4</v>
      </c>
      <c r="K23" s="55">
        <v>327.02</v>
      </c>
      <c r="L23" s="55">
        <v>33.79</v>
      </c>
      <c r="M23" s="55">
        <v>59.94</v>
      </c>
      <c r="N23" s="55">
        <v>293.5</v>
      </c>
      <c r="O23" s="55">
        <v>0</v>
      </c>
      <c r="P23" s="55">
        <v>0.6</v>
      </c>
      <c r="Q23" s="55">
        <v>9.16</v>
      </c>
      <c r="R23" s="43"/>
      <c r="S23" s="43"/>
      <c r="T23" s="43"/>
      <c r="U23" s="43"/>
    </row>
    <row r="24" spans="1:21" s="11" customFormat="1" x14ac:dyDescent="0.25">
      <c r="A24" s="54" t="s">
        <v>723</v>
      </c>
      <c r="B24" s="55">
        <v>3.81</v>
      </c>
      <c r="C24" s="55">
        <v>24.46</v>
      </c>
      <c r="D24" s="55">
        <v>40.98</v>
      </c>
      <c r="E24" s="55">
        <v>11.94</v>
      </c>
      <c r="F24" s="55">
        <v>32.89</v>
      </c>
      <c r="G24" s="55">
        <v>52.36</v>
      </c>
      <c r="H24" s="55">
        <v>23.55</v>
      </c>
      <c r="I24" s="55">
        <v>4.09</v>
      </c>
      <c r="J24" s="55">
        <v>0.69</v>
      </c>
      <c r="K24" s="55">
        <v>152.26</v>
      </c>
      <c r="L24" s="55">
        <v>32.31</v>
      </c>
      <c r="M24" s="55">
        <v>63.31</v>
      </c>
      <c r="N24" s="55">
        <v>211.6</v>
      </c>
      <c r="O24" s="55">
        <v>0</v>
      </c>
      <c r="P24" s="55">
        <v>0.52</v>
      </c>
      <c r="Q24" s="55">
        <v>9.17</v>
      </c>
      <c r="R24" s="43"/>
      <c r="S24" s="43"/>
      <c r="T24" s="43"/>
      <c r="U24" s="43"/>
    </row>
    <row r="25" spans="1:21" s="11" customFormat="1" x14ac:dyDescent="0.25">
      <c r="A25" s="54" t="s">
        <v>724</v>
      </c>
      <c r="B25" s="55">
        <v>4.8099999999999996</v>
      </c>
      <c r="C25" s="55">
        <v>23.08</v>
      </c>
      <c r="D25" s="55">
        <v>36.78</v>
      </c>
      <c r="E25" s="55">
        <v>9.2799999999999994</v>
      </c>
      <c r="F25" s="55">
        <v>22.57</v>
      </c>
      <c r="G25" s="55">
        <v>51.41</v>
      </c>
      <c r="H25" s="55">
        <v>23.4</v>
      </c>
      <c r="I25" s="55">
        <v>4.08</v>
      </c>
      <c r="J25" s="55">
        <v>0.56999999999999995</v>
      </c>
      <c r="K25" s="55">
        <v>209.27</v>
      </c>
      <c r="L25" s="55">
        <v>32.479999999999997</v>
      </c>
      <c r="M25" s="55">
        <v>62.85</v>
      </c>
      <c r="N25" s="55">
        <v>220.4</v>
      </c>
      <c r="O25" s="55">
        <v>0</v>
      </c>
      <c r="P25" s="55">
        <v>0.5</v>
      </c>
      <c r="Q25" s="55">
        <v>9.16</v>
      </c>
      <c r="R25" s="43"/>
      <c r="S25" s="43"/>
      <c r="T25" s="43"/>
      <c r="U25" s="43"/>
    </row>
    <row r="26" spans="1:21" s="11" customFormat="1" x14ac:dyDescent="0.25">
      <c r="A26" s="54" t="s">
        <v>725</v>
      </c>
      <c r="B26" s="55">
        <v>4.1900000000000004</v>
      </c>
      <c r="C26" s="55">
        <v>20.84</v>
      </c>
      <c r="D26" s="55">
        <v>34.53</v>
      </c>
      <c r="E26" s="55">
        <v>8.4499999999999993</v>
      </c>
      <c r="F26" s="55">
        <v>24.09</v>
      </c>
      <c r="G26" s="55">
        <v>57.58</v>
      </c>
      <c r="H26" s="55">
        <v>21.28</v>
      </c>
      <c r="I26" s="55">
        <v>4.01</v>
      </c>
      <c r="J26" s="55">
        <v>0.65</v>
      </c>
      <c r="K26" s="55">
        <v>304.22000000000003</v>
      </c>
      <c r="L26" s="55">
        <v>32.19</v>
      </c>
      <c r="M26" s="55">
        <v>70.09</v>
      </c>
      <c r="N26" s="55">
        <v>81.599999999999994</v>
      </c>
      <c r="O26" s="55">
        <v>0</v>
      </c>
      <c r="P26" s="55">
        <v>0.5</v>
      </c>
      <c r="Q26" s="55">
        <v>9.14</v>
      </c>
      <c r="R26" s="43"/>
      <c r="S26" s="43"/>
      <c r="T26" s="43"/>
      <c r="U26" s="43"/>
    </row>
    <row r="27" spans="1:21" s="11" customFormat="1" x14ac:dyDescent="0.25">
      <c r="A27" s="54" t="s">
        <v>726</v>
      </c>
      <c r="B27" s="55">
        <v>8.67</v>
      </c>
      <c r="C27" s="55">
        <v>27.07</v>
      </c>
      <c r="D27" s="55">
        <v>38.5</v>
      </c>
      <c r="E27" s="55">
        <v>7.01</v>
      </c>
      <c r="F27" s="55">
        <v>14.61</v>
      </c>
      <c r="G27" s="55">
        <v>58.32</v>
      </c>
      <c r="H27" s="55">
        <v>13.89</v>
      </c>
      <c r="I27" s="55">
        <v>4.21</v>
      </c>
      <c r="J27" s="55">
        <v>0.71</v>
      </c>
      <c r="K27" s="55">
        <v>334.28</v>
      </c>
      <c r="L27" s="55">
        <v>29.27</v>
      </c>
      <c r="M27" s="55">
        <v>77.53</v>
      </c>
      <c r="N27" s="55">
        <v>40.1</v>
      </c>
      <c r="O27" s="55">
        <v>0</v>
      </c>
      <c r="P27" s="55">
        <v>0.8</v>
      </c>
      <c r="Q27" s="55">
        <v>9.18</v>
      </c>
      <c r="R27" s="43"/>
      <c r="S27" s="43"/>
      <c r="T27" s="43"/>
      <c r="U27" s="43"/>
    </row>
    <row r="28" spans="1:21" s="11" customFormat="1" x14ac:dyDescent="0.25">
      <c r="A28" s="54" t="s">
        <v>727</v>
      </c>
      <c r="B28" s="55">
        <v>8.68</v>
      </c>
      <c r="C28" s="55">
        <v>30.32</v>
      </c>
      <c r="D28" s="55">
        <v>44.71</v>
      </c>
      <c r="E28" s="55">
        <v>6.98</v>
      </c>
      <c r="F28" s="55">
        <v>16.18</v>
      </c>
      <c r="G28" s="55">
        <v>58</v>
      </c>
      <c r="H28" s="55">
        <v>72.86</v>
      </c>
      <c r="I28" s="55">
        <v>4.0599999999999996</v>
      </c>
      <c r="J28" s="55">
        <v>0.15</v>
      </c>
      <c r="K28" s="55">
        <v>349.27</v>
      </c>
      <c r="L28" s="55">
        <v>28.1</v>
      </c>
      <c r="M28" s="55">
        <v>84.2</v>
      </c>
      <c r="N28" s="55">
        <v>26.5</v>
      </c>
      <c r="O28" s="55">
        <v>0</v>
      </c>
      <c r="P28" s="55">
        <v>0.81</v>
      </c>
      <c r="Q28" s="55">
        <v>9.23</v>
      </c>
      <c r="R28" s="43"/>
      <c r="S28" s="43"/>
      <c r="T28" s="43"/>
      <c r="U28" s="43"/>
    </row>
    <row r="29" spans="1:21" s="11" customFormat="1" x14ac:dyDescent="0.25">
      <c r="A29" s="54" t="s">
        <v>728</v>
      </c>
      <c r="B29" s="55">
        <v>10.38</v>
      </c>
      <c r="C29" s="55">
        <v>29.48</v>
      </c>
      <c r="D29" s="55">
        <v>43.32</v>
      </c>
      <c r="E29" s="55">
        <v>6.38</v>
      </c>
      <c r="F29" s="55">
        <v>7.2</v>
      </c>
      <c r="G29" s="55">
        <v>56.37</v>
      </c>
      <c r="H29" s="55">
        <v>70.61</v>
      </c>
      <c r="I29" s="55">
        <v>4.01</v>
      </c>
      <c r="J29" s="55">
        <v>0.14000000000000001</v>
      </c>
      <c r="K29" s="55">
        <v>350.94</v>
      </c>
      <c r="L29" s="55">
        <v>26.67</v>
      </c>
      <c r="M29" s="55">
        <v>100.78</v>
      </c>
      <c r="N29" s="55">
        <v>26.1</v>
      </c>
      <c r="O29" s="55">
        <v>0.2</v>
      </c>
      <c r="P29" s="55">
        <v>1.1000000000000001</v>
      </c>
      <c r="Q29" s="55">
        <v>9.27</v>
      </c>
      <c r="R29" s="43"/>
      <c r="S29" s="43"/>
      <c r="T29" s="43"/>
      <c r="U29" s="43"/>
    </row>
    <row r="30" spans="1:21" s="11" customFormat="1" x14ac:dyDescent="0.25">
      <c r="A30" s="54" t="s">
        <v>729</v>
      </c>
      <c r="B30" s="55">
        <v>8.18</v>
      </c>
      <c r="C30" s="55">
        <v>21.1</v>
      </c>
      <c r="D30" s="55">
        <v>27.83</v>
      </c>
      <c r="E30" s="55">
        <v>5.88</v>
      </c>
      <c r="F30" s="55">
        <v>4.4400000000000004</v>
      </c>
      <c r="G30" s="55">
        <v>54.3</v>
      </c>
      <c r="H30" s="55">
        <v>53.96</v>
      </c>
      <c r="I30" s="55">
        <v>4.16</v>
      </c>
      <c r="J30" s="55">
        <v>0.28000000000000003</v>
      </c>
      <c r="K30" s="55">
        <v>321.55</v>
      </c>
      <c r="L30" s="55">
        <v>26.47</v>
      </c>
      <c r="M30" s="55">
        <v>94.97</v>
      </c>
      <c r="N30" s="55">
        <v>27.4</v>
      </c>
      <c r="O30" s="55">
        <v>0</v>
      </c>
      <c r="P30" s="55">
        <v>0.79</v>
      </c>
      <c r="Q30" s="55">
        <v>9.27</v>
      </c>
      <c r="R30" s="43"/>
      <c r="S30" s="43"/>
      <c r="T30" s="43"/>
      <c r="U30" s="43"/>
    </row>
    <row r="31" spans="1:21" s="11" customFormat="1" x14ac:dyDescent="0.25">
      <c r="A31" s="54" t="s">
        <v>730</v>
      </c>
      <c r="B31" s="55">
        <v>6.02</v>
      </c>
      <c r="C31" s="55">
        <v>17.64</v>
      </c>
      <c r="D31" s="55">
        <v>24.52</v>
      </c>
      <c r="E31" s="55">
        <v>5.52</v>
      </c>
      <c r="F31" s="55">
        <v>5.18</v>
      </c>
      <c r="G31" s="55">
        <v>49.44</v>
      </c>
      <c r="H31" s="55">
        <v>19.670000000000002</v>
      </c>
      <c r="I31" s="55">
        <v>4.13</v>
      </c>
      <c r="J31" s="55">
        <v>0.18</v>
      </c>
      <c r="K31" s="55">
        <v>327.95</v>
      </c>
      <c r="L31" s="55">
        <v>25.69</v>
      </c>
      <c r="M31" s="55">
        <v>95.3</v>
      </c>
      <c r="N31" s="55">
        <v>26.4</v>
      </c>
      <c r="O31" s="55">
        <v>0</v>
      </c>
      <c r="P31" s="55">
        <v>0.68</v>
      </c>
      <c r="Q31" s="55">
        <v>9.23</v>
      </c>
      <c r="R31" s="43"/>
      <c r="S31" s="43"/>
      <c r="T31" s="43"/>
      <c r="U31" s="43"/>
    </row>
    <row r="32" spans="1:21" s="11" customFormat="1" x14ac:dyDescent="0.25">
      <c r="A32" s="54" t="s">
        <v>731</v>
      </c>
      <c r="B32" s="55">
        <v>4.74</v>
      </c>
      <c r="C32" s="55">
        <v>15.11</v>
      </c>
      <c r="D32" s="55">
        <v>21.63</v>
      </c>
      <c r="E32" s="55">
        <v>5.37</v>
      </c>
      <c r="F32" s="55">
        <v>7.3</v>
      </c>
      <c r="G32" s="55">
        <v>45.37</v>
      </c>
      <c r="H32" s="55">
        <v>1.19</v>
      </c>
      <c r="I32" s="55">
        <v>4.08</v>
      </c>
      <c r="J32" s="55">
        <v>0.14000000000000001</v>
      </c>
      <c r="K32" s="55">
        <v>309.70999999999998</v>
      </c>
      <c r="L32" s="55">
        <v>25.36</v>
      </c>
      <c r="M32" s="55">
        <v>92.68</v>
      </c>
      <c r="N32" s="55">
        <v>26.5</v>
      </c>
      <c r="O32" s="55">
        <v>0</v>
      </c>
      <c r="P32" s="55">
        <v>0.55000000000000004</v>
      </c>
      <c r="Q32" s="55">
        <v>9.19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3.81</v>
      </c>
      <c r="C34" s="28">
        <f t="shared" si="0"/>
        <v>15.11</v>
      </c>
      <c r="D34" s="28">
        <f t="shared" si="0"/>
        <v>20.92</v>
      </c>
      <c r="E34" s="28">
        <f t="shared" si="0"/>
        <v>5.28</v>
      </c>
      <c r="F34" s="28">
        <f t="shared" si="0"/>
        <v>4.4400000000000004</v>
      </c>
      <c r="G34" s="28">
        <f t="shared" si="0"/>
        <v>36.380000000000003</v>
      </c>
      <c r="H34" s="28">
        <f t="shared" si="0"/>
        <v>1.19</v>
      </c>
      <c r="I34" s="28">
        <f t="shared" si="0"/>
        <v>3.98</v>
      </c>
      <c r="J34" s="28">
        <f t="shared" si="0"/>
        <v>0.13</v>
      </c>
      <c r="K34" s="28">
        <f t="shared" si="0"/>
        <v>105.24</v>
      </c>
      <c r="L34" s="28">
        <f t="shared" si="0"/>
        <v>23.75</v>
      </c>
      <c r="M34" s="28">
        <f t="shared" si="0"/>
        <v>59.94</v>
      </c>
      <c r="N34" s="28">
        <f t="shared" si="0"/>
        <v>25.8</v>
      </c>
      <c r="O34" s="28">
        <f t="shared" si="0"/>
        <v>0</v>
      </c>
      <c r="P34" s="28">
        <f t="shared" si="0"/>
        <v>0</v>
      </c>
      <c r="Q34" s="28">
        <f t="shared" si="0"/>
        <v>9.14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17.28</v>
      </c>
      <c r="C35" s="29">
        <f t="shared" si="1"/>
        <v>40.06</v>
      </c>
      <c r="D35" s="29">
        <f t="shared" si="1"/>
        <v>50.15</v>
      </c>
      <c r="E35" s="29">
        <f t="shared" si="1"/>
        <v>12.42</v>
      </c>
      <c r="F35" s="29">
        <f t="shared" si="1"/>
        <v>32.89</v>
      </c>
      <c r="G35" s="29">
        <f t="shared" si="1"/>
        <v>61.73</v>
      </c>
      <c r="H35" s="29">
        <f t="shared" si="1"/>
        <v>72.86</v>
      </c>
      <c r="I35" s="29">
        <f t="shared" si="1"/>
        <v>4.26</v>
      </c>
      <c r="J35" s="29">
        <f t="shared" si="1"/>
        <v>1.27</v>
      </c>
      <c r="K35" s="29">
        <f t="shared" si="1"/>
        <v>359.93</v>
      </c>
      <c r="L35" s="29">
        <f t="shared" si="1"/>
        <v>33.79</v>
      </c>
      <c r="M35" s="29">
        <f t="shared" si="1"/>
        <v>103.18</v>
      </c>
      <c r="N35" s="29">
        <f t="shared" si="1"/>
        <v>889.5</v>
      </c>
      <c r="O35" s="29">
        <f t="shared" si="1"/>
        <v>0.2</v>
      </c>
      <c r="P35" s="29">
        <f t="shared" si="1"/>
        <v>1.1000000000000001</v>
      </c>
      <c r="Q35" s="29">
        <f t="shared" si="1"/>
        <v>9.48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9.3895833333333343</v>
      </c>
      <c r="C36" s="28">
        <f t="shared" si="2"/>
        <v>23.954166666666666</v>
      </c>
      <c r="D36" s="28">
        <f t="shared" si="2"/>
        <v>32.275833333333338</v>
      </c>
      <c r="E36" s="28">
        <f t="shared" si="2"/>
        <v>7.1649999999999991</v>
      </c>
      <c r="F36" s="28">
        <f t="shared" si="2"/>
        <v>13.996666666666664</v>
      </c>
      <c r="G36" s="28">
        <f t="shared" si="2"/>
        <v>48.227916666666665</v>
      </c>
      <c r="H36" s="28">
        <f t="shared" si="2"/>
        <v>24.257500000000004</v>
      </c>
      <c r="I36" s="28">
        <f t="shared" si="2"/>
        <v>4.1066666666666665</v>
      </c>
      <c r="J36" s="28">
        <f t="shared" si="2"/>
        <v>0.47750000000000004</v>
      </c>
      <c r="K36" s="28">
        <f t="shared" si="2"/>
        <v>295.53125</v>
      </c>
      <c r="L36" s="28">
        <f t="shared" si="2"/>
        <v>28.471666666666668</v>
      </c>
      <c r="M36" s="28">
        <f t="shared" si="2"/>
        <v>86.639583333333334</v>
      </c>
      <c r="N36" s="28">
        <f t="shared" si="2"/>
        <v>241.05000000000004</v>
      </c>
      <c r="O36" s="28">
        <f t="shared" si="2"/>
        <v>8.3333333333333332E-3</v>
      </c>
      <c r="P36" s="28">
        <f t="shared" si="2"/>
        <v>0.63541666666666663</v>
      </c>
      <c r="Q36" s="28">
        <f t="shared" si="2"/>
        <v>9.2999999999999989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3.6523518083399438</v>
      </c>
      <c r="C37" s="28">
        <f t="shared" ref="C37:Q37" si="3">STDEV(C9:C32)</f>
        <v>5.3180790228007906</v>
      </c>
      <c r="D37" s="28">
        <f t="shared" si="3"/>
        <v>9.0068210464246832</v>
      </c>
      <c r="E37" s="28">
        <f t="shared" si="3"/>
        <v>2.0187792264676685</v>
      </c>
      <c r="F37" s="28">
        <f t="shared" si="3"/>
        <v>8.8364101833004725</v>
      </c>
      <c r="G37" s="28">
        <f t="shared" si="3"/>
        <v>7.9019815782067466</v>
      </c>
      <c r="H37" s="28">
        <f t="shared" si="3"/>
        <v>17.047243880259447</v>
      </c>
      <c r="I37" s="28">
        <f t="shared" si="3"/>
        <v>7.6024404929782546E-2</v>
      </c>
      <c r="J37" s="28">
        <f t="shared" si="3"/>
        <v>0.3336523835423304</v>
      </c>
      <c r="K37" s="28">
        <f t="shared" si="3"/>
        <v>77.062108960889532</v>
      </c>
      <c r="L37" s="28">
        <f t="shared" si="3"/>
        <v>3.8406596655608953</v>
      </c>
      <c r="M37" s="28">
        <f t="shared" si="3"/>
        <v>15.992942595480105</v>
      </c>
      <c r="N37" s="28">
        <f t="shared" si="3"/>
        <v>286.33814913869566</v>
      </c>
      <c r="O37" s="28">
        <f t="shared" si="3"/>
        <v>4.0824829046386311E-2</v>
      </c>
      <c r="P37" s="28">
        <f t="shared" si="3"/>
        <v>0.20815920259068199</v>
      </c>
      <c r="Q37" s="28">
        <f t="shared" si="3"/>
        <v>0.12275815743726104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selection activeCell="H18" sqref="H1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29/05/2025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4" t="s">
        <v>732</v>
      </c>
      <c r="B9" s="55">
        <v>4.03</v>
      </c>
      <c r="C9" s="55">
        <v>13.01</v>
      </c>
      <c r="D9" s="55">
        <v>18.71</v>
      </c>
      <c r="E9" s="55">
        <v>4.68</v>
      </c>
      <c r="F9" s="55">
        <v>7.13</v>
      </c>
      <c r="G9" s="55">
        <v>35.71</v>
      </c>
      <c r="H9" s="55">
        <v>0.18</v>
      </c>
      <c r="I9" s="55">
        <v>4.09</v>
      </c>
      <c r="J9" s="55">
        <v>0.25</v>
      </c>
      <c r="K9" s="55">
        <v>293.64999999999998</v>
      </c>
      <c r="L9" s="55">
        <v>25.05</v>
      </c>
      <c r="M9" s="55">
        <v>96.75</v>
      </c>
      <c r="N9" s="55">
        <v>26.2</v>
      </c>
      <c r="O9" s="55">
        <v>0</v>
      </c>
      <c r="P9" s="55">
        <v>0.47</v>
      </c>
      <c r="Q9" s="55">
        <v>9.16</v>
      </c>
      <c r="R9" s="43"/>
      <c r="S9" s="43"/>
      <c r="T9" s="43"/>
      <c r="U9" s="43"/>
    </row>
    <row r="10" spans="1:21" s="11" customFormat="1" x14ac:dyDescent="0.25">
      <c r="A10" s="54" t="s">
        <v>733</v>
      </c>
      <c r="B10" s="55">
        <v>4.05</v>
      </c>
      <c r="C10" s="55">
        <v>12.03</v>
      </c>
      <c r="D10" s="55">
        <v>17.3</v>
      </c>
      <c r="E10" s="55">
        <v>4.97</v>
      </c>
      <c r="F10" s="55">
        <v>5.48</v>
      </c>
      <c r="G10" s="55">
        <v>26.9</v>
      </c>
      <c r="H10" s="55">
        <v>53.06</v>
      </c>
      <c r="I10" s="55">
        <v>4.0199999999999996</v>
      </c>
      <c r="J10" s="55">
        <v>0.15</v>
      </c>
      <c r="K10" s="55">
        <v>280</v>
      </c>
      <c r="L10" s="55">
        <v>24.86</v>
      </c>
      <c r="M10" s="55">
        <v>100.89</v>
      </c>
      <c r="N10" s="55">
        <v>26.2</v>
      </c>
      <c r="O10" s="55">
        <v>0</v>
      </c>
      <c r="P10" s="55">
        <v>0.44</v>
      </c>
      <c r="Q10" s="55">
        <v>9.1199999999999992</v>
      </c>
      <c r="R10" s="43"/>
      <c r="S10" s="43"/>
      <c r="T10" s="43"/>
      <c r="U10" s="43"/>
    </row>
    <row r="11" spans="1:21" s="11" customFormat="1" x14ac:dyDescent="0.25">
      <c r="A11" s="54" t="s">
        <v>734</v>
      </c>
      <c r="B11" s="55">
        <v>4.43</v>
      </c>
      <c r="C11" s="55">
        <v>11.74</v>
      </c>
      <c r="D11" s="55">
        <v>16.02</v>
      </c>
      <c r="E11" s="55">
        <v>4.74</v>
      </c>
      <c r="F11" s="55">
        <v>6.03</v>
      </c>
      <c r="G11" s="55">
        <v>23.97</v>
      </c>
      <c r="H11" s="55">
        <v>45.88</v>
      </c>
      <c r="I11" s="55">
        <v>4.0999999999999996</v>
      </c>
      <c r="J11" s="55">
        <v>0.22</v>
      </c>
      <c r="K11" s="55">
        <v>218.56</v>
      </c>
      <c r="L11" s="55">
        <v>24.55</v>
      </c>
      <c r="M11" s="55">
        <v>102.65</v>
      </c>
      <c r="N11" s="55">
        <v>26.2</v>
      </c>
      <c r="O11" s="55">
        <v>0</v>
      </c>
      <c r="P11" s="55">
        <v>0.45</v>
      </c>
      <c r="Q11" s="55">
        <v>9.11</v>
      </c>
      <c r="R11" s="43"/>
      <c r="S11" s="43"/>
      <c r="T11" s="43"/>
      <c r="U11" s="43"/>
    </row>
    <row r="12" spans="1:21" s="11" customFormat="1" x14ac:dyDescent="0.25">
      <c r="A12" s="54" t="s">
        <v>735</v>
      </c>
      <c r="B12" s="55">
        <v>4.6500000000000004</v>
      </c>
      <c r="C12" s="55">
        <v>12.06</v>
      </c>
      <c r="D12" s="55">
        <v>16.059999999999999</v>
      </c>
      <c r="E12" s="55">
        <v>4.8600000000000003</v>
      </c>
      <c r="F12" s="55">
        <v>10.23</v>
      </c>
      <c r="G12" s="55">
        <v>23.51</v>
      </c>
      <c r="H12" s="55">
        <v>14.43</v>
      </c>
      <c r="I12" s="55">
        <v>4.08</v>
      </c>
      <c r="J12" s="55">
        <v>0.14000000000000001</v>
      </c>
      <c r="K12" s="55">
        <v>284.27999999999997</v>
      </c>
      <c r="L12" s="55">
        <v>24.33</v>
      </c>
      <c r="M12" s="55">
        <v>102.62</v>
      </c>
      <c r="N12" s="55">
        <v>26.1</v>
      </c>
      <c r="O12" s="55">
        <v>0</v>
      </c>
      <c r="P12" s="55">
        <v>0.34</v>
      </c>
      <c r="Q12" s="55">
        <v>9.14</v>
      </c>
      <c r="R12" s="43"/>
      <c r="S12" s="43"/>
      <c r="T12" s="43"/>
      <c r="U12" s="43"/>
    </row>
    <row r="13" spans="1:21" s="11" customFormat="1" x14ac:dyDescent="0.25">
      <c r="A13" s="54" t="s">
        <v>736</v>
      </c>
      <c r="B13" s="55">
        <v>5.24</v>
      </c>
      <c r="C13" s="55">
        <v>13.18</v>
      </c>
      <c r="D13" s="55">
        <v>17.63</v>
      </c>
      <c r="E13" s="55">
        <v>5.0199999999999996</v>
      </c>
      <c r="F13" s="55">
        <v>10.81</v>
      </c>
      <c r="G13" s="55">
        <v>21.47</v>
      </c>
      <c r="H13" s="55">
        <v>991.42</v>
      </c>
      <c r="I13" s="55">
        <v>4</v>
      </c>
      <c r="J13" s="55">
        <v>0.14000000000000001</v>
      </c>
      <c r="K13" s="55">
        <v>272.31</v>
      </c>
      <c r="L13" s="55">
        <v>24.22</v>
      </c>
      <c r="M13" s="55">
        <v>102.47</v>
      </c>
      <c r="N13" s="55">
        <v>26.2</v>
      </c>
      <c r="O13" s="55">
        <v>0</v>
      </c>
      <c r="P13" s="55">
        <v>0.34</v>
      </c>
      <c r="Q13" s="55">
        <v>9.18</v>
      </c>
      <c r="R13" s="43"/>
      <c r="S13" s="43"/>
      <c r="T13" s="43"/>
      <c r="U13" s="43"/>
    </row>
    <row r="14" spans="1:21" s="11" customFormat="1" x14ac:dyDescent="0.25">
      <c r="A14" s="54" t="s">
        <v>737</v>
      </c>
      <c r="B14" s="55">
        <v>6.67</v>
      </c>
      <c r="C14" s="55">
        <v>13.63</v>
      </c>
      <c r="D14" s="55">
        <v>16.36</v>
      </c>
      <c r="E14" s="55">
        <v>5.0199999999999996</v>
      </c>
      <c r="F14" s="55">
        <v>5.0599999999999996</v>
      </c>
      <c r="G14" s="55">
        <v>24.91</v>
      </c>
      <c r="H14" s="55">
        <v>793.14</v>
      </c>
      <c r="I14" s="55">
        <v>4.0999999999999996</v>
      </c>
      <c r="J14" s="55">
        <v>0.22</v>
      </c>
      <c r="K14" s="55">
        <v>243.05</v>
      </c>
      <c r="L14" s="55">
        <v>23.92</v>
      </c>
      <c r="M14" s="55">
        <v>102.05</v>
      </c>
      <c r="N14" s="55">
        <v>56.4</v>
      </c>
      <c r="O14" s="55">
        <v>0</v>
      </c>
      <c r="P14" s="55">
        <v>0.38</v>
      </c>
      <c r="Q14" s="55">
        <v>9.17</v>
      </c>
      <c r="R14" s="43"/>
      <c r="S14" s="43"/>
      <c r="T14" s="43"/>
      <c r="U14" s="43"/>
    </row>
    <row r="15" spans="1:21" s="11" customFormat="1" x14ac:dyDescent="0.25">
      <c r="A15" s="54" t="s">
        <v>738</v>
      </c>
      <c r="B15" s="55">
        <v>7.43</v>
      </c>
      <c r="C15" s="55">
        <v>14.81</v>
      </c>
      <c r="D15" s="55">
        <v>17.05</v>
      </c>
      <c r="E15" s="55">
        <v>4.55</v>
      </c>
      <c r="F15" s="55">
        <v>4.66</v>
      </c>
      <c r="G15" s="55">
        <v>24.55</v>
      </c>
      <c r="H15" s="55">
        <v>0</v>
      </c>
      <c r="I15" s="55">
        <v>4.21</v>
      </c>
      <c r="J15" s="55">
        <v>0.43</v>
      </c>
      <c r="K15" s="55">
        <v>261.06</v>
      </c>
      <c r="L15" s="55">
        <v>24.68</v>
      </c>
      <c r="M15" s="55">
        <v>102.03</v>
      </c>
      <c r="N15" s="55">
        <v>120.5</v>
      </c>
      <c r="O15" s="55">
        <v>0</v>
      </c>
      <c r="P15" s="55">
        <v>0.36</v>
      </c>
      <c r="Q15" s="55">
        <v>9.19</v>
      </c>
      <c r="R15" s="43"/>
      <c r="S15" s="43"/>
      <c r="T15" s="43"/>
      <c r="U15" s="43"/>
    </row>
    <row r="16" spans="1:21" s="11" customFormat="1" x14ac:dyDescent="0.25">
      <c r="A16" s="54" t="s">
        <v>739</v>
      </c>
      <c r="B16" s="55">
        <v>7.54</v>
      </c>
      <c r="C16" s="55">
        <v>18.899999999999999</v>
      </c>
      <c r="D16" s="55">
        <v>24.59</v>
      </c>
      <c r="E16" s="55">
        <v>5.09</v>
      </c>
      <c r="F16" s="55">
        <v>5.26</v>
      </c>
      <c r="G16" s="55">
        <v>24.75</v>
      </c>
      <c r="H16" s="55">
        <v>21.62</v>
      </c>
      <c r="I16" s="55">
        <v>4.04</v>
      </c>
      <c r="J16" s="55">
        <v>0.28000000000000003</v>
      </c>
      <c r="K16" s="55">
        <v>280.58</v>
      </c>
      <c r="L16" s="55">
        <v>26.93</v>
      </c>
      <c r="M16" s="55">
        <v>101.32</v>
      </c>
      <c r="N16" s="55">
        <v>388.9</v>
      </c>
      <c r="O16" s="55">
        <v>0</v>
      </c>
      <c r="P16" s="55">
        <v>0.47</v>
      </c>
      <c r="Q16" s="55">
        <v>9.1999999999999993</v>
      </c>
      <c r="R16" s="43"/>
      <c r="S16" s="43"/>
      <c r="T16" s="43"/>
      <c r="U16" s="43"/>
    </row>
    <row r="17" spans="1:21" s="11" customFormat="1" x14ac:dyDescent="0.25">
      <c r="A17" s="54" t="s">
        <v>740</v>
      </c>
      <c r="B17" s="55">
        <v>8.5299999999999994</v>
      </c>
      <c r="C17" s="55">
        <v>21.38</v>
      </c>
      <c r="D17" s="55">
        <v>27.82</v>
      </c>
      <c r="E17" s="55">
        <v>6.11</v>
      </c>
      <c r="F17" s="55">
        <v>7.44</v>
      </c>
      <c r="G17" s="55">
        <v>27.8</v>
      </c>
      <c r="H17" s="55">
        <v>19.36</v>
      </c>
      <c r="I17" s="55">
        <v>4.13</v>
      </c>
      <c r="J17" s="55">
        <v>0.31</v>
      </c>
      <c r="K17" s="55">
        <v>285.31</v>
      </c>
      <c r="L17" s="55">
        <v>30.02</v>
      </c>
      <c r="M17" s="55">
        <v>90.4</v>
      </c>
      <c r="N17" s="55">
        <v>562.6</v>
      </c>
      <c r="O17" s="55">
        <v>0</v>
      </c>
      <c r="P17" s="55">
        <v>0.6</v>
      </c>
      <c r="Q17" s="55">
        <v>9.1999999999999993</v>
      </c>
      <c r="R17" s="43"/>
      <c r="S17" s="43"/>
      <c r="T17" s="43"/>
      <c r="U17" s="43"/>
    </row>
    <row r="18" spans="1:21" s="11" customFormat="1" x14ac:dyDescent="0.25">
      <c r="A18" s="54" t="s">
        <v>741</v>
      </c>
      <c r="B18" s="55">
        <v>8.0399999999999991</v>
      </c>
      <c r="C18" s="55">
        <v>21.61</v>
      </c>
      <c r="D18" s="55">
        <v>29.02</v>
      </c>
      <c r="E18" s="55">
        <v>6.09</v>
      </c>
      <c r="F18" s="55">
        <v>10.51</v>
      </c>
      <c r="G18" s="55">
        <v>31.92</v>
      </c>
      <c r="H18" s="55">
        <v>8.4600000000000009</v>
      </c>
      <c r="I18" s="55">
        <v>4.1100000000000003</v>
      </c>
      <c r="J18" s="55">
        <v>0.45</v>
      </c>
      <c r="K18" s="55">
        <v>336.74</v>
      </c>
      <c r="L18" s="55">
        <v>34.65</v>
      </c>
      <c r="M18" s="55">
        <v>73.83</v>
      </c>
      <c r="N18" s="55">
        <v>733.2</v>
      </c>
      <c r="O18" s="55">
        <v>0</v>
      </c>
      <c r="P18" s="55">
        <v>0.62</v>
      </c>
      <c r="Q18" s="55">
        <v>9.2100000000000009</v>
      </c>
      <c r="R18" s="43"/>
      <c r="S18" s="43"/>
      <c r="T18" s="43"/>
      <c r="U18" s="43"/>
    </row>
    <row r="19" spans="1:21" s="11" customFormat="1" x14ac:dyDescent="0.25">
      <c r="A19" s="54" t="s">
        <v>742</v>
      </c>
      <c r="B19" s="55">
        <v>6.68</v>
      </c>
      <c r="C19" s="55">
        <v>18.190000000000001</v>
      </c>
      <c r="D19" s="55">
        <v>27.21</v>
      </c>
      <c r="E19" s="55">
        <v>6</v>
      </c>
      <c r="F19" s="55">
        <v>9.42</v>
      </c>
      <c r="G19" s="55">
        <v>36.94</v>
      </c>
      <c r="H19" s="55">
        <v>33.020000000000003</v>
      </c>
      <c r="I19" s="55">
        <v>4.09</v>
      </c>
      <c r="J19" s="55">
        <v>0.83</v>
      </c>
      <c r="K19" s="55">
        <v>309.72000000000003</v>
      </c>
      <c r="L19" s="55">
        <v>34.159999999999997</v>
      </c>
      <c r="M19" s="55">
        <v>64.36</v>
      </c>
      <c r="N19" s="55">
        <v>815.6</v>
      </c>
      <c r="O19" s="55">
        <v>0</v>
      </c>
      <c r="P19" s="55">
        <v>0.56999999999999995</v>
      </c>
      <c r="Q19" s="55">
        <v>9.19</v>
      </c>
      <c r="R19" s="43"/>
      <c r="S19" s="43"/>
      <c r="T19" s="43"/>
      <c r="U19" s="43"/>
    </row>
    <row r="20" spans="1:21" s="11" customFormat="1" x14ac:dyDescent="0.25">
      <c r="A20" s="54" t="s">
        <v>743</v>
      </c>
      <c r="B20" s="55">
        <v>5.13</v>
      </c>
      <c r="C20" s="55">
        <v>19.07</v>
      </c>
      <c r="D20" s="55">
        <v>28.87</v>
      </c>
      <c r="E20" s="55">
        <v>6.31</v>
      </c>
      <c r="F20" s="55">
        <v>15.18</v>
      </c>
      <c r="G20" s="55">
        <v>35.89</v>
      </c>
      <c r="H20" s="55">
        <v>27.21</v>
      </c>
      <c r="I20" s="55">
        <v>4.08</v>
      </c>
      <c r="J20" s="55">
        <v>0.28000000000000003</v>
      </c>
      <c r="K20" s="55">
        <v>292.20999999999998</v>
      </c>
      <c r="L20" s="55">
        <v>34.299999999999997</v>
      </c>
      <c r="M20" s="55">
        <v>59.78</v>
      </c>
      <c r="N20" s="55">
        <v>825.1</v>
      </c>
      <c r="O20" s="55">
        <v>0</v>
      </c>
      <c r="P20" s="55">
        <v>0.54</v>
      </c>
      <c r="Q20" s="55">
        <v>9.1199999999999992</v>
      </c>
      <c r="R20" s="43"/>
      <c r="S20" s="43"/>
      <c r="T20" s="43"/>
      <c r="U20" s="43"/>
    </row>
    <row r="21" spans="1:21" s="11" customFormat="1" x14ac:dyDescent="0.25">
      <c r="A21" s="54" t="s">
        <v>744</v>
      </c>
      <c r="B21" s="55">
        <v>7.1</v>
      </c>
      <c r="C21" s="55">
        <v>20.99</v>
      </c>
      <c r="D21" s="55">
        <v>31.73</v>
      </c>
      <c r="E21" s="55">
        <v>7.71</v>
      </c>
      <c r="F21" s="55">
        <v>22.37</v>
      </c>
      <c r="G21" s="55">
        <v>31.12</v>
      </c>
      <c r="H21" s="55">
        <v>3.28</v>
      </c>
      <c r="I21" s="55">
        <v>4.09</v>
      </c>
      <c r="J21" s="55">
        <v>0.5</v>
      </c>
      <c r="K21" s="55">
        <v>331.65</v>
      </c>
      <c r="L21" s="55">
        <v>35.76</v>
      </c>
      <c r="M21" s="55">
        <v>55.41</v>
      </c>
      <c r="N21" s="55">
        <v>701.2</v>
      </c>
      <c r="O21" s="55">
        <v>0</v>
      </c>
      <c r="P21" s="55">
        <v>0.54</v>
      </c>
      <c r="Q21" s="55">
        <v>9.1199999999999992</v>
      </c>
      <c r="R21" s="43"/>
      <c r="S21" s="43"/>
      <c r="T21" s="43"/>
      <c r="U21" s="43"/>
    </row>
    <row r="22" spans="1:21" s="11" customFormat="1" x14ac:dyDescent="0.25">
      <c r="A22" s="54" t="s">
        <v>745</v>
      </c>
      <c r="B22" s="55">
        <v>4.3899999999999997</v>
      </c>
      <c r="C22" s="55">
        <v>17.89</v>
      </c>
      <c r="D22" s="55">
        <v>28.06</v>
      </c>
      <c r="E22" s="55">
        <v>7.29</v>
      </c>
      <c r="F22" s="55">
        <v>24.52</v>
      </c>
      <c r="G22" s="55">
        <v>33.56</v>
      </c>
      <c r="H22" s="55">
        <v>15.68</v>
      </c>
      <c r="I22" s="55">
        <v>4.17</v>
      </c>
      <c r="J22" s="55">
        <v>0.36</v>
      </c>
      <c r="K22" s="55">
        <v>225.96</v>
      </c>
      <c r="L22" s="55">
        <v>34.770000000000003</v>
      </c>
      <c r="M22" s="55">
        <v>55.17</v>
      </c>
      <c r="N22" s="55">
        <v>500</v>
      </c>
      <c r="O22" s="55">
        <v>0</v>
      </c>
      <c r="P22" s="55">
        <v>0.7</v>
      </c>
      <c r="Q22" s="55">
        <v>9.1300000000000008</v>
      </c>
      <c r="R22" s="43"/>
      <c r="S22" s="43"/>
      <c r="T22" s="43"/>
      <c r="U22" s="43"/>
    </row>
    <row r="23" spans="1:21" s="11" customFormat="1" x14ac:dyDescent="0.25">
      <c r="A23" s="54" t="s">
        <v>746</v>
      </c>
      <c r="B23" s="55">
        <v>4.09</v>
      </c>
      <c r="C23" s="55">
        <v>19.98</v>
      </c>
      <c r="D23" s="55">
        <v>31.99</v>
      </c>
      <c r="E23" s="55">
        <v>7.38</v>
      </c>
      <c r="F23" s="55">
        <v>15.06</v>
      </c>
      <c r="G23" s="55">
        <v>42.26</v>
      </c>
      <c r="H23" s="55">
        <v>13.11</v>
      </c>
      <c r="I23" s="55">
        <v>4.09</v>
      </c>
      <c r="J23" s="55">
        <v>0.53</v>
      </c>
      <c r="K23" s="55">
        <v>303.85000000000002</v>
      </c>
      <c r="L23" s="55">
        <v>36.380000000000003</v>
      </c>
      <c r="M23" s="55">
        <v>50.17</v>
      </c>
      <c r="N23" s="55">
        <v>413.8</v>
      </c>
      <c r="O23" s="55">
        <v>0</v>
      </c>
      <c r="P23" s="55">
        <v>0.86</v>
      </c>
      <c r="Q23" s="55">
        <v>9.09</v>
      </c>
      <c r="R23" s="43"/>
      <c r="S23" s="43"/>
      <c r="T23" s="43"/>
      <c r="U23" s="43"/>
    </row>
    <row r="24" spans="1:21" s="11" customFormat="1" x14ac:dyDescent="0.25">
      <c r="A24" s="54" t="s">
        <v>747</v>
      </c>
      <c r="B24" s="55">
        <v>3.94</v>
      </c>
      <c r="C24" s="55">
        <v>18.190000000000001</v>
      </c>
      <c r="D24" s="55">
        <v>28.78</v>
      </c>
      <c r="E24" s="55">
        <v>6.43</v>
      </c>
      <c r="F24" s="55">
        <v>11.05</v>
      </c>
      <c r="G24" s="55">
        <v>44.98</v>
      </c>
      <c r="H24" s="55">
        <v>2.81</v>
      </c>
      <c r="I24" s="55">
        <v>4.04</v>
      </c>
      <c r="J24" s="55">
        <v>0.53</v>
      </c>
      <c r="K24" s="55">
        <v>294.79000000000002</v>
      </c>
      <c r="L24" s="55">
        <v>35.78</v>
      </c>
      <c r="M24" s="55">
        <v>52.04</v>
      </c>
      <c r="N24" s="55">
        <v>352.4</v>
      </c>
      <c r="O24" s="55">
        <v>0</v>
      </c>
      <c r="P24" s="55">
        <v>0.88</v>
      </c>
      <c r="Q24" s="55">
        <v>9.14</v>
      </c>
      <c r="R24" s="43"/>
      <c r="S24" s="43"/>
      <c r="T24" s="43"/>
      <c r="U24" s="43"/>
    </row>
    <row r="25" spans="1:21" s="11" customFormat="1" x14ac:dyDescent="0.25">
      <c r="A25" s="54" t="s">
        <v>748</v>
      </c>
      <c r="B25" s="55">
        <v>6.29</v>
      </c>
      <c r="C25" s="55">
        <v>25.73</v>
      </c>
      <c r="D25" s="55">
        <v>39.799999999999997</v>
      </c>
      <c r="E25" s="55">
        <v>6.28</v>
      </c>
      <c r="F25" s="55">
        <v>20.329999999999998</v>
      </c>
      <c r="G25" s="55">
        <v>44.79</v>
      </c>
      <c r="H25" s="55">
        <v>2.5299999999999998</v>
      </c>
      <c r="I25" s="55">
        <v>4.12</v>
      </c>
      <c r="J25" s="55">
        <v>1.62</v>
      </c>
      <c r="K25" s="55">
        <v>351.5</v>
      </c>
      <c r="L25" s="55">
        <v>34.200000000000003</v>
      </c>
      <c r="M25" s="55">
        <v>84.85</v>
      </c>
      <c r="N25" s="55">
        <v>198</v>
      </c>
      <c r="O25" s="55">
        <v>0</v>
      </c>
      <c r="P25" s="55">
        <v>0.87</v>
      </c>
      <c r="Q25" s="55">
        <v>9.18</v>
      </c>
      <c r="R25" s="43"/>
      <c r="S25" s="43"/>
      <c r="T25" s="43"/>
      <c r="U25" s="43"/>
    </row>
    <row r="26" spans="1:21" s="11" customFormat="1" x14ac:dyDescent="0.25">
      <c r="A26" s="54" t="s">
        <v>749</v>
      </c>
      <c r="B26" s="55">
        <v>6.9</v>
      </c>
      <c r="C26" s="55">
        <v>19.87</v>
      </c>
      <c r="D26" s="55">
        <v>27.83</v>
      </c>
      <c r="E26" s="55">
        <v>6.12</v>
      </c>
      <c r="F26" s="55">
        <v>9.98</v>
      </c>
      <c r="G26" s="55">
        <v>45.84</v>
      </c>
      <c r="H26" s="55">
        <v>16.23</v>
      </c>
      <c r="I26" s="55">
        <v>4.05</v>
      </c>
      <c r="J26" s="55">
        <v>1.41</v>
      </c>
      <c r="K26" s="55">
        <v>347.56</v>
      </c>
      <c r="L26" s="55">
        <v>26.8</v>
      </c>
      <c r="M26" s="55">
        <v>101.87</v>
      </c>
      <c r="N26" s="55">
        <v>39.1</v>
      </c>
      <c r="O26" s="55">
        <v>2.4</v>
      </c>
      <c r="P26" s="55">
        <v>0.72</v>
      </c>
      <c r="Q26" s="55">
        <v>9.23</v>
      </c>
      <c r="R26" s="43"/>
      <c r="S26" s="43"/>
      <c r="T26" s="43"/>
      <c r="U26" s="43"/>
    </row>
    <row r="27" spans="1:21" s="11" customFormat="1" x14ac:dyDescent="0.25">
      <c r="A27" s="54" t="s">
        <v>750</v>
      </c>
      <c r="B27" s="55">
        <v>6.26</v>
      </c>
      <c r="C27" s="55">
        <v>22.48</v>
      </c>
      <c r="D27" s="55">
        <v>33.42</v>
      </c>
      <c r="E27" s="55">
        <v>5.71</v>
      </c>
      <c r="F27" s="55">
        <v>6.48</v>
      </c>
      <c r="G27" s="55">
        <v>43.18</v>
      </c>
      <c r="H27" s="55">
        <v>15.15</v>
      </c>
      <c r="I27" s="55">
        <v>4.1399999999999997</v>
      </c>
      <c r="J27" s="55">
        <v>0.61</v>
      </c>
      <c r="K27" s="55">
        <v>303.7</v>
      </c>
      <c r="L27" s="55">
        <v>23.12</v>
      </c>
      <c r="M27" s="55">
        <v>101.96</v>
      </c>
      <c r="N27" s="55">
        <v>27.5</v>
      </c>
      <c r="O27" s="55">
        <v>0.4</v>
      </c>
      <c r="P27" s="55">
        <v>0.57999999999999996</v>
      </c>
      <c r="Q27" s="55">
        <v>9.2100000000000009</v>
      </c>
      <c r="R27" s="43"/>
      <c r="S27" s="43"/>
      <c r="T27" s="43"/>
      <c r="U27" s="43"/>
    </row>
    <row r="28" spans="1:21" s="11" customFormat="1" x14ac:dyDescent="0.25">
      <c r="A28" s="54" t="s">
        <v>751</v>
      </c>
      <c r="B28" s="55">
        <v>6.22</v>
      </c>
      <c r="C28" s="55">
        <v>20.64</v>
      </c>
      <c r="D28" s="55">
        <v>29.96</v>
      </c>
      <c r="E28" s="55">
        <v>5.9</v>
      </c>
      <c r="F28" s="55">
        <v>4.57</v>
      </c>
      <c r="G28" s="55">
        <v>30.57</v>
      </c>
      <c r="H28" s="55">
        <v>9.9499999999999993</v>
      </c>
      <c r="I28" s="55">
        <v>4.01</v>
      </c>
      <c r="J28" s="55">
        <v>0.31</v>
      </c>
      <c r="K28" s="55">
        <v>209.62</v>
      </c>
      <c r="L28" s="55">
        <v>23.5</v>
      </c>
      <c r="M28" s="55">
        <v>102.11</v>
      </c>
      <c r="N28" s="55">
        <v>26.5</v>
      </c>
      <c r="O28" s="55">
        <v>0.2</v>
      </c>
      <c r="P28" s="55">
        <v>0.55000000000000004</v>
      </c>
      <c r="Q28" s="55">
        <v>9.2200000000000006</v>
      </c>
      <c r="R28" s="43"/>
      <c r="S28" s="43"/>
      <c r="T28" s="43"/>
      <c r="U28" s="43"/>
    </row>
    <row r="29" spans="1:21" s="11" customFormat="1" x14ac:dyDescent="0.25">
      <c r="A29" s="54" t="s">
        <v>752</v>
      </c>
      <c r="B29" s="55">
        <v>6.35</v>
      </c>
      <c r="C29" s="55">
        <v>18.63</v>
      </c>
      <c r="D29" s="55">
        <v>25.91</v>
      </c>
      <c r="E29" s="55">
        <v>5.58</v>
      </c>
      <c r="F29" s="55">
        <v>7.21</v>
      </c>
      <c r="G29" s="55">
        <v>23.93</v>
      </c>
      <c r="H29" s="55">
        <v>8.43</v>
      </c>
      <c r="I29" s="55">
        <v>4.01</v>
      </c>
      <c r="J29" s="55">
        <v>0.92</v>
      </c>
      <c r="K29" s="55">
        <v>278.32</v>
      </c>
      <c r="L29" s="55">
        <v>23.86</v>
      </c>
      <c r="M29" s="55">
        <v>101.5</v>
      </c>
      <c r="N29" s="55">
        <v>27.8</v>
      </c>
      <c r="O29" s="55">
        <v>0</v>
      </c>
      <c r="P29" s="55">
        <v>0.55000000000000004</v>
      </c>
      <c r="Q29" s="55">
        <v>9.2100000000000009</v>
      </c>
      <c r="R29" s="43"/>
      <c r="S29" s="43"/>
      <c r="T29" s="43"/>
      <c r="U29" s="43"/>
    </row>
    <row r="30" spans="1:21" s="11" customFormat="1" x14ac:dyDescent="0.25">
      <c r="A30" s="54" t="s">
        <v>753</v>
      </c>
      <c r="B30" s="55">
        <v>6.05</v>
      </c>
      <c r="C30" s="55">
        <v>20.079999999999998</v>
      </c>
      <c r="D30" s="55">
        <v>29.89</v>
      </c>
      <c r="E30" s="55">
        <v>5.71</v>
      </c>
      <c r="F30" s="55">
        <v>11.96</v>
      </c>
      <c r="G30" s="55">
        <v>18.7</v>
      </c>
      <c r="H30" s="55">
        <v>7.52</v>
      </c>
      <c r="I30" s="55">
        <v>4.1399999999999997</v>
      </c>
      <c r="J30" s="55">
        <v>0.15</v>
      </c>
      <c r="K30" s="55">
        <v>217.93</v>
      </c>
      <c r="L30" s="55">
        <v>24.26</v>
      </c>
      <c r="M30" s="55">
        <v>101.6</v>
      </c>
      <c r="N30" s="55">
        <v>27.6</v>
      </c>
      <c r="O30" s="55">
        <v>0</v>
      </c>
      <c r="P30" s="55">
        <v>0.46</v>
      </c>
      <c r="Q30" s="55">
        <v>9.24</v>
      </c>
      <c r="R30" s="43"/>
      <c r="S30" s="43"/>
      <c r="T30" s="43"/>
      <c r="U30" s="43"/>
    </row>
    <row r="31" spans="1:21" s="11" customFormat="1" x14ac:dyDescent="0.25">
      <c r="A31" s="54" t="s">
        <v>754</v>
      </c>
      <c r="B31" s="55">
        <v>8.64</v>
      </c>
      <c r="C31" s="55">
        <v>19.11</v>
      </c>
      <c r="D31" s="55">
        <v>28.47</v>
      </c>
      <c r="E31" s="55">
        <v>5.82</v>
      </c>
      <c r="F31" s="55">
        <v>10.84</v>
      </c>
      <c r="G31" s="55">
        <v>18</v>
      </c>
      <c r="H31" s="55">
        <v>3.46</v>
      </c>
      <c r="I31" s="55">
        <v>4.12</v>
      </c>
      <c r="J31" s="55">
        <v>0.27</v>
      </c>
      <c r="K31" s="55">
        <v>273.5</v>
      </c>
      <c r="L31" s="55">
        <v>24.43</v>
      </c>
      <c r="M31" s="55">
        <v>101.6</v>
      </c>
      <c r="N31" s="55">
        <v>27.4</v>
      </c>
      <c r="O31" s="55">
        <v>0</v>
      </c>
      <c r="P31" s="55">
        <v>0.5</v>
      </c>
      <c r="Q31" s="55">
        <v>9.23</v>
      </c>
      <c r="R31" s="43"/>
      <c r="S31" s="43"/>
      <c r="T31" s="43"/>
      <c r="U31" s="43"/>
    </row>
    <row r="32" spans="1:21" s="11" customFormat="1" x14ac:dyDescent="0.25">
      <c r="A32" s="54" t="s">
        <v>755</v>
      </c>
      <c r="B32" s="55">
        <v>12.73</v>
      </c>
      <c r="C32" s="55">
        <v>27.59</v>
      </c>
      <c r="D32" s="55">
        <v>33.26</v>
      </c>
      <c r="E32" s="55">
        <v>6.08</v>
      </c>
      <c r="F32" s="55">
        <v>6.24</v>
      </c>
      <c r="G32" s="55">
        <v>24.81</v>
      </c>
      <c r="H32" s="55">
        <v>1.89</v>
      </c>
      <c r="I32" s="55">
        <v>4.1100000000000003</v>
      </c>
      <c r="J32" s="55">
        <v>0.78</v>
      </c>
      <c r="K32" s="55">
        <v>346.15</v>
      </c>
      <c r="L32" s="55">
        <v>24.62</v>
      </c>
      <c r="M32" s="55">
        <v>101.31</v>
      </c>
      <c r="N32" s="55">
        <v>26.9</v>
      </c>
      <c r="O32" s="55">
        <v>0</v>
      </c>
      <c r="P32" s="55">
        <v>0.57999999999999996</v>
      </c>
      <c r="Q32" s="55">
        <v>9.27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3.94</v>
      </c>
      <c r="C34" s="28">
        <f t="shared" si="0"/>
        <v>11.74</v>
      </c>
      <c r="D34" s="28">
        <f t="shared" si="0"/>
        <v>16.02</v>
      </c>
      <c r="E34" s="28">
        <f t="shared" si="0"/>
        <v>4.55</v>
      </c>
      <c r="F34" s="28">
        <f t="shared" si="0"/>
        <v>4.57</v>
      </c>
      <c r="G34" s="28">
        <f t="shared" si="0"/>
        <v>18</v>
      </c>
      <c r="H34" s="28">
        <f t="shared" si="0"/>
        <v>0</v>
      </c>
      <c r="I34" s="28">
        <f t="shared" si="0"/>
        <v>4</v>
      </c>
      <c r="J34" s="28">
        <f t="shared" si="0"/>
        <v>0.14000000000000001</v>
      </c>
      <c r="K34" s="28">
        <f t="shared" si="0"/>
        <v>209.62</v>
      </c>
      <c r="L34" s="28">
        <f t="shared" si="0"/>
        <v>23.12</v>
      </c>
      <c r="M34" s="28">
        <f t="shared" si="0"/>
        <v>50.17</v>
      </c>
      <c r="N34" s="28">
        <f t="shared" si="0"/>
        <v>26.1</v>
      </c>
      <c r="O34" s="28">
        <f t="shared" si="0"/>
        <v>0</v>
      </c>
      <c r="P34" s="28">
        <f t="shared" si="0"/>
        <v>0.34</v>
      </c>
      <c r="Q34" s="28">
        <f t="shared" si="0"/>
        <v>9.09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12.73</v>
      </c>
      <c r="C35" s="29">
        <f t="shared" si="1"/>
        <v>27.59</v>
      </c>
      <c r="D35" s="29">
        <f t="shared" si="1"/>
        <v>39.799999999999997</v>
      </c>
      <c r="E35" s="29">
        <f t="shared" si="1"/>
        <v>7.71</v>
      </c>
      <c r="F35" s="29">
        <f t="shared" si="1"/>
        <v>24.52</v>
      </c>
      <c r="G35" s="29">
        <f t="shared" si="1"/>
        <v>45.84</v>
      </c>
      <c r="H35" s="29">
        <f t="shared" si="1"/>
        <v>991.42</v>
      </c>
      <c r="I35" s="29">
        <f t="shared" si="1"/>
        <v>4.21</v>
      </c>
      <c r="J35" s="29">
        <f t="shared" si="1"/>
        <v>1.62</v>
      </c>
      <c r="K35" s="29">
        <f t="shared" si="1"/>
        <v>351.5</v>
      </c>
      <c r="L35" s="29">
        <f t="shared" si="1"/>
        <v>36.380000000000003</v>
      </c>
      <c r="M35" s="29">
        <f t="shared" si="1"/>
        <v>102.65</v>
      </c>
      <c r="N35" s="29">
        <f t="shared" si="1"/>
        <v>825.1</v>
      </c>
      <c r="O35" s="29">
        <f t="shared" si="1"/>
        <v>2.4</v>
      </c>
      <c r="P35" s="29">
        <f t="shared" si="1"/>
        <v>0.88</v>
      </c>
      <c r="Q35" s="29">
        <f t="shared" si="1"/>
        <v>9.27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6.3074999999999983</v>
      </c>
      <c r="C36" s="28">
        <f t="shared" si="2"/>
        <v>18.366250000000001</v>
      </c>
      <c r="D36" s="28">
        <f t="shared" si="2"/>
        <v>26.072500000000002</v>
      </c>
      <c r="E36" s="28">
        <f t="shared" si="2"/>
        <v>5.8104166666666677</v>
      </c>
      <c r="F36" s="28">
        <f t="shared" si="2"/>
        <v>10.325833333333334</v>
      </c>
      <c r="G36" s="28">
        <f t="shared" si="2"/>
        <v>30.83583333333333</v>
      </c>
      <c r="H36" s="28">
        <f t="shared" si="2"/>
        <v>87.825833333333307</v>
      </c>
      <c r="I36" s="28">
        <f t="shared" si="2"/>
        <v>4.0891666666666682</v>
      </c>
      <c r="J36" s="28">
        <f t="shared" si="2"/>
        <v>0.48708333333333331</v>
      </c>
      <c r="K36" s="28">
        <f t="shared" si="2"/>
        <v>285.08333333333331</v>
      </c>
      <c r="L36" s="28">
        <f t="shared" si="2"/>
        <v>28.297916666666666</v>
      </c>
      <c r="M36" s="28">
        <f t="shared" si="2"/>
        <v>87.864166666666662</v>
      </c>
      <c r="N36" s="28">
        <f t="shared" si="2"/>
        <v>250.05833333333331</v>
      </c>
      <c r="O36" s="28">
        <f t="shared" si="2"/>
        <v>0.125</v>
      </c>
      <c r="P36" s="28">
        <f t="shared" si="2"/>
        <v>0.55708333333333349</v>
      </c>
      <c r="Q36" s="28">
        <f t="shared" si="2"/>
        <v>9.177500000000002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2.0001918386255775</v>
      </c>
      <c r="C37" s="28">
        <f t="shared" ref="C37:Q37" si="3">STDEV(C9:C32)</f>
        <v>4.2317010789680234</v>
      </c>
      <c r="D37" s="28">
        <f t="shared" si="3"/>
        <v>6.6381095069369671</v>
      </c>
      <c r="E37" s="28">
        <f t="shared" si="3"/>
        <v>0.85869708768912478</v>
      </c>
      <c r="F37" s="28">
        <f t="shared" si="3"/>
        <v>5.5855612902855363</v>
      </c>
      <c r="G37" s="28">
        <f t="shared" si="3"/>
        <v>8.6452761248766716</v>
      </c>
      <c r="H37" s="28">
        <f t="shared" si="3"/>
        <v>249.86210285426162</v>
      </c>
      <c r="I37" s="28">
        <f t="shared" si="3"/>
        <v>5.2246628072321936E-2</v>
      </c>
      <c r="J37" s="28">
        <f t="shared" si="3"/>
        <v>0.38608941481460507</v>
      </c>
      <c r="K37" s="28">
        <f t="shared" si="3"/>
        <v>41.317256702850635</v>
      </c>
      <c r="L37" s="28">
        <f t="shared" si="3"/>
        <v>5.051423371655769</v>
      </c>
      <c r="M37" s="28">
        <f t="shared" si="3"/>
        <v>20.003476853584331</v>
      </c>
      <c r="N37" s="28">
        <f t="shared" si="3"/>
        <v>291.4777639616064</v>
      </c>
      <c r="O37" s="28">
        <f t="shared" si="3"/>
        <v>0.49277387000177042</v>
      </c>
      <c r="P37" s="28">
        <f t="shared" si="3"/>
        <v>0.15688486963005821</v>
      </c>
      <c r="Q37" s="28">
        <f t="shared" si="3"/>
        <v>4.7479972894758193E-2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selection activeCell="G13" sqref="G13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6" width="9.140625" style="20" customWidth="1"/>
    <col min="17" max="17" width="16.42578125" style="20" customWidth="1"/>
    <col min="18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30/05/2025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4" t="s">
        <v>756</v>
      </c>
      <c r="B9" s="55">
        <v>9.48</v>
      </c>
      <c r="C9" s="55">
        <v>20.61</v>
      </c>
      <c r="D9" s="55">
        <v>25.63</v>
      </c>
      <c r="E9" s="55">
        <v>4.1900000000000004</v>
      </c>
      <c r="F9" s="55">
        <v>6.17</v>
      </c>
      <c r="G9" s="55">
        <v>34.26</v>
      </c>
      <c r="H9" s="55">
        <v>19.850000000000001</v>
      </c>
      <c r="I9" s="55">
        <v>4.1100000000000003</v>
      </c>
      <c r="J9" s="55">
        <v>0.33</v>
      </c>
      <c r="K9" s="55">
        <v>327.02</v>
      </c>
      <c r="L9" s="55">
        <v>24.6</v>
      </c>
      <c r="M9" s="55">
        <v>101.17</v>
      </c>
      <c r="N9" s="55">
        <v>26.8</v>
      </c>
      <c r="O9" s="55">
        <v>0</v>
      </c>
      <c r="P9" s="55">
        <v>0.57999999999999996</v>
      </c>
      <c r="Q9" s="55">
        <v>9.27</v>
      </c>
      <c r="R9" s="43"/>
      <c r="S9" s="43"/>
      <c r="T9" s="43"/>
      <c r="U9" s="43"/>
    </row>
    <row r="10" spans="1:21" s="11" customFormat="1" x14ac:dyDescent="0.25">
      <c r="A10" s="54" t="s">
        <v>757</v>
      </c>
      <c r="B10" s="55">
        <v>12.94</v>
      </c>
      <c r="C10" s="55">
        <v>28.5</v>
      </c>
      <c r="D10" s="55">
        <v>34.68</v>
      </c>
      <c r="E10" s="55">
        <v>4.1399999999999997</v>
      </c>
      <c r="F10" s="55">
        <v>9.93</v>
      </c>
      <c r="G10" s="55">
        <v>34.14</v>
      </c>
      <c r="H10" s="55">
        <v>17.68</v>
      </c>
      <c r="I10" s="55">
        <v>4.1500000000000004</v>
      </c>
      <c r="J10" s="55">
        <v>0.47</v>
      </c>
      <c r="K10" s="55">
        <v>222.84</v>
      </c>
      <c r="L10" s="55">
        <v>24.76</v>
      </c>
      <c r="M10" s="55">
        <v>101.4</v>
      </c>
      <c r="N10" s="55">
        <v>26.5</v>
      </c>
      <c r="O10" s="55">
        <v>0</v>
      </c>
      <c r="P10" s="55">
        <v>0.46</v>
      </c>
      <c r="Q10" s="55">
        <v>9.3000000000000007</v>
      </c>
      <c r="R10" s="43"/>
      <c r="S10" s="43"/>
      <c r="T10" s="43"/>
      <c r="U10" s="43"/>
    </row>
    <row r="11" spans="1:21" s="11" customFormat="1" x14ac:dyDescent="0.25">
      <c r="A11" s="54" t="s">
        <v>758</v>
      </c>
      <c r="B11" s="55">
        <v>10.78</v>
      </c>
      <c r="C11" s="55">
        <v>25.79</v>
      </c>
      <c r="D11" s="55">
        <v>34.39</v>
      </c>
      <c r="E11" s="55">
        <v>4.1399999999999997</v>
      </c>
      <c r="F11" s="55">
        <v>8.1</v>
      </c>
      <c r="G11" s="55">
        <v>33.11</v>
      </c>
      <c r="H11" s="55">
        <v>17.48</v>
      </c>
      <c r="I11" s="55">
        <v>4.05</v>
      </c>
      <c r="J11" s="55">
        <v>0.11</v>
      </c>
      <c r="K11" s="55">
        <v>214.36</v>
      </c>
      <c r="L11" s="55">
        <v>24.77</v>
      </c>
      <c r="M11" s="55">
        <v>101.41</v>
      </c>
      <c r="N11" s="55">
        <v>26.4</v>
      </c>
      <c r="O11" s="55">
        <v>0</v>
      </c>
      <c r="P11" s="55">
        <v>0.44</v>
      </c>
      <c r="Q11" s="55">
        <v>9.35</v>
      </c>
      <c r="R11" s="43"/>
      <c r="S11" s="43"/>
      <c r="T11" s="43"/>
      <c r="U11" s="43"/>
    </row>
    <row r="12" spans="1:21" s="11" customFormat="1" x14ac:dyDescent="0.25">
      <c r="A12" s="54" t="s">
        <v>759</v>
      </c>
      <c r="B12" s="55">
        <v>14.22</v>
      </c>
      <c r="C12" s="55">
        <v>25.96</v>
      </c>
      <c r="D12" s="55">
        <v>28.77</v>
      </c>
      <c r="E12" s="55">
        <v>4.22</v>
      </c>
      <c r="F12" s="55">
        <v>5</v>
      </c>
      <c r="G12" s="55">
        <v>31.34</v>
      </c>
      <c r="H12" s="55">
        <v>15.63</v>
      </c>
      <c r="I12" s="55">
        <v>4.1900000000000004</v>
      </c>
      <c r="J12" s="55">
        <v>0.2</v>
      </c>
      <c r="K12" s="55">
        <v>233.24</v>
      </c>
      <c r="L12" s="55">
        <v>24.71</v>
      </c>
      <c r="M12" s="55">
        <v>101.35</v>
      </c>
      <c r="N12" s="55">
        <v>26.3</v>
      </c>
      <c r="O12" s="55">
        <v>0</v>
      </c>
      <c r="P12" s="55">
        <v>0.62</v>
      </c>
      <c r="Q12" s="55">
        <v>9.39</v>
      </c>
      <c r="R12" s="43"/>
      <c r="S12" s="43"/>
      <c r="T12" s="43"/>
      <c r="U12" s="43"/>
    </row>
    <row r="13" spans="1:21" s="11" customFormat="1" x14ac:dyDescent="0.25">
      <c r="A13" s="54" t="s">
        <v>760</v>
      </c>
      <c r="B13" s="55">
        <v>12.29</v>
      </c>
      <c r="C13" s="55">
        <v>21.75</v>
      </c>
      <c r="D13" s="55">
        <v>23.25</v>
      </c>
      <c r="E13" s="55">
        <v>3.91</v>
      </c>
      <c r="F13" s="55">
        <v>5.6</v>
      </c>
      <c r="G13" s="55">
        <v>32.75</v>
      </c>
      <c r="H13" s="55">
        <v>6.91</v>
      </c>
      <c r="I13" s="55">
        <v>4.12</v>
      </c>
      <c r="J13" s="55">
        <v>0.14000000000000001</v>
      </c>
      <c r="K13" s="55">
        <v>218.52</v>
      </c>
      <c r="L13" s="55">
        <v>24.52</v>
      </c>
      <c r="M13" s="55">
        <v>101.49</v>
      </c>
      <c r="N13" s="55">
        <v>26.3</v>
      </c>
      <c r="O13" s="55">
        <v>0</v>
      </c>
      <c r="P13" s="55">
        <v>0.61</v>
      </c>
      <c r="Q13" s="55">
        <v>9.4</v>
      </c>
      <c r="R13" s="43"/>
      <c r="S13" s="43"/>
      <c r="T13" s="43"/>
      <c r="U13" s="43"/>
    </row>
    <row r="14" spans="1:21" s="11" customFormat="1" x14ac:dyDescent="0.25">
      <c r="A14" s="54" t="s">
        <v>761</v>
      </c>
      <c r="B14" s="55">
        <v>11.88</v>
      </c>
      <c r="C14" s="55">
        <v>21.27</v>
      </c>
      <c r="D14" s="55">
        <v>26.35</v>
      </c>
      <c r="E14" s="55">
        <v>4.04</v>
      </c>
      <c r="F14" s="55">
        <v>7</v>
      </c>
      <c r="G14" s="55">
        <v>34.909999999999997</v>
      </c>
      <c r="H14" s="55">
        <v>110.91</v>
      </c>
      <c r="I14" s="55">
        <v>4.1399999999999997</v>
      </c>
      <c r="J14" s="55">
        <v>0.14000000000000001</v>
      </c>
      <c r="K14" s="55">
        <v>256.36</v>
      </c>
      <c r="L14" s="55">
        <v>24.75</v>
      </c>
      <c r="M14" s="55">
        <v>101.48</v>
      </c>
      <c r="N14" s="55">
        <v>64</v>
      </c>
      <c r="O14" s="55">
        <v>0</v>
      </c>
      <c r="P14" s="55">
        <v>0.56000000000000005</v>
      </c>
      <c r="Q14" s="55">
        <v>9.42</v>
      </c>
      <c r="R14" s="43"/>
      <c r="S14" s="43"/>
      <c r="T14" s="43"/>
      <c r="U14" s="43"/>
    </row>
    <row r="15" spans="1:21" s="11" customFormat="1" x14ac:dyDescent="0.25">
      <c r="A15" s="54" t="s">
        <v>762</v>
      </c>
      <c r="B15" s="55">
        <v>10.73</v>
      </c>
      <c r="C15" s="55">
        <v>20.27</v>
      </c>
      <c r="D15" s="55">
        <v>22.96</v>
      </c>
      <c r="E15" s="55">
        <v>4.17</v>
      </c>
      <c r="F15" s="55">
        <v>8.0500000000000007</v>
      </c>
      <c r="G15" s="55">
        <v>34.76</v>
      </c>
      <c r="H15" s="55">
        <v>91.58</v>
      </c>
      <c r="I15" s="55">
        <v>4.18</v>
      </c>
      <c r="J15" s="55">
        <v>0.24</v>
      </c>
      <c r="K15" s="55">
        <v>274.89</v>
      </c>
      <c r="L15" s="55">
        <v>26.72</v>
      </c>
      <c r="M15" s="55">
        <v>101.47</v>
      </c>
      <c r="N15" s="55">
        <v>219</v>
      </c>
      <c r="O15" s="55">
        <v>0</v>
      </c>
      <c r="P15" s="55">
        <v>0.55000000000000004</v>
      </c>
      <c r="Q15" s="55">
        <v>9.42</v>
      </c>
      <c r="R15" s="43"/>
      <c r="S15" s="43"/>
      <c r="T15" s="43"/>
      <c r="U15" s="43"/>
    </row>
    <row r="16" spans="1:21" s="11" customFormat="1" x14ac:dyDescent="0.25">
      <c r="A16" s="54" t="s">
        <v>763</v>
      </c>
      <c r="B16" s="55">
        <v>9.83</v>
      </c>
      <c r="C16" s="55">
        <v>20.76</v>
      </c>
      <c r="D16" s="55">
        <v>24.64</v>
      </c>
      <c r="E16" s="55">
        <v>6.09</v>
      </c>
      <c r="F16" s="55">
        <v>8.06</v>
      </c>
      <c r="G16" s="55">
        <v>33.770000000000003</v>
      </c>
      <c r="H16" s="55">
        <v>12.64</v>
      </c>
      <c r="I16" s="55">
        <v>4.0999999999999996</v>
      </c>
      <c r="J16" s="55">
        <v>0.41</v>
      </c>
      <c r="K16" s="55">
        <v>287.68</v>
      </c>
      <c r="L16" s="55">
        <v>29.43</v>
      </c>
      <c r="M16" s="55">
        <v>87.51</v>
      </c>
      <c r="N16" s="55">
        <v>400.5</v>
      </c>
      <c r="O16" s="55">
        <v>0</v>
      </c>
      <c r="P16" s="55">
        <v>0.49</v>
      </c>
      <c r="Q16" s="55">
        <v>9.35</v>
      </c>
      <c r="R16" s="43"/>
      <c r="S16" s="43"/>
      <c r="T16" s="43"/>
      <c r="U16" s="43"/>
    </row>
    <row r="17" spans="1:21" s="11" customFormat="1" x14ac:dyDescent="0.25">
      <c r="A17" s="54" t="s">
        <v>764</v>
      </c>
      <c r="B17" s="55">
        <v>6.99</v>
      </c>
      <c r="C17" s="55">
        <v>16.97</v>
      </c>
      <c r="D17" s="55">
        <v>21.81</v>
      </c>
      <c r="E17" s="55">
        <v>5.86</v>
      </c>
      <c r="F17" s="55">
        <v>5.34</v>
      </c>
      <c r="G17" s="55">
        <v>32.74</v>
      </c>
      <c r="H17" s="55">
        <v>12.18</v>
      </c>
      <c r="I17" s="55">
        <v>4.0999999999999996</v>
      </c>
      <c r="J17" s="55">
        <v>0.42</v>
      </c>
      <c r="K17" s="55">
        <v>285.01</v>
      </c>
      <c r="L17" s="55">
        <v>30.15</v>
      </c>
      <c r="M17" s="55">
        <v>80.23</v>
      </c>
      <c r="N17" s="55">
        <v>563.1</v>
      </c>
      <c r="O17" s="55">
        <v>0</v>
      </c>
      <c r="P17" s="55">
        <v>0.45</v>
      </c>
      <c r="Q17" s="55">
        <v>9.2200000000000006</v>
      </c>
      <c r="R17" s="43"/>
      <c r="S17" s="43"/>
      <c r="T17" s="43"/>
      <c r="U17" s="43"/>
    </row>
    <row r="18" spans="1:21" s="11" customFormat="1" x14ac:dyDescent="0.25">
      <c r="A18" s="54" t="s">
        <v>765</v>
      </c>
      <c r="B18" s="55">
        <v>4.91</v>
      </c>
      <c r="C18" s="55">
        <v>17.57</v>
      </c>
      <c r="D18" s="55">
        <v>26.09</v>
      </c>
      <c r="E18" s="55">
        <v>5.93</v>
      </c>
      <c r="F18" s="55">
        <v>5.35</v>
      </c>
      <c r="G18" s="55">
        <v>32.729999999999997</v>
      </c>
      <c r="H18" s="55">
        <v>13.12</v>
      </c>
      <c r="I18" s="55">
        <v>4.13</v>
      </c>
      <c r="J18" s="55">
        <v>0.46</v>
      </c>
      <c r="K18" s="55">
        <v>288.87</v>
      </c>
      <c r="L18" s="55">
        <v>31.91</v>
      </c>
      <c r="M18" s="55">
        <v>80.25</v>
      </c>
      <c r="N18" s="55">
        <v>711.3</v>
      </c>
      <c r="O18" s="55">
        <v>0</v>
      </c>
      <c r="P18" s="55">
        <v>0.66</v>
      </c>
      <c r="Q18" s="55">
        <v>9.14</v>
      </c>
      <c r="R18" s="43"/>
      <c r="S18" s="43"/>
      <c r="T18" s="43"/>
      <c r="U18" s="43"/>
    </row>
    <row r="19" spans="1:21" s="11" customFormat="1" x14ac:dyDescent="0.25">
      <c r="A19" s="54" t="s">
        <v>766</v>
      </c>
      <c r="B19" s="55">
        <v>4.97</v>
      </c>
      <c r="C19" s="55">
        <v>18.43</v>
      </c>
      <c r="D19" s="55">
        <v>29.38</v>
      </c>
      <c r="E19" s="55">
        <v>6.46</v>
      </c>
      <c r="F19" s="55">
        <v>9.9700000000000006</v>
      </c>
      <c r="G19" s="55">
        <v>32.049999999999997</v>
      </c>
      <c r="H19" s="55">
        <v>12.78</v>
      </c>
      <c r="I19" s="55">
        <v>4.2300000000000004</v>
      </c>
      <c r="J19" s="55">
        <v>0.34</v>
      </c>
      <c r="K19" s="55">
        <v>274.64</v>
      </c>
      <c r="L19" s="55">
        <v>31.25</v>
      </c>
      <c r="M19" s="55">
        <v>79.91</v>
      </c>
      <c r="N19" s="55">
        <v>766.5</v>
      </c>
      <c r="O19" s="55">
        <v>0</v>
      </c>
      <c r="P19" s="55">
        <v>0.73</v>
      </c>
      <c r="Q19" s="55">
        <v>9.16</v>
      </c>
      <c r="R19" s="43"/>
      <c r="S19" s="43"/>
      <c r="T19" s="43"/>
      <c r="U19" s="43"/>
    </row>
    <row r="20" spans="1:21" s="11" customFormat="1" x14ac:dyDescent="0.25">
      <c r="A20" s="54" t="s">
        <v>767</v>
      </c>
      <c r="B20" s="55">
        <v>4.67</v>
      </c>
      <c r="C20" s="55">
        <v>21.03</v>
      </c>
      <c r="D20" s="55">
        <v>33.130000000000003</v>
      </c>
      <c r="E20" s="55">
        <v>6.32</v>
      </c>
      <c r="F20" s="55">
        <v>9.56</v>
      </c>
      <c r="G20" s="55">
        <v>44.01</v>
      </c>
      <c r="H20" s="55">
        <v>9.27</v>
      </c>
      <c r="I20" s="55">
        <v>4.16</v>
      </c>
      <c r="J20" s="55">
        <v>0.48</v>
      </c>
      <c r="K20" s="55">
        <v>306.12</v>
      </c>
      <c r="L20" s="55">
        <v>34.85</v>
      </c>
      <c r="M20" s="55">
        <v>69.849999999999994</v>
      </c>
      <c r="N20" s="55">
        <v>836.9</v>
      </c>
      <c r="O20" s="55">
        <v>0</v>
      </c>
      <c r="P20" s="55">
        <v>0.75</v>
      </c>
      <c r="Q20" s="55">
        <v>9.18</v>
      </c>
      <c r="R20" s="43"/>
      <c r="S20" s="43"/>
      <c r="T20" s="43"/>
      <c r="U20" s="43"/>
    </row>
    <row r="21" spans="1:21" s="11" customFormat="1" x14ac:dyDescent="0.25">
      <c r="A21" s="54" t="s">
        <v>768</v>
      </c>
      <c r="B21" s="55">
        <v>4.34</v>
      </c>
      <c r="C21" s="55">
        <v>18.36</v>
      </c>
      <c r="D21" s="55">
        <v>28.49</v>
      </c>
      <c r="E21" s="55">
        <v>6.36</v>
      </c>
      <c r="F21" s="55">
        <v>9.0299999999999994</v>
      </c>
      <c r="G21" s="55">
        <v>45.61</v>
      </c>
      <c r="H21" s="55">
        <v>0.94</v>
      </c>
      <c r="I21" s="55">
        <v>4.08</v>
      </c>
      <c r="J21" s="55">
        <v>0.46</v>
      </c>
      <c r="K21" s="55">
        <v>307.85000000000002</v>
      </c>
      <c r="L21" s="55">
        <v>35.340000000000003</v>
      </c>
      <c r="M21" s="55">
        <v>62.29</v>
      </c>
      <c r="N21" s="55">
        <v>759.7</v>
      </c>
      <c r="O21" s="55">
        <v>0</v>
      </c>
      <c r="P21" s="55">
        <v>0.75</v>
      </c>
      <c r="Q21" s="55">
        <v>9.17</v>
      </c>
      <c r="R21" s="43"/>
      <c r="S21" s="43"/>
      <c r="T21" s="43"/>
      <c r="U21" s="43"/>
    </row>
    <row r="22" spans="1:21" s="11" customFormat="1" x14ac:dyDescent="0.25">
      <c r="A22" s="54" t="s">
        <v>769</v>
      </c>
      <c r="B22" s="55">
        <v>4.3</v>
      </c>
      <c r="C22" s="55">
        <v>18.12</v>
      </c>
      <c r="D22" s="55">
        <v>28.09</v>
      </c>
      <c r="E22" s="55">
        <v>6.51</v>
      </c>
      <c r="F22" s="55">
        <v>12.05</v>
      </c>
      <c r="G22" s="55">
        <v>45.21</v>
      </c>
      <c r="H22" s="55">
        <v>38.11</v>
      </c>
      <c r="I22" s="55">
        <v>4.16</v>
      </c>
      <c r="J22" s="55">
        <v>0.53</v>
      </c>
      <c r="K22" s="55">
        <v>316.83999999999997</v>
      </c>
      <c r="L22" s="55">
        <v>35.159999999999997</v>
      </c>
      <c r="M22" s="55">
        <v>58.59</v>
      </c>
      <c r="N22" s="55">
        <v>611.1</v>
      </c>
      <c r="O22" s="55">
        <v>0</v>
      </c>
      <c r="P22" s="55">
        <v>0.63</v>
      </c>
      <c r="Q22" s="55">
        <v>9.15</v>
      </c>
      <c r="R22" s="43"/>
      <c r="S22" s="43"/>
      <c r="T22" s="43"/>
      <c r="U22" s="43"/>
    </row>
    <row r="23" spans="1:21" s="11" customFormat="1" x14ac:dyDescent="0.25">
      <c r="A23" s="54" t="s">
        <v>770</v>
      </c>
      <c r="B23" s="55">
        <v>4.79</v>
      </c>
      <c r="C23" s="55">
        <v>20.34</v>
      </c>
      <c r="D23" s="55">
        <v>31.72</v>
      </c>
      <c r="E23" s="55">
        <v>7.17</v>
      </c>
      <c r="F23" s="55">
        <v>22.62</v>
      </c>
      <c r="G23" s="55">
        <v>43.28</v>
      </c>
      <c r="H23" s="55">
        <v>32.06</v>
      </c>
      <c r="I23" s="55">
        <v>4.01</v>
      </c>
      <c r="J23" s="55">
        <v>0.38</v>
      </c>
      <c r="K23" s="55">
        <v>304.79000000000002</v>
      </c>
      <c r="L23" s="55">
        <v>35.26</v>
      </c>
      <c r="M23" s="55">
        <v>56.83</v>
      </c>
      <c r="N23" s="55">
        <v>463.1</v>
      </c>
      <c r="O23" s="55">
        <v>0</v>
      </c>
      <c r="P23" s="55">
        <v>0.62</v>
      </c>
      <c r="Q23" s="55">
        <v>9.14</v>
      </c>
      <c r="R23" s="43"/>
      <c r="S23" s="43"/>
      <c r="T23" s="43"/>
      <c r="U23" s="43"/>
    </row>
    <row r="24" spans="1:21" s="11" customFormat="1" x14ac:dyDescent="0.25">
      <c r="A24" s="54" t="s">
        <v>771</v>
      </c>
      <c r="B24" s="55">
        <v>4.55</v>
      </c>
      <c r="C24" s="55">
        <v>19.809999999999999</v>
      </c>
      <c r="D24" s="55">
        <v>30.97</v>
      </c>
      <c r="E24" s="55">
        <v>7.64</v>
      </c>
      <c r="F24" s="55">
        <v>21.79</v>
      </c>
      <c r="G24" s="55">
        <v>42.54</v>
      </c>
      <c r="H24" s="55">
        <v>5.15</v>
      </c>
      <c r="I24" s="55">
        <v>4.1500000000000004</v>
      </c>
      <c r="J24" s="55">
        <v>0.59</v>
      </c>
      <c r="K24" s="55">
        <v>293.18</v>
      </c>
      <c r="L24" s="55">
        <v>35.04</v>
      </c>
      <c r="M24" s="55">
        <v>58.24</v>
      </c>
      <c r="N24" s="55">
        <v>310.2</v>
      </c>
      <c r="O24" s="55">
        <v>0</v>
      </c>
      <c r="P24" s="55">
        <v>0.61</v>
      </c>
      <c r="Q24" s="55">
        <v>9.14</v>
      </c>
      <c r="R24" s="43"/>
      <c r="S24" s="43"/>
      <c r="T24" s="43"/>
      <c r="U24" s="43"/>
    </row>
    <row r="25" spans="1:21" s="11" customFormat="1" x14ac:dyDescent="0.25">
      <c r="A25" s="54" t="s">
        <v>772</v>
      </c>
      <c r="B25" s="55">
        <v>7.34</v>
      </c>
      <c r="C25" s="55">
        <v>24.2</v>
      </c>
      <c r="D25" s="55">
        <v>35.04</v>
      </c>
      <c r="E25" s="55">
        <v>4.37</v>
      </c>
      <c r="F25" s="55">
        <v>11.14</v>
      </c>
      <c r="G25" s="55">
        <v>43.68</v>
      </c>
      <c r="H25" s="55">
        <v>32.770000000000003</v>
      </c>
      <c r="I25" s="55">
        <v>4.07</v>
      </c>
      <c r="J25" s="55">
        <v>1.36</v>
      </c>
      <c r="K25" s="55">
        <v>335.61</v>
      </c>
      <c r="L25" s="55">
        <v>29.29</v>
      </c>
      <c r="M25" s="55">
        <v>71.92</v>
      </c>
      <c r="N25" s="55">
        <v>63.9</v>
      </c>
      <c r="O25" s="55">
        <v>0</v>
      </c>
      <c r="P25" s="55">
        <v>0.57999999999999996</v>
      </c>
      <c r="Q25" s="55">
        <v>9.15</v>
      </c>
      <c r="R25" s="43"/>
      <c r="S25" s="43"/>
      <c r="T25" s="43"/>
      <c r="U25" s="43"/>
    </row>
    <row r="26" spans="1:21" s="11" customFormat="1" x14ac:dyDescent="0.25">
      <c r="A26" s="54" t="s">
        <v>773</v>
      </c>
      <c r="B26" s="55">
        <v>6.34</v>
      </c>
      <c r="C26" s="55">
        <v>26.53</v>
      </c>
      <c r="D26" s="55">
        <v>41.04</v>
      </c>
      <c r="E26" s="55">
        <v>4.46</v>
      </c>
      <c r="F26" s="55">
        <v>13.01</v>
      </c>
      <c r="G26" s="55">
        <v>42.72</v>
      </c>
      <c r="H26" s="55">
        <v>28.9</v>
      </c>
      <c r="I26" s="55">
        <v>4.18</v>
      </c>
      <c r="J26" s="55">
        <v>1.0900000000000001</v>
      </c>
      <c r="K26" s="55">
        <v>158.53</v>
      </c>
      <c r="L26" s="55">
        <v>28.72</v>
      </c>
      <c r="M26" s="55">
        <v>70.2</v>
      </c>
      <c r="N26" s="55">
        <v>56.9</v>
      </c>
      <c r="O26" s="55">
        <v>0</v>
      </c>
      <c r="P26" s="55">
        <v>0.52</v>
      </c>
      <c r="Q26" s="55">
        <v>9.18</v>
      </c>
      <c r="R26" s="43"/>
      <c r="S26" s="43"/>
      <c r="T26" s="43"/>
      <c r="U26" s="43"/>
    </row>
    <row r="27" spans="1:21" s="11" customFormat="1" x14ac:dyDescent="0.25">
      <c r="A27" s="54" t="s">
        <v>774</v>
      </c>
      <c r="B27" s="55">
        <v>6.56</v>
      </c>
      <c r="C27" s="55">
        <v>27.52</v>
      </c>
      <c r="D27" s="55">
        <v>42.61</v>
      </c>
      <c r="E27" s="55">
        <v>4.6900000000000004</v>
      </c>
      <c r="F27" s="55">
        <v>11.11</v>
      </c>
      <c r="G27" s="55">
        <v>40.659999999999997</v>
      </c>
      <c r="H27" s="55">
        <v>14.84</v>
      </c>
      <c r="I27" s="55">
        <v>4.0199999999999996</v>
      </c>
      <c r="J27" s="55">
        <v>0.82</v>
      </c>
      <c r="K27" s="55">
        <v>169.11</v>
      </c>
      <c r="L27" s="55">
        <v>28.44</v>
      </c>
      <c r="M27" s="55">
        <v>72.319999999999993</v>
      </c>
      <c r="N27" s="55">
        <v>34.1</v>
      </c>
      <c r="O27" s="55">
        <v>0</v>
      </c>
      <c r="P27" s="55">
        <v>0.61</v>
      </c>
      <c r="Q27" s="55">
        <v>9.2100000000000009</v>
      </c>
      <c r="R27" s="43"/>
      <c r="S27" s="43"/>
      <c r="T27" s="43"/>
      <c r="U27" s="43"/>
    </row>
    <row r="28" spans="1:21" s="11" customFormat="1" x14ac:dyDescent="0.25">
      <c r="A28" s="54" t="s">
        <v>775</v>
      </c>
      <c r="B28" s="55">
        <v>7.57</v>
      </c>
      <c r="C28" s="55">
        <v>32.96</v>
      </c>
      <c r="D28" s="55">
        <v>52.15</v>
      </c>
      <c r="E28" s="55">
        <v>4.38</v>
      </c>
      <c r="F28" s="55">
        <v>10.45</v>
      </c>
      <c r="G28" s="55">
        <v>42.09</v>
      </c>
      <c r="H28" s="55">
        <v>15.22</v>
      </c>
      <c r="I28" s="55">
        <v>4.0599999999999996</v>
      </c>
      <c r="J28" s="55">
        <v>0.28000000000000003</v>
      </c>
      <c r="K28" s="55">
        <v>261.74</v>
      </c>
      <c r="L28" s="55">
        <v>28.3</v>
      </c>
      <c r="M28" s="55">
        <v>77.55</v>
      </c>
      <c r="N28" s="55">
        <v>26.9</v>
      </c>
      <c r="O28" s="55">
        <v>0</v>
      </c>
      <c r="P28" s="55">
        <v>0.71</v>
      </c>
      <c r="Q28" s="55">
        <v>9.24</v>
      </c>
      <c r="R28" s="43"/>
      <c r="S28" s="43"/>
      <c r="T28" s="43"/>
      <c r="U28" s="43"/>
    </row>
    <row r="29" spans="1:21" s="11" customFormat="1" x14ac:dyDescent="0.25">
      <c r="A29" s="54" t="s">
        <v>776</v>
      </c>
      <c r="B29" s="55">
        <v>5.3</v>
      </c>
      <c r="C29" s="55">
        <v>16.920000000000002</v>
      </c>
      <c r="D29" s="55">
        <v>24.26</v>
      </c>
      <c r="E29" s="55">
        <v>4.25</v>
      </c>
      <c r="F29" s="55">
        <v>7.34</v>
      </c>
      <c r="G29" s="55">
        <v>40.47</v>
      </c>
      <c r="H29" s="55">
        <v>13.05</v>
      </c>
      <c r="I29" s="55">
        <v>4.1500000000000004</v>
      </c>
      <c r="J29" s="55">
        <v>0.56000000000000005</v>
      </c>
      <c r="K29" s="55">
        <v>195.29</v>
      </c>
      <c r="L29" s="55">
        <v>26.84</v>
      </c>
      <c r="M29" s="55">
        <v>72.400000000000006</v>
      </c>
      <c r="N29" s="55">
        <v>27.2</v>
      </c>
      <c r="O29" s="55">
        <v>0</v>
      </c>
      <c r="P29" s="55">
        <v>0.48</v>
      </c>
      <c r="Q29" s="55">
        <v>9.2200000000000006</v>
      </c>
      <c r="R29" s="43"/>
      <c r="S29" s="43"/>
      <c r="T29" s="43"/>
      <c r="U29" s="43"/>
    </row>
    <row r="30" spans="1:21" s="11" customFormat="1" x14ac:dyDescent="0.25">
      <c r="A30" s="54" t="s">
        <v>777</v>
      </c>
      <c r="B30" s="55">
        <v>5.25</v>
      </c>
      <c r="C30" s="55">
        <v>16.03</v>
      </c>
      <c r="D30" s="55">
        <v>23.01</v>
      </c>
      <c r="E30" s="55">
        <v>4.24</v>
      </c>
      <c r="F30" s="55">
        <v>5.3</v>
      </c>
      <c r="G30" s="55">
        <v>33.11</v>
      </c>
      <c r="H30" s="55">
        <v>9.1199999999999992</v>
      </c>
      <c r="I30" s="55">
        <v>4.07</v>
      </c>
      <c r="J30" s="55">
        <v>0.27</v>
      </c>
      <c r="K30" s="55">
        <v>209.68</v>
      </c>
      <c r="L30" s="55">
        <v>25.86</v>
      </c>
      <c r="M30" s="55">
        <v>68.81</v>
      </c>
      <c r="N30" s="55">
        <v>26.4</v>
      </c>
      <c r="O30" s="55">
        <v>0</v>
      </c>
      <c r="P30" s="55">
        <v>0.46</v>
      </c>
      <c r="Q30" s="55">
        <v>9.19</v>
      </c>
      <c r="R30" s="43"/>
      <c r="S30" s="43"/>
      <c r="T30" s="43"/>
      <c r="U30" s="43"/>
    </row>
    <row r="31" spans="1:21" s="11" customFormat="1" x14ac:dyDescent="0.25">
      <c r="A31" s="54" t="s">
        <v>778</v>
      </c>
      <c r="B31" s="55">
        <v>5.72</v>
      </c>
      <c r="C31" s="55">
        <v>17.03</v>
      </c>
      <c r="D31" s="55">
        <v>23.96</v>
      </c>
      <c r="E31" s="55">
        <v>3.69</v>
      </c>
      <c r="F31" s="55">
        <v>6.45</v>
      </c>
      <c r="G31" s="55">
        <v>30.64</v>
      </c>
      <c r="H31" s="55">
        <v>10.56</v>
      </c>
      <c r="I31" s="55">
        <v>4.05</v>
      </c>
      <c r="J31" s="55">
        <v>0.23</v>
      </c>
      <c r="K31" s="55">
        <v>280.08</v>
      </c>
      <c r="L31" s="55">
        <v>26.26</v>
      </c>
      <c r="M31" s="55">
        <v>80.53</v>
      </c>
      <c r="N31" s="55">
        <v>26.5</v>
      </c>
      <c r="O31" s="55">
        <v>0</v>
      </c>
      <c r="P31" s="55">
        <v>0.41</v>
      </c>
      <c r="Q31" s="55">
        <v>9.18</v>
      </c>
      <c r="R31" s="43"/>
      <c r="S31" s="43"/>
      <c r="T31" s="43"/>
      <c r="U31" s="43"/>
    </row>
    <row r="32" spans="1:21" s="11" customFormat="1" x14ac:dyDescent="0.25">
      <c r="A32" s="54" t="s">
        <v>779</v>
      </c>
      <c r="B32" s="55">
        <v>5.24</v>
      </c>
      <c r="C32" s="55">
        <v>16.309999999999999</v>
      </c>
      <c r="D32" s="55">
        <v>23.17</v>
      </c>
      <c r="E32" s="55">
        <v>5.29</v>
      </c>
      <c r="F32" s="55">
        <v>13.38</v>
      </c>
      <c r="G32" s="55">
        <v>28.66</v>
      </c>
      <c r="H32" s="55">
        <v>11.24</v>
      </c>
      <c r="I32" s="55">
        <v>4.05</v>
      </c>
      <c r="J32" s="55">
        <v>0.09</v>
      </c>
      <c r="K32" s="55">
        <v>286.47000000000003</v>
      </c>
      <c r="L32" s="55">
        <v>26.77</v>
      </c>
      <c r="M32" s="55">
        <v>83.19</v>
      </c>
      <c r="N32" s="55">
        <v>26.4</v>
      </c>
      <c r="O32" s="55">
        <v>0</v>
      </c>
      <c r="P32" s="55">
        <v>0.3</v>
      </c>
      <c r="Q32" s="55">
        <v>9.19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4.3</v>
      </c>
      <c r="C34" s="28">
        <f t="shared" si="0"/>
        <v>16.03</v>
      </c>
      <c r="D34" s="28">
        <f t="shared" si="0"/>
        <v>21.81</v>
      </c>
      <c r="E34" s="28">
        <f t="shared" si="0"/>
        <v>3.69</v>
      </c>
      <c r="F34" s="28">
        <f t="shared" si="0"/>
        <v>5</v>
      </c>
      <c r="G34" s="28">
        <f t="shared" si="0"/>
        <v>28.66</v>
      </c>
      <c r="H34" s="28">
        <f t="shared" si="0"/>
        <v>0.94</v>
      </c>
      <c r="I34" s="28">
        <f t="shared" si="0"/>
        <v>4.01</v>
      </c>
      <c r="J34" s="28">
        <f t="shared" si="0"/>
        <v>0.09</v>
      </c>
      <c r="K34" s="28">
        <f t="shared" si="0"/>
        <v>158.53</v>
      </c>
      <c r="L34" s="28">
        <f t="shared" si="0"/>
        <v>24.52</v>
      </c>
      <c r="M34" s="28">
        <f t="shared" si="0"/>
        <v>56.83</v>
      </c>
      <c r="N34" s="28">
        <f t="shared" si="0"/>
        <v>26.3</v>
      </c>
      <c r="O34" s="28">
        <f t="shared" si="0"/>
        <v>0</v>
      </c>
      <c r="P34" s="28">
        <f t="shared" si="0"/>
        <v>0.3</v>
      </c>
      <c r="Q34" s="28">
        <f t="shared" si="0"/>
        <v>9.14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14.22</v>
      </c>
      <c r="C35" s="29">
        <f t="shared" si="1"/>
        <v>32.96</v>
      </c>
      <c r="D35" s="29">
        <f t="shared" si="1"/>
        <v>52.15</v>
      </c>
      <c r="E35" s="29">
        <f t="shared" si="1"/>
        <v>7.64</v>
      </c>
      <c r="F35" s="29">
        <f t="shared" si="1"/>
        <v>22.62</v>
      </c>
      <c r="G35" s="29">
        <f t="shared" si="1"/>
        <v>45.61</v>
      </c>
      <c r="H35" s="29">
        <f t="shared" si="1"/>
        <v>110.91</v>
      </c>
      <c r="I35" s="29">
        <f t="shared" si="1"/>
        <v>4.2300000000000004</v>
      </c>
      <c r="J35" s="29">
        <f t="shared" si="1"/>
        <v>1.36</v>
      </c>
      <c r="K35" s="29">
        <f t="shared" si="1"/>
        <v>335.61</v>
      </c>
      <c r="L35" s="29">
        <f t="shared" si="1"/>
        <v>35.340000000000003</v>
      </c>
      <c r="M35" s="29">
        <f t="shared" si="1"/>
        <v>101.49</v>
      </c>
      <c r="N35" s="29">
        <f t="shared" si="1"/>
        <v>836.9</v>
      </c>
      <c r="O35" s="29">
        <f t="shared" si="1"/>
        <v>0</v>
      </c>
      <c r="P35" s="29">
        <f t="shared" si="1"/>
        <v>0.75</v>
      </c>
      <c r="Q35" s="29">
        <f t="shared" si="1"/>
        <v>9.42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7.5412500000000016</v>
      </c>
      <c r="C36" s="28">
        <f t="shared" si="2"/>
        <v>21.376666666666662</v>
      </c>
      <c r="D36" s="28">
        <f t="shared" si="2"/>
        <v>29.81625</v>
      </c>
      <c r="E36" s="28">
        <f t="shared" si="2"/>
        <v>5.1049999999999995</v>
      </c>
      <c r="F36" s="28">
        <f t="shared" si="2"/>
        <v>9.6583333333333332</v>
      </c>
      <c r="G36" s="28">
        <f t="shared" si="2"/>
        <v>37.051666666666662</v>
      </c>
      <c r="H36" s="28">
        <f t="shared" si="2"/>
        <v>22.999583333333323</v>
      </c>
      <c r="I36" s="28">
        <f t="shared" si="2"/>
        <v>4.112916666666667</v>
      </c>
      <c r="J36" s="28">
        <f t="shared" si="2"/>
        <v>0.43333333333333335</v>
      </c>
      <c r="K36" s="28">
        <f t="shared" si="2"/>
        <v>262.86333333333329</v>
      </c>
      <c r="L36" s="28">
        <f t="shared" si="2"/>
        <v>28.904166666666672</v>
      </c>
      <c r="M36" s="28">
        <f t="shared" si="2"/>
        <v>80.849583333333328</v>
      </c>
      <c r="N36" s="28">
        <f t="shared" si="2"/>
        <v>255.24999999999997</v>
      </c>
      <c r="O36" s="28">
        <f t="shared" si="2"/>
        <v>0</v>
      </c>
      <c r="P36" s="28">
        <f t="shared" si="2"/>
        <v>0.56583333333333341</v>
      </c>
      <c r="Q36" s="28">
        <f t="shared" si="2"/>
        <v>9.24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3.1309719459118339</v>
      </c>
      <c r="C37" s="28">
        <f t="shared" ref="C37:Q37" si="3">STDEV(C9:C32)</f>
        <v>4.4671415494909841</v>
      </c>
      <c r="D37" s="28">
        <f t="shared" si="3"/>
        <v>7.4085120330251417</v>
      </c>
      <c r="E37" s="28">
        <f t="shared" si="3"/>
        <v>1.1769858334635632</v>
      </c>
      <c r="F37" s="28">
        <f t="shared" si="3"/>
        <v>4.6078361107127526</v>
      </c>
      <c r="G37" s="28">
        <f t="shared" si="3"/>
        <v>5.4221122682286556</v>
      </c>
      <c r="H37" s="28">
        <f t="shared" si="3"/>
        <v>25.864201629004466</v>
      </c>
      <c r="I37" s="28">
        <f t="shared" si="3"/>
        <v>5.7971444744780318E-2</v>
      </c>
      <c r="J37" s="28">
        <f t="shared" si="3"/>
        <v>0.30181576105827945</v>
      </c>
      <c r="K37" s="28">
        <f t="shared" si="3"/>
        <v>49.222145746443005</v>
      </c>
      <c r="L37" s="28">
        <f t="shared" si="3"/>
        <v>3.8886019804447143</v>
      </c>
      <c r="M37" s="28">
        <f t="shared" si="3"/>
        <v>15.532374459192651</v>
      </c>
      <c r="N37" s="28">
        <f t="shared" si="3"/>
        <v>297.56737928978589</v>
      </c>
      <c r="O37" s="28">
        <f t="shared" si="3"/>
        <v>0</v>
      </c>
      <c r="P37" s="28">
        <f t="shared" si="3"/>
        <v>0.11473662341912953</v>
      </c>
      <c r="Q37" s="28">
        <f t="shared" si="3"/>
        <v>9.7043244506497262E-2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9"/>
  <sheetViews>
    <sheetView workbookViewId="0">
      <selection activeCell="R2" sqref="R2:R3"/>
    </sheetView>
  </sheetViews>
  <sheetFormatPr defaultRowHeight="15" x14ac:dyDescent="0.25"/>
  <cols>
    <col min="1" max="1" width="12.5703125" bestFit="1" customWidth="1"/>
  </cols>
  <sheetData>
    <row r="1" spans="1:21" ht="39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x14ac:dyDescent="0.25">
      <c r="A2" s="14" t="s">
        <v>0</v>
      </c>
      <c r="B2" s="38" t="str">
        <f>$A$9</f>
        <v>31/05/2025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O2" s="21"/>
      <c r="P2" s="39" t="s">
        <v>7</v>
      </c>
      <c r="Q2" s="12"/>
      <c r="R2" s="8" t="s">
        <v>8</v>
      </c>
      <c r="S2" s="11"/>
      <c r="T2" s="11"/>
      <c r="U2" s="11"/>
    </row>
    <row r="3" spans="1:2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x14ac:dyDescent="0.25">
      <c r="A9" s="54" t="s">
        <v>780</v>
      </c>
      <c r="B9" s="55">
        <v>4.7699999999999996</v>
      </c>
      <c r="C9" s="55">
        <v>13.5</v>
      </c>
      <c r="D9" s="55">
        <v>18.670000000000002</v>
      </c>
      <c r="E9" s="55">
        <v>4.9800000000000004</v>
      </c>
      <c r="F9" s="55">
        <v>14.53</v>
      </c>
      <c r="G9" s="55">
        <v>28.53</v>
      </c>
      <c r="H9" s="55">
        <v>225.46</v>
      </c>
      <c r="I9" s="55">
        <v>4.13</v>
      </c>
      <c r="J9" s="55">
        <v>0.23</v>
      </c>
      <c r="K9" s="55">
        <v>203.86</v>
      </c>
      <c r="L9" s="55">
        <v>26.65</v>
      </c>
      <c r="M9" s="55">
        <v>88.34</v>
      </c>
      <c r="N9" s="55">
        <v>26.8</v>
      </c>
      <c r="O9" s="55">
        <v>0</v>
      </c>
      <c r="P9" s="55">
        <v>0.28000000000000003</v>
      </c>
      <c r="Q9" s="55">
        <v>9.1999999999999993</v>
      </c>
      <c r="R9" s="43"/>
      <c r="S9" s="43"/>
      <c r="T9" s="43"/>
      <c r="U9" s="43"/>
    </row>
    <row r="10" spans="1:21" x14ac:dyDescent="0.25">
      <c r="A10" s="54" t="s">
        <v>781</v>
      </c>
      <c r="B10" s="55">
        <v>6.18</v>
      </c>
      <c r="C10" s="55">
        <v>13.96</v>
      </c>
      <c r="D10" s="55">
        <v>17.23</v>
      </c>
      <c r="E10" s="55">
        <v>5.07</v>
      </c>
      <c r="F10" s="55">
        <v>5.79</v>
      </c>
      <c r="G10" s="55">
        <v>27.09</v>
      </c>
      <c r="H10" s="55">
        <v>182.87</v>
      </c>
      <c r="I10" s="55">
        <v>4.0599999999999996</v>
      </c>
      <c r="J10" s="55">
        <v>0.21</v>
      </c>
      <c r="K10" s="55">
        <v>215.09</v>
      </c>
      <c r="L10" s="55">
        <v>26.06</v>
      </c>
      <c r="M10" s="55">
        <v>91.32</v>
      </c>
      <c r="N10" s="55">
        <v>26.5</v>
      </c>
      <c r="O10" s="55">
        <v>0</v>
      </c>
      <c r="P10" s="55">
        <v>0.37</v>
      </c>
      <c r="Q10" s="55">
        <v>9.18</v>
      </c>
      <c r="R10" s="43"/>
      <c r="S10" s="43"/>
      <c r="T10" s="43"/>
      <c r="U10" s="43"/>
    </row>
    <row r="11" spans="1:21" x14ac:dyDescent="0.25">
      <c r="A11" s="54" t="s">
        <v>782</v>
      </c>
      <c r="B11" s="55">
        <v>5.86</v>
      </c>
      <c r="C11" s="55">
        <v>13.37</v>
      </c>
      <c r="D11" s="55">
        <v>16.79</v>
      </c>
      <c r="E11" s="55">
        <v>4.82</v>
      </c>
      <c r="F11" s="55">
        <v>5.6</v>
      </c>
      <c r="G11" s="55">
        <v>23.35</v>
      </c>
      <c r="H11" s="55">
        <v>9.99</v>
      </c>
      <c r="I11" s="55">
        <v>4</v>
      </c>
      <c r="J11" s="55">
        <v>0.17</v>
      </c>
      <c r="K11" s="55">
        <v>282.69</v>
      </c>
      <c r="L11" s="55">
        <v>26</v>
      </c>
      <c r="M11" s="55">
        <v>92.09</v>
      </c>
      <c r="N11" s="55">
        <v>26.6</v>
      </c>
      <c r="O11" s="55">
        <v>0</v>
      </c>
      <c r="P11" s="55">
        <v>0.35</v>
      </c>
      <c r="Q11" s="55">
        <v>9.16</v>
      </c>
      <c r="R11" s="43"/>
      <c r="S11" s="43"/>
      <c r="T11" s="43"/>
      <c r="U11" s="43"/>
    </row>
    <row r="12" spans="1:21" x14ac:dyDescent="0.25">
      <c r="A12" s="54" t="s">
        <v>783</v>
      </c>
      <c r="B12" s="55">
        <v>5.31</v>
      </c>
      <c r="C12" s="55">
        <v>13.73</v>
      </c>
      <c r="D12" s="55">
        <v>18.48</v>
      </c>
      <c r="E12" s="55">
        <v>4.49</v>
      </c>
      <c r="F12" s="55">
        <v>7.6</v>
      </c>
      <c r="G12" s="55">
        <v>23.14</v>
      </c>
      <c r="H12" s="55">
        <v>8.18</v>
      </c>
      <c r="I12" s="55">
        <v>4.0599999999999996</v>
      </c>
      <c r="J12" s="55">
        <v>0.25</v>
      </c>
      <c r="K12" s="55">
        <v>283.10000000000002</v>
      </c>
      <c r="L12" s="55">
        <v>25.88</v>
      </c>
      <c r="M12" s="55">
        <v>100.69</v>
      </c>
      <c r="N12" s="55">
        <v>29</v>
      </c>
      <c r="O12" s="55">
        <v>3.4</v>
      </c>
      <c r="P12" s="55">
        <v>0.69</v>
      </c>
      <c r="Q12" s="55">
        <v>9.1300000000000008</v>
      </c>
      <c r="R12" s="43"/>
      <c r="S12" s="43"/>
      <c r="T12" s="43"/>
      <c r="U12" s="43"/>
    </row>
    <row r="13" spans="1:21" x14ac:dyDescent="0.25">
      <c r="A13" s="54" t="s">
        <v>784</v>
      </c>
      <c r="B13" s="55">
        <v>6.64</v>
      </c>
      <c r="C13" s="55">
        <v>16.7</v>
      </c>
      <c r="D13" s="55">
        <v>21.78</v>
      </c>
      <c r="E13" s="55">
        <v>4.72</v>
      </c>
      <c r="F13" s="55">
        <v>10.11</v>
      </c>
      <c r="G13" s="55">
        <v>21.51</v>
      </c>
      <c r="H13" s="55">
        <v>382.81</v>
      </c>
      <c r="I13" s="55">
        <v>4.13</v>
      </c>
      <c r="J13" s="55">
        <v>0.71</v>
      </c>
      <c r="K13" s="55">
        <v>244.55</v>
      </c>
      <c r="L13" s="55">
        <v>23.81</v>
      </c>
      <c r="M13" s="55">
        <v>100.71</v>
      </c>
      <c r="N13" s="55">
        <v>27.1</v>
      </c>
      <c r="O13" s="55">
        <v>0.8</v>
      </c>
      <c r="P13" s="55">
        <v>0.75</v>
      </c>
      <c r="Q13" s="55">
        <v>9.18</v>
      </c>
      <c r="R13" s="43"/>
      <c r="S13" s="43"/>
      <c r="T13" s="43"/>
      <c r="U13" s="43"/>
    </row>
    <row r="14" spans="1:21" x14ac:dyDescent="0.25">
      <c r="A14" s="54" t="s">
        <v>785</v>
      </c>
      <c r="B14" s="55">
        <v>7.75</v>
      </c>
      <c r="C14" s="55">
        <v>17.82</v>
      </c>
      <c r="D14" s="55">
        <v>23.51</v>
      </c>
      <c r="E14" s="55">
        <v>4.83</v>
      </c>
      <c r="F14" s="55">
        <v>7.5</v>
      </c>
      <c r="G14" s="55">
        <v>17.829999999999998</v>
      </c>
      <c r="H14" s="55">
        <v>411.83</v>
      </c>
      <c r="I14" s="55">
        <v>4.1399999999999997</v>
      </c>
      <c r="J14" s="55">
        <v>0.17</v>
      </c>
      <c r="K14" s="55">
        <v>210.52</v>
      </c>
      <c r="L14" s="55">
        <v>23.78</v>
      </c>
      <c r="M14" s="55">
        <v>100.81</v>
      </c>
      <c r="N14" s="55">
        <v>32.799999999999997</v>
      </c>
      <c r="O14" s="55">
        <v>1.6</v>
      </c>
      <c r="P14" s="55">
        <v>0.51</v>
      </c>
      <c r="Q14" s="55">
        <v>9.1999999999999993</v>
      </c>
      <c r="R14" s="43"/>
      <c r="S14" s="43"/>
      <c r="T14" s="43"/>
      <c r="U14" s="43"/>
    </row>
    <row r="15" spans="1:21" x14ac:dyDescent="0.25">
      <c r="A15" s="54" t="s">
        <v>786</v>
      </c>
      <c r="B15" s="55">
        <v>8.42</v>
      </c>
      <c r="C15" s="55">
        <v>16.84</v>
      </c>
      <c r="D15" s="55">
        <v>19.309999999999999</v>
      </c>
      <c r="E15" s="55">
        <v>4.62</v>
      </c>
      <c r="F15" s="55">
        <v>4.49</v>
      </c>
      <c r="G15" s="55">
        <v>15.27</v>
      </c>
      <c r="H15" s="55">
        <v>334.04</v>
      </c>
      <c r="I15" s="55">
        <v>4.08</v>
      </c>
      <c r="J15" s="55">
        <v>0.65</v>
      </c>
      <c r="K15" s="55">
        <v>229.16</v>
      </c>
      <c r="L15" s="55">
        <v>23.66</v>
      </c>
      <c r="M15" s="55">
        <v>100.92</v>
      </c>
      <c r="N15" s="55">
        <v>39</v>
      </c>
      <c r="O15" s="55">
        <v>2.4</v>
      </c>
      <c r="P15" s="55">
        <v>0.46</v>
      </c>
      <c r="Q15" s="55">
        <v>9.2200000000000006</v>
      </c>
      <c r="R15" s="43"/>
      <c r="S15" s="43"/>
      <c r="T15" s="43"/>
      <c r="U15" s="43"/>
    </row>
    <row r="16" spans="1:21" x14ac:dyDescent="0.25">
      <c r="A16" s="54" t="s">
        <v>787</v>
      </c>
      <c r="B16" s="55">
        <v>12.53</v>
      </c>
      <c r="C16" s="55">
        <v>26.04</v>
      </c>
      <c r="D16" s="55">
        <v>30.59</v>
      </c>
      <c r="E16" s="55">
        <v>4.5</v>
      </c>
      <c r="F16" s="55">
        <v>4.62</v>
      </c>
      <c r="G16" s="55">
        <v>13.58</v>
      </c>
      <c r="H16" s="55">
        <v>0</v>
      </c>
      <c r="I16" s="55">
        <v>4.1500000000000004</v>
      </c>
      <c r="J16" s="55">
        <v>0.6</v>
      </c>
      <c r="K16" s="55">
        <v>191.57</v>
      </c>
      <c r="L16" s="55">
        <v>23.37</v>
      </c>
      <c r="M16" s="55">
        <v>100.87</v>
      </c>
      <c r="N16" s="55">
        <v>38</v>
      </c>
      <c r="O16" s="55">
        <v>5.6</v>
      </c>
      <c r="P16" s="55">
        <v>0.46</v>
      </c>
      <c r="Q16" s="55">
        <v>9.25</v>
      </c>
      <c r="R16" s="43"/>
      <c r="S16" s="43"/>
      <c r="T16" s="43"/>
      <c r="U16" s="43"/>
    </row>
    <row r="17" spans="1:21" x14ac:dyDescent="0.25">
      <c r="A17" s="54" t="s">
        <v>788</v>
      </c>
      <c r="B17" s="55">
        <v>8.34</v>
      </c>
      <c r="C17" s="55">
        <v>17</v>
      </c>
      <c r="D17" s="55">
        <v>20.04</v>
      </c>
      <c r="E17" s="55">
        <v>4.46</v>
      </c>
      <c r="F17" s="55">
        <v>5.55</v>
      </c>
      <c r="G17" s="55">
        <v>12.23</v>
      </c>
      <c r="H17" s="55">
        <v>547.77</v>
      </c>
      <c r="I17" s="55">
        <v>4.12</v>
      </c>
      <c r="J17" s="55">
        <v>0.81</v>
      </c>
      <c r="K17" s="55">
        <v>294.27</v>
      </c>
      <c r="L17" s="55">
        <v>22.9</v>
      </c>
      <c r="M17" s="55">
        <v>100.92</v>
      </c>
      <c r="N17" s="55">
        <v>37.1</v>
      </c>
      <c r="O17" s="55">
        <v>13</v>
      </c>
      <c r="P17" s="55">
        <v>0.4</v>
      </c>
      <c r="Q17" s="55">
        <v>9.26</v>
      </c>
      <c r="R17" s="43"/>
      <c r="S17" s="43"/>
      <c r="T17" s="43"/>
      <c r="U17" s="43"/>
    </row>
    <row r="18" spans="1:21" x14ac:dyDescent="0.25">
      <c r="A18" s="54" t="s">
        <v>789</v>
      </c>
      <c r="B18" s="55">
        <v>8.3000000000000007</v>
      </c>
      <c r="C18" s="55">
        <v>19.32</v>
      </c>
      <c r="D18" s="55">
        <v>24.24</v>
      </c>
      <c r="E18" s="55">
        <v>4.6500000000000004</v>
      </c>
      <c r="F18" s="55">
        <v>5.31</v>
      </c>
      <c r="G18" s="55">
        <v>9.1199999999999992</v>
      </c>
      <c r="H18" s="55">
        <v>827.39</v>
      </c>
      <c r="I18" s="55">
        <v>4.0199999999999996</v>
      </c>
      <c r="J18" s="55">
        <v>0.62</v>
      </c>
      <c r="K18" s="55">
        <v>202.7</v>
      </c>
      <c r="L18" s="55">
        <v>22.63</v>
      </c>
      <c r="M18" s="55">
        <v>101</v>
      </c>
      <c r="N18" s="55">
        <v>124.8</v>
      </c>
      <c r="O18" s="55">
        <v>0.2</v>
      </c>
      <c r="P18" s="55">
        <v>0.4</v>
      </c>
      <c r="Q18" s="55">
        <v>9.24</v>
      </c>
      <c r="R18" s="43"/>
      <c r="S18" s="43"/>
      <c r="T18" s="43"/>
      <c r="U18" s="43"/>
    </row>
    <row r="19" spans="1:21" x14ac:dyDescent="0.25">
      <c r="A19" s="54" t="s">
        <v>790</v>
      </c>
      <c r="B19" s="55">
        <v>7.36</v>
      </c>
      <c r="C19" s="55">
        <v>16.03</v>
      </c>
      <c r="D19" s="55">
        <v>19.39</v>
      </c>
      <c r="E19" s="55">
        <v>4.66</v>
      </c>
      <c r="F19" s="55">
        <v>3.99</v>
      </c>
      <c r="G19" s="55">
        <v>6.49</v>
      </c>
      <c r="H19" s="55">
        <v>763.1</v>
      </c>
      <c r="I19" s="55">
        <v>4.08</v>
      </c>
      <c r="J19" s="55">
        <v>0.16</v>
      </c>
      <c r="K19" s="55">
        <v>282.02</v>
      </c>
      <c r="L19" s="55">
        <v>23.32</v>
      </c>
      <c r="M19" s="55">
        <v>100.89</v>
      </c>
      <c r="N19" s="55">
        <v>238.6</v>
      </c>
      <c r="O19" s="55">
        <v>0</v>
      </c>
      <c r="P19" s="55">
        <v>0.4</v>
      </c>
      <c r="Q19" s="55">
        <v>9.2200000000000006</v>
      </c>
      <c r="R19" s="43"/>
      <c r="S19" s="43"/>
      <c r="T19" s="43"/>
      <c r="U19" s="43"/>
    </row>
    <row r="20" spans="1:21" x14ac:dyDescent="0.25">
      <c r="A20" s="54" t="s">
        <v>791</v>
      </c>
      <c r="B20" s="55">
        <v>7.11</v>
      </c>
      <c r="C20" s="55">
        <v>15.36</v>
      </c>
      <c r="D20" s="55">
        <v>18.739999999999998</v>
      </c>
      <c r="E20" s="55">
        <v>4.66</v>
      </c>
      <c r="F20" s="55">
        <v>4.21</v>
      </c>
      <c r="G20" s="55">
        <v>5.31</v>
      </c>
      <c r="H20" s="55">
        <v>409.91</v>
      </c>
      <c r="I20" s="55">
        <v>4.16</v>
      </c>
      <c r="J20" s="55">
        <v>0.36</v>
      </c>
      <c r="K20" s="55">
        <v>261.23</v>
      </c>
      <c r="L20" s="55">
        <v>26.32</v>
      </c>
      <c r="M20" s="55">
        <v>100.93</v>
      </c>
      <c r="N20" s="55">
        <v>461.8</v>
      </c>
      <c r="O20" s="55">
        <v>0</v>
      </c>
      <c r="P20" s="55">
        <v>0.41</v>
      </c>
      <c r="Q20" s="55">
        <v>9.2100000000000009</v>
      </c>
      <c r="R20" s="43"/>
      <c r="S20" s="43"/>
      <c r="T20" s="43"/>
      <c r="U20" s="43"/>
    </row>
    <row r="21" spans="1:21" x14ac:dyDescent="0.25">
      <c r="A21" s="54" t="s">
        <v>792</v>
      </c>
      <c r="B21" s="55">
        <v>10.46</v>
      </c>
      <c r="C21" s="55">
        <v>20.190000000000001</v>
      </c>
      <c r="D21" s="55">
        <v>22.58</v>
      </c>
      <c r="E21" s="55">
        <v>4.55</v>
      </c>
      <c r="F21" s="55">
        <v>6.08</v>
      </c>
      <c r="G21" s="55">
        <v>8.14</v>
      </c>
      <c r="H21" s="55">
        <v>66.73</v>
      </c>
      <c r="I21" s="55">
        <v>4.1100000000000003</v>
      </c>
      <c r="J21" s="55">
        <v>0.66</v>
      </c>
      <c r="K21" s="55">
        <v>204</v>
      </c>
      <c r="L21" s="55">
        <v>27.45</v>
      </c>
      <c r="M21" s="55">
        <v>100.83</v>
      </c>
      <c r="N21" s="55">
        <v>520.6</v>
      </c>
      <c r="O21" s="55">
        <v>0</v>
      </c>
      <c r="P21" s="55">
        <v>0.38</v>
      </c>
      <c r="Q21" s="55">
        <v>9.19</v>
      </c>
      <c r="R21" s="43"/>
      <c r="S21" s="43"/>
      <c r="T21" s="43"/>
      <c r="U21" s="43"/>
    </row>
    <row r="22" spans="1:21" x14ac:dyDescent="0.25">
      <c r="A22" s="54" t="s">
        <v>793</v>
      </c>
      <c r="B22" s="55">
        <v>8.67</v>
      </c>
      <c r="C22" s="55">
        <v>19.5</v>
      </c>
      <c r="D22" s="55">
        <v>24.02</v>
      </c>
      <c r="E22" s="55">
        <v>4.53</v>
      </c>
      <c r="F22" s="55">
        <v>8.02</v>
      </c>
      <c r="G22" s="55">
        <v>7.57</v>
      </c>
      <c r="H22" s="55">
        <v>4.88</v>
      </c>
      <c r="I22" s="55">
        <v>4.22</v>
      </c>
      <c r="J22" s="55">
        <v>0.85</v>
      </c>
      <c r="K22" s="55">
        <v>201.05</v>
      </c>
      <c r="L22" s="55">
        <v>27.77</v>
      </c>
      <c r="M22" s="55">
        <v>97.54</v>
      </c>
      <c r="N22" s="55">
        <v>386.7</v>
      </c>
      <c r="O22" s="55">
        <v>0</v>
      </c>
      <c r="P22" s="55">
        <v>0.38</v>
      </c>
      <c r="Q22" s="55">
        <v>9.2200000000000006</v>
      </c>
      <c r="R22" s="43"/>
      <c r="S22" s="43"/>
      <c r="T22" s="43"/>
      <c r="U22" s="43"/>
    </row>
    <row r="23" spans="1:21" x14ac:dyDescent="0.25">
      <c r="A23" s="54" t="s">
        <v>794</v>
      </c>
      <c r="B23" s="55">
        <v>6.29</v>
      </c>
      <c r="C23" s="55">
        <v>16.190000000000001</v>
      </c>
      <c r="D23" s="55">
        <v>21.32</v>
      </c>
      <c r="E23" s="55">
        <v>4.25</v>
      </c>
      <c r="F23" s="55">
        <v>9.08</v>
      </c>
      <c r="G23" s="55">
        <v>5.3</v>
      </c>
      <c r="H23" s="55">
        <v>51.83</v>
      </c>
      <c r="I23" s="55">
        <v>4.24</v>
      </c>
      <c r="J23" s="55">
        <v>0.28000000000000003</v>
      </c>
      <c r="K23" s="55">
        <v>222.37</v>
      </c>
      <c r="L23" s="55">
        <v>27.54</v>
      </c>
      <c r="M23" s="55">
        <v>99.72</v>
      </c>
      <c r="N23" s="55">
        <v>180.8</v>
      </c>
      <c r="O23" s="55">
        <v>0</v>
      </c>
      <c r="P23" s="55">
        <v>0.39</v>
      </c>
      <c r="Q23" s="55">
        <v>9.1999999999999993</v>
      </c>
      <c r="R23" s="43"/>
      <c r="S23" s="43"/>
      <c r="T23" s="43"/>
      <c r="U23" s="43"/>
    </row>
    <row r="24" spans="1:21" x14ac:dyDescent="0.25">
      <c r="A24" s="54" t="s">
        <v>795</v>
      </c>
      <c r="B24" s="55">
        <v>7.11</v>
      </c>
      <c r="C24" s="55">
        <v>18.489999999999998</v>
      </c>
      <c r="D24" s="55">
        <v>24.47</v>
      </c>
      <c r="E24" s="55">
        <v>4.62</v>
      </c>
      <c r="F24" s="55">
        <v>6.38</v>
      </c>
      <c r="G24" s="55">
        <v>3.89</v>
      </c>
      <c r="H24" s="55">
        <v>48.04</v>
      </c>
      <c r="I24" s="55">
        <v>4.1399999999999997</v>
      </c>
      <c r="J24" s="55">
        <v>0.23</v>
      </c>
      <c r="K24" s="55">
        <v>248.74</v>
      </c>
      <c r="L24" s="55">
        <v>27.86</v>
      </c>
      <c r="M24" s="55">
        <v>97.67</v>
      </c>
      <c r="N24" s="55">
        <v>191.1</v>
      </c>
      <c r="O24" s="55">
        <v>0</v>
      </c>
      <c r="P24" s="55">
        <v>0.39</v>
      </c>
      <c r="Q24" s="55">
        <v>9.19</v>
      </c>
      <c r="R24" s="43"/>
      <c r="S24" s="43"/>
      <c r="T24" s="43"/>
      <c r="U24" s="43"/>
    </row>
    <row r="25" spans="1:21" x14ac:dyDescent="0.25">
      <c r="A25" s="54" t="s">
        <v>796</v>
      </c>
      <c r="B25" s="55">
        <v>6.51</v>
      </c>
      <c r="C25" s="55">
        <v>16.37</v>
      </c>
      <c r="D25" s="55">
        <v>21.86</v>
      </c>
      <c r="E25" s="55">
        <v>4.76</v>
      </c>
      <c r="F25" s="55">
        <v>12.45</v>
      </c>
      <c r="G25" s="55">
        <v>6.5</v>
      </c>
      <c r="H25" s="55">
        <v>863.62</v>
      </c>
      <c r="I25" s="55">
        <v>4.05</v>
      </c>
      <c r="J25" s="55">
        <v>0.23</v>
      </c>
      <c r="K25" s="55">
        <v>249.54</v>
      </c>
      <c r="L25" s="55">
        <v>28.15</v>
      </c>
      <c r="M25" s="55">
        <v>96.52</v>
      </c>
      <c r="N25" s="55">
        <v>190.8</v>
      </c>
      <c r="O25" s="55">
        <v>0</v>
      </c>
      <c r="P25" s="55">
        <v>0.42</v>
      </c>
      <c r="Q25" s="55">
        <v>9.18</v>
      </c>
      <c r="R25" s="43"/>
      <c r="S25" s="43"/>
      <c r="T25" s="43"/>
      <c r="U25" s="43"/>
    </row>
    <row r="26" spans="1:21" x14ac:dyDescent="0.25">
      <c r="A26" s="54" t="s">
        <v>797</v>
      </c>
      <c r="B26" s="55">
        <v>4.3499999999999996</v>
      </c>
      <c r="C26" s="55">
        <v>19.170000000000002</v>
      </c>
      <c r="D26" s="55">
        <v>30</v>
      </c>
      <c r="E26" s="55">
        <v>4.8899999999999997</v>
      </c>
      <c r="F26" s="55">
        <v>15.18</v>
      </c>
      <c r="G26" s="55">
        <v>0</v>
      </c>
      <c r="H26" s="55">
        <v>0</v>
      </c>
      <c r="I26" s="55">
        <v>3.99</v>
      </c>
      <c r="J26" s="55">
        <v>0.16</v>
      </c>
      <c r="K26" s="55">
        <v>272.25</v>
      </c>
      <c r="L26" s="55">
        <v>28.08</v>
      </c>
      <c r="M26" s="55">
        <v>96.31</v>
      </c>
      <c r="N26" s="55">
        <v>96.7</v>
      </c>
      <c r="O26" s="55">
        <v>0</v>
      </c>
      <c r="P26" s="55">
        <v>0.52</v>
      </c>
      <c r="Q26" s="55">
        <v>9.14</v>
      </c>
      <c r="R26" s="43"/>
      <c r="S26" s="43"/>
      <c r="T26" s="43"/>
      <c r="U26" s="43"/>
    </row>
    <row r="27" spans="1:21" x14ac:dyDescent="0.25">
      <c r="A27" s="54" t="s">
        <v>798</v>
      </c>
      <c r="B27" s="55">
        <v>5.77</v>
      </c>
      <c r="C27" s="55">
        <v>19.510000000000002</v>
      </c>
      <c r="D27" s="55">
        <v>28.48</v>
      </c>
      <c r="E27" s="55">
        <v>4.8099999999999996</v>
      </c>
      <c r="F27" s="55">
        <v>11.24</v>
      </c>
      <c r="G27" s="55">
        <v>93.99</v>
      </c>
      <c r="H27" s="55">
        <v>0</v>
      </c>
      <c r="I27" s="55">
        <v>4.17</v>
      </c>
      <c r="J27" s="55">
        <v>0.33</v>
      </c>
      <c r="K27" s="55">
        <v>206.88</v>
      </c>
      <c r="L27" s="55">
        <v>27.4</v>
      </c>
      <c r="M27" s="55">
        <v>100.54</v>
      </c>
      <c r="N27" s="55">
        <v>37.6</v>
      </c>
      <c r="O27" s="55">
        <v>0</v>
      </c>
      <c r="P27" s="55">
        <v>0.5</v>
      </c>
      <c r="Q27" s="55">
        <v>9.15</v>
      </c>
      <c r="R27" s="43"/>
      <c r="S27" s="43"/>
      <c r="T27" s="43"/>
      <c r="U27" s="43"/>
    </row>
    <row r="28" spans="1:21" x14ac:dyDescent="0.25">
      <c r="A28" s="54" t="s">
        <v>799</v>
      </c>
      <c r="B28" s="55">
        <v>5.46</v>
      </c>
      <c r="C28" s="55">
        <v>16.59</v>
      </c>
      <c r="D28" s="55">
        <v>23.37</v>
      </c>
      <c r="E28" s="55">
        <v>4.91</v>
      </c>
      <c r="F28" s="55">
        <v>6.98</v>
      </c>
      <c r="G28" s="55">
        <v>80.680000000000007</v>
      </c>
      <c r="H28" s="55">
        <v>16.239999999999998</v>
      </c>
      <c r="I28" s="55">
        <v>4.22</v>
      </c>
      <c r="J28" s="55">
        <v>0.36</v>
      </c>
      <c r="K28" s="55">
        <v>193.15</v>
      </c>
      <c r="L28" s="55">
        <v>26.72</v>
      </c>
      <c r="M28" s="55">
        <v>100.84</v>
      </c>
      <c r="N28" s="55">
        <v>26.8</v>
      </c>
      <c r="O28" s="55">
        <v>0</v>
      </c>
      <c r="P28" s="55">
        <v>0.44</v>
      </c>
      <c r="Q28" s="55">
        <v>9.15</v>
      </c>
      <c r="R28" s="43"/>
      <c r="S28" s="43"/>
      <c r="T28" s="43"/>
      <c r="U28" s="43"/>
    </row>
    <row r="29" spans="1:21" x14ac:dyDescent="0.25">
      <c r="A29" s="54" t="s">
        <v>800</v>
      </c>
      <c r="B29" s="55">
        <v>13.26</v>
      </c>
      <c r="C29" s="55">
        <v>24.49</v>
      </c>
      <c r="D29" s="55">
        <v>26.52</v>
      </c>
      <c r="E29" s="55">
        <v>4.82</v>
      </c>
      <c r="F29" s="55">
        <v>6.31</v>
      </c>
      <c r="G29" s="55">
        <v>65.53</v>
      </c>
      <c r="H29" s="55">
        <v>17.98</v>
      </c>
      <c r="I29" s="55">
        <v>4.3</v>
      </c>
      <c r="J29" s="55">
        <v>0.65</v>
      </c>
      <c r="K29" s="55">
        <v>322.76</v>
      </c>
      <c r="L29" s="55">
        <v>26.5</v>
      </c>
      <c r="M29" s="55">
        <v>101.08</v>
      </c>
      <c r="N29" s="55">
        <v>26.6</v>
      </c>
      <c r="O29" s="55">
        <v>0</v>
      </c>
      <c r="P29" s="55">
        <v>0.63</v>
      </c>
      <c r="Q29" s="55">
        <v>9.18</v>
      </c>
      <c r="R29" s="43"/>
      <c r="S29" s="43"/>
      <c r="T29" s="43"/>
      <c r="U29" s="43"/>
    </row>
    <row r="30" spans="1:21" x14ac:dyDescent="0.25">
      <c r="A30" s="54" t="s">
        <v>801</v>
      </c>
      <c r="B30" s="55">
        <v>22.95</v>
      </c>
      <c r="C30" s="55">
        <v>39.159999999999997</v>
      </c>
      <c r="D30" s="55">
        <v>39.729999999999997</v>
      </c>
      <c r="E30" s="55">
        <v>4.7300000000000004</v>
      </c>
      <c r="F30" s="55">
        <v>8.24</v>
      </c>
      <c r="G30" s="55">
        <v>56.2</v>
      </c>
      <c r="H30" s="55">
        <v>15.65</v>
      </c>
      <c r="I30" s="55">
        <v>3.97</v>
      </c>
      <c r="J30" s="55">
        <v>0.67</v>
      </c>
      <c r="K30" s="55">
        <v>328.02</v>
      </c>
      <c r="L30" s="55">
        <v>26.47</v>
      </c>
      <c r="M30" s="55">
        <v>100.9</v>
      </c>
      <c r="N30" s="55">
        <v>26.5</v>
      </c>
      <c r="O30" s="55">
        <v>0</v>
      </c>
      <c r="P30" s="55">
        <v>1</v>
      </c>
      <c r="Q30" s="55">
        <v>9.36</v>
      </c>
      <c r="R30" s="43"/>
      <c r="S30" s="43"/>
      <c r="T30" s="43"/>
      <c r="U30" s="43"/>
    </row>
    <row r="31" spans="1:21" x14ac:dyDescent="0.25">
      <c r="A31" s="54" t="s">
        <v>802</v>
      </c>
      <c r="B31" s="55">
        <v>21.52</v>
      </c>
      <c r="C31" s="55">
        <v>38.08</v>
      </c>
      <c r="D31" s="55">
        <v>40.5</v>
      </c>
      <c r="E31" s="55">
        <v>4.9800000000000004</v>
      </c>
      <c r="F31" s="55">
        <v>6.02</v>
      </c>
      <c r="G31" s="55">
        <v>61.3</v>
      </c>
      <c r="H31" s="55">
        <v>17.22</v>
      </c>
      <c r="I31" s="55">
        <v>4.16</v>
      </c>
      <c r="J31" s="55">
        <v>0.2</v>
      </c>
      <c r="K31" s="55">
        <v>314.95999999999998</v>
      </c>
      <c r="L31" s="55">
        <v>26.42</v>
      </c>
      <c r="M31" s="55">
        <v>100.86</v>
      </c>
      <c r="N31" s="55">
        <v>26.5</v>
      </c>
      <c r="O31" s="55">
        <v>0</v>
      </c>
      <c r="P31" s="55">
        <v>0.93</v>
      </c>
      <c r="Q31" s="55">
        <v>9.4600000000000009</v>
      </c>
      <c r="R31" s="43"/>
      <c r="S31" s="43"/>
      <c r="T31" s="43"/>
      <c r="U31" s="43"/>
    </row>
    <row r="32" spans="1:21" x14ac:dyDescent="0.25">
      <c r="A32" s="54" t="s">
        <v>803</v>
      </c>
      <c r="B32" s="55">
        <v>12.47</v>
      </c>
      <c r="C32" s="55">
        <v>23.72</v>
      </c>
      <c r="D32" s="55">
        <v>30.49</v>
      </c>
      <c r="E32" s="55">
        <v>5.19</v>
      </c>
      <c r="F32" s="55">
        <v>5.7</v>
      </c>
      <c r="G32" s="55">
        <v>60.79</v>
      </c>
      <c r="H32" s="55">
        <v>13.34</v>
      </c>
      <c r="I32" s="55">
        <v>4.07</v>
      </c>
      <c r="J32" s="55">
        <v>0.13</v>
      </c>
      <c r="K32" s="55">
        <v>220.67</v>
      </c>
      <c r="L32" s="55">
        <v>25.99</v>
      </c>
      <c r="M32" s="55">
        <v>100.87</v>
      </c>
      <c r="N32" s="55">
        <v>26.3</v>
      </c>
      <c r="O32" s="55">
        <v>0</v>
      </c>
      <c r="P32" s="55">
        <v>0.72</v>
      </c>
      <c r="Q32" s="55">
        <v>9.4600000000000009</v>
      </c>
      <c r="R32" s="43"/>
      <c r="S32" s="43"/>
      <c r="T32" s="43"/>
      <c r="U32" s="43"/>
    </row>
    <row r="33" spans="1:2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x14ac:dyDescent="0.25">
      <c r="A34" s="27" t="s">
        <v>30</v>
      </c>
      <c r="B34" s="28">
        <f t="shared" ref="B34:Q34" si="0">MIN(B9:B32)</f>
        <v>4.3499999999999996</v>
      </c>
      <c r="C34" s="28">
        <f t="shared" si="0"/>
        <v>13.37</v>
      </c>
      <c r="D34" s="28">
        <f t="shared" si="0"/>
        <v>16.79</v>
      </c>
      <c r="E34" s="28">
        <f t="shared" si="0"/>
        <v>4.25</v>
      </c>
      <c r="F34" s="28">
        <f t="shared" si="0"/>
        <v>3.99</v>
      </c>
      <c r="G34" s="28">
        <f t="shared" si="0"/>
        <v>0</v>
      </c>
      <c r="H34" s="28">
        <f t="shared" si="0"/>
        <v>0</v>
      </c>
      <c r="I34" s="28">
        <f t="shared" si="0"/>
        <v>3.97</v>
      </c>
      <c r="J34" s="28">
        <f t="shared" si="0"/>
        <v>0.13</v>
      </c>
      <c r="K34" s="28">
        <f t="shared" si="0"/>
        <v>191.57</v>
      </c>
      <c r="L34" s="28">
        <f t="shared" si="0"/>
        <v>22.63</v>
      </c>
      <c r="M34" s="28">
        <f t="shared" si="0"/>
        <v>88.34</v>
      </c>
      <c r="N34" s="28">
        <f t="shared" si="0"/>
        <v>26.3</v>
      </c>
      <c r="O34" s="28">
        <f t="shared" si="0"/>
        <v>0</v>
      </c>
      <c r="P34" s="28">
        <f t="shared" si="0"/>
        <v>0.28000000000000003</v>
      </c>
      <c r="Q34" s="28">
        <f t="shared" si="0"/>
        <v>9.1300000000000008</v>
      </c>
      <c r="R34" s="28"/>
      <c r="S34" s="28"/>
      <c r="T34" s="28"/>
      <c r="U34" s="28"/>
    </row>
    <row r="35" spans="1:21" x14ac:dyDescent="0.25">
      <c r="A35" s="27" t="s">
        <v>31</v>
      </c>
      <c r="B35" s="29">
        <f t="shared" ref="B35:Q35" si="1">MAX(B9:B32)</f>
        <v>22.95</v>
      </c>
      <c r="C35" s="29">
        <f t="shared" si="1"/>
        <v>39.159999999999997</v>
      </c>
      <c r="D35" s="29">
        <f t="shared" si="1"/>
        <v>40.5</v>
      </c>
      <c r="E35" s="29">
        <f t="shared" si="1"/>
        <v>5.19</v>
      </c>
      <c r="F35" s="29">
        <f t="shared" si="1"/>
        <v>15.18</v>
      </c>
      <c r="G35" s="29">
        <f t="shared" si="1"/>
        <v>93.99</v>
      </c>
      <c r="H35" s="29">
        <f t="shared" si="1"/>
        <v>863.62</v>
      </c>
      <c r="I35" s="29">
        <f t="shared" si="1"/>
        <v>4.3</v>
      </c>
      <c r="J35" s="29">
        <f t="shared" si="1"/>
        <v>0.85</v>
      </c>
      <c r="K35" s="29">
        <f t="shared" si="1"/>
        <v>328.02</v>
      </c>
      <c r="L35" s="29">
        <f t="shared" si="1"/>
        <v>28.15</v>
      </c>
      <c r="M35" s="29">
        <f t="shared" si="1"/>
        <v>101.08</v>
      </c>
      <c r="N35" s="29">
        <f t="shared" si="1"/>
        <v>520.6</v>
      </c>
      <c r="O35" s="29">
        <f t="shared" si="1"/>
        <v>13</v>
      </c>
      <c r="P35" s="29">
        <f t="shared" si="1"/>
        <v>1</v>
      </c>
      <c r="Q35" s="29">
        <f t="shared" si="1"/>
        <v>9.4600000000000009</v>
      </c>
      <c r="R35" s="29"/>
      <c r="S35" s="29"/>
      <c r="T35" s="29"/>
      <c r="U35" s="29"/>
    </row>
    <row r="36" spans="1:21" x14ac:dyDescent="0.25">
      <c r="A36" s="27" t="s">
        <v>32</v>
      </c>
      <c r="B36" s="28">
        <f t="shared" ref="B36:Q36" si="2">AVERAGE(B9:B32)</f>
        <v>8.8912500000000012</v>
      </c>
      <c r="C36" s="28">
        <f t="shared" si="2"/>
        <v>19.630416666666665</v>
      </c>
      <c r="D36" s="28">
        <f t="shared" si="2"/>
        <v>24.254583333333333</v>
      </c>
      <c r="E36" s="28">
        <f t="shared" si="2"/>
        <v>4.729166666666667</v>
      </c>
      <c r="F36" s="28">
        <f t="shared" si="2"/>
        <v>7.5408333333333326</v>
      </c>
      <c r="G36" s="28">
        <f t="shared" si="2"/>
        <v>27.2225</v>
      </c>
      <c r="H36" s="28">
        <f t="shared" si="2"/>
        <v>217.45333333333326</v>
      </c>
      <c r="I36" s="28">
        <f t="shared" si="2"/>
        <v>4.1154166666666656</v>
      </c>
      <c r="J36" s="28">
        <f t="shared" si="2"/>
        <v>0.40375000000000005</v>
      </c>
      <c r="K36" s="28">
        <f t="shared" si="2"/>
        <v>245.21458333333337</v>
      </c>
      <c r="L36" s="28">
        <f t="shared" si="2"/>
        <v>25.863749999999996</v>
      </c>
      <c r="M36" s="28">
        <f t="shared" si="2"/>
        <v>98.882083333333341</v>
      </c>
      <c r="N36" s="28">
        <f t="shared" si="2"/>
        <v>118.54583333333335</v>
      </c>
      <c r="O36" s="28">
        <f t="shared" si="2"/>
        <v>1.125</v>
      </c>
      <c r="P36" s="28">
        <f t="shared" si="2"/>
        <v>0.50750000000000006</v>
      </c>
      <c r="Q36" s="28">
        <f t="shared" si="2"/>
        <v>9.2220833333333356</v>
      </c>
      <c r="R36" s="28"/>
      <c r="S36" s="28"/>
      <c r="T36" s="28"/>
      <c r="U36" s="28"/>
    </row>
    <row r="37" spans="1:21" x14ac:dyDescent="0.25">
      <c r="A37" s="27" t="s">
        <v>38</v>
      </c>
      <c r="B37" s="28">
        <f>STDEV(B9:B32)</f>
        <v>4.762348080425288</v>
      </c>
      <c r="C37" s="28">
        <f t="shared" ref="C37:Q37" si="3">STDEV(C9:C32)</f>
        <v>6.7191889256695703</v>
      </c>
      <c r="D37" s="28">
        <f t="shared" si="3"/>
        <v>6.3554591249103067</v>
      </c>
      <c r="E37" s="28">
        <f t="shared" si="3"/>
        <v>0.2157276194581989</v>
      </c>
      <c r="F37" s="28">
        <f t="shared" si="3"/>
        <v>3.1138469380531841</v>
      </c>
      <c r="G37" s="28">
        <f t="shared" si="3"/>
        <v>27.028454289957974</v>
      </c>
      <c r="H37" s="28">
        <f t="shared" si="3"/>
        <v>285.05518192961796</v>
      </c>
      <c r="I37" s="28">
        <f t="shared" si="3"/>
        <v>8.2249840315249567E-2</v>
      </c>
      <c r="J37" s="28">
        <f t="shared" si="3"/>
        <v>0.23974284230145962</v>
      </c>
      <c r="K37" s="28">
        <f t="shared" si="3"/>
        <v>43.274821877328073</v>
      </c>
      <c r="L37" s="28">
        <f t="shared" si="3"/>
        <v>1.787699061582404</v>
      </c>
      <c r="M37" s="28">
        <f t="shared" si="3"/>
        <v>3.5695560303241067</v>
      </c>
      <c r="N37" s="28">
        <f t="shared" si="3"/>
        <v>147.15720366526304</v>
      </c>
      <c r="O37" s="28">
        <f t="shared" si="3"/>
        <v>2.8782920660334845</v>
      </c>
      <c r="P37" s="28">
        <f t="shared" si="3"/>
        <v>0.18533752992850627</v>
      </c>
      <c r="Q37" s="28">
        <f t="shared" si="3"/>
        <v>8.7226799166045546E-2</v>
      </c>
      <c r="R37" s="28"/>
      <c r="S37" s="28"/>
      <c r="T37" s="28"/>
      <c r="U37" s="28"/>
    </row>
    <row r="38" spans="1:2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x14ac:dyDescent="0.25">
      <c r="A41" s="13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13"/>
      <c r="M41" s="21"/>
      <c r="N41" s="16"/>
      <c r="O41" s="16"/>
      <c r="P41" s="16"/>
      <c r="Q41" s="16"/>
      <c r="R41" s="16"/>
      <c r="S41" s="16"/>
      <c r="T41" s="16"/>
      <c r="U41" s="16"/>
    </row>
    <row r="42" spans="1:21" x14ac:dyDescent="0.25">
      <c r="A42" s="13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</row>
    <row r="43" spans="1:21" x14ac:dyDescent="0.25">
      <c r="A43" s="14" t="s">
        <v>35</v>
      </c>
      <c r="B43" s="40" t="s">
        <v>40</v>
      </c>
      <c r="C43" s="42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</row>
    <row r="44" spans="1:21" x14ac:dyDescent="0.25">
      <c r="A44" s="13"/>
      <c r="B44" s="21"/>
      <c r="C44" s="21"/>
      <c r="D44" s="1"/>
      <c r="E44" s="1"/>
      <c r="F44" s="1"/>
      <c r="G44" s="1"/>
      <c r="H44" s="1"/>
      <c r="I44" s="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</row>
    <row r="45" spans="1:2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</row>
    <row r="47" spans="1:21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</row>
    <row r="48" spans="1:21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</row>
    <row r="49" spans="1:21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4"/>
  <sheetViews>
    <sheetView tabSelected="1" zoomScale="90" zoomScaleNormal="90" workbookViewId="0">
      <pane xSplit="1" ySplit="8" topLeftCell="B9" activePane="bottomRight" state="frozen"/>
      <selection activeCell="B2" sqref="B2"/>
      <selection pane="topRight" activeCell="B2" sqref="B2"/>
      <selection pane="bottomLeft" activeCell="B2" sqref="B2"/>
      <selection pane="bottomRight" activeCell="G52" sqref="G52"/>
    </sheetView>
  </sheetViews>
  <sheetFormatPr defaultColWidth="8.85546875" defaultRowHeight="15" x14ac:dyDescent="0.25"/>
  <cols>
    <col min="1" max="1" width="17.42578125" style="11" customWidth="1"/>
    <col min="2" max="2" width="17.85546875" style="11" customWidth="1"/>
    <col min="3" max="3" width="9.85546875" style="11" customWidth="1"/>
    <col min="4" max="4" width="12.5703125" style="11" customWidth="1"/>
    <col min="5" max="5" width="9.7109375" style="11" customWidth="1"/>
    <col min="6" max="6" width="8.85546875" style="11"/>
    <col min="7" max="7" width="11.28515625" style="11" customWidth="1"/>
    <col min="8" max="8" width="12.42578125" style="11" customWidth="1"/>
    <col min="9" max="9" width="13" style="11" customWidth="1"/>
    <col min="10" max="10" width="8.85546875" style="11"/>
    <col min="11" max="11" width="9.7109375" style="11" customWidth="1"/>
    <col min="12" max="12" width="11" style="11" customWidth="1"/>
    <col min="13" max="13" width="10" style="11" customWidth="1"/>
    <col min="14" max="15" width="8.85546875" style="11"/>
    <col min="16" max="16" width="11" style="11" customWidth="1"/>
    <col min="17" max="17" width="15.85546875" style="11" customWidth="1"/>
    <col min="18" max="18" width="8.85546875" style="11"/>
    <col min="19" max="19" width="12.140625" style="11" customWidth="1"/>
    <col min="20" max="20" width="12.7109375" style="11" customWidth="1"/>
    <col min="21" max="16384" width="8.85546875" style="11"/>
  </cols>
  <sheetData>
    <row r="1" spans="1:21" s="21" customFormat="1" ht="27.75" customHeight="1" x14ac:dyDescent="0.25">
      <c r="A1" s="14" t="s">
        <v>2</v>
      </c>
      <c r="B1" s="23" t="s">
        <v>59</v>
      </c>
      <c r="C1" s="2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01/05/2025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8" t="s">
        <v>8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37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25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x14ac:dyDescent="0.25">
      <c r="A9" s="36" t="str">
        <f>'01'!$B$2</f>
        <v>01/05/2025 01:00</v>
      </c>
      <c r="B9" s="24">
        <f>'01'!B36</f>
        <v>7.4340000000000002</v>
      </c>
      <c r="C9" s="24">
        <f>'01'!C36</f>
        <v>28.356000000000002</v>
      </c>
      <c r="D9" s="24">
        <f>'01'!D36</f>
        <v>43.332000000000008</v>
      </c>
      <c r="E9" s="24">
        <f>'01'!E36</f>
        <v>3.3005000000000004</v>
      </c>
      <c r="F9" s="24">
        <f>'01'!F36</f>
        <v>16.21857142857143</v>
      </c>
      <c r="G9" s="24">
        <f>'01'!G36</f>
        <v>23.240952380952383</v>
      </c>
      <c r="H9" s="24">
        <f>'01'!H36</f>
        <v>8.230952380952381</v>
      </c>
      <c r="I9" s="24">
        <f>'01'!I36</f>
        <v>4.1138095238095227</v>
      </c>
      <c r="J9" s="24">
        <f>'01'!J36</f>
        <v>2.696190476190476</v>
      </c>
      <c r="K9" s="24">
        <f>'01'!K36</f>
        <v>209.15238095238095</v>
      </c>
      <c r="L9" s="24">
        <f>'01'!L36</f>
        <v>32.015238095238104</v>
      </c>
      <c r="M9" s="24">
        <f>'01'!M36</f>
        <v>65.837619047619071</v>
      </c>
      <c r="N9" s="24">
        <f>'01'!N36</f>
        <v>386.41428571428577</v>
      </c>
      <c r="O9" s="24">
        <f>'01'!O36</f>
        <v>3.8095238095238099E-2</v>
      </c>
      <c r="P9" s="30">
        <f>'01'!$P$36</f>
        <v>0.3504761904761905</v>
      </c>
      <c r="Q9" s="24">
        <f>'01'!Q36</f>
        <v>9.4710000000000001</v>
      </c>
      <c r="R9" s="44"/>
      <c r="S9" s="44"/>
      <c r="T9" s="44"/>
      <c r="U9" s="45"/>
    </row>
    <row r="10" spans="1:21" s="34" customFormat="1" x14ac:dyDescent="0.25">
      <c r="A10" s="36" t="str">
        <f>'02'!$B$2</f>
        <v>02/05/2025 01:00</v>
      </c>
      <c r="B10" s="33">
        <f>'02'!B36</f>
        <v>10.412083333333333</v>
      </c>
      <c r="C10" s="33">
        <f>'02'!C36</f>
        <v>40.026249999999997</v>
      </c>
      <c r="D10" s="33">
        <f>'02'!D36</f>
        <v>59.669166666666662</v>
      </c>
      <c r="E10" s="33">
        <f>'02'!E36</f>
        <v>6.3606250000000015</v>
      </c>
      <c r="F10" s="33">
        <f>'02'!F36</f>
        <v>15.473749999999997</v>
      </c>
      <c r="G10" s="33">
        <f>'02'!G36</f>
        <v>38.320434782608693</v>
      </c>
      <c r="H10" s="33">
        <f>'02'!H36</f>
        <v>13.73608695652174</v>
      </c>
      <c r="I10" s="33">
        <f>'02'!I36</f>
        <v>4.1012500000000012</v>
      </c>
      <c r="J10" s="33">
        <f>'02'!J36</f>
        <v>1.0074999999999998</v>
      </c>
      <c r="K10" s="33">
        <f>'02'!K36</f>
        <v>221.24833333333333</v>
      </c>
      <c r="L10" s="33">
        <f>'02'!L36</f>
        <v>32.141666666666659</v>
      </c>
      <c r="M10" s="33">
        <f>'02'!M36</f>
        <v>63.206666666666671</v>
      </c>
      <c r="N10" s="33">
        <f>'02'!N36</f>
        <v>317.22500000000002</v>
      </c>
      <c r="O10" s="33">
        <f>'02'!O36</f>
        <v>0</v>
      </c>
      <c r="P10" s="30">
        <f>'02'!$P$36</f>
        <v>0.58458333333333334</v>
      </c>
      <c r="Q10" s="33">
        <f>'02'!Q36</f>
        <v>9.6254166666666681</v>
      </c>
      <c r="R10" s="46"/>
      <c r="S10" s="46"/>
      <c r="T10" s="46"/>
      <c r="U10" s="46"/>
    </row>
    <row r="11" spans="1:21" s="34" customFormat="1" x14ac:dyDescent="0.25">
      <c r="A11" s="36" t="str">
        <f>'03'!$B$2</f>
        <v>03/05/2025 01:00</v>
      </c>
      <c r="B11" s="33">
        <f>'03'!B36</f>
        <v>13.705</v>
      </c>
      <c r="C11" s="33">
        <f>'03'!C36</f>
        <v>29.959166666666665</v>
      </c>
      <c r="D11" s="33">
        <f>'03'!D36</f>
        <v>34.221666666666671</v>
      </c>
      <c r="E11" s="33">
        <f>'03'!E36</f>
        <v>2.8566666666666674</v>
      </c>
      <c r="F11" s="33">
        <f>'03'!F36</f>
        <v>10.823333333333332</v>
      </c>
      <c r="G11" s="33">
        <f>'03'!G36</f>
        <v>29.995833333333334</v>
      </c>
      <c r="H11" s="33">
        <f>'03'!H36</f>
        <v>11.175833333333332</v>
      </c>
      <c r="I11" s="33">
        <f>'03'!I36</f>
        <v>4.0979166666666673</v>
      </c>
      <c r="J11" s="33">
        <f>'03'!J36</f>
        <v>1.2454166666666666</v>
      </c>
      <c r="K11" s="33">
        <f>'03'!K36</f>
        <v>246.03500000000005</v>
      </c>
      <c r="L11" s="33">
        <f>'03'!L36</f>
        <v>31.484999999999999</v>
      </c>
      <c r="M11" s="33">
        <f>'03'!M36</f>
        <v>74.81750000000001</v>
      </c>
      <c r="N11" s="33">
        <f>'03'!N36</f>
        <v>310.64583333333331</v>
      </c>
      <c r="O11" s="33">
        <f>'03'!O36</f>
        <v>0.44999999999999996</v>
      </c>
      <c r="P11" s="30">
        <f>'03'!$P$36</f>
        <v>0.47958333333333325</v>
      </c>
      <c r="Q11" s="33">
        <f>'03'!Q36</f>
        <v>9.6233333333333331</v>
      </c>
      <c r="R11" s="46"/>
      <c r="S11" s="46"/>
      <c r="T11" s="46"/>
      <c r="U11" s="46"/>
    </row>
    <row r="12" spans="1:21" s="34" customFormat="1" x14ac:dyDescent="0.25">
      <c r="A12" s="36" t="str">
        <f>'04'!$B$2</f>
        <v>04/05/2025 01:00</v>
      </c>
      <c r="B12" s="33">
        <f>'04'!B36</f>
        <v>17.790833333333335</v>
      </c>
      <c r="C12" s="33">
        <f>'04'!C36</f>
        <v>37.808750000000003</v>
      </c>
      <c r="D12" s="33">
        <f>'04'!D36</f>
        <v>42.510416666666679</v>
      </c>
      <c r="E12" s="33">
        <f>'04'!E36</f>
        <v>3.3058333333333323</v>
      </c>
      <c r="F12" s="33">
        <f>'04'!F36</f>
        <v>11.372083333333334</v>
      </c>
      <c r="G12" s="33">
        <f>'04'!G36</f>
        <v>35.422083333333333</v>
      </c>
      <c r="H12" s="33">
        <f>'04'!H36</f>
        <v>11.010833333333336</v>
      </c>
      <c r="I12" s="33">
        <f>'04'!I36</f>
        <v>4.11625</v>
      </c>
      <c r="J12" s="33">
        <f>'04'!J36</f>
        <v>0.96624999999999994</v>
      </c>
      <c r="K12" s="33">
        <f>'04'!K36</f>
        <v>223.49999999999997</v>
      </c>
      <c r="L12" s="33">
        <f>'04'!L36</f>
        <v>31.889166666666664</v>
      </c>
      <c r="M12" s="33">
        <f>'04'!M36</f>
        <v>66.709999999999994</v>
      </c>
      <c r="N12" s="33">
        <f>'04'!N36</f>
        <v>406.88750000000005</v>
      </c>
      <c r="O12" s="33">
        <f>'04'!O36</f>
        <v>0</v>
      </c>
      <c r="P12" s="30">
        <f>'04'!$P$36</f>
        <v>0.60083333333333333</v>
      </c>
      <c r="Q12" s="33">
        <f>'04'!Q36</f>
        <v>9.6250000000000018</v>
      </c>
      <c r="R12" s="46"/>
      <c r="S12" s="46"/>
      <c r="T12" s="46"/>
      <c r="U12" s="46"/>
    </row>
    <row r="13" spans="1:21" s="34" customFormat="1" x14ac:dyDescent="0.25">
      <c r="A13" s="36" t="str">
        <f>'05'!$B$2</f>
        <v>05/05/2025 01:00</v>
      </c>
      <c r="B13" s="33">
        <f>'05'!B36</f>
        <v>46.181666666666672</v>
      </c>
      <c r="C13" s="33">
        <f>'05'!C36</f>
        <v>65.882500000000007</v>
      </c>
      <c r="D13" s="33">
        <f>'05'!D36</f>
        <v>53.509999999999991</v>
      </c>
      <c r="E13" s="33">
        <f>'05'!E36</f>
        <v>5.0187499999999998</v>
      </c>
      <c r="F13" s="33">
        <f>'05'!F36</f>
        <v>12.68</v>
      </c>
      <c r="G13" s="33">
        <f>'05'!G36</f>
        <v>42.346249999999998</v>
      </c>
      <c r="H13" s="33">
        <f>'05'!H36</f>
        <v>13.654583333333335</v>
      </c>
      <c r="I13" s="33">
        <f>'05'!I36</f>
        <v>4.0908333333333333</v>
      </c>
      <c r="J13" s="33">
        <f>'05'!J36</f>
        <v>0.91416666666666668</v>
      </c>
      <c r="K13" s="33">
        <f>'05'!K36</f>
        <v>256.73791666666665</v>
      </c>
      <c r="L13" s="33">
        <f>'05'!L36</f>
        <v>33.732083333333328</v>
      </c>
      <c r="M13" s="33">
        <f>'05'!M36</f>
        <v>47.662083333333328</v>
      </c>
      <c r="N13" s="33">
        <f>'05'!N36</f>
        <v>398.1875</v>
      </c>
      <c r="O13" s="33">
        <f>'05'!O36</f>
        <v>3.3333333333333333E-2</v>
      </c>
      <c r="P13" s="30">
        <f>'05'!$P$36</f>
        <v>0.94541666666666668</v>
      </c>
      <c r="Q13" s="33">
        <f>'05'!Q36</f>
        <v>9.5883333333333329</v>
      </c>
      <c r="R13" s="46"/>
      <c r="S13" s="46"/>
      <c r="T13" s="46"/>
      <c r="U13" s="46"/>
    </row>
    <row r="14" spans="1:21" s="34" customFormat="1" x14ac:dyDescent="0.25">
      <c r="A14" s="36" t="str">
        <f>'06'!$B$2</f>
        <v>06/05/2025 01:00</v>
      </c>
      <c r="B14" s="33">
        <f>'06'!B36</f>
        <v>31.607916666666668</v>
      </c>
      <c r="C14" s="33">
        <f>'06'!C36</f>
        <v>54.132499999999993</v>
      </c>
      <c r="D14" s="33">
        <f>'06'!D36</f>
        <v>53.152083333333337</v>
      </c>
      <c r="E14" s="33">
        <f>'06'!E36</f>
        <v>7.5541666666666663</v>
      </c>
      <c r="F14" s="33">
        <f>'06'!F36</f>
        <v>12.575416666666667</v>
      </c>
      <c r="G14" s="33">
        <f>'06'!G36</f>
        <v>42.687916666666673</v>
      </c>
      <c r="H14" s="33">
        <f>'06'!H36</f>
        <v>14.551666666666669</v>
      </c>
      <c r="I14" s="33">
        <f>'06'!I36</f>
        <v>4.0912500000000014</v>
      </c>
      <c r="J14" s="33">
        <f>'06'!J36</f>
        <v>0.71625000000000016</v>
      </c>
      <c r="K14" s="33">
        <f>'06'!K36</f>
        <v>249.64875000000004</v>
      </c>
      <c r="L14" s="33">
        <f>'06'!L36</f>
        <v>34.263750000000009</v>
      </c>
      <c r="M14" s="33">
        <f>'06'!M36</f>
        <v>48.382083333333327</v>
      </c>
      <c r="N14" s="33">
        <f>'06'!N36</f>
        <v>337.36249999999995</v>
      </c>
      <c r="O14" s="33">
        <f>'06'!O36</f>
        <v>0</v>
      </c>
      <c r="P14" s="30">
        <f>'06'!$P$36</f>
        <v>0.7799999999999998</v>
      </c>
      <c r="Q14" s="33">
        <f>'06'!Q36</f>
        <v>9.6150000000000002</v>
      </c>
      <c r="R14" s="46"/>
      <c r="S14" s="46"/>
      <c r="T14" s="46"/>
      <c r="U14" s="46"/>
    </row>
    <row r="15" spans="1:21" s="34" customFormat="1" x14ac:dyDescent="0.25">
      <c r="A15" s="36" t="str">
        <f>'07'!$B$2</f>
        <v>07/05/2025 01:00</v>
      </c>
      <c r="B15" s="33">
        <f>'07'!B36</f>
        <v>19.549583333333334</v>
      </c>
      <c r="C15" s="33">
        <f>'07'!C36</f>
        <v>41.738333333333337</v>
      </c>
      <c r="D15" s="33">
        <f>'07'!D36</f>
        <v>48.258333333333333</v>
      </c>
      <c r="E15" s="33">
        <f>'07'!E36</f>
        <v>6.336666666666666</v>
      </c>
      <c r="F15" s="33">
        <f>'07'!F36</f>
        <v>14.512083333333329</v>
      </c>
      <c r="G15" s="33">
        <f>'07'!G36</f>
        <v>34.994166666666665</v>
      </c>
      <c r="H15" s="33">
        <f>'07'!H36</f>
        <v>9.2762499999999992</v>
      </c>
      <c r="I15" s="33">
        <f>'07'!I36</f>
        <v>4.0887499999999992</v>
      </c>
      <c r="J15" s="33">
        <f>'07'!J36</f>
        <v>0.83791666666666664</v>
      </c>
      <c r="K15" s="33">
        <f>'07'!K36</f>
        <v>234.91458333333335</v>
      </c>
      <c r="L15" s="33">
        <f>'07'!L36</f>
        <v>35.21125</v>
      </c>
      <c r="M15" s="33">
        <f>'07'!M36</f>
        <v>44.663333333333327</v>
      </c>
      <c r="N15" s="33">
        <f>'07'!N36</f>
        <v>361.37083333333339</v>
      </c>
      <c r="O15" s="33">
        <f>'07'!O36</f>
        <v>0</v>
      </c>
      <c r="P15" s="33">
        <f>'07'!P36</f>
        <v>0.55458333333333343</v>
      </c>
      <c r="Q15" s="33">
        <f>'07'!Q36</f>
        <v>9.5716666666666672</v>
      </c>
      <c r="R15" s="46"/>
      <c r="S15" s="46"/>
      <c r="T15" s="46"/>
      <c r="U15" s="46"/>
    </row>
    <row r="16" spans="1:21" s="34" customFormat="1" x14ac:dyDescent="0.25">
      <c r="A16" s="36" t="str">
        <f>'08'!$B$2</f>
        <v>08/05/2025 01:00</v>
      </c>
      <c r="B16" s="33">
        <f>'08'!B36</f>
        <v>8.0058333333333334</v>
      </c>
      <c r="C16" s="33">
        <f>'08'!C36</f>
        <v>26.54291666666667</v>
      </c>
      <c r="D16" s="33">
        <f>'08'!D36</f>
        <v>37.53875</v>
      </c>
      <c r="E16" s="33">
        <f>'08'!E36</f>
        <v>6.2452173913043483</v>
      </c>
      <c r="F16" s="33">
        <f>'08'!F36</f>
        <v>11.212916666666667</v>
      </c>
      <c r="G16" s="33">
        <f>'08'!G36</f>
        <v>35.315217391304358</v>
      </c>
      <c r="H16" s="33">
        <f>'08'!H36</f>
        <v>10.630869565217392</v>
      </c>
      <c r="I16" s="33">
        <f>'08'!I36</f>
        <v>4.1100000000000003</v>
      </c>
      <c r="J16" s="33">
        <f>'08'!J36</f>
        <v>1.1445833333333335</v>
      </c>
      <c r="K16" s="33">
        <f>'08'!K36</f>
        <v>219.06541666666661</v>
      </c>
      <c r="L16" s="33">
        <f>'08'!L36</f>
        <v>34.232500000000002</v>
      </c>
      <c r="M16" s="33">
        <f>'08'!M36</f>
        <v>49.119166666666665</v>
      </c>
      <c r="N16" s="33">
        <f>'08'!N36</f>
        <v>302.08333333333337</v>
      </c>
      <c r="O16" s="33">
        <f>'08'!O36</f>
        <v>0</v>
      </c>
      <c r="P16" s="30">
        <f>'08'!$P$36</f>
        <v>0.30958333333333338</v>
      </c>
      <c r="Q16" s="33">
        <f>'08'!Q36</f>
        <v>9.5358333333333327</v>
      </c>
      <c r="R16" s="46"/>
      <c r="S16" s="46"/>
      <c r="T16" s="46"/>
      <c r="U16" s="46"/>
    </row>
    <row r="17" spans="1:24" s="34" customFormat="1" x14ac:dyDescent="0.25">
      <c r="A17" s="36" t="str">
        <f>'09'!$B$2</f>
        <v>09/05/2025 01:00</v>
      </c>
      <c r="B17" s="33">
        <f>'09'!B36</f>
        <v>18.87875</v>
      </c>
      <c r="C17" s="33">
        <f>'09'!C36</f>
        <v>43.408333333333331</v>
      </c>
      <c r="D17" s="33">
        <f>'09'!D36</f>
        <v>54.882083333333327</v>
      </c>
      <c r="E17" s="33">
        <f>'09'!E36</f>
        <v>5.5862499999999997</v>
      </c>
      <c r="F17" s="33">
        <f>'09'!F36</f>
        <v>7.5575000000000001</v>
      </c>
      <c r="G17" s="33">
        <f>'09'!G36</f>
        <v>34.042083333333338</v>
      </c>
      <c r="H17" s="33">
        <f>'09'!H36</f>
        <v>10.990833333333335</v>
      </c>
      <c r="I17" s="33">
        <f>'09'!I36</f>
        <v>4.0841666666666656</v>
      </c>
      <c r="J17" s="33">
        <f>'09'!J36</f>
        <v>0.68958333333333321</v>
      </c>
      <c r="K17" s="33">
        <f>'09'!K36</f>
        <v>228.56625</v>
      </c>
      <c r="L17" s="33">
        <f>'09'!L36</f>
        <v>34.54999999999999</v>
      </c>
      <c r="M17" s="33">
        <f>'09'!M36</f>
        <v>50.065833333333337</v>
      </c>
      <c r="N17" s="33">
        <f>'09'!N36</f>
        <v>305.70416666666671</v>
      </c>
      <c r="O17" s="33">
        <f>'09'!O36</f>
        <v>0</v>
      </c>
      <c r="P17" s="33">
        <f>'09'!P36</f>
        <v>0.60166666666666668</v>
      </c>
      <c r="Q17" s="33">
        <f>'09'!Q36</f>
        <v>9.5691666666666659</v>
      </c>
      <c r="R17" s="46"/>
      <c r="S17" s="46"/>
      <c r="T17" s="46"/>
      <c r="U17" s="46"/>
      <c r="V17" s="35"/>
      <c r="W17" s="35"/>
      <c r="X17" s="35"/>
    </row>
    <row r="18" spans="1:24" s="34" customFormat="1" x14ac:dyDescent="0.25">
      <c r="A18" s="36" t="str">
        <f>'10'!$B$2</f>
        <v>10/05/2025 01:00</v>
      </c>
      <c r="B18" s="33">
        <f>'10'!B36</f>
        <v>22.552083333333339</v>
      </c>
      <c r="C18" s="33">
        <f>'10'!C36</f>
        <v>48.911666666666655</v>
      </c>
      <c r="D18" s="33">
        <f>'10'!D36</f>
        <v>59.912916666666653</v>
      </c>
      <c r="E18" s="33">
        <f>'10'!E36</f>
        <v>7.123333333333334</v>
      </c>
      <c r="F18" s="33">
        <f>'10'!F36</f>
        <v>9.3775000000000031</v>
      </c>
      <c r="G18" s="33">
        <f>'10'!G36</f>
        <v>43.629583333333329</v>
      </c>
      <c r="H18" s="33">
        <f>'10'!H36</f>
        <v>13.01375</v>
      </c>
      <c r="I18" s="33">
        <f>'10'!I36</f>
        <v>4.1191666666666675</v>
      </c>
      <c r="J18" s="33">
        <f>'10'!J36</f>
        <v>0.75916666666666677</v>
      </c>
      <c r="K18" s="33">
        <f>'10'!K36</f>
        <v>249.89041666666665</v>
      </c>
      <c r="L18" s="33">
        <f>'10'!L36</f>
        <v>37.006666666666668</v>
      </c>
      <c r="M18" s="33">
        <f>'10'!M36</f>
        <v>45.401249999999997</v>
      </c>
      <c r="N18" s="33">
        <f>'10'!N36</f>
        <v>306.61250000000001</v>
      </c>
      <c r="O18" s="33">
        <f>'10'!O36</f>
        <v>0</v>
      </c>
      <c r="P18" s="30">
        <f>'10'!$P$36</f>
        <v>0.67416666666666647</v>
      </c>
      <c r="Q18" s="33">
        <f>'10'!Q36</f>
        <v>9.6150000000000002</v>
      </c>
      <c r="R18" s="46"/>
      <c r="S18" s="46"/>
      <c r="T18" s="46"/>
      <c r="U18" s="46"/>
    </row>
    <row r="19" spans="1:24" s="34" customFormat="1" x14ac:dyDescent="0.25">
      <c r="A19" s="36" t="str">
        <f>'11'!$B$2</f>
        <v>11/05/2025 01:00</v>
      </c>
      <c r="B19" s="33">
        <f>'11'!B36</f>
        <v>10.5075</v>
      </c>
      <c r="C19" s="33">
        <f>'11'!C36</f>
        <v>35.264999999999993</v>
      </c>
      <c r="D19" s="33">
        <f>'11'!D36</f>
        <v>52.206666666666678</v>
      </c>
      <c r="E19" s="33">
        <f>'11'!E36</f>
        <v>12.319583333333336</v>
      </c>
      <c r="F19" s="33">
        <f>'11'!F36</f>
        <v>14.293750000000001</v>
      </c>
      <c r="G19" s="33">
        <f>'11'!G36</f>
        <v>48.493749999999999</v>
      </c>
      <c r="H19" s="33">
        <f>'11'!H36</f>
        <v>17.188750000000002</v>
      </c>
      <c r="I19" s="33">
        <f>'11'!I36</f>
        <v>4.1079166666666671</v>
      </c>
      <c r="J19" s="33">
        <f>'11'!J36</f>
        <v>0.83125000000000016</v>
      </c>
      <c r="K19" s="33">
        <f>'11'!K36</f>
        <v>237.85541666666668</v>
      </c>
      <c r="L19" s="33">
        <f>'11'!L36</f>
        <v>36.464999999999996</v>
      </c>
      <c r="M19" s="33">
        <f>'11'!M36</f>
        <v>46.698333333333331</v>
      </c>
      <c r="N19" s="33">
        <f>'11'!N36</f>
        <v>281.21666666666675</v>
      </c>
      <c r="O19" s="33">
        <f>'11'!O36</f>
        <v>0</v>
      </c>
      <c r="P19" s="33">
        <f>'11'!P36</f>
        <v>0.57874999999999999</v>
      </c>
      <c r="Q19" s="33">
        <f>'11'!Q36</f>
        <v>9.5812500000000025</v>
      </c>
      <c r="R19" s="46"/>
      <c r="S19" s="46"/>
      <c r="T19" s="46"/>
      <c r="U19" s="46"/>
    </row>
    <row r="20" spans="1:24" s="34" customFormat="1" x14ac:dyDescent="0.25">
      <c r="A20" s="36" t="str">
        <f>'12'!$B$2</f>
        <v>12/05/2025 01:00</v>
      </c>
      <c r="B20" s="33">
        <f>'12'!B36</f>
        <v>12.079166666666666</v>
      </c>
      <c r="C20" s="33">
        <f>'12'!C36</f>
        <v>35.52375</v>
      </c>
      <c r="D20" s="33">
        <f>'12'!D36</f>
        <v>49.809999999999995</v>
      </c>
      <c r="E20" s="33">
        <f>'12'!E36</f>
        <v>6.3641666666666667</v>
      </c>
      <c r="F20" s="33">
        <f>'12'!F36</f>
        <v>13.106249999999998</v>
      </c>
      <c r="G20" s="33">
        <f>'12'!G36</f>
        <v>33.648333333333341</v>
      </c>
      <c r="H20" s="33">
        <f>'12'!H36</f>
        <v>12.270416666666664</v>
      </c>
      <c r="I20" s="33">
        <f>'12'!I36</f>
        <v>4.0983333333333336</v>
      </c>
      <c r="J20" s="33">
        <f>'12'!J36</f>
        <v>0.99541666666666684</v>
      </c>
      <c r="K20" s="33">
        <f>'12'!K36</f>
        <v>241.59458333333336</v>
      </c>
      <c r="L20" s="33">
        <f>'12'!L36</f>
        <v>36.277499999999996</v>
      </c>
      <c r="M20" s="33">
        <f>'12'!M36</f>
        <v>42.122083333333329</v>
      </c>
      <c r="N20" s="33">
        <f>'12'!N36</f>
        <v>285.72083333333336</v>
      </c>
      <c r="O20" s="33">
        <f>'12'!O36</f>
        <v>0</v>
      </c>
      <c r="P20" s="33">
        <f>'12'!P36</f>
        <v>0.65583333333333338</v>
      </c>
      <c r="Q20" s="33">
        <f>'12'!Q36</f>
        <v>9.5662499999999984</v>
      </c>
      <c r="R20" s="46"/>
      <c r="S20" s="46"/>
      <c r="T20" s="46"/>
      <c r="U20" s="46"/>
    </row>
    <row r="21" spans="1:24" s="34" customFormat="1" x14ac:dyDescent="0.25">
      <c r="A21" s="36" t="str">
        <f>'13'!$B$2</f>
        <v>13/05/2025 01:00</v>
      </c>
      <c r="B21" s="33">
        <f>'13'!B36</f>
        <v>12.489166666666668</v>
      </c>
      <c r="C21" s="33">
        <f>'13'!C36</f>
        <v>40.664166666666659</v>
      </c>
      <c r="D21" s="33">
        <f>'13'!D36</f>
        <v>59.21791666666666</v>
      </c>
      <c r="E21" s="33">
        <f>'13'!E36</f>
        <v>14.362916666666665</v>
      </c>
      <c r="F21" s="33">
        <f>'13'!F36</f>
        <v>15.232916666666668</v>
      </c>
      <c r="G21" s="33">
        <f>'13'!G36</f>
        <v>53.39083333333334</v>
      </c>
      <c r="H21" s="33">
        <f>'13'!H36</f>
        <v>29.604166666666668</v>
      </c>
      <c r="I21" s="33">
        <f>'13'!I36</f>
        <v>4.0987499999999999</v>
      </c>
      <c r="J21" s="33">
        <f>'13'!J36</f>
        <v>0.86333333333333329</v>
      </c>
      <c r="K21" s="33">
        <f>'13'!K36</f>
        <v>244.18333333333331</v>
      </c>
      <c r="L21" s="33">
        <f>'13'!L36</f>
        <v>35.911250000000003</v>
      </c>
      <c r="M21" s="33">
        <f>'13'!M36</f>
        <v>41.84458333333334</v>
      </c>
      <c r="N21" s="33">
        <f>'13'!N36</f>
        <v>265.25833333333327</v>
      </c>
      <c r="O21" s="33">
        <f>'13'!O36</f>
        <v>0</v>
      </c>
      <c r="P21" s="33">
        <f>'13'!P36</f>
        <v>0.85000000000000009</v>
      </c>
      <c r="Q21" s="33">
        <f>'13'!Q36</f>
        <v>9.6025000000000009</v>
      </c>
      <c r="R21" s="46"/>
      <c r="S21" s="46"/>
      <c r="T21" s="46"/>
      <c r="U21" s="46"/>
    </row>
    <row r="22" spans="1:24" s="34" customFormat="1" x14ac:dyDescent="0.25">
      <c r="A22" s="36" t="str">
        <f>'14'!$B$2</f>
        <v>14/05/2025 01:00</v>
      </c>
      <c r="B22" s="30">
        <f>'14'!B36</f>
        <v>27.251249999999999</v>
      </c>
      <c r="C22" s="30">
        <f>'14'!C36</f>
        <v>54.683333333333337</v>
      </c>
      <c r="D22" s="30">
        <f>'14'!D36</f>
        <v>64.567499999999995</v>
      </c>
      <c r="E22" s="30">
        <f>'14'!E36</f>
        <v>8.7983333333333338</v>
      </c>
      <c r="F22" s="30">
        <f>'14'!F36</f>
        <v>14.744583333333333</v>
      </c>
      <c r="G22" s="30">
        <f>'14'!G36</f>
        <v>50.19083333333333</v>
      </c>
      <c r="H22" s="30">
        <f>'14'!H36</f>
        <v>18.71</v>
      </c>
      <c r="I22" s="30">
        <f>'14'!I36</f>
        <v>4.0908333333333324</v>
      </c>
      <c r="J22" s="30">
        <f>'14'!J36</f>
        <v>0.63083333333333325</v>
      </c>
      <c r="K22" s="30">
        <f>'14'!K36</f>
        <v>243.72708333333335</v>
      </c>
      <c r="L22" s="30">
        <f>'14'!L36</f>
        <v>35.517500000000005</v>
      </c>
      <c r="M22" s="30">
        <f>'14'!M36</f>
        <v>43.543749999999996</v>
      </c>
      <c r="N22" s="30">
        <f>'14'!N36</f>
        <v>253.42500000000004</v>
      </c>
      <c r="O22" s="30">
        <f>'14'!O36</f>
        <v>0</v>
      </c>
      <c r="P22" s="30">
        <f>'14'!P36</f>
        <v>1.2004166666666667</v>
      </c>
      <c r="Q22" s="30">
        <f>'14'!Q36</f>
        <v>9.5716666666666654</v>
      </c>
      <c r="R22" s="47"/>
      <c r="S22" s="47"/>
      <c r="T22" s="47"/>
      <c r="U22" s="47"/>
    </row>
    <row r="23" spans="1:24" s="34" customFormat="1" x14ac:dyDescent="0.25">
      <c r="A23" s="36" t="str">
        <f>'15'!$B$2</f>
        <v>15/05/2025 01:00</v>
      </c>
      <c r="B23" s="33">
        <f>'15'!B36</f>
        <v>6.5004166666666654</v>
      </c>
      <c r="C23" s="33">
        <f>'15'!C36</f>
        <v>25.227083333333336</v>
      </c>
      <c r="D23" s="33">
        <f>'15'!D36</f>
        <v>39.1175</v>
      </c>
      <c r="E23" s="33">
        <f>'15'!E36</f>
        <v>8.1245833333333337</v>
      </c>
      <c r="F23" s="33">
        <f>'15'!F36</f>
        <v>15.558333333333335</v>
      </c>
      <c r="G23" s="33">
        <f>'15'!G36</f>
        <v>45.507500000000014</v>
      </c>
      <c r="H23" s="33">
        <f>'15'!H36</f>
        <v>30.384166666666669</v>
      </c>
      <c r="I23" s="33">
        <f>'15'!I36</f>
        <v>4.0887500000000001</v>
      </c>
      <c r="J23" s="33">
        <f>'15'!J36</f>
        <v>1.1108333333333331</v>
      </c>
      <c r="K23" s="33">
        <f>'15'!K36</f>
        <v>224.10541666666663</v>
      </c>
      <c r="L23" s="33">
        <f>'15'!L36</f>
        <v>34.465833333333336</v>
      </c>
      <c r="M23" s="33">
        <f>'15'!M36</f>
        <v>52.500000000000007</v>
      </c>
      <c r="N23" s="33">
        <f>'15'!N36</f>
        <v>244.18333333333337</v>
      </c>
      <c r="O23" s="33">
        <f>'15'!O36</f>
        <v>0</v>
      </c>
      <c r="P23" s="30">
        <f>'15'!P36</f>
        <v>0.54499999999999993</v>
      </c>
      <c r="Q23" s="30">
        <f>'15'!Q36</f>
        <v>9.5029166666666676</v>
      </c>
      <c r="R23" s="47"/>
      <c r="S23" s="47"/>
      <c r="T23" s="47"/>
      <c r="U23" s="46"/>
    </row>
    <row r="24" spans="1:24" s="34" customFormat="1" x14ac:dyDescent="0.25">
      <c r="A24" s="36" t="str">
        <f>'16'!$B$2</f>
        <v>16/05/2025 01:00</v>
      </c>
      <c r="B24" s="33">
        <f>'16'!B36</f>
        <v>6.501249999999998</v>
      </c>
      <c r="C24" s="33">
        <f>'16'!C36</f>
        <v>22.209999999999997</v>
      </c>
      <c r="D24" s="33">
        <f>'16'!D36</f>
        <v>32.832916666666669</v>
      </c>
      <c r="E24" s="33">
        <f>'16'!E36</f>
        <v>7.4683333333333328</v>
      </c>
      <c r="F24" s="33">
        <f>'16'!F36</f>
        <v>15.667083333333332</v>
      </c>
      <c r="G24" s="33">
        <f>'16'!G36</f>
        <v>42.036666666666669</v>
      </c>
      <c r="H24" s="33">
        <f>'16'!H36</f>
        <v>18.728333333333328</v>
      </c>
      <c r="I24" s="33">
        <f>'16'!I36</f>
        <v>4.0966666666666667</v>
      </c>
      <c r="J24" s="33">
        <f>'16'!J36</f>
        <v>1.0491666666666666</v>
      </c>
      <c r="K24" s="33">
        <f>'16'!K36</f>
        <v>217.53291666666669</v>
      </c>
      <c r="L24" s="33">
        <f>'16'!L36</f>
        <v>33.441250000000004</v>
      </c>
      <c r="M24" s="33">
        <f>'16'!M36</f>
        <v>61.764583333333341</v>
      </c>
      <c r="N24" s="33">
        <f>'16'!N36</f>
        <v>233.36666666666676</v>
      </c>
      <c r="O24" s="33">
        <f>'16'!O36</f>
        <v>0</v>
      </c>
      <c r="P24" s="30">
        <f>'16'!P36</f>
        <v>0.55750000000000011</v>
      </c>
      <c r="Q24" s="30">
        <f>'16'!Q36</f>
        <v>9.3541666666666679</v>
      </c>
      <c r="R24" s="47"/>
      <c r="S24" s="47"/>
      <c r="T24" s="47"/>
      <c r="U24" s="46"/>
    </row>
    <row r="25" spans="1:24" s="34" customFormat="1" x14ac:dyDescent="0.25">
      <c r="A25" s="36" t="str">
        <f>'17'!$B$2</f>
        <v>17/05/2025 01:00</v>
      </c>
      <c r="B25" s="33">
        <f>'17'!B36</f>
        <v>7.190833333333333</v>
      </c>
      <c r="C25" s="33">
        <f>'17'!C36</f>
        <v>27.21541666666667</v>
      </c>
      <c r="D25" s="33">
        <f>'17'!D36</f>
        <v>41.235000000000007</v>
      </c>
      <c r="E25" s="33">
        <f>'17'!E36</f>
        <v>5.5962499999999986</v>
      </c>
      <c r="F25" s="33">
        <f>'17'!F36</f>
        <v>14.984583333333333</v>
      </c>
      <c r="G25" s="33">
        <f>'17'!G36</f>
        <v>32.210416666666667</v>
      </c>
      <c r="H25" s="33">
        <f>'17'!H36</f>
        <v>14.886666666666663</v>
      </c>
      <c r="I25" s="33">
        <f>'17'!I36</f>
        <v>4.0974999999999993</v>
      </c>
      <c r="J25" s="33">
        <f>'17'!J36</f>
        <v>0.86125000000000007</v>
      </c>
      <c r="K25" s="33">
        <f>'17'!K36</f>
        <v>218.90791666666669</v>
      </c>
      <c r="L25" s="33">
        <f>'17'!L36</f>
        <v>32.10125</v>
      </c>
      <c r="M25" s="33">
        <f>'17'!M36</f>
        <v>67.437916666666652</v>
      </c>
      <c r="N25" s="33">
        <f>'17'!N36</f>
        <v>195.77500000000001</v>
      </c>
      <c r="O25" s="33">
        <f>'17'!O36</f>
        <v>0</v>
      </c>
      <c r="P25" s="30">
        <f>'17'!P36</f>
        <v>0.57166666666666666</v>
      </c>
      <c r="Q25" s="30">
        <f>'17'!Q36</f>
        <v>9.31</v>
      </c>
      <c r="R25" s="47"/>
      <c r="S25" s="47"/>
      <c r="T25" s="47"/>
      <c r="U25" s="46"/>
    </row>
    <row r="26" spans="1:24" s="34" customFormat="1" x14ac:dyDescent="0.25">
      <c r="A26" s="36" t="str">
        <f>'18'!$B$2</f>
        <v>18/05/2025 01:00</v>
      </c>
      <c r="B26" s="33">
        <f>'18'!B36</f>
        <v>10.762916666666669</v>
      </c>
      <c r="C26" s="33">
        <f>'18'!C36</f>
        <v>33.659166666666664</v>
      </c>
      <c r="D26" s="33">
        <f>'18'!D36</f>
        <v>48.627499999999991</v>
      </c>
      <c r="E26" s="33">
        <f>'18'!E36</f>
        <v>5.7933333333333339</v>
      </c>
      <c r="F26" s="33">
        <f>'18'!F36</f>
        <v>17.393750000000001</v>
      </c>
      <c r="G26" s="33">
        <f>'18'!G36</f>
        <v>46.85958333333334</v>
      </c>
      <c r="H26" s="33">
        <f>'18'!H36</f>
        <v>17.980833333333333</v>
      </c>
      <c r="I26" s="33">
        <f>'18'!I36</f>
        <v>4.0983333333333336</v>
      </c>
      <c r="J26" s="33">
        <f>'18'!J36</f>
        <v>0.91166666666666663</v>
      </c>
      <c r="K26" s="33">
        <f>'18'!K36</f>
        <v>234.67041666666668</v>
      </c>
      <c r="L26" s="33">
        <f>'18'!L36</f>
        <v>31.512916666666669</v>
      </c>
      <c r="M26" s="33">
        <f>'18'!M36</f>
        <v>73.287916666666675</v>
      </c>
      <c r="N26" s="33">
        <f>'18'!N36</f>
        <v>159.15</v>
      </c>
      <c r="O26" s="33">
        <f>'18'!O36</f>
        <v>9.1666666666666674E-2</v>
      </c>
      <c r="P26" s="30">
        <f>'18'!P36</f>
        <v>0.72916666666666663</v>
      </c>
      <c r="Q26" s="30">
        <f>'18'!Q36</f>
        <v>9.3979166666666654</v>
      </c>
      <c r="R26" s="47"/>
      <c r="S26" s="47"/>
      <c r="T26" s="47"/>
      <c r="U26" s="46"/>
    </row>
    <row r="27" spans="1:24" s="34" customFormat="1" x14ac:dyDescent="0.25">
      <c r="A27" s="36" t="str">
        <f>'19'!$B$2</f>
        <v>19/05/2025 01:00</v>
      </c>
      <c r="B27" s="33">
        <f>'19'!B36</f>
        <v>9.3349999999999991</v>
      </c>
      <c r="C27" s="33">
        <f>'19'!C36</f>
        <v>29.223333333333329</v>
      </c>
      <c r="D27" s="33">
        <f>'19'!D36</f>
        <v>42.902083333333337</v>
      </c>
      <c r="E27" s="33">
        <f>'19'!E36</f>
        <v>6.1549999999999985</v>
      </c>
      <c r="F27" s="33">
        <f>'19'!F36</f>
        <v>18.227500000000003</v>
      </c>
      <c r="G27" s="33">
        <f>'19'!G36</f>
        <v>40.284545454545452</v>
      </c>
      <c r="H27" s="33">
        <f>'19'!H36</f>
        <v>14.293181818181818</v>
      </c>
      <c r="I27" s="33">
        <f>'19'!I36</f>
        <v>4.1091666666666669</v>
      </c>
      <c r="J27" s="33">
        <f>'19'!J36</f>
        <v>1.0370833333333336</v>
      </c>
      <c r="K27" s="33">
        <f>'19'!K36</f>
        <v>174.49249999999998</v>
      </c>
      <c r="L27" s="33">
        <f>'19'!L36</f>
        <v>33.749999999999993</v>
      </c>
      <c r="M27" s="33">
        <f>'19'!M36</f>
        <v>56.689583333333331</v>
      </c>
      <c r="N27" s="33">
        <f>'19'!N36</f>
        <v>283.05</v>
      </c>
      <c r="O27" s="33">
        <f>'19'!O36</f>
        <v>0</v>
      </c>
      <c r="P27" s="30">
        <f>'19'!P36</f>
        <v>0.52708333333333335</v>
      </c>
      <c r="Q27" s="30">
        <f>'19'!Q36</f>
        <v>9.3699999999999992</v>
      </c>
      <c r="R27" s="47"/>
      <c r="S27" s="47"/>
      <c r="T27" s="47"/>
      <c r="U27" s="46"/>
    </row>
    <row r="28" spans="1:24" s="34" customFormat="1" x14ac:dyDescent="0.25">
      <c r="A28" s="36" t="str">
        <f>'20'!$B$2</f>
        <v>20/05/2025 01:00</v>
      </c>
      <c r="B28" s="33">
        <f>'20'!B36</f>
        <v>11.027916666666668</v>
      </c>
      <c r="C28" s="33">
        <f>'20'!C36</f>
        <v>30.902499999999993</v>
      </c>
      <c r="D28" s="33">
        <f>'20'!D36</f>
        <v>42.81583333333333</v>
      </c>
      <c r="E28" s="33">
        <f>'20'!E36</f>
        <v>9.3058333333333323</v>
      </c>
      <c r="F28" s="33">
        <f>'20'!F36</f>
        <v>16.604583333333334</v>
      </c>
      <c r="G28" s="33">
        <f>'20'!G36</f>
        <v>41.876249999999992</v>
      </c>
      <c r="H28" s="33">
        <f>'20'!H36</f>
        <v>25.092083333333335</v>
      </c>
      <c r="I28" s="33">
        <f>'20'!I36</f>
        <v>4.1025</v>
      </c>
      <c r="J28" s="33">
        <f>'20'!J36</f>
        <v>1.0083333333333335</v>
      </c>
      <c r="K28" s="33">
        <f>'20'!K36</f>
        <v>202.09083333333331</v>
      </c>
      <c r="L28" s="33">
        <f>'20'!L36</f>
        <v>34.711666666666666</v>
      </c>
      <c r="M28" s="33">
        <f>'20'!M36</f>
        <v>54.03458333333333</v>
      </c>
      <c r="N28" s="33">
        <f>'20'!N36</f>
        <v>272.69166666666666</v>
      </c>
      <c r="O28" s="33">
        <f>'20'!O36</f>
        <v>0</v>
      </c>
      <c r="P28" s="30">
        <f>'20'!P36</f>
        <v>0.59500000000000008</v>
      </c>
      <c r="Q28" s="30">
        <f>'20'!Q36</f>
        <v>9.3595833333333314</v>
      </c>
      <c r="R28" s="47"/>
      <c r="S28" s="47"/>
      <c r="T28" s="47"/>
      <c r="U28" s="46"/>
    </row>
    <row r="29" spans="1:24" s="34" customFormat="1" x14ac:dyDescent="0.25">
      <c r="A29" s="36" t="str">
        <f>'21'!$B$2</f>
        <v>21/05/2025 01:00</v>
      </c>
      <c r="B29" s="33">
        <f>'21'!B36</f>
        <v>7.4854166666666657</v>
      </c>
      <c r="C29" s="33">
        <f>'21'!C36</f>
        <v>25.303750000000004</v>
      </c>
      <c r="D29" s="33">
        <f>'21'!D36</f>
        <v>37.881250000000001</v>
      </c>
      <c r="E29" s="33">
        <f>'21'!E36</f>
        <v>8.8275000000000006</v>
      </c>
      <c r="F29" s="33">
        <f>'21'!F36</f>
        <v>16.233750000000001</v>
      </c>
      <c r="G29" s="33">
        <f>'21'!G36</f>
        <v>42.372083333333343</v>
      </c>
      <c r="H29" s="33">
        <f>'21'!H36</f>
        <v>240.02458333333337</v>
      </c>
      <c r="I29" s="33">
        <f>'21'!I36</f>
        <v>4.1149999999999993</v>
      </c>
      <c r="J29" s="33">
        <f>'21'!J36</f>
        <v>1.0754166666666667</v>
      </c>
      <c r="K29" s="33">
        <f>'21'!K36</f>
        <v>183.26333333333332</v>
      </c>
      <c r="L29" s="33">
        <f>'21'!L36</f>
        <v>34.192500000000003</v>
      </c>
      <c r="M29" s="33">
        <f>'21'!M36</f>
        <v>62.631250000000009</v>
      </c>
      <c r="N29" s="33">
        <f>'21'!N36</f>
        <v>294.0750000000001</v>
      </c>
      <c r="O29" s="33">
        <f>'21'!O36</f>
        <v>0</v>
      </c>
      <c r="P29" s="30">
        <f>'21'!P36</f>
        <v>0.48541666666666666</v>
      </c>
      <c r="Q29" s="30">
        <f>'21'!Q36</f>
        <v>9.3316666666666688</v>
      </c>
      <c r="R29" s="47"/>
      <c r="S29" s="47"/>
      <c r="T29" s="47"/>
      <c r="U29" s="46"/>
    </row>
    <row r="30" spans="1:24" s="34" customFormat="1" x14ac:dyDescent="0.25">
      <c r="A30" s="36" t="str">
        <f>'22'!$B$2</f>
        <v>22/05/2025 01:00</v>
      </c>
      <c r="B30" s="33">
        <f>'22'!B36</f>
        <v>10.638333333333334</v>
      </c>
      <c r="C30" s="33">
        <f>'22'!C36</f>
        <v>27.104166666666661</v>
      </c>
      <c r="D30" s="33">
        <f>'22'!D36</f>
        <v>35.860833333333325</v>
      </c>
      <c r="E30" s="33">
        <f>'22'!E36</f>
        <v>5.9304166666666669</v>
      </c>
      <c r="F30" s="33">
        <f>'22'!F36</f>
        <v>11.032499999999999</v>
      </c>
      <c r="G30" s="33">
        <f>'22'!G36</f>
        <v>30.451666666666672</v>
      </c>
      <c r="H30" s="33">
        <f>'22'!H36</f>
        <v>12.121249999999998</v>
      </c>
      <c r="I30" s="33">
        <f>'22'!I36</f>
        <v>4.0874999999999995</v>
      </c>
      <c r="J30" s="33">
        <f>'22'!J36</f>
        <v>0.90166666666666673</v>
      </c>
      <c r="K30" s="33">
        <f>'22'!K36</f>
        <v>183.95666666666668</v>
      </c>
      <c r="L30" s="33">
        <f>'22'!L36</f>
        <v>26.807500000000001</v>
      </c>
      <c r="M30" s="33">
        <f>'22'!M36</f>
        <v>64.927500000000009</v>
      </c>
      <c r="N30" s="33">
        <f>'22'!N36</f>
        <v>39.016666666666673</v>
      </c>
      <c r="O30" s="8" t="s">
        <v>8</v>
      </c>
      <c r="P30" s="30">
        <f>'22'!P36</f>
        <v>0.51291666666666658</v>
      </c>
      <c r="Q30" s="30">
        <f>'22'!Q36</f>
        <v>9.3716666666666661</v>
      </c>
      <c r="R30" s="47"/>
      <c r="S30" s="46"/>
      <c r="T30" s="46"/>
      <c r="U30" s="46"/>
    </row>
    <row r="31" spans="1:24" s="34" customFormat="1" x14ac:dyDescent="0.25">
      <c r="A31" s="36" t="str">
        <f>'23'!$B$2</f>
        <v>23/05/2025 01:00</v>
      </c>
      <c r="B31" s="33">
        <f>'23'!B36</f>
        <v>8.9629166666666684</v>
      </c>
      <c r="C31" s="33">
        <f>'23'!C36</f>
        <v>19.497499999999999</v>
      </c>
      <c r="D31" s="33">
        <f>'23'!D36</f>
        <v>23.887499999999999</v>
      </c>
      <c r="E31" s="33">
        <f>'23'!E36</f>
        <v>5.0212500000000011</v>
      </c>
      <c r="F31" s="33">
        <f>'23'!F36</f>
        <v>8.7758333333333312</v>
      </c>
      <c r="G31" s="33">
        <f>'23'!G36</f>
        <v>22.898333333333337</v>
      </c>
      <c r="H31" s="33">
        <f>'23'!H36</f>
        <v>151.79791666666668</v>
      </c>
      <c r="I31" s="33">
        <f>'23'!I36</f>
        <v>4.1000000000000005</v>
      </c>
      <c r="J31" s="63" t="s">
        <v>8</v>
      </c>
      <c r="K31" s="63" t="s">
        <v>8</v>
      </c>
      <c r="L31" s="63" t="s">
        <v>8</v>
      </c>
      <c r="M31" s="63" t="s">
        <v>8</v>
      </c>
      <c r="N31" s="63" t="s">
        <v>8</v>
      </c>
      <c r="O31" s="63" t="s">
        <v>8</v>
      </c>
      <c r="P31" s="33">
        <f>'23'!P36</f>
        <v>0.375</v>
      </c>
      <c r="Q31" s="33">
        <f>'23'!Q36</f>
        <v>9.3129166666666645</v>
      </c>
      <c r="R31" s="46"/>
      <c r="S31" s="46"/>
      <c r="T31" s="46"/>
      <c r="U31" s="46"/>
    </row>
    <row r="32" spans="1:24" s="34" customFormat="1" x14ac:dyDescent="0.25">
      <c r="A32" s="36" t="str">
        <f>'24'!$B$2</f>
        <v>24/05/2025 01:00</v>
      </c>
      <c r="B32" s="33">
        <f>'24'!B36</f>
        <v>17.271249999999998</v>
      </c>
      <c r="C32" s="33">
        <f>'24'!C36</f>
        <v>30.733333333333334</v>
      </c>
      <c r="D32" s="33">
        <f>'24'!D36</f>
        <v>32.982500000000009</v>
      </c>
      <c r="E32" s="33">
        <f>'24'!E36</f>
        <v>4.6512500000000001</v>
      </c>
      <c r="F32" s="33">
        <f>'24'!F36</f>
        <v>6.6299999999999981</v>
      </c>
      <c r="G32" s="33">
        <f>'24'!G36</f>
        <v>22.165416666666669</v>
      </c>
      <c r="H32" s="33">
        <f>'24'!H36</f>
        <v>18.454166666666666</v>
      </c>
      <c r="I32" s="33">
        <f>'24'!I36</f>
        <v>4.0983333333333336</v>
      </c>
      <c r="J32" s="63" t="s">
        <v>8</v>
      </c>
      <c r="K32" s="63" t="s">
        <v>8</v>
      </c>
      <c r="L32" s="63" t="s">
        <v>8</v>
      </c>
      <c r="M32" s="63" t="s">
        <v>8</v>
      </c>
      <c r="N32" s="63" t="s">
        <v>8</v>
      </c>
      <c r="O32" s="63" t="s">
        <v>8</v>
      </c>
      <c r="P32" s="33">
        <f>'24'!P36</f>
        <v>0.66</v>
      </c>
      <c r="Q32" s="33">
        <f>'24'!Q36</f>
        <v>9.4433333333333334</v>
      </c>
      <c r="R32" s="46"/>
      <c r="S32" s="46"/>
      <c r="T32" s="46"/>
      <c r="U32" s="46"/>
    </row>
    <row r="33" spans="1:21" s="34" customFormat="1" x14ac:dyDescent="0.25">
      <c r="A33" s="36" t="str">
        <f>'25'!$B$2</f>
        <v>25/05/2025 01:00</v>
      </c>
      <c r="B33" s="33">
        <f>'25'!B36</f>
        <v>14.939583333333331</v>
      </c>
      <c r="C33" s="33">
        <f>'25'!C36</f>
        <v>25.65666666666667</v>
      </c>
      <c r="D33" s="33">
        <f>'25'!D36</f>
        <v>26.479166666666675</v>
      </c>
      <c r="E33" s="33">
        <f>'25'!E36</f>
        <v>5.0129166666666656</v>
      </c>
      <c r="F33" s="33">
        <f>'25'!F36</f>
        <v>8.4333333333333353</v>
      </c>
      <c r="G33" s="33">
        <f>'25'!G36</f>
        <v>32.410000000000004</v>
      </c>
      <c r="H33" s="33">
        <f>'25'!H36</f>
        <v>12.120833333333335</v>
      </c>
      <c r="I33" s="33">
        <f>'25'!I36</f>
        <v>4.0891666666666664</v>
      </c>
      <c r="J33" s="63" t="s">
        <v>8</v>
      </c>
      <c r="K33" s="63" t="s">
        <v>8</v>
      </c>
      <c r="L33" s="63" t="s">
        <v>8</v>
      </c>
      <c r="M33" s="63" t="s">
        <v>8</v>
      </c>
      <c r="N33" s="63" t="s">
        <v>8</v>
      </c>
      <c r="O33" s="63" t="s">
        <v>8</v>
      </c>
      <c r="P33" s="33">
        <f>'25'!P36</f>
        <v>0.63166666666666671</v>
      </c>
      <c r="Q33" s="33">
        <f>'25'!Q36</f>
        <v>9.4804166666666685</v>
      </c>
      <c r="R33" s="46"/>
      <c r="S33" s="46"/>
      <c r="T33" s="46"/>
      <c r="U33" s="46"/>
    </row>
    <row r="34" spans="1:21" s="34" customFormat="1" x14ac:dyDescent="0.25">
      <c r="A34" s="36" t="str">
        <f>'26'!$B$2</f>
        <v>26/05/2025 01:00</v>
      </c>
      <c r="B34" s="33">
        <f>'26'!B36</f>
        <v>16.886666666666667</v>
      </c>
      <c r="C34" s="33">
        <f>'26'!C36</f>
        <v>25.666666666666671</v>
      </c>
      <c r="D34" s="33">
        <f>'26'!D36</f>
        <v>23.803750000000004</v>
      </c>
      <c r="E34" s="33">
        <f>'26'!E36</f>
        <v>4.13</v>
      </c>
      <c r="F34" s="33">
        <f>'26'!F36</f>
        <v>4.810833333333334</v>
      </c>
      <c r="G34" s="33">
        <f>'26'!G36</f>
        <v>34.714166666666657</v>
      </c>
      <c r="H34" s="33">
        <f>'26'!H36</f>
        <v>10.195833333333331</v>
      </c>
      <c r="I34" s="33">
        <f>'26'!I36</f>
        <v>4.0837500000000011</v>
      </c>
      <c r="J34" s="64" t="s">
        <v>15</v>
      </c>
      <c r="K34" s="64" t="s">
        <v>15</v>
      </c>
      <c r="L34" s="64" t="s">
        <v>15</v>
      </c>
      <c r="M34" s="64" t="s">
        <v>15</v>
      </c>
      <c r="N34" s="64" t="s">
        <v>15</v>
      </c>
      <c r="O34" s="64" t="s">
        <v>15</v>
      </c>
      <c r="P34" s="33">
        <f>'26'!P36</f>
        <v>0.58750000000000002</v>
      </c>
      <c r="Q34" s="33">
        <f>'26'!Q36</f>
        <v>9.5525000000000002</v>
      </c>
      <c r="R34" s="46"/>
      <c r="S34" s="46"/>
      <c r="T34" s="46"/>
      <c r="U34" s="46"/>
    </row>
    <row r="35" spans="1:21" s="34" customFormat="1" x14ac:dyDescent="0.25">
      <c r="A35" s="36" t="str">
        <f>'27'!$B$2</f>
        <v>27/05/2025 01:00</v>
      </c>
      <c r="B35" s="33">
        <f>'27'!B36</f>
        <v>13.254583333333336</v>
      </c>
      <c r="C35" s="33">
        <f>'27'!C36</f>
        <v>24.760416666666668</v>
      </c>
      <c r="D35" s="33">
        <f>'27'!D36</f>
        <v>27.50291666666666</v>
      </c>
      <c r="E35" s="33">
        <f>'27'!E36</f>
        <v>4.3162499999999993</v>
      </c>
      <c r="F35" s="33">
        <f>'27'!F36</f>
        <v>8.8550000000000004</v>
      </c>
      <c r="G35" s="33">
        <f>'27'!G36</f>
        <v>29.04333333333334</v>
      </c>
      <c r="H35" s="33">
        <f>'27'!H36</f>
        <v>11.102083333333333</v>
      </c>
      <c r="I35" s="33">
        <f>'27'!I36</f>
        <v>4.1170833333333325</v>
      </c>
      <c r="J35" s="33">
        <f>'27'!J36</f>
        <v>0.58461538461538454</v>
      </c>
      <c r="K35" s="33">
        <f>'27'!K36</f>
        <v>288.86384615384617</v>
      </c>
      <c r="L35" s="33">
        <f>'27'!L36</f>
        <v>28.157692307692308</v>
      </c>
      <c r="M35" s="33">
        <f>'27'!M36</f>
        <v>91.676923076923075</v>
      </c>
      <c r="N35" s="33">
        <f>'27'!N36</f>
        <v>214.61538461538461</v>
      </c>
      <c r="O35" s="33">
        <f>'27'!O36</f>
        <v>1.2000000000000002</v>
      </c>
      <c r="P35" s="30">
        <f>'27'!P36</f>
        <v>0.4512500000000001</v>
      </c>
      <c r="Q35" s="33">
        <f>'27'!Q36</f>
        <v>9.3854166666666643</v>
      </c>
      <c r="R35" s="46"/>
      <c r="S35" s="46"/>
      <c r="T35" s="46"/>
      <c r="U35" s="46"/>
    </row>
    <row r="36" spans="1:21" s="34" customFormat="1" x14ac:dyDescent="0.25">
      <c r="A36" s="36" t="str">
        <f>'28'!$B$2</f>
        <v>28/05/2025 01:00</v>
      </c>
      <c r="B36" s="33">
        <f>'28'!B36</f>
        <v>9.3895833333333343</v>
      </c>
      <c r="C36" s="33">
        <f>'28'!C36</f>
        <v>23.954166666666666</v>
      </c>
      <c r="D36" s="33">
        <f>'28'!D36</f>
        <v>32.275833333333338</v>
      </c>
      <c r="E36" s="33">
        <f>'28'!E36</f>
        <v>7.1649999999999991</v>
      </c>
      <c r="F36" s="33">
        <f>'28'!F36</f>
        <v>13.996666666666664</v>
      </c>
      <c r="G36" s="33">
        <f>'28'!G36</f>
        <v>48.227916666666665</v>
      </c>
      <c r="H36" s="33">
        <f>'28'!H36</f>
        <v>24.257500000000004</v>
      </c>
      <c r="I36" s="33">
        <f>'28'!I36</f>
        <v>4.1066666666666665</v>
      </c>
      <c r="J36" s="33">
        <f>'28'!J36</f>
        <v>0.47750000000000004</v>
      </c>
      <c r="K36" s="33">
        <f>'28'!K36</f>
        <v>295.53125</v>
      </c>
      <c r="L36" s="33">
        <f>'28'!L36</f>
        <v>28.471666666666668</v>
      </c>
      <c r="M36" s="33">
        <f>'28'!M36</f>
        <v>86.639583333333334</v>
      </c>
      <c r="N36" s="33">
        <f>'28'!N36</f>
        <v>241.05000000000004</v>
      </c>
      <c r="O36" s="33">
        <f>'28'!O36</f>
        <v>8.3333333333333332E-3</v>
      </c>
      <c r="P36" s="30">
        <f>'28'!P36</f>
        <v>0.63541666666666663</v>
      </c>
      <c r="Q36" s="33">
        <f>'28'!Q36</f>
        <v>9.2999999999999989</v>
      </c>
      <c r="R36" s="46"/>
      <c r="S36" s="46"/>
      <c r="T36" s="46"/>
      <c r="U36" s="46"/>
    </row>
    <row r="37" spans="1:21" s="34" customFormat="1" x14ac:dyDescent="0.25">
      <c r="A37" s="36" t="str">
        <f>'29'!$B$2</f>
        <v>29/05/2025 01:00</v>
      </c>
      <c r="B37" s="33">
        <f>'29'!B36</f>
        <v>6.3074999999999983</v>
      </c>
      <c r="C37" s="33">
        <f>'29'!C36</f>
        <v>18.366250000000001</v>
      </c>
      <c r="D37" s="33">
        <f>'29'!D36</f>
        <v>26.072500000000002</v>
      </c>
      <c r="E37" s="33">
        <f>'29'!E36</f>
        <v>5.8104166666666677</v>
      </c>
      <c r="F37" s="33">
        <f>'29'!F36</f>
        <v>10.325833333333334</v>
      </c>
      <c r="G37" s="33">
        <f>'29'!G36</f>
        <v>30.83583333333333</v>
      </c>
      <c r="H37" s="33">
        <f>'29'!H36</f>
        <v>87.825833333333307</v>
      </c>
      <c r="I37" s="33">
        <f>'29'!I36</f>
        <v>4.0891666666666682</v>
      </c>
      <c r="J37" s="33">
        <f>'29'!J36</f>
        <v>0.48708333333333331</v>
      </c>
      <c r="K37" s="33">
        <f>'29'!K36</f>
        <v>285.08333333333331</v>
      </c>
      <c r="L37" s="33">
        <f>'29'!L36</f>
        <v>28.297916666666666</v>
      </c>
      <c r="M37" s="33">
        <f>'29'!M36</f>
        <v>87.864166666666662</v>
      </c>
      <c r="N37" s="33">
        <f>'29'!N36</f>
        <v>250.05833333333331</v>
      </c>
      <c r="O37" s="33">
        <f>'29'!O36</f>
        <v>0.125</v>
      </c>
      <c r="P37" s="33">
        <f>'29'!P36</f>
        <v>0.55708333333333349</v>
      </c>
      <c r="Q37" s="33">
        <f>'29'!Q36</f>
        <v>9.177500000000002</v>
      </c>
      <c r="R37" s="46"/>
      <c r="S37" s="46"/>
      <c r="T37" s="46"/>
      <c r="U37" s="46"/>
    </row>
    <row r="38" spans="1:21" s="34" customFormat="1" x14ac:dyDescent="0.25">
      <c r="A38" s="36" t="str">
        <f>'30'!$B$2</f>
        <v>30/05/2025 01:00</v>
      </c>
      <c r="B38" s="33">
        <f>'30'!B36</f>
        <v>7.5412500000000016</v>
      </c>
      <c r="C38" s="33">
        <f>'30'!C36</f>
        <v>21.376666666666662</v>
      </c>
      <c r="D38" s="33">
        <f>'30'!D36</f>
        <v>29.81625</v>
      </c>
      <c r="E38" s="33">
        <f>'30'!E36</f>
        <v>5.1049999999999995</v>
      </c>
      <c r="F38" s="33">
        <f>'30'!F36</f>
        <v>9.6583333333333332</v>
      </c>
      <c r="G38" s="33">
        <f>'30'!G36</f>
        <v>37.051666666666662</v>
      </c>
      <c r="H38" s="33">
        <f>'30'!H36</f>
        <v>22.999583333333323</v>
      </c>
      <c r="I38" s="33">
        <f>'30'!I36</f>
        <v>4.112916666666667</v>
      </c>
      <c r="J38" s="33">
        <f>'30'!J36</f>
        <v>0.43333333333333335</v>
      </c>
      <c r="K38" s="33">
        <f>'30'!K36</f>
        <v>262.86333333333329</v>
      </c>
      <c r="L38" s="33">
        <f>'30'!L36</f>
        <v>28.904166666666672</v>
      </c>
      <c r="M38" s="33">
        <f>'30'!M36</f>
        <v>80.849583333333328</v>
      </c>
      <c r="N38" s="33">
        <f>'30'!N36</f>
        <v>255.24999999999997</v>
      </c>
      <c r="O38" s="33">
        <f>'30'!O36</f>
        <v>0</v>
      </c>
      <c r="P38" s="33">
        <f>'30'!P36</f>
        <v>0.56583333333333341</v>
      </c>
      <c r="Q38" s="33">
        <f>'30'!Q36</f>
        <v>9.24</v>
      </c>
      <c r="R38" s="46"/>
      <c r="S38" s="46"/>
      <c r="T38" s="46"/>
      <c r="U38" s="46"/>
    </row>
    <row r="39" spans="1:21" x14ac:dyDescent="0.25"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0"/>
      <c r="S39" s="20"/>
      <c r="T39" s="20"/>
      <c r="U39" s="48"/>
    </row>
    <row r="40" spans="1:21" s="21" customFormat="1" x14ac:dyDescent="0.25">
      <c r="A40" s="14" t="s">
        <v>30</v>
      </c>
      <c r="B40" s="15">
        <f t="shared" ref="B40:Q40" si="0">MIN(B9:B38)</f>
        <v>6.3074999999999983</v>
      </c>
      <c r="C40" s="15">
        <f t="shared" si="0"/>
        <v>18.366250000000001</v>
      </c>
      <c r="D40" s="15">
        <f t="shared" si="0"/>
        <v>23.803750000000004</v>
      </c>
      <c r="E40" s="15">
        <f t="shared" si="0"/>
        <v>2.8566666666666674</v>
      </c>
      <c r="F40" s="15">
        <f t="shared" si="0"/>
        <v>4.810833333333334</v>
      </c>
      <c r="G40" s="15">
        <f t="shared" si="0"/>
        <v>22.165416666666669</v>
      </c>
      <c r="H40" s="15">
        <f t="shared" si="0"/>
        <v>8.230952380952381</v>
      </c>
      <c r="I40" s="15">
        <f t="shared" si="0"/>
        <v>4.0837500000000011</v>
      </c>
      <c r="J40" s="15">
        <f t="shared" si="0"/>
        <v>0.43333333333333335</v>
      </c>
      <c r="K40" s="15">
        <f t="shared" si="0"/>
        <v>174.49249999999998</v>
      </c>
      <c r="L40" s="15">
        <f t="shared" si="0"/>
        <v>26.807500000000001</v>
      </c>
      <c r="M40" s="15">
        <f t="shared" si="0"/>
        <v>41.84458333333334</v>
      </c>
      <c r="N40" s="15">
        <f t="shared" si="0"/>
        <v>39.016666666666673</v>
      </c>
      <c r="O40" s="15">
        <f t="shared" si="0"/>
        <v>0</v>
      </c>
      <c r="P40" s="15">
        <f t="shared" si="0"/>
        <v>0.30958333333333338</v>
      </c>
      <c r="Q40" s="15">
        <f t="shared" si="0"/>
        <v>9.177500000000002</v>
      </c>
      <c r="R40" s="28"/>
      <c r="S40" s="28"/>
      <c r="T40" s="28"/>
      <c r="U40" s="28"/>
    </row>
    <row r="41" spans="1:21" s="21" customFormat="1" x14ac:dyDescent="0.25">
      <c r="A41" s="14" t="s">
        <v>31</v>
      </c>
      <c r="B41" s="15">
        <f t="shared" ref="B41:Q41" si="1">MAX(B9:B38)</f>
        <v>46.181666666666672</v>
      </c>
      <c r="C41" s="15">
        <f t="shared" si="1"/>
        <v>65.882500000000007</v>
      </c>
      <c r="D41" s="15">
        <f t="shared" si="1"/>
        <v>64.567499999999995</v>
      </c>
      <c r="E41" s="15">
        <f t="shared" si="1"/>
        <v>14.362916666666665</v>
      </c>
      <c r="F41" s="15">
        <f t="shared" si="1"/>
        <v>18.227500000000003</v>
      </c>
      <c r="G41" s="15">
        <f t="shared" si="1"/>
        <v>53.39083333333334</v>
      </c>
      <c r="H41" s="15">
        <f t="shared" si="1"/>
        <v>240.02458333333337</v>
      </c>
      <c r="I41" s="15">
        <f t="shared" si="1"/>
        <v>4.1191666666666675</v>
      </c>
      <c r="J41" s="15">
        <f t="shared" si="1"/>
        <v>2.696190476190476</v>
      </c>
      <c r="K41" s="15">
        <f t="shared" si="1"/>
        <v>295.53125</v>
      </c>
      <c r="L41" s="15">
        <f t="shared" si="1"/>
        <v>37.006666666666668</v>
      </c>
      <c r="M41" s="15">
        <f t="shared" si="1"/>
        <v>91.676923076923075</v>
      </c>
      <c r="N41" s="15">
        <f t="shared" si="1"/>
        <v>406.88750000000005</v>
      </c>
      <c r="O41" s="15">
        <f t="shared" si="1"/>
        <v>1.2000000000000002</v>
      </c>
      <c r="P41" s="15">
        <f t="shared" si="1"/>
        <v>1.2004166666666667</v>
      </c>
      <c r="Q41" s="15">
        <f t="shared" si="1"/>
        <v>9.6254166666666681</v>
      </c>
      <c r="R41" s="28"/>
      <c r="S41" s="28"/>
      <c r="T41" s="28"/>
      <c r="U41" s="28"/>
    </row>
    <row r="42" spans="1:21" s="21" customFormat="1" x14ac:dyDescent="0.25">
      <c r="A42" s="14" t="s">
        <v>32</v>
      </c>
      <c r="B42" s="15">
        <f t="shared" ref="B42:Q42" si="2">AVERAGE(B9:B38)</f>
        <v>14.081341666666667</v>
      </c>
      <c r="C42" s="15">
        <f t="shared" si="2"/>
        <v>33.125324999999997</v>
      </c>
      <c r="D42" s="15">
        <f t="shared" si="2"/>
        <v>41.896094444444444</v>
      </c>
      <c r="E42" s="15">
        <f t="shared" si="2"/>
        <v>6.4648780797101439</v>
      </c>
      <c r="F42" s="15">
        <f t="shared" si="2"/>
        <v>12.545619047619049</v>
      </c>
      <c r="G42" s="15">
        <f t="shared" si="2"/>
        <v>37.488788333647022</v>
      </c>
      <c r="H42" s="15">
        <f t="shared" si="2"/>
        <v>30.210328024029117</v>
      </c>
      <c r="I42" s="15">
        <f t="shared" si="2"/>
        <v>4.1000575396825401</v>
      </c>
      <c r="J42" s="15">
        <f t="shared" si="2"/>
        <v>0.93214637926176414</v>
      </c>
      <c r="K42" s="15">
        <f t="shared" si="2"/>
        <v>233.74927796562412</v>
      </c>
      <c r="L42" s="15">
        <f t="shared" si="2"/>
        <v>32.904343477035788</v>
      </c>
      <c r="M42" s="15">
        <f t="shared" si="2"/>
        <v>60.399149056072133</v>
      </c>
      <c r="N42" s="15">
        <f t="shared" si="2"/>
        <v>276.93832065370532</v>
      </c>
      <c r="O42" s="15">
        <f t="shared" si="2"/>
        <v>7.7857142857142861E-2</v>
      </c>
      <c r="P42" s="15">
        <f t="shared" si="2"/>
        <v>0.60511309523809542</v>
      </c>
      <c r="Q42" s="15">
        <f t="shared" si="2"/>
        <v>9.4683805555555569</v>
      </c>
      <c r="R42" s="28"/>
      <c r="S42" s="28"/>
      <c r="T42" s="28"/>
      <c r="U42" s="28"/>
    </row>
    <row r="43" spans="1:21" s="21" customFormat="1" x14ac:dyDescent="0.25">
      <c r="A43" s="14" t="s">
        <v>38</v>
      </c>
      <c r="B43" s="15">
        <f t="shared" ref="B43:Q43" si="3">STDEV(B9:B38)</f>
        <v>8.7000229809432987</v>
      </c>
      <c r="C43" s="15">
        <f t="shared" si="3"/>
        <v>11.398981709628778</v>
      </c>
      <c r="D43" s="15">
        <f t="shared" si="3"/>
        <v>11.787325830324543</v>
      </c>
      <c r="E43" s="15">
        <f t="shared" si="3"/>
        <v>2.4844479100690777</v>
      </c>
      <c r="F43" s="15">
        <f t="shared" si="3"/>
        <v>3.4753963805591583</v>
      </c>
      <c r="G43" s="15">
        <f t="shared" si="3"/>
        <v>8.1763383989143374</v>
      </c>
      <c r="H43" s="15">
        <f t="shared" si="3"/>
        <v>48.665690252477162</v>
      </c>
      <c r="I43" s="15">
        <f t="shared" si="3"/>
        <v>1.0569532609374368E-2</v>
      </c>
      <c r="J43" s="15">
        <f t="shared" si="3"/>
        <v>0.41856697832109596</v>
      </c>
      <c r="K43" s="15">
        <f t="shared" si="3"/>
        <v>30.361841309337784</v>
      </c>
      <c r="L43" s="15">
        <f t="shared" si="3"/>
        <v>2.8356296347993304</v>
      </c>
      <c r="M43" s="15">
        <f t="shared" si="3"/>
        <v>15.030123108283501</v>
      </c>
      <c r="N43" s="15">
        <f t="shared" si="3"/>
        <v>76.678830181609015</v>
      </c>
      <c r="O43" s="15">
        <f t="shared" si="3"/>
        <v>0.25146373273561801</v>
      </c>
      <c r="P43" s="15">
        <f t="shared" si="3"/>
        <v>0.17385616258978864</v>
      </c>
      <c r="Q43" s="15">
        <f t="shared" si="3"/>
        <v>0.1319363230309599</v>
      </c>
      <c r="R43" s="28"/>
      <c r="S43" s="28"/>
      <c r="T43" s="28"/>
      <c r="U43" s="28"/>
    </row>
    <row r="44" spans="1:21" s="21" customFormat="1" x14ac:dyDescent="0.25">
      <c r="A44" s="14" t="s">
        <v>33</v>
      </c>
      <c r="B44" s="12">
        <f t="shared" ref="B44:Q44" si="4">COUNT(B9:B38)</f>
        <v>30</v>
      </c>
      <c r="C44" s="12">
        <f t="shared" si="4"/>
        <v>30</v>
      </c>
      <c r="D44" s="12">
        <f t="shared" si="4"/>
        <v>30</v>
      </c>
      <c r="E44" s="12">
        <f t="shared" si="4"/>
        <v>30</v>
      </c>
      <c r="F44" s="12">
        <f t="shared" si="4"/>
        <v>30</v>
      </c>
      <c r="G44" s="12">
        <f t="shared" si="4"/>
        <v>30</v>
      </c>
      <c r="H44" s="12">
        <f t="shared" si="4"/>
        <v>30</v>
      </c>
      <c r="I44" s="12">
        <f t="shared" si="4"/>
        <v>30</v>
      </c>
      <c r="J44" s="15">
        <f>COUNT(J9:J38)+3</f>
        <v>29</v>
      </c>
      <c r="K44" s="15">
        <f t="shared" ref="K44:N44" si="5">COUNT(K9:K38)+3</f>
        <v>29</v>
      </c>
      <c r="L44" s="15">
        <f t="shared" si="5"/>
        <v>29</v>
      </c>
      <c r="M44" s="15">
        <f t="shared" si="5"/>
        <v>29</v>
      </c>
      <c r="N44" s="15">
        <f t="shared" si="5"/>
        <v>29</v>
      </c>
      <c r="O44" s="15">
        <f>COUNT(O9:O38)+4</f>
        <v>29</v>
      </c>
      <c r="P44" s="12">
        <f t="shared" si="4"/>
        <v>30</v>
      </c>
      <c r="Q44" s="12">
        <f t="shared" si="4"/>
        <v>30</v>
      </c>
      <c r="R44" s="29"/>
      <c r="S44" s="29"/>
      <c r="T44" s="29"/>
      <c r="U44" s="29"/>
    </row>
    <row r="45" spans="1:21" s="21" customFormat="1" x14ac:dyDescent="0.25">
      <c r="A45" s="14" t="s">
        <v>34</v>
      </c>
      <c r="B45" s="12" t="str">
        <f>IF(B44&gt;=28,"&gt;90%",IF(B44&lt;=28,"&lt;90%"))</f>
        <v>&gt;90%</v>
      </c>
      <c r="C45" s="12" t="str">
        <f t="shared" ref="C45:Q45" si="6">IF(C44&gt;=28,"&gt;90%",IF(C44&lt;=28,"&lt;90%"))</f>
        <v>&gt;90%</v>
      </c>
      <c r="D45" s="12" t="str">
        <f t="shared" si="6"/>
        <v>&gt;90%</v>
      </c>
      <c r="E45" s="12" t="str">
        <f t="shared" si="6"/>
        <v>&gt;90%</v>
      </c>
      <c r="F45" s="12" t="str">
        <f t="shared" si="6"/>
        <v>&gt;90%</v>
      </c>
      <c r="G45" s="12" t="str">
        <f t="shared" si="6"/>
        <v>&gt;90%</v>
      </c>
      <c r="H45" s="12" t="str">
        <f t="shared" si="6"/>
        <v>&gt;90%</v>
      </c>
      <c r="I45" s="12" t="str">
        <f t="shared" si="6"/>
        <v>&gt;90%</v>
      </c>
      <c r="J45" s="12" t="str">
        <f t="shared" si="6"/>
        <v>&gt;90%</v>
      </c>
      <c r="K45" s="12" t="str">
        <f t="shared" si="6"/>
        <v>&gt;90%</v>
      </c>
      <c r="L45" s="12" t="str">
        <f t="shared" si="6"/>
        <v>&gt;90%</v>
      </c>
      <c r="M45" s="12" t="str">
        <f t="shared" si="6"/>
        <v>&gt;90%</v>
      </c>
      <c r="N45" s="12" t="str">
        <f t="shared" si="6"/>
        <v>&gt;90%</v>
      </c>
      <c r="O45" s="12" t="str">
        <f t="shared" si="6"/>
        <v>&gt;90%</v>
      </c>
      <c r="P45" s="12" t="str">
        <f t="shared" si="6"/>
        <v>&gt;90%</v>
      </c>
      <c r="Q45" s="12" t="str">
        <f t="shared" si="6"/>
        <v>&gt;90%</v>
      </c>
      <c r="R45" s="29"/>
      <c r="S45" s="29"/>
      <c r="T45" s="29"/>
      <c r="U45" s="29"/>
    </row>
    <row r="46" spans="1:21" s="21" customFormat="1" x14ac:dyDescent="0.25">
      <c r="A46" s="14" t="s">
        <v>1</v>
      </c>
      <c r="B46" s="12" t="str">
        <f>IF(B44&gt;=28,"OK",IF(B44&lt;=28,"LESS"))</f>
        <v>OK</v>
      </c>
      <c r="C46" s="12" t="str">
        <f t="shared" ref="C46:Q46" si="7">IF(C44&gt;=28,"OK",IF(C44&lt;=28,"LESS"))</f>
        <v>OK</v>
      </c>
      <c r="D46" s="12" t="str">
        <f t="shared" si="7"/>
        <v>OK</v>
      </c>
      <c r="E46" s="12" t="str">
        <f t="shared" si="7"/>
        <v>OK</v>
      </c>
      <c r="F46" s="12" t="str">
        <f t="shared" si="7"/>
        <v>OK</v>
      </c>
      <c r="G46" s="12" t="str">
        <f t="shared" si="7"/>
        <v>OK</v>
      </c>
      <c r="H46" s="12" t="str">
        <f t="shared" si="7"/>
        <v>OK</v>
      </c>
      <c r="I46" s="12" t="str">
        <f t="shared" si="7"/>
        <v>OK</v>
      </c>
      <c r="J46" s="12" t="str">
        <f t="shared" si="7"/>
        <v>OK</v>
      </c>
      <c r="K46" s="12" t="str">
        <f t="shared" si="7"/>
        <v>OK</v>
      </c>
      <c r="L46" s="12" t="str">
        <f t="shared" si="7"/>
        <v>OK</v>
      </c>
      <c r="M46" s="12" t="str">
        <f t="shared" si="7"/>
        <v>OK</v>
      </c>
      <c r="N46" s="12" t="str">
        <f t="shared" si="7"/>
        <v>OK</v>
      </c>
      <c r="O46" s="12" t="str">
        <f t="shared" si="7"/>
        <v>OK</v>
      </c>
      <c r="P46" s="12" t="str">
        <f t="shared" si="7"/>
        <v>OK</v>
      </c>
      <c r="Q46" s="12" t="str">
        <f t="shared" si="7"/>
        <v>OK</v>
      </c>
      <c r="R46" s="29"/>
      <c r="S46" s="29"/>
      <c r="T46" s="29"/>
      <c r="U46" s="29"/>
    </row>
    <row r="47" spans="1:21" x14ac:dyDescent="0.25"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</row>
    <row r="49" spans="1:16" x14ac:dyDescent="0.25">
      <c r="A49" s="14" t="s">
        <v>35</v>
      </c>
      <c r="B49" s="40" t="s">
        <v>41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 spans="1:16" x14ac:dyDescent="0.25">
      <c r="A50" s="13"/>
      <c r="B50" s="21"/>
      <c r="C50" s="21"/>
      <c r="D50" s="1"/>
      <c r="E50" s="1"/>
      <c r="F50" s="1"/>
      <c r="G50" s="1"/>
      <c r="H50" s="1"/>
      <c r="I50" s="1"/>
      <c r="J50" s="21"/>
      <c r="K50" s="21"/>
      <c r="L50" s="21"/>
      <c r="M50" s="21"/>
      <c r="N50" s="21"/>
      <c r="O50" s="21"/>
      <c r="P50" s="21"/>
    </row>
    <row r="51" spans="1:16" ht="15.75" x14ac:dyDescent="0.25">
      <c r="A51" s="17" t="s">
        <v>36</v>
      </c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</row>
    <row r="52" spans="1:16" x14ac:dyDescent="0.25">
      <c r="A52" s="13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spans="1:16" x14ac:dyDescent="0.25">
      <c r="A53" s="13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x14ac:dyDescent="0.25">
      <c r="A54" s="13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</sheetData>
  <mergeCells count="1">
    <mergeCell ref="B51:P5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30</vt:lpstr>
    </vt:vector>
  </TitlesOfParts>
  <Manager/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2018-07-30T12:51:54Z</cp:lastPrinted>
  <dcterms:created xsi:type="dcterms:W3CDTF">2013-08-23T16:44:31Z</dcterms:created>
  <dcterms:modified xsi:type="dcterms:W3CDTF">2025-08-12T11:09:55Z</dcterms:modified>
  <cp:category/>
</cp:coreProperties>
</file>